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/>
  <mc:AlternateContent xmlns:mc="http://schemas.openxmlformats.org/markup-compatibility/2006">
    <mc:Choice Requires="x15">
      <x15ac:absPath xmlns:x15ac="http://schemas.microsoft.com/office/spreadsheetml/2010/11/ac" url="/Users/gavinbansi/Desktop/VS/2026 Stock project/"/>
    </mc:Choice>
  </mc:AlternateContent>
  <xr:revisionPtr revIDLastSave="0" documentId="13_ncr:1_{3C05D735-7F88-8549-92FD-BC734FB5AE89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Comps_Analysis" sheetId="6" r:id="rId1"/>
    <sheet name="Price_vs_Fundamentals" sheetId="9" r:id="rId2"/>
    <sheet name="Oil_Macro_Analysis" sheetId="11" r:id="rId3"/>
    <sheet name="Fundamentals" sheetId="1" r:id="rId4"/>
    <sheet name="Prices_All" sheetId="2" r:id="rId5"/>
    <sheet name="Prices_2022-2025" sheetId="3" r:id="rId6"/>
    <sheet name="Prices_2026" sheetId="4" r:id="rId7"/>
    <sheet name="Year_End_Prices" sheetId="5" r:id="rId8"/>
    <sheet name="Oil_Price" sheetId="10" r:id="rId9"/>
  </sheets>
  <definedNames>
    <definedName name="_xlnm._FilterDatabase" localSheetId="3" hidden="1">Fundamentals!$A$1:$D$241</definedName>
    <definedName name="_xlnm._FilterDatabase" localSheetId="8" hidden="1">Oil_Price!$A$1:$B$1187</definedName>
    <definedName name="_xlnm._FilterDatabase" localSheetId="1" hidden="1">Price_vs_Fundamentals!$A$20:$D$36</definedName>
    <definedName name="_xlnm._FilterDatabase" localSheetId="4" hidden="1">Prices_All!$A$1:$C$4721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1" l="1"/>
  <c r="C15" i="11"/>
  <c r="B15" i="11"/>
  <c r="D14" i="11"/>
  <c r="C14" i="11"/>
  <c r="B14" i="11"/>
  <c r="D13" i="11"/>
  <c r="C13" i="11"/>
  <c r="B13" i="11"/>
  <c r="D12" i="11"/>
  <c r="C12" i="11"/>
  <c r="B12" i="11"/>
  <c r="D3" i="2"/>
  <c r="F3" i="2" s="1"/>
  <c r="E3" i="2"/>
  <c r="G3" i="2"/>
  <c r="D4" i="2"/>
  <c r="H4" i="2" s="1"/>
  <c r="E4" i="2"/>
  <c r="G4" i="2"/>
  <c r="D5" i="2"/>
  <c r="F5" i="2" s="1"/>
  <c r="E5" i="2"/>
  <c r="G5" i="2"/>
  <c r="D6" i="2"/>
  <c r="F6" i="2" s="1"/>
  <c r="E6" i="2"/>
  <c r="G6" i="2"/>
  <c r="D7" i="2"/>
  <c r="F7" i="2" s="1"/>
  <c r="E7" i="2"/>
  <c r="G7" i="2"/>
  <c r="H7" i="2"/>
  <c r="D8" i="2"/>
  <c r="F8" i="2" s="1"/>
  <c r="E8" i="2"/>
  <c r="G8" i="2"/>
  <c r="H8" i="2"/>
  <c r="D9" i="2"/>
  <c r="E9" i="2"/>
  <c r="F9" i="2"/>
  <c r="G9" i="2"/>
  <c r="H9" i="2"/>
  <c r="D10" i="2"/>
  <c r="H10" i="2" s="1"/>
  <c r="E10" i="2"/>
  <c r="F10" i="2"/>
  <c r="G10" i="2"/>
  <c r="D11" i="2"/>
  <c r="F11" i="2" s="1"/>
  <c r="E11" i="2"/>
  <c r="G11" i="2"/>
  <c r="D12" i="2"/>
  <c r="H12" i="2" s="1"/>
  <c r="E12" i="2"/>
  <c r="G12" i="2"/>
  <c r="D13" i="2"/>
  <c r="H13" i="2" s="1"/>
  <c r="E13" i="2"/>
  <c r="G13" i="2"/>
  <c r="D14" i="2"/>
  <c r="F14" i="2" s="1"/>
  <c r="E14" i="2"/>
  <c r="G14" i="2"/>
  <c r="H14" i="2"/>
  <c r="D15" i="2"/>
  <c r="F16" i="2" s="1"/>
  <c r="E15" i="2"/>
  <c r="G15" i="2"/>
  <c r="H15" i="2"/>
  <c r="D16" i="2"/>
  <c r="E16" i="2"/>
  <c r="G16" i="2"/>
  <c r="H16" i="2"/>
  <c r="D17" i="2"/>
  <c r="E17" i="2"/>
  <c r="F17" i="2"/>
  <c r="G17" i="2"/>
  <c r="H17" i="2"/>
  <c r="D18" i="2"/>
  <c r="H18" i="2" s="1"/>
  <c r="E18" i="2"/>
  <c r="F18" i="2"/>
  <c r="G18" i="2"/>
  <c r="D19" i="2"/>
  <c r="E19" i="2"/>
  <c r="G19" i="2"/>
  <c r="D20" i="2"/>
  <c r="H20" i="2" s="1"/>
  <c r="E20" i="2"/>
  <c r="G20" i="2"/>
  <c r="D21" i="2"/>
  <c r="H21" i="2" s="1"/>
  <c r="E21" i="2"/>
  <c r="G21" i="2"/>
  <c r="D22" i="2"/>
  <c r="F22" i="2" s="1"/>
  <c r="E22" i="2"/>
  <c r="G22" i="2"/>
  <c r="H22" i="2"/>
  <c r="D23" i="2"/>
  <c r="F24" i="2" s="1"/>
  <c r="E23" i="2"/>
  <c r="G23" i="2"/>
  <c r="H23" i="2"/>
  <c r="D24" i="2"/>
  <c r="E24" i="2"/>
  <c r="G24" i="2"/>
  <c r="H24" i="2"/>
  <c r="D25" i="2"/>
  <c r="E25" i="2"/>
  <c r="F25" i="2"/>
  <c r="G25" i="2"/>
  <c r="H25" i="2"/>
  <c r="D26" i="2"/>
  <c r="H26" i="2" s="1"/>
  <c r="E26" i="2"/>
  <c r="F26" i="2"/>
  <c r="G26" i="2"/>
  <c r="D27" i="2"/>
  <c r="E27" i="2"/>
  <c r="G27" i="2"/>
  <c r="D28" i="2"/>
  <c r="H28" i="2" s="1"/>
  <c r="E28" i="2"/>
  <c r="G28" i="2"/>
  <c r="D29" i="2"/>
  <c r="F29" i="2" s="1"/>
  <c r="E29" i="2"/>
  <c r="G29" i="2"/>
  <c r="D30" i="2"/>
  <c r="F30" i="2" s="1"/>
  <c r="E30" i="2"/>
  <c r="G30" i="2"/>
  <c r="H30" i="2"/>
  <c r="D31" i="2"/>
  <c r="F31" i="2" s="1"/>
  <c r="E31" i="2"/>
  <c r="G31" i="2"/>
  <c r="H31" i="2"/>
  <c r="D32" i="2"/>
  <c r="E32" i="2"/>
  <c r="F32" i="2"/>
  <c r="G32" i="2"/>
  <c r="H32" i="2"/>
  <c r="D33" i="2"/>
  <c r="E33" i="2"/>
  <c r="F33" i="2"/>
  <c r="G33" i="2"/>
  <c r="H33" i="2"/>
  <c r="D34" i="2"/>
  <c r="H34" i="2" s="1"/>
  <c r="E34" i="2"/>
  <c r="F34" i="2"/>
  <c r="G34" i="2"/>
  <c r="D35" i="2"/>
  <c r="E35" i="2"/>
  <c r="G35" i="2"/>
  <c r="D36" i="2"/>
  <c r="H36" i="2" s="1"/>
  <c r="E36" i="2"/>
  <c r="G36" i="2"/>
  <c r="D37" i="2"/>
  <c r="F37" i="2" s="1"/>
  <c r="E37" i="2"/>
  <c r="G37" i="2"/>
  <c r="D38" i="2"/>
  <c r="F38" i="2" s="1"/>
  <c r="E38" i="2"/>
  <c r="G38" i="2"/>
  <c r="H38" i="2"/>
  <c r="D39" i="2"/>
  <c r="F39" i="2" s="1"/>
  <c r="E39" i="2"/>
  <c r="G39" i="2"/>
  <c r="H39" i="2"/>
  <c r="D40" i="2"/>
  <c r="E40" i="2"/>
  <c r="F40" i="2"/>
  <c r="G40" i="2"/>
  <c r="H40" i="2"/>
  <c r="D41" i="2"/>
  <c r="E41" i="2"/>
  <c r="F41" i="2"/>
  <c r="G41" i="2"/>
  <c r="H41" i="2"/>
  <c r="D42" i="2"/>
  <c r="H42" i="2" s="1"/>
  <c r="E42" i="2"/>
  <c r="F42" i="2"/>
  <c r="G42" i="2"/>
  <c r="D43" i="2"/>
  <c r="E43" i="2"/>
  <c r="G43" i="2"/>
  <c r="D44" i="2"/>
  <c r="E44" i="2"/>
  <c r="G44" i="2"/>
  <c r="D45" i="2"/>
  <c r="F45" i="2" s="1"/>
  <c r="E45" i="2"/>
  <c r="G45" i="2"/>
  <c r="D46" i="2"/>
  <c r="F46" i="2" s="1"/>
  <c r="E46" i="2"/>
  <c r="G46" i="2"/>
  <c r="H46" i="2"/>
  <c r="D47" i="2"/>
  <c r="F47" i="2" s="1"/>
  <c r="E47" i="2"/>
  <c r="G47" i="2"/>
  <c r="H47" i="2"/>
  <c r="D48" i="2"/>
  <c r="E48" i="2"/>
  <c r="F48" i="2"/>
  <c r="G48" i="2"/>
  <c r="H48" i="2"/>
  <c r="D49" i="2"/>
  <c r="E49" i="2"/>
  <c r="F49" i="2"/>
  <c r="G49" i="2"/>
  <c r="H49" i="2"/>
  <c r="D50" i="2"/>
  <c r="H50" i="2" s="1"/>
  <c r="E50" i="2"/>
  <c r="F50" i="2"/>
  <c r="G50" i="2"/>
  <c r="D51" i="2"/>
  <c r="E51" i="2"/>
  <c r="G51" i="2"/>
  <c r="D52" i="2"/>
  <c r="E52" i="2"/>
  <c r="G52" i="2"/>
  <c r="D53" i="2"/>
  <c r="F53" i="2" s="1"/>
  <c r="E53" i="2"/>
  <c r="G53" i="2"/>
  <c r="D54" i="2"/>
  <c r="F54" i="2" s="1"/>
  <c r="E54" i="2"/>
  <c r="G54" i="2"/>
  <c r="H54" i="2"/>
  <c r="D55" i="2"/>
  <c r="F55" i="2" s="1"/>
  <c r="E55" i="2"/>
  <c r="G55" i="2"/>
  <c r="H55" i="2"/>
  <c r="D56" i="2"/>
  <c r="E56" i="2"/>
  <c r="F56" i="2"/>
  <c r="G56" i="2"/>
  <c r="H56" i="2"/>
  <c r="D57" i="2"/>
  <c r="E57" i="2"/>
  <c r="F57" i="2"/>
  <c r="G57" i="2"/>
  <c r="H57" i="2"/>
  <c r="D58" i="2"/>
  <c r="H58" i="2" s="1"/>
  <c r="E58" i="2"/>
  <c r="F58" i="2"/>
  <c r="G58" i="2"/>
  <c r="D59" i="2"/>
  <c r="E59" i="2"/>
  <c r="G59" i="2"/>
  <c r="D60" i="2"/>
  <c r="E60" i="2"/>
  <c r="G60" i="2"/>
  <c r="D61" i="2"/>
  <c r="F61" i="2" s="1"/>
  <c r="E61" i="2"/>
  <c r="G61" i="2"/>
  <c r="D62" i="2"/>
  <c r="F62" i="2" s="1"/>
  <c r="E62" i="2"/>
  <c r="G62" i="2"/>
  <c r="H62" i="2"/>
  <c r="D63" i="2"/>
  <c r="F63" i="2" s="1"/>
  <c r="E63" i="2"/>
  <c r="G63" i="2"/>
  <c r="H63" i="2"/>
  <c r="D64" i="2"/>
  <c r="E64" i="2"/>
  <c r="F64" i="2"/>
  <c r="G64" i="2"/>
  <c r="H64" i="2"/>
  <c r="D65" i="2"/>
  <c r="E65" i="2"/>
  <c r="F65" i="2"/>
  <c r="G65" i="2"/>
  <c r="H65" i="2"/>
  <c r="D66" i="2"/>
  <c r="H66" i="2" s="1"/>
  <c r="E66" i="2"/>
  <c r="F66" i="2"/>
  <c r="G66" i="2"/>
  <c r="D67" i="2"/>
  <c r="E67" i="2"/>
  <c r="G67" i="2"/>
  <c r="D68" i="2"/>
  <c r="H68" i="2" s="1"/>
  <c r="E68" i="2"/>
  <c r="G68" i="2"/>
  <c r="D69" i="2"/>
  <c r="F69" i="2" s="1"/>
  <c r="E69" i="2"/>
  <c r="G69" i="2"/>
  <c r="D70" i="2"/>
  <c r="F70" i="2" s="1"/>
  <c r="E70" i="2"/>
  <c r="G70" i="2"/>
  <c r="H70" i="2"/>
  <c r="D71" i="2"/>
  <c r="F71" i="2" s="1"/>
  <c r="E71" i="2"/>
  <c r="G71" i="2"/>
  <c r="H71" i="2"/>
  <c r="D72" i="2"/>
  <c r="E72" i="2"/>
  <c r="F72" i="2"/>
  <c r="G72" i="2"/>
  <c r="H72" i="2"/>
  <c r="D73" i="2"/>
  <c r="E73" i="2"/>
  <c r="F73" i="2"/>
  <c r="G73" i="2"/>
  <c r="H73" i="2"/>
  <c r="D74" i="2"/>
  <c r="H74" i="2" s="1"/>
  <c r="E74" i="2"/>
  <c r="F74" i="2"/>
  <c r="G74" i="2"/>
  <c r="D75" i="2"/>
  <c r="E75" i="2"/>
  <c r="G75" i="2"/>
  <c r="D76" i="2"/>
  <c r="H76" i="2" s="1"/>
  <c r="E76" i="2"/>
  <c r="G76" i="2"/>
  <c r="D77" i="2"/>
  <c r="F77" i="2" s="1"/>
  <c r="E77" i="2"/>
  <c r="G77" i="2"/>
  <c r="D78" i="2"/>
  <c r="F78" i="2" s="1"/>
  <c r="E78" i="2"/>
  <c r="G78" i="2"/>
  <c r="H78" i="2"/>
  <c r="D79" i="2"/>
  <c r="F79" i="2" s="1"/>
  <c r="E79" i="2"/>
  <c r="G79" i="2"/>
  <c r="H79" i="2"/>
  <c r="D80" i="2"/>
  <c r="E80" i="2"/>
  <c r="F80" i="2"/>
  <c r="G80" i="2"/>
  <c r="H80" i="2"/>
  <c r="D81" i="2"/>
  <c r="E81" i="2"/>
  <c r="F81" i="2"/>
  <c r="G81" i="2"/>
  <c r="H81" i="2"/>
  <c r="D82" i="2"/>
  <c r="F82" i="2" s="1"/>
  <c r="E82" i="2"/>
  <c r="G82" i="2"/>
  <c r="D83" i="2"/>
  <c r="E83" i="2"/>
  <c r="G83" i="2"/>
  <c r="D84" i="2"/>
  <c r="H84" i="2" s="1"/>
  <c r="E84" i="2"/>
  <c r="G84" i="2"/>
  <c r="D85" i="2"/>
  <c r="F85" i="2" s="1"/>
  <c r="E85" i="2"/>
  <c r="G85" i="2"/>
  <c r="D86" i="2"/>
  <c r="F86" i="2" s="1"/>
  <c r="E86" i="2"/>
  <c r="G86" i="2"/>
  <c r="H86" i="2"/>
  <c r="D87" i="2"/>
  <c r="F87" i="2" s="1"/>
  <c r="E87" i="2"/>
  <c r="G87" i="2"/>
  <c r="H87" i="2"/>
  <c r="D88" i="2"/>
  <c r="E88" i="2"/>
  <c r="F88" i="2"/>
  <c r="G88" i="2"/>
  <c r="H88" i="2"/>
  <c r="D89" i="2"/>
  <c r="E89" i="2"/>
  <c r="F89" i="2"/>
  <c r="G89" i="2"/>
  <c r="H89" i="2"/>
  <c r="D90" i="2"/>
  <c r="F90" i="2" s="1"/>
  <c r="E90" i="2"/>
  <c r="G90" i="2"/>
  <c r="D91" i="2"/>
  <c r="E91" i="2"/>
  <c r="G91" i="2"/>
  <c r="D92" i="2"/>
  <c r="E92" i="2"/>
  <c r="G92" i="2"/>
  <c r="D93" i="2"/>
  <c r="F93" i="2" s="1"/>
  <c r="E93" i="2"/>
  <c r="G93" i="2"/>
  <c r="D94" i="2"/>
  <c r="F94" i="2" s="1"/>
  <c r="E94" i="2"/>
  <c r="G94" i="2"/>
  <c r="H94" i="2"/>
  <c r="D95" i="2"/>
  <c r="F95" i="2" s="1"/>
  <c r="E95" i="2"/>
  <c r="G95" i="2"/>
  <c r="H95" i="2"/>
  <c r="D96" i="2"/>
  <c r="E96" i="2"/>
  <c r="F96" i="2"/>
  <c r="G96" i="2"/>
  <c r="H96" i="2"/>
  <c r="D97" i="2"/>
  <c r="E97" i="2"/>
  <c r="F97" i="2"/>
  <c r="G97" i="2"/>
  <c r="H97" i="2"/>
  <c r="D98" i="2"/>
  <c r="F98" i="2" s="1"/>
  <c r="E98" i="2"/>
  <c r="G98" i="2"/>
  <c r="D99" i="2"/>
  <c r="E99" i="2"/>
  <c r="G99" i="2"/>
  <c r="D100" i="2"/>
  <c r="E100" i="2"/>
  <c r="G100" i="2"/>
  <c r="D101" i="2"/>
  <c r="F101" i="2" s="1"/>
  <c r="E101" i="2"/>
  <c r="G101" i="2"/>
  <c r="D102" i="2"/>
  <c r="F102" i="2" s="1"/>
  <c r="E102" i="2"/>
  <c r="G102" i="2"/>
  <c r="H102" i="2"/>
  <c r="D103" i="2"/>
  <c r="F104" i="2" s="1"/>
  <c r="E103" i="2"/>
  <c r="G103" i="2"/>
  <c r="H103" i="2"/>
  <c r="D104" i="2"/>
  <c r="E104" i="2"/>
  <c r="G104" i="2"/>
  <c r="D105" i="2"/>
  <c r="E105" i="2"/>
  <c r="F105" i="2"/>
  <c r="G105" i="2"/>
  <c r="H105" i="2"/>
  <c r="D106" i="2"/>
  <c r="F106" i="2" s="1"/>
  <c r="E106" i="2"/>
  <c r="G106" i="2"/>
  <c r="D107" i="2"/>
  <c r="F107" i="2" s="1"/>
  <c r="E107" i="2"/>
  <c r="G107" i="2"/>
  <c r="H107" i="2"/>
  <c r="D108" i="2"/>
  <c r="H108" i="2" s="1"/>
  <c r="E108" i="2"/>
  <c r="G108" i="2"/>
  <c r="D109" i="2"/>
  <c r="H109" i="2" s="1"/>
  <c r="E109" i="2"/>
  <c r="F109" i="2"/>
  <c r="G109" i="2"/>
  <c r="D110" i="2"/>
  <c r="F110" i="2" s="1"/>
  <c r="E110" i="2"/>
  <c r="G110" i="2"/>
  <c r="H110" i="2"/>
  <c r="D111" i="2"/>
  <c r="E111" i="2"/>
  <c r="G111" i="2"/>
  <c r="H111" i="2"/>
  <c r="D112" i="2"/>
  <c r="E112" i="2"/>
  <c r="G112" i="2"/>
  <c r="D113" i="2"/>
  <c r="E113" i="2"/>
  <c r="F113" i="2"/>
  <c r="G113" i="2"/>
  <c r="H113" i="2"/>
  <c r="D114" i="2"/>
  <c r="F114" i="2" s="1"/>
  <c r="E114" i="2"/>
  <c r="G114" i="2"/>
  <c r="D115" i="2"/>
  <c r="E115" i="2"/>
  <c r="G115" i="2"/>
  <c r="D116" i="2"/>
  <c r="E116" i="2"/>
  <c r="G116" i="2"/>
  <c r="D117" i="2"/>
  <c r="H117" i="2" s="1"/>
  <c r="E117" i="2"/>
  <c r="F117" i="2"/>
  <c r="G117" i="2"/>
  <c r="D118" i="2"/>
  <c r="F118" i="2" s="1"/>
  <c r="E118" i="2"/>
  <c r="G118" i="2"/>
  <c r="D119" i="2"/>
  <c r="E119" i="2"/>
  <c r="G119" i="2"/>
  <c r="D120" i="2"/>
  <c r="E120" i="2"/>
  <c r="G120" i="2"/>
  <c r="D121" i="2"/>
  <c r="E121" i="2"/>
  <c r="F121" i="2"/>
  <c r="G121" i="2"/>
  <c r="H121" i="2"/>
  <c r="D122" i="2"/>
  <c r="F122" i="2" s="1"/>
  <c r="E122" i="2"/>
  <c r="G122" i="2"/>
  <c r="H122" i="2"/>
  <c r="D123" i="2"/>
  <c r="E123" i="2"/>
  <c r="G123" i="2"/>
  <c r="D124" i="2"/>
  <c r="E124" i="2"/>
  <c r="G124" i="2"/>
  <c r="D125" i="2"/>
  <c r="H125" i="2" s="1"/>
  <c r="E125" i="2"/>
  <c r="F125" i="2"/>
  <c r="G125" i="2"/>
  <c r="D126" i="2"/>
  <c r="E126" i="2"/>
  <c r="G126" i="2"/>
  <c r="D127" i="2"/>
  <c r="E127" i="2"/>
  <c r="G127" i="2"/>
  <c r="H127" i="2"/>
  <c r="D128" i="2"/>
  <c r="E128" i="2"/>
  <c r="G128" i="2"/>
  <c r="D129" i="2"/>
  <c r="E129" i="2"/>
  <c r="F129" i="2"/>
  <c r="G129" i="2"/>
  <c r="H129" i="2"/>
  <c r="D130" i="2"/>
  <c r="F130" i="2" s="1"/>
  <c r="E130" i="2"/>
  <c r="G130" i="2"/>
  <c r="H130" i="2"/>
  <c r="D131" i="2"/>
  <c r="E131" i="2"/>
  <c r="G131" i="2"/>
  <c r="H131" i="2"/>
  <c r="D132" i="2"/>
  <c r="E132" i="2"/>
  <c r="G132" i="2"/>
  <c r="D133" i="2"/>
  <c r="H133" i="2" s="1"/>
  <c r="E133" i="2"/>
  <c r="F133" i="2"/>
  <c r="G133" i="2"/>
  <c r="D134" i="2"/>
  <c r="E134" i="2"/>
  <c r="G134" i="2"/>
  <c r="D135" i="2"/>
  <c r="E135" i="2"/>
  <c r="G135" i="2"/>
  <c r="H135" i="2"/>
  <c r="D136" i="2"/>
  <c r="E136" i="2"/>
  <c r="G136" i="2"/>
  <c r="D137" i="2"/>
  <c r="E137" i="2"/>
  <c r="F137" i="2"/>
  <c r="G137" i="2"/>
  <c r="H137" i="2"/>
  <c r="D138" i="2"/>
  <c r="F138" i="2" s="1"/>
  <c r="E138" i="2"/>
  <c r="G138" i="2"/>
  <c r="H138" i="2"/>
  <c r="D139" i="2"/>
  <c r="F139" i="2" s="1"/>
  <c r="E139" i="2"/>
  <c r="G139" i="2"/>
  <c r="H139" i="2"/>
  <c r="D140" i="2"/>
  <c r="H140" i="2" s="1"/>
  <c r="E140" i="2"/>
  <c r="G140" i="2"/>
  <c r="D141" i="2"/>
  <c r="H141" i="2" s="1"/>
  <c r="E141" i="2"/>
  <c r="F141" i="2"/>
  <c r="G141" i="2"/>
  <c r="D142" i="2"/>
  <c r="E142" i="2"/>
  <c r="G142" i="2"/>
  <c r="D143" i="2"/>
  <c r="E143" i="2"/>
  <c r="G143" i="2"/>
  <c r="H143" i="2"/>
  <c r="D144" i="2"/>
  <c r="E144" i="2"/>
  <c r="G144" i="2"/>
  <c r="D145" i="2"/>
  <c r="E145" i="2"/>
  <c r="F145" i="2"/>
  <c r="G145" i="2"/>
  <c r="H145" i="2"/>
  <c r="D146" i="2"/>
  <c r="F146" i="2" s="1"/>
  <c r="E146" i="2"/>
  <c r="G146" i="2"/>
  <c r="H146" i="2"/>
  <c r="D147" i="2"/>
  <c r="F147" i="2" s="1"/>
  <c r="E147" i="2"/>
  <c r="G147" i="2"/>
  <c r="H147" i="2"/>
  <c r="D148" i="2"/>
  <c r="H148" i="2" s="1"/>
  <c r="E148" i="2"/>
  <c r="F148" i="2"/>
  <c r="G148" i="2"/>
  <c r="D149" i="2"/>
  <c r="H149" i="2" s="1"/>
  <c r="E149" i="2"/>
  <c r="F149" i="2"/>
  <c r="G149" i="2"/>
  <c r="D150" i="2"/>
  <c r="E150" i="2"/>
  <c r="G150" i="2"/>
  <c r="D151" i="2"/>
  <c r="E151" i="2"/>
  <c r="G151" i="2"/>
  <c r="H151" i="2"/>
  <c r="D152" i="2"/>
  <c r="E152" i="2"/>
  <c r="G152" i="2"/>
  <c r="D153" i="2"/>
  <c r="E153" i="2"/>
  <c r="F153" i="2"/>
  <c r="G153" i="2"/>
  <c r="H153" i="2"/>
  <c r="D154" i="2"/>
  <c r="F154" i="2" s="1"/>
  <c r="E154" i="2"/>
  <c r="G154" i="2"/>
  <c r="H154" i="2"/>
  <c r="D155" i="2"/>
  <c r="F155" i="2" s="1"/>
  <c r="E155" i="2"/>
  <c r="G155" i="2"/>
  <c r="H155" i="2"/>
  <c r="D156" i="2"/>
  <c r="H156" i="2" s="1"/>
  <c r="E156" i="2"/>
  <c r="F156" i="2"/>
  <c r="G156" i="2"/>
  <c r="D157" i="2"/>
  <c r="H157" i="2" s="1"/>
  <c r="E157" i="2"/>
  <c r="F157" i="2"/>
  <c r="G157" i="2"/>
  <c r="D158" i="2"/>
  <c r="E158" i="2"/>
  <c r="G158" i="2"/>
  <c r="D159" i="2"/>
  <c r="E159" i="2"/>
  <c r="G159" i="2"/>
  <c r="D160" i="2"/>
  <c r="E160" i="2"/>
  <c r="G160" i="2"/>
  <c r="D161" i="2"/>
  <c r="E161" i="2"/>
  <c r="F161" i="2"/>
  <c r="G161" i="2"/>
  <c r="H161" i="2"/>
  <c r="D162" i="2"/>
  <c r="F162" i="2" s="1"/>
  <c r="E162" i="2"/>
  <c r="G162" i="2"/>
  <c r="H162" i="2"/>
  <c r="D163" i="2"/>
  <c r="F163" i="2" s="1"/>
  <c r="E163" i="2"/>
  <c r="G163" i="2"/>
  <c r="D164" i="2"/>
  <c r="H164" i="2" s="1"/>
  <c r="E164" i="2"/>
  <c r="F164" i="2"/>
  <c r="G164" i="2"/>
  <c r="D165" i="2"/>
  <c r="H165" i="2" s="1"/>
  <c r="E165" i="2"/>
  <c r="F165" i="2"/>
  <c r="G165" i="2"/>
  <c r="D166" i="2"/>
  <c r="E166" i="2"/>
  <c r="G166" i="2"/>
  <c r="D167" i="2"/>
  <c r="E167" i="2"/>
  <c r="G167" i="2"/>
  <c r="D168" i="2"/>
  <c r="E168" i="2"/>
  <c r="G168" i="2"/>
  <c r="D169" i="2"/>
  <c r="E169" i="2"/>
  <c r="F169" i="2"/>
  <c r="G169" i="2"/>
  <c r="H169" i="2"/>
  <c r="D170" i="2"/>
  <c r="F170" i="2" s="1"/>
  <c r="E170" i="2"/>
  <c r="G170" i="2"/>
  <c r="H170" i="2"/>
  <c r="D171" i="2"/>
  <c r="E171" i="2"/>
  <c r="G171" i="2"/>
  <c r="D172" i="2"/>
  <c r="E172" i="2"/>
  <c r="G172" i="2"/>
  <c r="D173" i="2"/>
  <c r="H173" i="2" s="1"/>
  <c r="E173" i="2"/>
  <c r="F173" i="2"/>
  <c r="G173" i="2"/>
  <c r="D174" i="2"/>
  <c r="E174" i="2"/>
  <c r="G174" i="2"/>
  <c r="D175" i="2"/>
  <c r="E175" i="2"/>
  <c r="G175" i="2"/>
  <c r="D176" i="2"/>
  <c r="E176" i="2"/>
  <c r="G176" i="2"/>
  <c r="D177" i="2"/>
  <c r="E177" i="2"/>
  <c r="F177" i="2"/>
  <c r="G177" i="2"/>
  <c r="H177" i="2"/>
  <c r="D178" i="2"/>
  <c r="F178" i="2" s="1"/>
  <c r="E178" i="2"/>
  <c r="G178" i="2"/>
  <c r="H178" i="2"/>
  <c r="D179" i="2"/>
  <c r="E179" i="2"/>
  <c r="G179" i="2"/>
  <c r="D180" i="2"/>
  <c r="E180" i="2"/>
  <c r="G180" i="2"/>
  <c r="D181" i="2"/>
  <c r="H181" i="2" s="1"/>
  <c r="E181" i="2"/>
  <c r="F181" i="2"/>
  <c r="G181" i="2"/>
  <c r="D182" i="2"/>
  <c r="E182" i="2"/>
  <c r="G182" i="2"/>
  <c r="D183" i="2"/>
  <c r="E183" i="2"/>
  <c r="G183" i="2"/>
  <c r="D184" i="2"/>
  <c r="E184" i="2"/>
  <c r="G184" i="2"/>
  <c r="D185" i="2"/>
  <c r="E185" i="2"/>
  <c r="F185" i="2"/>
  <c r="G185" i="2"/>
  <c r="H185" i="2"/>
  <c r="D186" i="2"/>
  <c r="F186" i="2" s="1"/>
  <c r="E186" i="2"/>
  <c r="G186" i="2"/>
  <c r="H186" i="2"/>
  <c r="D187" i="2"/>
  <c r="E187" i="2"/>
  <c r="G187" i="2"/>
  <c r="D188" i="2"/>
  <c r="E188" i="2"/>
  <c r="G188" i="2"/>
  <c r="D189" i="2"/>
  <c r="H189" i="2" s="1"/>
  <c r="E189" i="2"/>
  <c r="F189" i="2"/>
  <c r="G189" i="2"/>
  <c r="D190" i="2"/>
  <c r="E190" i="2"/>
  <c r="G190" i="2"/>
  <c r="D191" i="2"/>
  <c r="E191" i="2"/>
  <c r="G191" i="2"/>
  <c r="D192" i="2"/>
  <c r="E192" i="2"/>
  <c r="G192" i="2"/>
  <c r="D193" i="2"/>
  <c r="E193" i="2"/>
  <c r="F193" i="2"/>
  <c r="G193" i="2"/>
  <c r="H193" i="2"/>
  <c r="D194" i="2"/>
  <c r="F194" i="2" s="1"/>
  <c r="E194" i="2"/>
  <c r="G194" i="2"/>
  <c r="H194" i="2"/>
  <c r="D195" i="2"/>
  <c r="E195" i="2"/>
  <c r="G195" i="2"/>
  <c r="D196" i="2"/>
  <c r="E196" i="2"/>
  <c r="G196" i="2"/>
  <c r="D197" i="2"/>
  <c r="H197" i="2" s="1"/>
  <c r="E197" i="2"/>
  <c r="F197" i="2"/>
  <c r="G197" i="2"/>
  <c r="D198" i="2"/>
  <c r="E198" i="2"/>
  <c r="G198" i="2"/>
  <c r="D199" i="2"/>
  <c r="E199" i="2"/>
  <c r="G199" i="2"/>
  <c r="H199" i="2"/>
  <c r="D200" i="2"/>
  <c r="E200" i="2"/>
  <c r="G200" i="2"/>
  <c r="D201" i="2"/>
  <c r="E201" i="2"/>
  <c r="F201" i="2"/>
  <c r="G201" i="2"/>
  <c r="H201" i="2"/>
  <c r="D202" i="2"/>
  <c r="F202" i="2" s="1"/>
  <c r="E202" i="2"/>
  <c r="G202" i="2"/>
  <c r="H202" i="2"/>
  <c r="D203" i="2"/>
  <c r="F203" i="2" s="1"/>
  <c r="E203" i="2"/>
  <c r="G203" i="2"/>
  <c r="H203" i="2"/>
  <c r="D204" i="2"/>
  <c r="H204" i="2" s="1"/>
  <c r="E204" i="2"/>
  <c r="F204" i="2"/>
  <c r="G204" i="2"/>
  <c r="D205" i="2"/>
  <c r="H205" i="2" s="1"/>
  <c r="E205" i="2"/>
  <c r="F205" i="2"/>
  <c r="G205" i="2"/>
  <c r="D206" i="2"/>
  <c r="E206" i="2"/>
  <c r="G206" i="2"/>
  <c r="D207" i="2"/>
  <c r="E207" i="2"/>
  <c r="G207" i="2"/>
  <c r="D208" i="2"/>
  <c r="E208" i="2"/>
  <c r="G208" i="2"/>
  <c r="D209" i="2"/>
  <c r="E209" i="2"/>
  <c r="F209" i="2"/>
  <c r="G209" i="2"/>
  <c r="H209" i="2"/>
  <c r="D210" i="2"/>
  <c r="F210" i="2" s="1"/>
  <c r="E210" i="2"/>
  <c r="G210" i="2"/>
  <c r="H210" i="2"/>
  <c r="D211" i="2"/>
  <c r="F211" i="2" s="1"/>
  <c r="E211" i="2"/>
  <c r="G211" i="2"/>
  <c r="H211" i="2"/>
  <c r="D212" i="2"/>
  <c r="H212" i="2" s="1"/>
  <c r="E212" i="2"/>
  <c r="F212" i="2"/>
  <c r="G212" i="2"/>
  <c r="D213" i="2"/>
  <c r="H213" i="2" s="1"/>
  <c r="E213" i="2"/>
  <c r="F213" i="2"/>
  <c r="G213" i="2"/>
  <c r="D214" i="2"/>
  <c r="E214" i="2"/>
  <c r="G214" i="2"/>
  <c r="D215" i="2"/>
  <c r="E215" i="2"/>
  <c r="G215" i="2"/>
  <c r="H215" i="2"/>
  <c r="D216" i="2"/>
  <c r="E216" i="2"/>
  <c r="G216" i="2"/>
  <c r="D217" i="2"/>
  <c r="E217" i="2"/>
  <c r="F217" i="2"/>
  <c r="G217" i="2"/>
  <c r="H217" i="2"/>
  <c r="D218" i="2"/>
  <c r="F218" i="2" s="1"/>
  <c r="E218" i="2"/>
  <c r="G218" i="2"/>
  <c r="H218" i="2"/>
  <c r="D219" i="2"/>
  <c r="F219" i="2" s="1"/>
  <c r="E219" i="2"/>
  <c r="G219" i="2"/>
  <c r="H219" i="2"/>
  <c r="D220" i="2"/>
  <c r="H220" i="2" s="1"/>
  <c r="E220" i="2"/>
  <c r="F220" i="2"/>
  <c r="G220" i="2"/>
  <c r="D221" i="2"/>
  <c r="H221" i="2" s="1"/>
  <c r="E221" i="2"/>
  <c r="F221" i="2"/>
  <c r="G221" i="2"/>
  <c r="D222" i="2"/>
  <c r="E222" i="2"/>
  <c r="G222" i="2"/>
  <c r="D223" i="2"/>
  <c r="E223" i="2"/>
  <c r="G223" i="2"/>
  <c r="D224" i="2"/>
  <c r="E224" i="2"/>
  <c r="G224" i="2"/>
  <c r="D225" i="2"/>
  <c r="E225" i="2"/>
  <c r="F225" i="2"/>
  <c r="G225" i="2"/>
  <c r="H225" i="2"/>
  <c r="D226" i="2"/>
  <c r="F226" i="2" s="1"/>
  <c r="E226" i="2"/>
  <c r="G226" i="2"/>
  <c r="H226" i="2"/>
  <c r="D227" i="2"/>
  <c r="F227" i="2" s="1"/>
  <c r="E227" i="2"/>
  <c r="G227" i="2"/>
  <c r="D228" i="2"/>
  <c r="H228" i="2" s="1"/>
  <c r="E228" i="2"/>
  <c r="F228" i="2"/>
  <c r="G228" i="2"/>
  <c r="D229" i="2"/>
  <c r="H229" i="2" s="1"/>
  <c r="E229" i="2"/>
  <c r="F229" i="2"/>
  <c r="G229" i="2"/>
  <c r="D230" i="2"/>
  <c r="E230" i="2"/>
  <c r="G230" i="2"/>
  <c r="D231" i="2"/>
  <c r="E231" i="2"/>
  <c r="G231" i="2"/>
  <c r="D232" i="2"/>
  <c r="E232" i="2"/>
  <c r="G232" i="2"/>
  <c r="D233" i="2"/>
  <c r="E233" i="2"/>
  <c r="F233" i="2"/>
  <c r="G233" i="2"/>
  <c r="H233" i="2"/>
  <c r="D234" i="2"/>
  <c r="F234" i="2" s="1"/>
  <c r="E234" i="2"/>
  <c r="G234" i="2"/>
  <c r="H234" i="2"/>
  <c r="D235" i="2"/>
  <c r="E235" i="2"/>
  <c r="G235" i="2"/>
  <c r="D236" i="2"/>
  <c r="E236" i="2"/>
  <c r="G236" i="2"/>
  <c r="D237" i="2"/>
  <c r="H237" i="2" s="1"/>
  <c r="E237" i="2"/>
  <c r="F237" i="2"/>
  <c r="G237" i="2"/>
  <c r="D238" i="2"/>
  <c r="E238" i="2"/>
  <c r="G238" i="2"/>
  <c r="D239" i="2"/>
  <c r="E239" i="2"/>
  <c r="G239" i="2"/>
  <c r="D240" i="2"/>
  <c r="E240" i="2"/>
  <c r="G240" i="2"/>
  <c r="D241" i="2"/>
  <c r="E241" i="2"/>
  <c r="F241" i="2"/>
  <c r="G241" i="2"/>
  <c r="H241" i="2"/>
  <c r="D242" i="2"/>
  <c r="F242" i="2" s="1"/>
  <c r="E242" i="2"/>
  <c r="G242" i="2"/>
  <c r="H242" i="2"/>
  <c r="D243" i="2"/>
  <c r="E243" i="2"/>
  <c r="G243" i="2"/>
  <c r="D244" i="2"/>
  <c r="E244" i="2"/>
  <c r="F244" i="2"/>
  <c r="G244" i="2"/>
  <c r="D245" i="2"/>
  <c r="H245" i="2" s="1"/>
  <c r="E245" i="2"/>
  <c r="F245" i="2"/>
  <c r="G245" i="2"/>
  <c r="D246" i="2"/>
  <c r="E246" i="2"/>
  <c r="G246" i="2"/>
  <c r="D247" i="2"/>
  <c r="E247" i="2"/>
  <c r="G247" i="2"/>
  <c r="D248" i="2"/>
  <c r="E248" i="2"/>
  <c r="G248" i="2"/>
  <c r="D249" i="2"/>
  <c r="E249" i="2"/>
  <c r="F249" i="2"/>
  <c r="G249" i="2"/>
  <c r="H249" i="2"/>
  <c r="D250" i="2"/>
  <c r="F250" i="2" s="1"/>
  <c r="E250" i="2"/>
  <c r="G250" i="2"/>
  <c r="H250" i="2"/>
  <c r="D251" i="2"/>
  <c r="E251" i="2"/>
  <c r="G251" i="2"/>
  <c r="D252" i="2"/>
  <c r="E252" i="2"/>
  <c r="G252" i="2"/>
  <c r="D253" i="2"/>
  <c r="H253" i="2" s="1"/>
  <c r="E253" i="2"/>
  <c r="F253" i="2"/>
  <c r="G253" i="2"/>
  <c r="D254" i="2"/>
  <c r="E254" i="2"/>
  <c r="G254" i="2"/>
  <c r="D255" i="2"/>
  <c r="E255" i="2"/>
  <c r="G255" i="2"/>
  <c r="D256" i="2"/>
  <c r="E256" i="2"/>
  <c r="G256" i="2"/>
  <c r="D257" i="2"/>
  <c r="E257" i="2"/>
  <c r="F257" i="2"/>
  <c r="G257" i="2"/>
  <c r="H257" i="2"/>
  <c r="D258" i="2"/>
  <c r="F258" i="2" s="1"/>
  <c r="E258" i="2"/>
  <c r="G258" i="2"/>
  <c r="H258" i="2"/>
  <c r="D259" i="2"/>
  <c r="E259" i="2"/>
  <c r="G259" i="2"/>
  <c r="D260" i="2"/>
  <c r="E260" i="2"/>
  <c r="G260" i="2"/>
  <c r="D261" i="2"/>
  <c r="H261" i="2" s="1"/>
  <c r="E261" i="2"/>
  <c r="F261" i="2"/>
  <c r="G261" i="2"/>
  <c r="D262" i="2"/>
  <c r="E262" i="2"/>
  <c r="G262" i="2"/>
  <c r="D263" i="2"/>
  <c r="E263" i="2"/>
  <c r="G263" i="2"/>
  <c r="H263" i="2"/>
  <c r="D264" i="2"/>
  <c r="H264" i="2" s="1"/>
  <c r="E264" i="2"/>
  <c r="G264" i="2"/>
  <c r="D265" i="2"/>
  <c r="E265" i="2"/>
  <c r="F265" i="2"/>
  <c r="G265" i="2"/>
  <c r="H265" i="2"/>
  <c r="D266" i="2"/>
  <c r="F266" i="2" s="1"/>
  <c r="E266" i="2"/>
  <c r="G266" i="2"/>
  <c r="H266" i="2"/>
  <c r="D267" i="2"/>
  <c r="H268" i="2" s="1"/>
  <c r="E267" i="2"/>
  <c r="F267" i="2"/>
  <c r="G267" i="2"/>
  <c r="H267" i="2"/>
  <c r="D268" i="2"/>
  <c r="E268" i="2"/>
  <c r="G268" i="2"/>
  <c r="D269" i="2"/>
  <c r="H269" i="2" s="1"/>
  <c r="E269" i="2"/>
  <c r="F269" i="2"/>
  <c r="G269" i="2"/>
  <c r="D270" i="2"/>
  <c r="E270" i="2"/>
  <c r="G270" i="2"/>
  <c r="D271" i="2"/>
  <c r="E271" i="2"/>
  <c r="G271" i="2"/>
  <c r="D272" i="2"/>
  <c r="H272" i="2" s="1"/>
  <c r="E272" i="2"/>
  <c r="G272" i="2"/>
  <c r="D273" i="2"/>
  <c r="E273" i="2"/>
  <c r="F273" i="2"/>
  <c r="G273" i="2"/>
  <c r="H273" i="2"/>
  <c r="D274" i="2"/>
  <c r="F274" i="2" s="1"/>
  <c r="E274" i="2"/>
  <c r="G274" i="2"/>
  <c r="H274" i="2"/>
  <c r="D275" i="2"/>
  <c r="H276" i="2" s="1"/>
  <c r="E275" i="2"/>
  <c r="F275" i="2"/>
  <c r="G275" i="2"/>
  <c r="H275" i="2"/>
  <c r="D276" i="2"/>
  <c r="E276" i="2"/>
  <c r="G276" i="2"/>
  <c r="D277" i="2"/>
  <c r="H277" i="2" s="1"/>
  <c r="E277" i="2"/>
  <c r="F277" i="2"/>
  <c r="G277" i="2"/>
  <c r="D278" i="2"/>
  <c r="E278" i="2"/>
  <c r="G278" i="2"/>
  <c r="D279" i="2"/>
  <c r="E279" i="2"/>
  <c r="G279" i="2"/>
  <c r="D280" i="2"/>
  <c r="H280" i="2" s="1"/>
  <c r="E280" i="2"/>
  <c r="G280" i="2"/>
  <c r="D281" i="2"/>
  <c r="E281" i="2"/>
  <c r="F281" i="2"/>
  <c r="G281" i="2"/>
  <c r="H281" i="2"/>
  <c r="D282" i="2"/>
  <c r="F282" i="2" s="1"/>
  <c r="E282" i="2"/>
  <c r="G282" i="2"/>
  <c r="H282" i="2"/>
  <c r="D283" i="2"/>
  <c r="H284" i="2" s="1"/>
  <c r="E283" i="2"/>
  <c r="F283" i="2"/>
  <c r="G283" i="2"/>
  <c r="H283" i="2"/>
  <c r="D284" i="2"/>
  <c r="E284" i="2"/>
  <c r="G284" i="2"/>
  <c r="D285" i="2"/>
  <c r="H285" i="2" s="1"/>
  <c r="E285" i="2"/>
  <c r="G285" i="2"/>
  <c r="D286" i="2"/>
  <c r="E286" i="2"/>
  <c r="G286" i="2"/>
  <c r="D287" i="2"/>
  <c r="E287" i="2"/>
  <c r="G287" i="2"/>
  <c r="D288" i="2"/>
  <c r="H288" i="2" s="1"/>
  <c r="E288" i="2"/>
  <c r="G288" i="2"/>
  <c r="D289" i="2"/>
  <c r="E289" i="2"/>
  <c r="F289" i="2"/>
  <c r="G289" i="2"/>
  <c r="H289" i="2"/>
  <c r="D290" i="2"/>
  <c r="F290" i="2" s="1"/>
  <c r="E290" i="2"/>
  <c r="G290" i="2"/>
  <c r="H290" i="2"/>
  <c r="D291" i="2"/>
  <c r="H292" i="2" s="1"/>
  <c r="E291" i="2"/>
  <c r="F291" i="2"/>
  <c r="G291" i="2"/>
  <c r="H291" i="2"/>
  <c r="D292" i="2"/>
  <c r="E292" i="2"/>
  <c r="G292" i="2"/>
  <c r="D293" i="2"/>
  <c r="H293" i="2" s="1"/>
  <c r="E293" i="2"/>
  <c r="G293" i="2"/>
  <c r="D294" i="2"/>
  <c r="E294" i="2"/>
  <c r="G294" i="2"/>
  <c r="D295" i="2"/>
  <c r="E295" i="2"/>
  <c r="G295" i="2"/>
  <c r="D296" i="2"/>
  <c r="H296" i="2" s="1"/>
  <c r="E296" i="2"/>
  <c r="G296" i="2"/>
  <c r="D297" i="2"/>
  <c r="E297" i="2"/>
  <c r="F297" i="2"/>
  <c r="G297" i="2"/>
  <c r="H297" i="2"/>
  <c r="D298" i="2"/>
  <c r="F298" i="2" s="1"/>
  <c r="E298" i="2"/>
  <c r="G298" i="2"/>
  <c r="H298" i="2"/>
  <c r="D299" i="2"/>
  <c r="E299" i="2"/>
  <c r="G299" i="2"/>
  <c r="D300" i="2"/>
  <c r="E300" i="2"/>
  <c r="G300" i="2"/>
  <c r="D301" i="2"/>
  <c r="E301" i="2"/>
  <c r="G301" i="2"/>
  <c r="D302" i="2"/>
  <c r="E302" i="2"/>
  <c r="G302" i="2"/>
  <c r="D303" i="2"/>
  <c r="E303" i="2"/>
  <c r="G303" i="2"/>
  <c r="D304" i="2"/>
  <c r="E304" i="2"/>
  <c r="G304" i="2"/>
  <c r="D305" i="2"/>
  <c r="E305" i="2"/>
  <c r="F305" i="2"/>
  <c r="G305" i="2"/>
  <c r="H305" i="2"/>
  <c r="D306" i="2"/>
  <c r="F306" i="2" s="1"/>
  <c r="E306" i="2"/>
  <c r="G306" i="2"/>
  <c r="H306" i="2"/>
  <c r="D307" i="2"/>
  <c r="E307" i="2"/>
  <c r="G307" i="2"/>
  <c r="D308" i="2"/>
  <c r="E308" i="2"/>
  <c r="G308" i="2"/>
  <c r="D309" i="2"/>
  <c r="E309" i="2"/>
  <c r="G309" i="2"/>
  <c r="D310" i="2"/>
  <c r="E310" i="2"/>
  <c r="G310" i="2"/>
  <c r="D311" i="2"/>
  <c r="E311" i="2"/>
  <c r="G311" i="2"/>
  <c r="D312" i="2"/>
  <c r="E312" i="2"/>
  <c r="G312" i="2"/>
  <c r="D313" i="2"/>
  <c r="E313" i="2"/>
  <c r="F313" i="2"/>
  <c r="G313" i="2"/>
  <c r="H313" i="2"/>
  <c r="D314" i="2"/>
  <c r="F314" i="2" s="1"/>
  <c r="E314" i="2"/>
  <c r="G314" i="2"/>
  <c r="H314" i="2"/>
  <c r="D315" i="2"/>
  <c r="E315" i="2"/>
  <c r="F315" i="2"/>
  <c r="G315" i="2"/>
  <c r="D316" i="2"/>
  <c r="E316" i="2"/>
  <c r="G316" i="2"/>
  <c r="D317" i="2"/>
  <c r="H317" i="2" s="1"/>
  <c r="E317" i="2"/>
  <c r="F317" i="2"/>
  <c r="G317" i="2"/>
  <c r="D318" i="2"/>
  <c r="E318" i="2"/>
  <c r="G318" i="2"/>
  <c r="D319" i="2"/>
  <c r="E319" i="2"/>
  <c r="G319" i="2"/>
  <c r="H319" i="2"/>
  <c r="D320" i="2"/>
  <c r="E320" i="2"/>
  <c r="G320" i="2"/>
  <c r="D321" i="2"/>
  <c r="E321" i="2"/>
  <c r="F321" i="2"/>
  <c r="G321" i="2"/>
  <c r="H321" i="2"/>
  <c r="D322" i="2"/>
  <c r="F322" i="2" s="1"/>
  <c r="E322" i="2"/>
  <c r="G322" i="2"/>
  <c r="H322" i="2"/>
  <c r="D323" i="2"/>
  <c r="E323" i="2"/>
  <c r="F323" i="2"/>
  <c r="G323" i="2"/>
  <c r="D324" i="2"/>
  <c r="E324" i="2"/>
  <c r="G324" i="2"/>
  <c r="D325" i="2"/>
  <c r="H325" i="2" s="1"/>
  <c r="E325" i="2"/>
  <c r="F325" i="2"/>
  <c r="G325" i="2"/>
  <c r="D326" i="2"/>
  <c r="E326" i="2"/>
  <c r="G326" i="2"/>
  <c r="D327" i="2"/>
  <c r="E327" i="2"/>
  <c r="G327" i="2"/>
  <c r="H327" i="2"/>
  <c r="D328" i="2"/>
  <c r="H328" i="2" s="1"/>
  <c r="E328" i="2"/>
  <c r="G328" i="2"/>
  <c r="D329" i="2"/>
  <c r="E329" i="2"/>
  <c r="F329" i="2"/>
  <c r="G329" i="2"/>
  <c r="H329" i="2"/>
  <c r="D330" i="2"/>
  <c r="F330" i="2" s="1"/>
  <c r="E330" i="2"/>
  <c r="G330" i="2"/>
  <c r="H330" i="2"/>
  <c r="D331" i="2"/>
  <c r="E331" i="2"/>
  <c r="F331" i="2"/>
  <c r="G331" i="2"/>
  <c r="H331" i="2"/>
  <c r="D332" i="2"/>
  <c r="E332" i="2"/>
  <c r="G332" i="2"/>
  <c r="D333" i="2"/>
  <c r="H333" i="2" s="1"/>
  <c r="E333" i="2"/>
  <c r="G333" i="2"/>
  <c r="D334" i="2"/>
  <c r="E334" i="2"/>
  <c r="G334" i="2"/>
  <c r="D335" i="2"/>
  <c r="E335" i="2"/>
  <c r="G335" i="2"/>
  <c r="D336" i="2"/>
  <c r="H336" i="2" s="1"/>
  <c r="E336" i="2"/>
  <c r="G336" i="2"/>
  <c r="D337" i="2"/>
  <c r="E337" i="2"/>
  <c r="F337" i="2"/>
  <c r="G337" i="2"/>
  <c r="H337" i="2"/>
  <c r="D338" i="2"/>
  <c r="E338" i="2"/>
  <c r="G338" i="2"/>
  <c r="D339" i="2"/>
  <c r="H340" i="2" s="1"/>
  <c r="E339" i="2"/>
  <c r="G339" i="2"/>
  <c r="D340" i="2"/>
  <c r="E340" i="2"/>
  <c r="G340" i="2"/>
  <c r="D341" i="2"/>
  <c r="E341" i="2"/>
  <c r="G341" i="2"/>
  <c r="D342" i="2"/>
  <c r="E342" i="2"/>
  <c r="G342" i="2"/>
  <c r="D343" i="2"/>
  <c r="E343" i="2"/>
  <c r="G343" i="2"/>
  <c r="H343" i="2"/>
  <c r="D344" i="2"/>
  <c r="E344" i="2"/>
  <c r="F344" i="2"/>
  <c r="G344" i="2"/>
  <c r="D345" i="2"/>
  <c r="H345" i="2" s="1"/>
  <c r="E345" i="2"/>
  <c r="F345" i="2"/>
  <c r="G345" i="2"/>
  <c r="D346" i="2"/>
  <c r="E346" i="2"/>
  <c r="G346" i="2"/>
  <c r="H346" i="2"/>
  <c r="D347" i="2"/>
  <c r="E347" i="2"/>
  <c r="F347" i="2"/>
  <c r="G347" i="2"/>
  <c r="H347" i="2"/>
  <c r="D348" i="2"/>
  <c r="E348" i="2"/>
  <c r="F348" i="2"/>
  <c r="G348" i="2"/>
  <c r="H348" i="2"/>
  <c r="D349" i="2"/>
  <c r="F349" i="2" s="1"/>
  <c r="E349" i="2"/>
  <c r="G349" i="2"/>
  <c r="H349" i="2"/>
  <c r="D350" i="2"/>
  <c r="H350" i="2" s="1"/>
  <c r="E350" i="2"/>
  <c r="F350" i="2"/>
  <c r="G350" i="2"/>
  <c r="D351" i="2"/>
  <c r="E351" i="2"/>
  <c r="F351" i="2"/>
  <c r="G351" i="2"/>
  <c r="D352" i="2"/>
  <c r="H352" i="2" s="1"/>
  <c r="E352" i="2"/>
  <c r="F352" i="2"/>
  <c r="G352" i="2"/>
  <c r="D353" i="2"/>
  <c r="E353" i="2"/>
  <c r="G353" i="2"/>
  <c r="H353" i="2"/>
  <c r="D354" i="2"/>
  <c r="F354" i="2" s="1"/>
  <c r="E354" i="2"/>
  <c r="G354" i="2"/>
  <c r="H354" i="2"/>
  <c r="D355" i="2"/>
  <c r="E355" i="2"/>
  <c r="G355" i="2"/>
  <c r="H355" i="2"/>
  <c r="D356" i="2"/>
  <c r="E356" i="2"/>
  <c r="F356" i="2"/>
  <c r="G356" i="2"/>
  <c r="H356" i="2"/>
  <c r="D357" i="2"/>
  <c r="H357" i="2" s="1"/>
  <c r="E357" i="2"/>
  <c r="F357" i="2"/>
  <c r="G357" i="2"/>
  <c r="D358" i="2"/>
  <c r="E358" i="2"/>
  <c r="G358" i="2"/>
  <c r="D359" i="2"/>
  <c r="E359" i="2"/>
  <c r="G359" i="2"/>
  <c r="D360" i="2"/>
  <c r="H360" i="2" s="1"/>
  <c r="E360" i="2"/>
  <c r="F360" i="2"/>
  <c r="G360" i="2"/>
  <c r="D361" i="2"/>
  <c r="E361" i="2"/>
  <c r="G361" i="2"/>
  <c r="H361" i="2"/>
  <c r="D362" i="2"/>
  <c r="E362" i="2"/>
  <c r="F362" i="2"/>
  <c r="G362" i="2"/>
  <c r="H362" i="2"/>
  <c r="D363" i="2"/>
  <c r="E363" i="2"/>
  <c r="F363" i="2"/>
  <c r="G363" i="2"/>
  <c r="H363" i="2"/>
  <c r="D364" i="2"/>
  <c r="F364" i="2" s="1"/>
  <c r="E364" i="2"/>
  <c r="G364" i="2"/>
  <c r="H364" i="2"/>
  <c r="D365" i="2"/>
  <c r="H365" i="2" s="1"/>
  <c r="E365" i="2"/>
  <c r="F365" i="2"/>
  <c r="G365" i="2"/>
  <c r="D366" i="2"/>
  <c r="E366" i="2"/>
  <c r="G366" i="2"/>
  <c r="D367" i="2"/>
  <c r="H367" i="2" s="1"/>
  <c r="E367" i="2"/>
  <c r="F367" i="2"/>
  <c r="G367" i="2"/>
  <c r="D368" i="2"/>
  <c r="E368" i="2"/>
  <c r="G368" i="2"/>
  <c r="H368" i="2"/>
  <c r="D369" i="2"/>
  <c r="E369" i="2"/>
  <c r="G369" i="2"/>
  <c r="D370" i="2"/>
  <c r="E370" i="2"/>
  <c r="G370" i="2"/>
  <c r="D371" i="2"/>
  <c r="E371" i="2"/>
  <c r="G371" i="2"/>
  <c r="D372" i="2"/>
  <c r="E372" i="2"/>
  <c r="F372" i="2"/>
  <c r="G372" i="2"/>
  <c r="H372" i="2"/>
  <c r="D373" i="2"/>
  <c r="E373" i="2"/>
  <c r="F373" i="2"/>
  <c r="G373" i="2"/>
  <c r="H373" i="2"/>
  <c r="D374" i="2"/>
  <c r="F374" i="2" s="1"/>
  <c r="E374" i="2"/>
  <c r="G374" i="2"/>
  <c r="H374" i="2"/>
  <c r="D375" i="2"/>
  <c r="E375" i="2"/>
  <c r="G375" i="2"/>
  <c r="D376" i="2"/>
  <c r="E376" i="2"/>
  <c r="G376" i="2"/>
  <c r="D377" i="2"/>
  <c r="E377" i="2"/>
  <c r="G377" i="2"/>
  <c r="D378" i="2"/>
  <c r="H379" i="2" s="1"/>
  <c r="E378" i="2"/>
  <c r="F378" i="2"/>
  <c r="G378" i="2"/>
  <c r="D379" i="2"/>
  <c r="E379" i="2"/>
  <c r="F379" i="2"/>
  <c r="G379" i="2"/>
  <c r="D380" i="2"/>
  <c r="F380" i="2" s="1"/>
  <c r="E380" i="2"/>
  <c r="G380" i="2"/>
  <c r="H380" i="2"/>
  <c r="D381" i="2"/>
  <c r="E381" i="2"/>
  <c r="G381" i="2"/>
  <c r="D382" i="2"/>
  <c r="E382" i="2"/>
  <c r="G382" i="2"/>
  <c r="H382" i="2"/>
  <c r="D383" i="2"/>
  <c r="E383" i="2"/>
  <c r="F383" i="2"/>
  <c r="G383" i="2"/>
  <c r="D384" i="2"/>
  <c r="H384" i="2" s="1"/>
  <c r="E384" i="2"/>
  <c r="F384" i="2"/>
  <c r="G384" i="2"/>
  <c r="D385" i="2"/>
  <c r="E385" i="2"/>
  <c r="G385" i="2"/>
  <c r="H385" i="2"/>
  <c r="D386" i="2"/>
  <c r="H386" i="2" s="1"/>
  <c r="E386" i="2"/>
  <c r="F386" i="2"/>
  <c r="G386" i="2"/>
  <c r="D387" i="2"/>
  <c r="E387" i="2"/>
  <c r="G387" i="2"/>
  <c r="H387" i="2"/>
  <c r="D388" i="2"/>
  <c r="E388" i="2"/>
  <c r="G388" i="2"/>
  <c r="D389" i="2"/>
  <c r="E389" i="2"/>
  <c r="G389" i="2"/>
  <c r="D390" i="2"/>
  <c r="E390" i="2"/>
  <c r="G390" i="2"/>
  <c r="D391" i="2"/>
  <c r="E391" i="2"/>
  <c r="G391" i="2"/>
  <c r="D392" i="2"/>
  <c r="H392" i="2" s="1"/>
  <c r="E392" i="2"/>
  <c r="F392" i="2"/>
  <c r="G392" i="2"/>
  <c r="D393" i="2"/>
  <c r="E393" i="2"/>
  <c r="G393" i="2"/>
  <c r="H393" i="2"/>
  <c r="D394" i="2"/>
  <c r="E394" i="2"/>
  <c r="G394" i="2"/>
  <c r="H394" i="2"/>
  <c r="D395" i="2"/>
  <c r="E395" i="2"/>
  <c r="F395" i="2"/>
  <c r="G395" i="2"/>
  <c r="H395" i="2"/>
  <c r="D396" i="2"/>
  <c r="E396" i="2"/>
  <c r="F396" i="2"/>
  <c r="G396" i="2"/>
  <c r="H396" i="2"/>
  <c r="D397" i="2"/>
  <c r="H397" i="2" s="1"/>
  <c r="E397" i="2"/>
  <c r="F397" i="2"/>
  <c r="G397" i="2"/>
  <c r="D398" i="2"/>
  <c r="E398" i="2"/>
  <c r="G398" i="2"/>
  <c r="D399" i="2"/>
  <c r="E399" i="2"/>
  <c r="G399" i="2"/>
  <c r="D400" i="2"/>
  <c r="E400" i="2"/>
  <c r="G400" i="2"/>
  <c r="H400" i="2"/>
  <c r="D401" i="2"/>
  <c r="E401" i="2"/>
  <c r="G401" i="2"/>
  <c r="D402" i="2"/>
  <c r="E402" i="2"/>
  <c r="G402" i="2"/>
  <c r="D403" i="2"/>
  <c r="E403" i="2"/>
  <c r="G403" i="2"/>
  <c r="H403" i="2"/>
  <c r="D404" i="2"/>
  <c r="E404" i="2"/>
  <c r="F404" i="2"/>
  <c r="G404" i="2"/>
  <c r="H404" i="2"/>
  <c r="D405" i="2"/>
  <c r="E405" i="2"/>
  <c r="F405" i="2"/>
  <c r="G405" i="2"/>
  <c r="H405" i="2"/>
  <c r="D406" i="2"/>
  <c r="H406" i="2" s="1"/>
  <c r="E406" i="2"/>
  <c r="F406" i="2"/>
  <c r="G406" i="2"/>
  <c r="D407" i="2"/>
  <c r="E407" i="2"/>
  <c r="G407" i="2"/>
  <c r="D408" i="2"/>
  <c r="F408" i="2" s="1"/>
  <c r="E408" i="2"/>
  <c r="G408" i="2"/>
  <c r="D409" i="2"/>
  <c r="E409" i="2"/>
  <c r="G409" i="2"/>
  <c r="D410" i="2"/>
  <c r="E410" i="2"/>
  <c r="F410" i="2"/>
  <c r="G410" i="2"/>
  <c r="D411" i="2"/>
  <c r="E411" i="2"/>
  <c r="G411" i="2"/>
  <c r="D412" i="2"/>
  <c r="E412" i="2"/>
  <c r="G412" i="2"/>
  <c r="D413" i="2"/>
  <c r="E413" i="2"/>
  <c r="G413" i="2"/>
  <c r="D414" i="2"/>
  <c r="E414" i="2"/>
  <c r="F414" i="2"/>
  <c r="G414" i="2"/>
  <c r="H414" i="2"/>
  <c r="D415" i="2"/>
  <c r="E415" i="2"/>
  <c r="F415" i="2"/>
  <c r="G415" i="2"/>
  <c r="D416" i="2"/>
  <c r="E416" i="2"/>
  <c r="G416" i="2"/>
  <c r="D417" i="2"/>
  <c r="E417" i="2"/>
  <c r="G417" i="2"/>
  <c r="D418" i="2"/>
  <c r="E418" i="2"/>
  <c r="G418" i="2"/>
  <c r="D419" i="2"/>
  <c r="E419" i="2"/>
  <c r="F419" i="2"/>
  <c r="G419" i="2"/>
  <c r="D420" i="2"/>
  <c r="H420" i="2" s="1"/>
  <c r="E420" i="2"/>
  <c r="F420" i="2"/>
  <c r="G420" i="2"/>
  <c r="D421" i="2"/>
  <c r="H421" i="2" s="1"/>
  <c r="E421" i="2"/>
  <c r="F421" i="2"/>
  <c r="G421" i="2"/>
  <c r="D422" i="2"/>
  <c r="E422" i="2"/>
  <c r="G422" i="2"/>
  <c r="D423" i="2"/>
  <c r="E423" i="2"/>
  <c r="G423" i="2"/>
  <c r="D424" i="2"/>
  <c r="E424" i="2"/>
  <c r="G424" i="2"/>
  <c r="D425" i="2"/>
  <c r="E425" i="2"/>
  <c r="G425" i="2"/>
  <c r="D426" i="2"/>
  <c r="E426" i="2"/>
  <c r="G426" i="2"/>
  <c r="H426" i="2"/>
  <c r="D427" i="2"/>
  <c r="E427" i="2"/>
  <c r="F427" i="2"/>
  <c r="G427" i="2"/>
  <c r="H427" i="2"/>
  <c r="D428" i="2"/>
  <c r="E428" i="2"/>
  <c r="F428" i="2"/>
  <c r="G428" i="2"/>
  <c r="H428" i="2"/>
  <c r="D429" i="2"/>
  <c r="E429" i="2"/>
  <c r="G429" i="2"/>
  <c r="D430" i="2"/>
  <c r="E430" i="2"/>
  <c r="F430" i="2"/>
  <c r="G430" i="2"/>
  <c r="D431" i="2"/>
  <c r="E431" i="2"/>
  <c r="G431" i="2"/>
  <c r="D432" i="2"/>
  <c r="E432" i="2"/>
  <c r="F432" i="2"/>
  <c r="G432" i="2"/>
  <c r="H432" i="2"/>
  <c r="D433" i="2"/>
  <c r="E433" i="2"/>
  <c r="G433" i="2"/>
  <c r="D434" i="2"/>
  <c r="E434" i="2"/>
  <c r="G434" i="2"/>
  <c r="H434" i="2"/>
  <c r="D435" i="2"/>
  <c r="E435" i="2"/>
  <c r="G435" i="2"/>
  <c r="D436" i="2"/>
  <c r="E436" i="2"/>
  <c r="F436" i="2"/>
  <c r="G436" i="2"/>
  <c r="H436" i="2"/>
  <c r="D437" i="2"/>
  <c r="E437" i="2"/>
  <c r="F437" i="2"/>
  <c r="G437" i="2"/>
  <c r="H437" i="2"/>
  <c r="D438" i="2"/>
  <c r="E438" i="2"/>
  <c r="G438" i="2"/>
  <c r="D439" i="2"/>
  <c r="E439" i="2"/>
  <c r="G439" i="2"/>
  <c r="D440" i="2"/>
  <c r="E440" i="2"/>
  <c r="G440" i="2"/>
  <c r="D441" i="2"/>
  <c r="E441" i="2"/>
  <c r="G441" i="2"/>
  <c r="D442" i="2"/>
  <c r="E442" i="2"/>
  <c r="G442" i="2"/>
  <c r="D443" i="2"/>
  <c r="E443" i="2"/>
  <c r="G443" i="2"/>
  <c r="D444" i="2"/>
  <c r="E444" i="2"/>
  <c r="G444" i="2"/>
  <c r="D445" i="2"/>
  <c r="E445" i="2"/>
  <c r="G445" i="2"/>
  <c r="H445" i="2"/>
  <c r="D446" i="2"/>
  <c r="E446" i="2"/>
  <c r="G446" i="2"/>
  <c r="H446" i="2"/>
  <c r="D447" i="2"/>
  <c r="E447" i="2"/>
  <c r="F447" i="2"/>
  <c r="G447" i="2"/>
  <c r="D448" i="2"/>
  <c r="H448" i="2" s="1"/>
  <c r="E448" i="2"/>
  <c r="F448" i="2"/>
  <c r="G448" i="2"/>
  <c r="D449" i="2"/>
  <c r="F449" i="2" s="1"/>
  <c r="E449" i="2"/>
  <c r="G449" i="2"/>
  <c r="H449" i="2"/>
  <c r="D450" i="2"/>
  <c r="E450" i="2"/>
  <c r="G450" i="2"/>
  <c r="H450" i="2"/>
  <c r="D451" i="2"/>
  <c r="E451" i="2"/>
  <c r="F451" i="2"/>
  <c r="G451" i="2"/>
  <c r="H451" i="2"/>
  <c r="D452" i="2"/>
  <c r="H452" i="2" s="1"/>
  <c r="E452" i="2"/>
  <c r="F452" i="2"/>
  <c r="G452" i="2"/>
  <c r="D453" i="2"/>
  <c r="E453" i="2"/>
  <c r="G453" i="2"/>
  <c r="D454" i="2"/>
  <c r="E454" i="2"/>
  <c r="G454" i="2"/>
  <c r="H454" i="2"/>
  <c r="D455" i="2"/>
  <c r="E455" i="2"/>
  <c r="G455" i="2"/>
  <c r="D456" i="2"/>
  <c r="E456" i="2"/>
  <c r="G456" i="2"/>
  <c r="D457" i="2"/>
  <c r="E457" i="2"/>
  <c r="G457" i="2"/>
  <c r="D458" i="2"/>
  <c r="E458" i="2"/>
  <c r="G458" i="2"/>
  <c r="D459" i="2"/>
  <c r="E459" i="2"/>
  <c r="F459" i="2"/>
  <c r="G459" i="2"/>
  <c r="H459" i="2"/>
  <c r="D460" i="2"/>
  <c r="H460" i="2" s="1"/>
  <c r="E460" i="2"/>
  <c r="F460" i="2"/>
  <c r="G460" i="2"/>
  <c r="D461" i="2"/>
  <c r="E461" i="2"/>
  <c r="G461" i="2"/>
  <c r="H461" i="2"/>
  <c r="D462" i="2"/>
  <c r="E462" i="2"/>
  <c r="G462" i="2"/>
  <c r="D463" i="2"/>
  <c r="E463" i="2"/>
  <c r="G463" i="2"/>
  <c r="D464" i="2"/>
  <c r="E464" i="2"/>
  <c r="G464" i="2"/>
  <c r="H464" i="2"/>
  <c r="D465" i="2"/>
  <c r="E465" i="2"/>
  <c r="G465" i="2"/>
  <c r="D466" i="2"/>
  <c r="E466" i="2"/>
  <c r="G466" i="2"/>
  <c r="D467" i="2"/>
  <c r="E467" i="2"/>
  <c r="G467" i="2"/>
  <c r="D468" i="2"/>
  <c r="E468" i="2"/>
  <c r="F468" i="2"/>
  <c r="G468" i="2"/>
  <c r="H468" i="2"/>
  <c r="D469" i="2"/>
  <c r="E469" i="2"/>
  <c r="F469" i="2"/>
  <c r="G469" i="2"/>
  <c r="H469" i="2"/>
  <c r="D470" i="2"/>
  <c r="E470" i="2"/>
  <c r="F470" i="2"/>
  <c r="G470" i="2"/>
  <c r="H470" i="2"/>
  <c r="D471" i="2"/>
  <c r="E471" i="2"/>
  <c r="F471" i="2"/>
  <c r="G471" i="2"/>
  <c r="D472" i="2"/>
  <c r="E472" i="2"/>
  <c r="G472" i="2"/>
  <c r="D473" i="2"/>
  <c r="E473" i="2"/>
  <c r="G473" i="2"/>
  <c r="D474" i="2"/>
  <c r="E474" i="2"/>
  <c r="F474" i="2"/>
  <c r="G474" i="2"/>
  <c r="D475" i="2"/>
  <c r="E475" i="2"/>
  <c r="F475" i="2"/>
  <c r="G475" i="2"/>
  <c r="D476" i="2"/>
  <c r="F476" i="2" s="1"/>
  <c r="E476" i="2"/>
  <c r="G476" i="2"/>
  <c r="H476" i="2"/>
  <c r="D477" i="2"/>
  <c r="E477" i="2"/>
  <c r="G477" i="2"/>
  <c r="D478" i="2"/>
  <c r="E478" i="2"/>
  <c r="G478" i="2"/>
  <c r="H478" i="2"/>
  <c r="D479" i="2"/>
  <c r="E479" i="2"/>
  <c r="F479" i="2"/>
  <c r="G479" i="2"/>
  <c r="D480" i="2"/>
  <c r="H480" i="2" s="1"/>
  <c r="E480" i="2"/>
  <c r="F480" i="2"/>
  <c r="G480" i="2"/>
  <c r="D481" i="2"/>
  <c r="E481" i="2"/>
  <c r="G481" i="2"/>
  <c r="D482" i="2"/>
  <c r="E482" i="2"/>
  <c r="G482" i="2"/>
  <c r="D483" i="2"/>
  <c r="E483" i="2"/>
  <c r="F483" i="2"/>
  <c r="G483" i="2"/>
  <c r="H483" i="2"/>
  <c r="D484" i="2"/>
  <c r="H484" i="2" s="1"/>
  <c r="E484" i="2"/>
  <c r="F484" i="2"/>
  <c r="G484" i="2"/>
  <c r="D485" i="2"/>
  <c r="E485" i="2"/>
  <c r="G485" i="2"/>
  <c r="D486" i="2"/>
  <c r="F486" i="2" s="1"/>
  <c r="E486" i="2"/>
  <c r="G486" i="2"/>
  <c r="H486" i="2"/>
  <c r="D487" i="2"/>
  <c r="E487" i="2"/>
  <c r="G487" i="2"/>
  <c r="D488" i="2"/>
  <c r="E488" i="2"/>
  <c r="F488" i="2"/>
  <c r="G488" i="2"/>
  <c r="H488" i="2"/>
  <c r="D489" i="2"/>
  <c r="E489" i="2"/>
  <c r="G489" i="2"/>
  <c r="H489" i="2"/>
  <c r="D490" i="2"/>
  <c r="E490" i="2"/>
  <c r="F490" i="2"/>
  <c r="G490" i="2"/>
  <c r="H490" i="2"/>
  <c r="D491" i="2"/>
  <c r="E491" i="2"/>
  <c r="F491" i="2"/>
  <c r="G491" i="2"/>
  <c r="H491" i="2"/>
  <c r="D492" i="2"/>
  <c r="E492" i="2"/>
  <c r="G492" i="2"/>
  <c r="D493" i="2"/>
  <c r="F494" i="2" s="1"/>
  <c r="E493" i="2"/>
  <c r="G493" i="2"/>
  <c r="D494" i="2"/>
  <c r="E494" i="2"/>
  <c r="G494" i="2"/>
  <c r="H494" i="2"/>
  <c r="D495" i="2"/>
  <c r="E495" i="2"/>
  <c r="F495" i="2"/>
  <c r="G495" i="2"/>
  <c r="D496" i="2"/>
  <c r="E496" i="2"/>
  <c r="G496" i="2"/>
  <c r="H496" i="2"/>
  <c r="D497" i="2"/>
  <c r="E497" i="2"/>
  <c r="G497" i="2"/>
  <c r="D498" i="2"/>
  <c r="F499" i="2" s="1"/>
  <c r="E498" i="2"/>
  <c r="G498" i="2"/>
  <c r="H498" i="2"/>
  <c r="D499" i="2"/>
  <c r="E499" i="2"/>
  <c r="G499" i="2"/>
  <c r="H499" i="2"/>
  <c r="D500" i="2"/>
  <c r="E500" i="2"/>
  <c r="F500" i="2"/>
  <c r="G500" i="2"/>
  <c r="H500" i="2"/>
  <c r="D501" i="2"/>
  <c r="E501" i="2"/>
  <c r="F501" i="2"/>
  <c r="G501" i="2"/>
  <c r="H501" i="2"/>
  <c r="D502" i="2"/>
  <c r="H502" i="2" s="1"/>
  <c r="E502" i="2"/>
  <c r="F502" i="2"/>
  <c r="G502" i="2"/>
  <c r="D503" i="2"/>
  <c r="E503" i="2"/>
  <c r="G503" i="2"/>
  <c r="D504" i="2"/>
  <c r="E504" i="2"/>
  <c r="G504" i="2"/>
  <c r="D505" i="2"/>
  <c r="E505" i="2"/>
  <c r="G505" i="2"/>
  <c r="D506" i="2"/>
  <c r="E506" i="2"/>
  <c r="F506" i="2"/>
  <c r="G506" i="2"/>
  <c r="D507" i="2"/>
  <c r="E507" i="2"/>
  <c r="G507" i="2"/>
  <c r="D508" i="2"/>
  <c r="E508" i="2"/>
  <c r="G508" i="2"/>
  <c r="D509" i="2"/>
  <c r="E509" i="2"/>
  <c r="G509" i="2"/>
  <c r="H509" i="2"/>
  <c r="D510" i="2"/>
  <c r="E510" i="2"/>
  <c r="G510" i="2"/>
  <c r="D511" i="2"/>
  <c r="E511" i="2"/>
  <c r="G511" i="2"/>
  <c r="D512" i="2"/>
  <c r="H512" i="2" s="1"/>
  <c r="E512" i="2"/>
  <c r="F512" i="2"/>
  <c r="G512" i="2"/>
  <c r="D513" i="2"/>
  <c r="F513" i="2" s="1"/>
  <c r="E513" i="2"/>
  <c r="G513" i="2"/>
  <c r="H513" i="2"/>
  <c r="D514" i="2"/>
  <c r="E514" i="2"/>
  <c r="G514" i="2"/>
  <c r="H514" i="2"/>
  <c r="D515" i="2"/>
  <c r="E515" i="2"/>
  <c r="F515" i="2"/>
  <c r="G515" i="2"/>
  <c r="H515" i="2"/>
  <c r="D516" i="2"/>
  <c r="E516" i="2"/>
  <c r="F516" i="2"/>
  <c r="G516" i="2"/>
  <c r="H516" i="2"/>
  <c r="D517" i="2"/>
  <c r="E517" i="2"/>
  <c r="G517" i="2"/>
  <c r="D518" i="2"/>
  <c r="E518" i="2"/>
  <c r="F518" i="2"/>
  <c r="G518" i="2"/>
  <c r="H518" i="2"/>
  <c r="D519" i="2"/>
  <c r="E519" i="2"/>
  <c r="G519" i="2"/>
  <c r="D520" i="2"/>
  <c r="E520" i="2"/>
  <c r="F520" i="2"/>
  <c r="G520" i="2"/>
  <c r="H520" i="2"/>
  <c r="D521" i="2"/>
  <c r="E521" i="2"/>
  <c r="G521" i="2"/>
  <c r="H521" i="2"/>
  <c r="D522" i="2"/>
  <c r="H522" i="2" s="1"/>
  <c r="E522" i="2"/>
  <c r="F522" i="2"/>
  <c r="G522" i="2"/>
  <c r="D523" i="2"/>
  <c r="E523" i="2"/>
  <c r="G523" i="2"/>
  <c r="H523" i="2"/>
  <c r="D524" i="2"/>
  <c r="E524" i="2"/>
  <c r="G524" i="2"/>
  <c r="D525" i="2"/>
  <c r="F526" i="2" s="1"/>
  <c r="E525" i="2"/>
  <c r="F525" i="2"/>
  <c r="G525" i="2"/>
  <c r="H525" i="2"/>
  <c r="D526" i="2"/>
  <c r="E526" i="2"/>
  <c r="G526" i="2"/>
  <c r="H526" i="2"/>
  <c r="D527" i="2"/>
  <c r="E527" i="2"/>
  <c r="F527" i="2"/>
  <c r="G527" i="2"/>
  <c r="D528" i="2"/>
  <c r="E528" i="2"/>
  <c r="G528" i="2"/>
  <c r="H528" i="2"/>
  <c r="D529" i="2"/>
  <c r="E529" i="2"/>
  <c r="G529" i="2"/>
  <c r="D530" i="2"/>
  <c r="F531" i="2" s="1"/>
  <c r="E530" i="2"/>
  <c r="G530" i="2"/>
  <c r="H530" i="2"/>
  <c r="D531" i="2"/>
  <c r="E531" i="2"/>
  <c r="G531" i="2"/>
  <c r="H531" i="2"/>
  <c r="D532" i="2"/>
  <c r="E532" i="2"/>
  <c r="F532" i="2"/>
  <c r="G532" i="2"/>
  <c r="H532" i="2"/>
  <c r="D533" i="2"/>
  <c r="E533" i="2"/>
  <c r="F533" i="2"/>
  <c r="G533" i="2"/>
  <c r="H533" i="2"/>
  <c r="D534" i="2"/>
  <c r="H534" i="2" s="1"/>
  <c r="E534" i="2"/>
  <c r="F534" i="2"/>
  <c r="G534" i="2"/>
  <c r="D535" i="2"/>
  <c r="E535" i="2"/>
  <c r="G535" i="2"/>
  <c r="D536" i="2"/>
  <c r="E536" i="2"/>
  <c r="G536" i="2"/>
  <c r="D537" i="2"/>
  <c r="E537" i="2"/>
  <c r="G537" i="2"/>
  <c r="D538" i="2"/>
  <c r="F538" i="2" s="1"/>
  <c r="E538" i="2"/>
  <c r="G538" i="2"/>
  <c r="D539" i="2"/>
  <c r="E539" i="2"/>
  <c r="G539" i="2"/>
  <c r="D540" i="2"/>
  <c r="E540" i="2"/>
  <c r="G540" i="2"/>
  <c r="D541" i="2"/>
  <c r="E541" i="2"/>
  <c r="G541" i="2"/>
  <c r="H541" i="2"/>
  <c r="D542" i="2"/>
  <c r="E542" i="2"/>
  <c r="G542" i="2"/>
  <c r="D543" i="2"/>
  <c r="E543" i="2"/>
  <c r="F543" i="2"/>
  <c r="G543" i="2"/>
  <c r="D544" i="2"/>
  <c r="H544" i="2" s="1"/>
  <c r="E544" i="2"/>
  <c r="F544" i="2"/>
  <c r="G544" i="2"/>
  <c r="D545" i="2"/>
  <c r="F545" i="2" s="1"/>
  <c r="E545" i="2"/>
  <c r="G545" i="2"/>
  <c r="H545" i="2"/>
  <c r="D546" i="2"/>
  <c r="F546" i="2" s="1"/>
  <c r="E546" i="2"/>
  <c r="G546" i="2"/>
  <c r="H546" i="2"/>
  <c r="D547" i="2"/>
  <c r="E547" i="2"/>
  <c r="F547" i="2"/>
  <c r="G547" i="2"/>
  <c r="H547" i="2"/>
  <c r="D548" i="2"/>
  <c r="E548" i="2"/>
  <c r="F548" i="2"/>
  <c r="G548" i="2"/>
  <c r="H548" i="2"/>
  <c r="D549" i="2"/>
  <c r="E549" i="2"/>
  <c r="G549" i="2"/>
  <c r="D550" i="2"/>
  <c r="E550" i="2"/>
  <c r="G550" i="2"/>
  <c r="D551" i="2"/>
  <c r="E551" i="2"/>
  <c r="G551" i="2"/>
  <c r="D552" i="2"/>
  <c r="E552" i="2"/>
  <c r="F552" i="2"/>
  <c r="G552" i="2"/>
  <c r="H552" i="2"/>
  <c r="D553" i="2"/>
  <c r="E553" i="2"/>
  <c r="G553" i="2"/>
  <c r="H553" i="2"/>
  <c r="D554" i="2"/>
  <c r="H554" i="2" s="1"/>
  <c r="E554" i="2"/>
  <c r="F554" i="2"/>
  <c r="G554" i="2"/>
  <c r="D555" i="2"/>
  <c r="E555" i="2"/>
  <c r="G555" i="2"/>
  <c r="H555" i="2"/>
  <c r="D556" i="2"/>
  <c r="E556" i="2"/>
  <c r="G556" i="2"/>
  <c r="D557" i="2"/>
  <c r="E557" i="2"/>
  <c r="F557" i="2"/>
  <c r="G557" i="2"/>
  <c r="D558" i="2"/>
  <c r="F558" i="2" s="1"/>
  <c r="E558" i="2"/>
  <c r="G558" i="2"/>
  <c r="H558" i="2"/>
  <c r="D559" i="2"/>
  <c r="F559" i="2" s="1"/>
  <c r="E559" i="2"/>
  <c r="G559" i="2"/>
  <c r="D560" i="2"/>
  <c r="E560" i="2"/>
  <c r="G560" i="2"/>
  <c r="D561" i="2"/>
  <c r="E561" i="2"/>
  <c r="G561" i="2"/>
  <c r="D562" i="2"/>
  <c r="F563" i="2" s="1"/>
  <c r="E562" i="2"/>
  <c r="G562" i="2"/>
  <c r="D563" i="2"/>
  <c r="E563" i="2"/>
  <c r="G563" i="2"/>
  <c r="H563" i="2"/>
  <c r="D564" i="2"/>
  <c r="E564" i="2"/>
  <c r="F564" i="2"/>
  <c r="G564" i="2"/>
  <c r="H564" i="2"/>
  <c r="D565" i="2"/>
  <c r="E565" i="2"/>
  <c r="F565" i="2"/>
  <c r="G565" i="2"/>
  <c r="H565" i="2"/>
  <c r="D566" i="2"/>
  <c r="F566" i="2" s="1"/>
  <c r="E566" i="2"/>
  <c r="G566" i="2"/>
  <c r="D567" i="2"/>
  <c r="E567" i="2"/>
  <c r="G567" i="2"/>
  <c r="D568" i="2"/>
  <c r="E568" i="2"/>
  <c r="G568" i="2"/>
  <c r="D569" i="2"/>
  <c r="E569" i="2"/>
  <c r="G569" i="2"/>
  <c r="H569" i="2"/>
  <c r="D570" i="2"/>
  <c r="E570" i="2"/>
  <c r="F570" i="2"/>
  <c r="G570" i="2"/>
  <c r="D571" i="2"/>
  <c r="E571" i="2"/>
  <c r="F571" i="2"/>
  <c r="G571" i="2"/>
  <c r="D572" i="2"/>
  <c r="E572" i="2"/>
  <c r="G572" i="2"/>
  <c r="D573" i="2"/>
  <c r="E573" i="2"/>
  <c r="G573" i="2"/>
  <c r="H573" i="2"/>
  <c r="D574" i="2"/>
  <c r="E574" i="2"/>
  <c r="G574" i="2"/>
  <c r="D575" i="2"/>
  <c r="E575" i="2"/>
  <c r="G575" i="2"/>
  <c r="D576" i="2"/>
  <c r="H576" i="2" s="1"/>
  <c r="E576" i="2"/>
  <c r="G576" i="2"/>
  <c r="D577" i="2"/>
  <c r="F577" i="2" s="1"/>
  <c r="E577" i="2"/>
  <c r="G577" i="2"/>
  <c r="D578" i="2"/>
  <c r="F578" i="2" s="1"/>
  <c r="E578" i="2"/>
  <c r="G578" i="2"/>
  <c r="D579" i="2"/>
  <c r="E579" i="2"/>
  <c r="F579" i="2"/>
  <c r="G579" i="2"/>
  <c r="H579" i="2"/>
  <c r="D580" i="2"/>
  <c r="E580" i="2"/>
  <c r="F580" i="2"/>
  <c r="G580" i="2"/>
  <c r="H580" i="2"/>
  <c r="D581" i="2"/>
  <c r="E581" i="2"/>
  <c r="G581" i="2"/>
  <c r="D582" i="2"/>
  <c r="E582" i="2"/>
  <c r="F582" i="2"/>
  <c r="G582" i="2"/>
  <c r="H582" i="2"/>
  <c r="D583" i="2"/>
  <c r="E583" i="2"/>
  <c r="G583" i="2"/>
  <c r="D584" i="2"/>
  <c r="E584" i="2"/>
  <c r="F584" i="2"/>
  <c r="G584" i="2"/>
  <c r="H584" i="2"/>
  <c r="D585" i="2"/>
  <c r="F585" i="2" s="1"/>
  <c r="E585" i="2"/>
  <c r="G585" i="2"/>
  <c r="H585" i="2"/>
  <c r="D586" i="2"/>
  <c r="E586" i="2"/>
  <c r="G586" i="2"/>
  <c r="D587" i="2"/>
  <c r="E587" i="2"/>
  <c r="G587" i="2"/>
  <c r="D588" i="2"/>
  <c r="E588" i="2"/>
  <c r="G588" i="2"/>
  <c r="D589" i="2"/>
  <c r="E589" i="2"/>
  <c r="G589" i="2"/>
  <c r="D590" i="2"/>
  <c r="E590" i="2"/>
  <c r="F590" i="2"/>
  <c r="G590" i="2"/>
  <c r="H590" i="2"/>
  <c r="D591" i="2"/>
  <c r="E591" i="2"/>
  <c r="F591" i="2"/>
  <c r="G591" i="2"/>
  <c r="D592" i="2"/>
  <c r="E592" i="2"/>
  <c r="G592" i="2"/>
  <c r="H592" i="2"/>
  <c r="D593" i="2"/>
  <c r="E593" i="2"/>
  <c r="G593" i="2"/>
  <c r="D594" i="2"/>
  <c r="E594" i="2"/>
  <c r="F594" i="2"/>
  <c r="G594" i="2"/>
  <c r="D595" i="2"/>
  <c r="E595" i="2"/>
  <c r="G595" i="2"/>
  <c r="D596" i="2"/>
  <c r="F596" i="2" s="1"/>
  <c r="E596" i="2"/>
  <c r="G596" i="2"/>
  <c r="D597" i="2"/>
  <c r="E597" i="2"/>
  <c r="G597" i="2"/>
  <c r="H597" i="2"/>
  <c r="D598" i="2"/>
  <c r="E598" i="2"/>
  <c r="F598" i="2"/>
  <c r="G598" i="2"/>
  <c r="H598" i="2"/>
  <c r="D599" i="2"/>
  <c r="E599" i="2"/>
  <c r="F599" i="2"/>
  <c r="G599" i="2"/>
  <c r="H599" i="2"/>
  <c r="D600" i="2"/>
  <c r="F600" i="2" s="1"/>
  <c r="E600" i="2"/>
  <c r="G600" i="2"/>
  <c r="D601" i="2"/>
  <c r="E601" i="2"/>
  <c r="F601" i="2"/>
  <c r="G601" i="2"/>
  <c r="D602" i="2"/>
  <c r="E602" i="2"/>
  <c r="F602" i="2"/>
  <c r="G602" i="2"/>
  <c r="D603" i="2"/>
  <c r="H603" i="2" s="1"/>
  <c r="E603" i="2"/>
  <c r="F603" i="2"/>
  <c r="G603" i="2"/>
  <c r="D604" i="2"/>
  <c r="E604" i="2"/>
  <c r="G604" i="2"/>
  <c r="D605" i="2"/>
  <c r="E605" i="2"/>
  <c r="G605" i="2"/>
  <c r="D606" i="2"/>
  <c r="E606" i="2"/>
  <c r="F606" i="2"/>
  <c r="G606" i="2"/>
  <c r="D607" i="2"/>
  <c r="F607" i="2" s="1"/>
  <c r="E607" i="2"/>
  <c r="G607" i="2"/>
  <c r="H607" i="2"/>
  <c r="D608" i="2"/>
  <c r="H608" i="2" s="1"/>
  <c r="E608" i="2"/>
  <c r="F608" i="2"/>
  <c r="G608" i="2"/>
  <c r="D609" i="2"/>
  <c r="E609" i="2"/>
  <c r="F609" i="2"/>
  <c r="G609" i="2"/>
  <c r="H609" i="2"/>
  <c r="D610" i="2"/>
  <c r="E610" i="2"/>
  <c r="G610" i="2"/>
  <c r="D611" i="2"/>
  <c r="E611" i="2"/>
  <c r="F611" i="2"/>
  <c r="G611" i="2"/>
  <c r="H611" i="2"/>
  <c r="D612" i="2"/>
  <c r="E612" i="2"/>
  <c r="G612" i="2"/>
  <c r="H612" i="2"/>
  <c r="D613" i="2"/>
  <c r="E613" i="2"/>
  <c r="F613" i="2"/>
  <c r="G613" i="2"/>
  <c r="D614" i="2"/>
  <c r="E614" i="2"/>
  <c r="G614" i="2"/>
  <c r="D615" i="2"/>
  <c r="E615" i="2"/>
  <c r="G615" i="2"/>
  <c r="D616" i="2"/>
  <c r="E616" i="2"/>
  <c r="G616" i="2"/>
  <c r="D617" i="2"/>
  <c r="F617" i="2" s="1"/>
  <c r="E617" i="2"/>
  <c r="G617" i="2"/>
  <c r="H617" i="2"/>
  <c r="D618" i="2"/>
  <c r="H618" i="2" s="1"/>
  <c r="E618" i="2"/>
  <c r="G618" i="2"/>
  <c r="D619" i="2"/>
  <c r="E619" i="2"/>
  <c r="G619" i="2"/>
  <c r="H619" i="2"/>
  <c r="D620" i="2"/>
  <c r="E620" i="2"/>
  <c r="G620" i="2"/>
  <c r="D621" i="2"/>
  <c r="E621" i="2"/>
  <c r="F621" i="2"/>
  <c r="G621" i="2"/>
  <c r="H621" i="2"/>
  <c r="D622" i="2"/>
  <c r="E622" i="2"/>
  <c r="F622" i="2"/>
  <c r="G622" i="2"/>
  <c r="H622" i="2"/>
  <c r="D623" i="2"/>
  <c r="H623" i="2" s="1"/>
  <c r="E623" i="2"/>
  <c r="F623" i="2"/>
  <c r="G623" i="2"/>
  <c r="D624" i="2"/>
  <c r="E624" i="2"/>
  <c r="F624" i="2"/>
  <c r="G624" i="2"/>
  <c r="H624" i="2"/>
  <c r="D625" i="2"/>
  <c r="E625" i="2"/>
  <c r="G625" i="2"/>
  <c r="D626" i="2"/>
  <c r="E626" i="2"/>
  <c r="F626" i="2"/>
  <c r="G626" i="2"/>
  <c r="D627" i="2"/>
  <c r="F627" i="2" s="1"/>
  <c r="E627" i="2"/>
  <c r="G627" i="2"/>
  <c r="D628" i="2"/>
  <c r="E628" i="2"/>
  <c r="G628" i="2"/>
  <c r="D629" i="2"/>
  <c r="E629" i="2"/>
  <c r="G629" i="2"/>
  <c r="D630" i="2"/>
  <c r="E630" i="2"/>
  <c r="F630" i="2"/>
  <c r="G630" i="2"/>
  <c r="H630" i="2"/>
  <c r="D631" i="2"/>
  <c r="E631" i="2"/>
  <c r="F631" i="2"/>
  <c r="G631" i="2"/>
  <c r="H631" i="2"/>
  <c r="D632" i="2"/>
  <c r="E632" i="2"/>
  <c r="G632" i="2"/>
  <c r="D633" i="2"/>
  <c r="E633" i="2"/>
  <c r="G633" i="2"/>
  <c r="D634" i="2"/>
  <c r="H634" i="2" s="1"/>
  <c r="E634" i="2"/>
  <c r="G634" i="2"/>
  <c r="D635" i="2"/>
  <c r="E635" i="2"/>
  <c r="F635" i="2"/>
  <c r="G635" i="2"/>
  <c r="H635" i="2"/>
  <c r="D636" i="2"/>
  <c r="E636" i="2"/>
  <c r="G636" i="2"/>
  <c r="H636" i="2"/>
  <c r="D637" i="2"/>
  <c r="E637" i="2"/>
  <c r="G637" i="2"/>
  <c r="D638" i="2"/>
  <c r="E638" i="2"/>
  <c r="G638" i="2"/>
  <c r="D639" i="2"/>
  <c r="F639" i="2" s="1"/>
  <c r="E639" i="2"/>
  <c r="G639" i="2"/>
  <c r="H639" i="2"/>
  <c r="D640" i="2"/>
  <c r="F640" i="2" s="1"/>
  <c r="E640" i="2"/>
  <c r="G640" i="2"/>
  <c r="H640" i="2"/>
  <c r="D641" i="2"/>
  <c r="E641" i="2"/>
  <c r="F641" i="2"/>
  <c r="G641" i="2"/>
  <c r="H641" i="2"/>
  <c r="D642" i="2"/>
  <c r="H642" i="2" s="1"/>
  <c r="E642" i="2"/>
  <c r="F642" i="2"/>
  <c r="G642" i="2"/>
  <c r="D643" i="2"/>
  <c r="E643" i="2"/>
  <c r="G643" i="2"/>
  <c r="D644" i="2"/>
  <c r="E644" i="2"/>
  <c r="G644" i="2"/>
  <c r="H644" i="2"/>
  <c r="D645" i="2"/>
  <c r="H645" i="2" s="1"/>
  <c r="E645" i="2"/>
  <c r="G645" i="2"/>
  <c r="D646" i="2"/>
  <c r="E646" i="2"/>
  <c r="F646" i="2"/>
  <c r="G646" i="2"/>
  <c r="H646" i="2"/>
  <c r="D647" i="2"/>
  <c r="E647" i="2"/>
  <c r="G647" i="2"/>
  <c r="D648" i="2"/>
  <c r="E648" i="2"/>
  <c r="F648" i="2"/>
  <c r="G648" i="2"/>
  <c r="H648" i="2"/>
  <c r="D649" i="2"/>
  <c r="F649" i="2" s="1"/>
  <c r="E649" i="2"/>
  <c r="G649" i="2"/>
  <c r="H649" i="2"/>
  <c r="D650" i="2"/>
  <c r="H650" i="2" s="1"/>
  <c r="E650" i="2"/>
  <c r="F650" i="2"/>
  <c r="G650" i="2"/>
  <c r="D651" i="2"/>
  <c r="E651" i="2"/>
  <c r="G651" i="2"/>
  <c r="D652" i="2"/>
  <c r="E652" i="2"/>
  <c r="G652" i="2"/>
  <c r="D653" i="2"/>
  <c r="E653" i="2"/>
  <c r="G653" i="2"/>
  <c r="D654" i="2"/>
  <c r="E654" i="2"/>
  <c r="F654" i="2"/>
  <c r="G654" i="2"/>
  <c r="H654" i="2"/>
  <c r="D655" i="2"/>
  <c r="H655" i="2" s="1"/>
  <c r="E655" i="2"/>
  <c r="F655" i="2"/>
  <c r="G655" i="2"/>
  <c r="D656" i="2"/>
  <c r="F656" i="2" s="1"/>
  <c r="E656" i="2"/>
  <c r="G656" i="2"/>
  <c r="D657" i="2"/>
  <c r="E657" i="2"/>
  <c r="G657" i="2"/>
  <c r="D658" i="2"/>
  <c r="E658" i="2"/>
  <c r="G658" i="2"/>
  <c r="D659" i="2"/>
  <c r="E659" i="2"/>
  <c r="F659" i="2"/>
  <c r="G659" i="2"/>
  <c r="H659" i="2"/>
  <c r="D660" i="2"/>
  <c r="F660" i="2" s="1"/>
  <c r="E660" i="2"/>
  <c r="G660" i="2"/>
  <c r="D661" i="2"/>
  <c r="F661" i="2" s="1"/>
  <c r="E661" i="2"/>
  <c r="G661" i="2"/>
  <c r="H661" i="2"/>
  <c r="D662" i="2"/>
  <c r="E662" i="2"/>
  <c r="F662" i="2"/>
  <c r="G662" i="2"/>
  <c r="H662" i="2"/>
  <c r="D663" i="2"/>
  <c r="E663" i="2"/>
  <c r="F663" i="2"/>
  <c r="G663" i="2"/>
  <c r="H663" i="2"/>
  <c r="D664" i="2"/>
  <c r="E664" i="2"/>
  <c r="F664" i="2"/>
  <c r="G664" i="2"/>
  <c r="H664" i="2"/>
  <c r="D665" i="2"/>
  <c r="H665" i="2" s="1"/>
  <c r="E665" i="2"/>
  <c r="G665" i="2"/>
  <c r="D666" i="2"/>
  <c r="E666" i="2"/>
  <c r="F666" i="2"/>
  <c r="G666" i="2"/>
  <c r="D667" i="2"/>
  <c r="F667" i="2" s="1"/>
  <c r="E667" i="2"/>
  <c r="G667" i="2"/>
  <c r="D668" i="2"/>
  <c r="E668" i="2"/>
  <c r="G668" i="2"/>
  <c r="H668" i="2"/>
  <c r="D669" i="2"/>
  <c r="E669" i="2"/>
  <c r="G669" i="2"/>
  <c r="D670" i="2"/>
  <c r="E670" i="2"/>
  <c r="F670" i="2"/>
  <c r="G670" i="2"/>
  <c r="H670" i="2"/>
  <c r="D671" i="2"/>
  <c r="F671" i="2" s="1"/>
  <c r="E671" i="2"/>
  <c r="G671" i="2"/>
  <c r="H671" i="2"/>
  <c r="D672" i="2"/>
  <c r="E672" i="2"/>
  <c r="F672" i="2"/>
  <c r="G672" i="2"/>
  <c r="D673" i="2"/>
  <c r="E673" i="2"/>
  <c r="G673" i="2"/>
  <c r="H673" i="2"/>
  <c r="D674" i="2"/>
  <c r="E674" i="2"/>
  <c r="G674" i="2"/>
  <c r="D675" i="2"/>
  <c r="E675" i="2"/>
  <c r="F675" i="2"/>
  <c r="G675" i="2"/>
  <c r="H675" i="2"/>
  <c r="D676" i="2"/>
  <c r="E676" i="2"/>
  <c r="G676" i="2"/>
  <c r="H676" i="2"/>
  <c r="D677" i="2"/>
  <c r="H677" i="2" s="1"/>
  <c r="E677" i="2"/>
  <c r="F677" i="2"/>
  <c r="G677" i="2"/>
  <c r="D678" i="2"/>
  <c r="E678" i="2"/>
  <c r="G678" i="2"/>
  <c r="H678" i="2"/>
  <c r="D679" i="2"/>
  <c r="E679" i="2"/>
  <c r="G679" i="2"/>
  <c r="D680" i="2"/>
  <c r="E680" i="2"/>
  <c r="G680" i="2"/>
  <c r="D681" i="2"/>
  <c r="F681" i="2" s="1"/>
  <c r="E681" i="2"/>
  <c r="G681" i="2"/>
  <c r="H681" i="2"/>
  <c r="D682" i="2"/>
  <c r="H682" i="2" s="1"/>
  <c r="E682" i="2"/>
  <c r="G682" i="2"/>
  <c r="D683" i="2"/>
  <c r="H683" i="2" s="1"/>
  <c r="E683" i="2"/>
  <c r="F683" i="2"/>
  <c r="G683" i="2"/>
  <c r="D684" i="2"/>
  <c r="E684" i="2"/>
  <c r="G684" i="2"/>
  <c r="D685" i="2"/>
  <c r="E685" i="2"/>
  <c r="F685" i="2"/>
  <c r="G685" i="2"/>
  <c r="H685" i="2"/>
  <c r="D686" i="2"/>
  <c r="E686" i="2"/>
  <c r="F686" i="2"/>
  <c r="G686" i="2"/>
  <c r="H686" i="2"/>
  <c r="D687" i="2"/>
  <c r="H687" i="2" s="1"/>
  <c r="E687" i="2"/>
  <c r="G687" i="2"/>
  <c r="D688" i="2"/>
  <c r="E688" i="2"/>
  <c r="F688" i="2"/>
  <c r="G688" i="2"/>
  <c r="H688" i="2"/>
  <c r="D689" i="2"/>
  <c r="E689" i="2"/>
  <c r="G689" i="2"/>
  <c r="D690" i="2"/>
  <c r="E690" i="2"/>
  <c r="F690" i="2"/>
  <c r="G690" i="2"/>
  <c r="D691" i="2"/>
  <c r="F691" i="2" s="1"/>
  <c r="E691" i="2"/>
  <c r="G691" i="2"/>
  <c r="D692" i="2"/>
  <c r="E692" i="2"/>
  <c r="G692" i="2"/>
  <c r="D693" i="2"/>
  <c r="E693" i="2"/>
  <c r="G693" i="2"/>
  <c r="D694" i="2"/>
  <c r="E694" i="2"/>
  <c r="F694" i="2"/>
  <c r="G694" i="2"/>
  <c r="H694" i="2"/>
  <c r="D695" i="2"/>
  <c r="E695" i="2"/>
  <c r="F695" i="2"/>
  <c r="G695" i="2"/>
  <c r="H695" i="2"/>
  <c r="D696" i="2"/>
  <c r="E696" i="2"/>
  <c r="G696" i="2"/>
  <c r="D697" i="2"/>
  <c r="E697" i="2"/>
  <c r="G697" i="2"/>
  <c r="D698" i="2"/>
  <c r="H698" i="2" s="1"/>
  <c r="E698" i="2"/>
  <c r="G698" i="2"/>
  <c r="D699" i="2"/>
  <c r="E699" i="2"/>
  <c r="F699" i="2"/>
  <c r="G699" i="2"/>
  <c r="H699" i="2"/>
  <c r="D700" i="2"/>
  <c r="E700" i="2"/>
  <c r="G700" i="2"/>
  <c r="H700" i="2"/>
  <c r="D701" i="2"/>
  <c r="E701" i="2"/>
  <c r="G701" i="2"/>
  <c r="D702" i="2"/>
  <c r="E702" i="2"/>
  <c r="G702" i="2"/>
  <c r="D703" i="2"/>
  <c r="F703" i="2" s="1"/>
  <c r="E703" i="2"/>
  <c r="G703" i="2"/>
  <c r="H703" i="2"/>
  <c r="D704" i="2"/>
  <c r="H705" i="2" s="1"/>
  <c r="E704" i="2"/>
  <c r="G704" i="2"/>
  <c r="H704" i="2"/>
  <c r="D705" i="2"/>
  <c r="E705" i="2"/>
  <c r="F705" i="2"/>
  <c r="G705" i="2"/>
  <c r="D706" i="2"/>
  <c r="H706" i="2" s="1"/>
  <c r="E706" i="2"/>
  <c r="F706" i="2"/>
  <c r="G706" i="2"/>
  <c r="D707" i="2"/>
  <c r="E707" i="2"/>
  <c r="G707" i="2"/>
  <c r="D708" i="2"/>
  <c r="E708" i="2"/>
  <c r="G708" i="2"/>
  <c r="H708" i="2"/>
  <c r="D709" i="2"/>
  <c r="H709" i="2" s="1"/>
  <c r="E709" i="2"/>
  <c r="G709" i="2"/>
  <c r="D710" i="2"/>
  <c r="E710" i="2"/>
  <c r="F710" i="2"/>
  <c r="G710" i="2"/>
  <c r="H710" i="2"/>
  <c r="D711" i="2"/>
  <c r="E711" i="2"/>
  <c r="G711" i="2"/>
  <c r="D712" i="2"/>
  <c r="E712" i="2"/>
  <c r="F712" i="2"/>
  <c r="G712" i="2"/>
  <c r="H712" i="2"/>
  <c r="D713" i="2"/>
  <c r="F713" i="2" s="1"/>
  <c r="E713" i="2"/>
  <c r="G713" i="2"/>
  <c r="H713" i="2"/>
  <c r="D714" i="2"/>
  <c r="H714" i="2" s="1"/>
  <c r="E714" i="2"/>
  <c r="F714" i="2"/>
  <c r="G714" i="2"/>
  <c r="D715" i="2"/>
  <c r="F715" i="2" s="1"/>
  <c r="E715" i="2"/>
  <c r="G715" i="2"/>
  <c r="D716" i="2"/>
  <c r="E716" i="2"/>
  <c r="G716" i="2"/>
  <c r="D717" i="2"/>
  <c r="E717" i="2"/>
  <c r="G717" i="2"/>
  <c r="D718" i="2"/>
  <c r="E718" i="2"/>
  <c r="F718" i="2"/>
  <c r="G718" i="2"/>
  <c r="H718" i="2"/>
  <c r="D719" i="2"/>
  <c r="H719" i="2" s="1"/>
  <c r="E719" i="2"/>
  <c r="F719" i="2"/>
  <c r="G719" i="2"/>
  <c r="D720" i="2"/>
  <c r="F720" i="2" s="1"/>
  <c r="E720" i="2"/>
  <c r="G720" i="2"/>
  <c r="D721" i="2"/>
  <c r="E721" i="2"/>
  <c r="G721" i="2"/>
  <c r="D722" i="2"/>
  <c r="E722" i="2"/>
  <c r="G722" i="2"/>
  <c r="D723" i="2"/>
  <c r="E723" i="2"/>
  <c r="F723" i="2"/>
  <c r="G723" i="2"/>
  <c r="H723" i="2"/>
  <c r="D724" i="2"/>
  <c r="F724" i="2" s="1"/>
  <c r="E724" i="2"/>
  <c r="G724" i="2"/>
  <c r="D725" i="2"/>
  <c r="F725" i="2" s="1"/>
  <c r="E725" i="2"/>
  <c r="G725" i="2"/>
  <c r="H725" i="2"/>
  <c r="D726" i="2"/>
  <c r="E726" i="2"/>
  <c r="F726" i="2"/>
  <c r="G726" i="2"/>
  <c r="H726" i="2"/>
  <c r="D727" i="2"/>
  <c r="E727" i="2"/>
  <c r="F727" i="2"/>
  <c r="G727" i="2"/>
  <c r="H727" i="2"/>
  <c r="D728" i="2"/>
  <c r="E728" i="2"/>
  <c r="F728" i="2"/>
  <c r="G728" i="2"/>
  <c r="H728" i="2"/>
  <c r="D729" i="2"/>
  <c r="H729" i="2" s="1"/>
  <c r="E729" i="2"/>
  <c r="G729" i="2"/>
  <c r="D730" i="2"/>
  <c r="E730" i="2"/>
  <c r="F730" i="2"/>
  <c r="G730" i="2"/>
  <c r="D731" i="2"/>
  <c r="F731" i="2" s="1"/>
  <c r="E731" i="2"/>
  <c r="G731" i="2"/>
  <c r="D732" i="2"/>
  <c r="E732" i="2"/>
  <c r="G732" i="2"/>
  <c r="H732" i="2"/>
  <c r="D733" i="2"/>
  <c r="E733" i="2"/>
  <c r="G733" i="2"/>
  <c r="D734" i="2"/>
  <c r="E734" i="2"/>
  <c r="F734" i="2"/>
  <c r="G734" i="2"/>
  <c r="H734" i="2"/>
  <c r="D735" i="2"/>
  <c r="F735" i="2" s="1"/>
  <c r="E735" i="2"/>
  <c r="G735" i="2"/>
  <c r="H735" i="2"/>
  <c r="D736" i="2"/>
  <c r="E736" i="2"/>
  <c r="F736" i="2"/>
  <c r="G736" i="2"/>
  <c r="D737" i="2"/>
  <c r="E737" i="2"/>
  <c r="G737" i="2"/>
  <c r="D738" i="2"/>
  <c r="E738" i="2"/>
  <c r="G738" i="2"/>
  <c r="D739" i="2"/>
  <c r="E739" i="2"/>
  <c r="F739" i="2"/>
  <c r="G739" i="2"/>
  <c r="D740" i="2"/>
  <c r="E740" i="2"/>
  <c r="G740" i="2"/>
  <c r="H740" i="2"/>
  <c r="D741" i="2"/>
  <c r="H741" i="2" s="1"/>
  <c r="E741" i="2"/>
  <c r="F741" i="2"/>
  <c r="G741" i="2"/>
  <c r="D742" i="2"/>
  <c r="E742" i="2"/>
  <c r="G742" i="2"/>
  <c r="H742" i="2"/>
  <c r="D743" i="2"/>
  <c r="E743" i="2"/>
  <c r="G743" i="2"/>
  <c r="D744" i="2"/>
  <c r="E744" i="2"/>
  <c r="G744" i="2"/>
  <c r="D745" i="2"/>
  <c r="F745" i="2" s="1"/>
  <c r="E745" i="2"/>
  <c r="G745" i="2"/>
  <c r="H745" i="2"/>
  <c r="D746" i="2"/>
  <c r="H746" i="2" s="1"/>
  <c r="E746" i="2"/>
  <c r="G746" i="2"/>
  <c r="D747" i="2"/>
  <c r="H747" i="2" s="1"/>
  <c r="E747" i="2"/>
  <c r="F747" i="2"/>
  <c r="G747" i="2"/>
  <c r="D748" i="2"/>
  <c r="E748" i="2"/>
  <c r="G748" i="2"/>
  <c r="H748" i="2"/>
  <c r="D749" i="2"/>
  <c r="E749" i="2"/>
  <c r="F749" i="2"/>
  <c r="G749" i="2"/>
  <c r="H749" i="2"/>
  <c r="D750" i="2"/>
  <c r="E750" i="2"/>
  <c r="F750" i="2"/>
  <c r="G750" i="2"/>
  <c r="H750" i="2"/>
  <c r="D751" i="2"/>
  <c r="H751" i="2" s="1"/>
  <c r="E751" i="2"/>
  <c r="G751" i="2"/>
  <c r="D752" i="2"/>
  <c r="E752" i="2"/>
  <c r="F752" i="2"/>
  <c r="G752" i="2"/>
  <c r="H752" i="2"/>
  <c r="D753" i="2"/>
  <c r="E753" i="2"/>
  <c r="G753" i="2"/>
  <c r="D754" i="2"/>
  <c r="E754" i="2"/>
  <c r="F754" i="2"/>
  <c r="G754" i="2"/>
  <c r="D755" i="2"/>
  <c r="F755" i="2" s="1"/>
  <c r="E755" i="2"/>
  <c r="G755" i="2"/>
  <c r="D756" i="2"/>
  <c r="E756" i="2"/>
  <c r="G756" i="2"/>
  <c r="D757" i="2"/>
  <c r="E757" i="2"/>
  <c r="G757" i="2"/>
  <c r="D758" i="2"/>
  <c r="E758" i="2"/>
  <c r="F758" i="2"/>
  <c r="G758" i="2"/>
  <c r="H758" i="2"/>
  <c r="D759" i="2"/>
  <c r="E759" i="2"/>
  <c r="F759" i="2"/>
  <c r="G759" i="2"/>
  <c r="H759" i="2"/>
  <c r="D760" i="2"/>
  <c r="E760" i="2"/>
  <c r="G760" i="2"/>
  <c r="D761" i="2"/>
  <c r="E761" i="2"/>
  <c r="G761" i="2"/>
  <c r="D762" i="2"/>
  <c r="H762" i="2" s="1"/>
  <c r="E762" i="2"/>
  <c r="G762" i="2"/>
  <c r="D763" i="2"/>
  <c r="E763" i="2"/>
  <c r="F763" i="2"/>
  <c r="G763" i="2"/>
  <c r="H763" i="2"/>
  <c r="D764" i="2"/>
  <c r="E764" i="2"/>
  <c r="G764" i="2"/>
  <c r="H764" i="2"/>
  <c r="D765" i="2"/>
  <c r="E765" i="2"/>
  <c r="G765" i="2"/>
  <c r="D766" i="2"/>
  <c r="E766" i="2"/>
  <c r="G766" i="2"/>
  <c r="D767" i="2"/>
  <c r="E767" i="2"/>
  <c r="F767" i="2"/>
  <c r="G767" i="2"/>
  <c r="H767" i="2"/>
  <c r="D768" i="2"/>
  <c r="E768" i="2"/>
  <c r="F768" i="2"/>
  <c r="G768" i="2"/>
  <c r="H768" i="2"/>
  <c r="D769" i="2"/>
  <c r="E769" i="2"/>
  <c r="F769" i="2"/>
  <c r="G769" i="2"/>
  <c r="H769" i="2"/>
  <c r="D770" i="2"/>
  <c r="H770" i="2" s="1"/>
  <c r="E770" i="2"/>
  <c r="F770" i="2"/>
  <c r="G770" i="2"/>
  <c r="D771" i="2"/>
  <c r="F771" i="2" s="1"/>
  <c r="E771" i="2"/>
  <c r="G771" i="2"/>
  <c r="D772" i="2"/>
  <c r="E772" i="2"/>
  <c r="G772" i="2"/>
  <c r="H772" i="2"/>
  <c r="D773" i="2"/>
  <c r="H773" i="2" s="1"/>
  <c r="E773" i="2"/>
  <c r="G773" i="2"/>
  <c r="D774" i="2"/>
  <c r="E774" i="2"/>
  <c r="F774" i="2"/>
  <c r="G774" i="2"/>
  <c r="H774" i="2"/>
  <c r="D775" i="2"/>
  <c r="F775" i="2" s="1"/>
  <c r="E775" i="2"/>
  <c r="G775" i="2"/>
  <c r="H775" i="2"/>
  <c r="D776" i="2"/>
  <c r="E776" i="2"/>
  <c r="G776" i="2"/>
  <c r="D777" i="2"/>
  <c r="E777" i="2"/>
  <c r="G777" i="2"/>
  <c r="D778" i="2"/>
  <c r="H778" i="2" s="1"/>
  <c r="E778" i="2"/>
  <c r="G778" i="2"/>
  <c r="D779" i="2"/>
  <c r="E779" i="2"/>
  <c r="F779" i="2"/>
  <c r="G779" i="2"/>
  <c r="H779" i="2"/>
  <c r="D780" i="2"/>
  <c r="F780" i="2" s="1"/>
  <c r="E780" i="2"/>
  <c r="G780" i="2"/>
  <c r="D781" i="2"/>
  <c r="E781" i="2"/>
  <c r="F781" i="2"/>
  <c r="G781" i="2"/>
  <c r="D782" i="2"/>
  <c r="E782" i="2"/>
  <c r="G782" i="2"/>
  <c r="H782" i="2"/>
  <c r="D783" i="2"/>
  <c r="E783" i="2"/>
  <c r="G783" i="2"/>
  <c r="D784" i="2"/>
  <c r="E784" i="2"/>
  <c r="F784" i="2"/>
  <c r="G784" i="2"/>
  <c r="D785" i="2"/>
  <c r="F785" i="2" s="1"/>
  <c r="E785" i="2"/>
  <c r="G785" i="2"/>
  <c r="H785" i="2"/>
  <c r="D786" i="2"/>
  <c r="E786" i="2"/>
  <c r="G786" i="2"/>
  <c r="D787" i="2"/>
  <c r="E787" i="2"/>
  <c r="G787" i="2"/>
  <c r="D788" i="2"/>
  <c r="E788" i="2"/>
  <c r="G788" i="2"/>
  <c r="D789" i="2"/>
  <c r="F790" i="2" s="1"/>
  <c r="E789" i="2"/>
  <c r="F789" i="2"/>
  <c r="G789" i="2"/>
  <c r="H789" i="2"/>
  <c r="D790" i="2"/>
  <c r="E790" i="2"/>
  <c r="G790" i="2"/>
  <c r="H790" i="2"/>
  <c r="D791" i="2"/>
  <c r="E791" i="2"/>
  <c r="G791" i="2"/>
  <c r="D792" i="2"/>
  <c r="E792" i="2"/>
  <c r="G792" i="2"/>
  <c r="D793" i="2"/>
  <c r="E793" i="2"/>
  <c r="G793" i="2"/>
  <c r="D794" i="2"/>
  <c r="E794" i="2"/>
  <c r="G794" i="2"/>
  <c r="D795" i="2"/>
  <c r="F795" i="2" s="1"/>
  <c r="E795" i="2"/>
  <c r="G795" i="2"/>
  <c r="D796" i="2"/>
  <c r="E796" i="2"/>
  <c r="G796" i="2"/>
  <c r="D797" i="2"/>
  <c r="H798" i="2" s="1"/>
  <c r="E797" i="2"/>
  <c r="G797" i="2"/>
  <c r="H797" i="2"/>
  <c r="D798" i="2"/>
  <c r="E798" i="2"/>
  <c r="F798" i="2"/>
  <c r="G798" i="2"/>
  <c r="D799" i="2"/>
  <c r="E799" i="2"/>
  <c r="F799" i="2"/>
  <c r="G799" i="2"/>
  <c r="H799" i="2"/>
  <c r="D800" i="2"/>
  <c r="F800" i="2" s="1"/>
  <c r="E800" i="2"/>
  <c r="G800" i="2"/>
  <c r="D801" i="2"/>
  <c r="E801" i="2"/>
  <c r="F801" i="2"/>
  <c r="G801" i="2"/>
  <c r="D802" i="2"/>
  <c r="E802" i="2"/>
  <c r="G802" i="2"/>
  <c r="D803" i="2"/>
  <c r="E803" i="2"/>
  <c r="G803" i="2"/>
  <c r="D804" i="2"/>
  <c r="E804" i="2"/>
  <c r="G804" i="2"/>
  <c r="H804" i="2"/>
  <c r="D805" i="2"/>
  <c r="E805" i="2"/>
  <c r="G805" i="2"/>
  <c r="D806" i="2"/>
  <c r="E806" i="2"/>
  <c r="F806" i="2"/>
  <c r="G806" i="2"/>
  <c r="D807" i="2"/>
  <c r="F807" i="2" s="1"/>
  <c r="E807" i="2"/>
  <c r="G807" i="2"/>
  <c r="H807" i="2"/>
  <c r="D808" i="2"/>
  <c r="E808" i="2"/>
  <c r="G808" i="2"/>
  <c r="D809" i="2"/>
  <c r="E809" i="2"/>
  <c r="G809" i="2"/>
  <c r="D810" i="2"/>
  <c r="H810" i="2" s="1"/>
  <c r="E810" i="2"/>
  <c r="G810" i="2"/>
  <c r="D811" i="2"/>
  <c r="E811" i="2"/>
  <c r="F811" i="2"/>
  <c r="G811" i="2"/>
  <c r="H811" i="2"/>
  <c r="D812" i="2"/>
  <c r="F812" i="2" s="1"/>
  <c r="E812" i="2"/>
  <c r="G812" i="2"/>
  <c r="D813" i="2"/>
  <c r="E813" i="2"/>
  <c r="G813" i="2"/>
  <c r="D814" i="2"/>
  <c r="E814" i="2"/>
  <c r="G814" i="2"/>
  <c r="D815" i="2"/>
  <c r="E815" i="2"/>
  <c r="G815" i="2"/>
  <c r="D816" i="2"/>
  <c r="E816" i="2"/>
  <c r="G816" i="2"/>
  <c r="D817" i="2"/>
  <c r="F817" i="2" s="1"/>
  <c r="E817" i="2"/>
  <c r="G817" i="2"/>
  <c r="H817" i="2"/>
  <c r="D818" i="2"/>
  <c r="E818" i="2"/>
  <c r="G818" i="2"/>
  <c r="D819" i="2"/>
  <c r="E819" i="2"/>
  <c r="G819" i="2"/>
  <c r="H819" i="2"/>
  <c r="D820" i="2"/>
  <c r="E820" i="2"/>
  <c r="G820" i="2"/>
  <c r="D821" i="2"/>
  <c r="F822" i="2" s="1"/>
  <c r="E821" i="2"/>
  <c r="F821" i="2"/>
  <c r="G821" i="2"/>
  <c r="D822" i="2"/>
  <c r="E822" i="2"/>
  <c r="G822" i="2"/>
  <c r="H822" i="2"/>
  <c r="D823" i="2"/>
  <c r="E823" i="2"/>
  <c r="G823" i="2"/>
  <c r="D824" i="2"/>
  <c r="E824" i="2"/>
  <c r="G824" i="2"/>
  <c r="D825" i="2"/>
  <c r="E825" i="2"/>
  <c r="G825" i="2"/>
  <c r="D826" i="2"/>
  <c r="E826" i="2"/>
  <c r="G826" i="2"/>
  <c r="D827" i="2"/>
  <c r="F827" i="2" s="1"/>
  <c r="E827" i="2"/>
  <c r="G827" i="2"/>
  <c r="D828" i="2"/>
  <c r="E828" i="2"/>
  <c r="G828" i="2"/>
  <c r="D829" i="2"/>
  <c r="H830" i="2" s="1"/>
  <c r="E829" i="2"/>
  <c r="G829" i="2"/>
  <c r="D830" i="2"/>
  <c r="E830" i="2"/>
  <c r="F830" i="2"/>
  <c r="G830" i="2"/>
  <c r="D831" i="2"/>
  <c r="E831" i="2"/>
  <c r="F831" i="2"/>
  <c r="G831" i="2"/>
  <c r="H831" i="2"/>
  <c r="D832" i="2"/>
  <c r="F832" i="2" s="1"/>
  <c r="E832" i="2"/>
  <c r="G832" i="2"/>
  <c r="D833" i="2"/>
  <c r="E833" i="2"/>
  <c r="F833" i="2"/>
  <c r="G833" i="2"/>
  <c r="D834" i="2"/>
  <c r="E834" i="2"/>
  <c r="G834" i="2"/>
  <c r="D835" i="2"/>
  <c r="E835" i="2"/>
  <c r="G835" i="2"/>
  <c r="D836" i="2"/>
  <c r="E836" i="2"/>
  <c r="G836" i="2"/>
  <c r="H836" i="2"/>
  <c r="D837" i="2"/>
  <c r="E837" i="2"/>
  <c r="G837" i="2"/>
  <c r="D838" i="2"/>
  <c r="E838" i="2"/>
  <c r="F838" i="2"/>
  <c r="G838" i="2"/>
  <c r="D839" i="2"/>
  <c r="F839" i="2" s="1"/>
  <c r="E839" i="2"/>
  <c r="G839" i="2"/>
  <c r="H839" i="2"/>
  <c r="D840" i="2"/>
  <c r="E840" i="2"/>
  <c r="G840" i="2"/>
  <c r="D841" i="2"/>
  <c r="E841" i="2"/>
  <c r="G841" i="2"/>
  <c r="D842" i="2"/>
  <c r="H842" i="2" s="1"/>
  <c r="E842" i="2"/>
  <c r="G842" i="2"/>
  <c r="D843" i="2"/>
  <c r="E843" i="2"/>
  <c r="F843" i="2"/>
  <c r="G843" i="2"/>
  <c r="H843" i="2"/>
  <c r="D844" i="2"/>
  <c r="F844" i="2" s="1"/>
  <c r="E844" i="2"/>
  <c r="G844" i="2"/>
  <c r="D845" i="2"/>
  <c r="E845" i="2"/>
  <c r="G845" i="2"/>
  <c r="D846" i="2"/>
  <c r="E846" i="2"/>
  <c r="G846" i="2"/>
  <c r="D847" i="2"/>
  <c r="E847" i="2"/>
  <c r="G847" i="2"/>
  <c r="D848" i="2"/>
  <c r="E848" i="2"/>
  <c r="G848" i="2"/>
  <c r="D849" i="2"/>
  <c r="F849" i="2" s="1"/>
  <c r="E849" i="2"/>
  <c r="G849" i="2"/>
  <c r="H849" i="2"/>
  <c r="D850" i="2"/>
  <c r="E850" i="2"/>
  <c r="G850" i="2"/>
  <c r="D851" i="2"/>
  <c r="E851" i="2"/>
  <c r="G851" i="2"/>
  <c r="H851" i="2"/>
  <c r="D852" i="2"/>
  <c r="E852" i="2"/>
  <c r="G852" i="2"/>
  <c r="D853" i="2"/>
  <c r="F854" i="2" s="1"/>
  <c r="E853" i="2"/>
  <c r="F853" i="2"/>
  <c r="G853" i="2"/>
  <c r="H853" i="2"/>
  <c r="D854" i="2"/>
  <c r="E854" i="2"/>
  <c r="G854" i="2"/>
  <c r="D855" i="2"/>
  <c r="E855" i="2"/>
  <c r="F855" i="2"/>
  <c r="G855" i="2"/>
  <c r="D856" i="2"/>
  <c r="E856" i="2"/>
  <c r="G856" i="2"/>
  <c r="D857" i="2"/>
  <c r="E857" i="2"/>
  <c r="G857" i="2"/>
  <c r="D858" i="2"/>
  <c r="E858" i="2"/>
  <c r="G858" i="2"/>
  <c r="D859" i="2"/>
  <c r="F859" i="2" s="1"/>
  <c r="E859" i="2"/>
  <c r="G859" i="2"/>
  <c r="D860" i="2"/>
  <c r="E860" i="2"/>
  <c r="G860" i="2"/>
  <c r="D861" i="2"/>
  <c r="H862" i="2" s="1"/>
  <c r="E861" i="2"/>
  <c r="G861" i="2"/>
  <c r="D862" i="2"/>
  <c r="E862" i="2"/>
  <c r="F862" i="2"/>
  <c r="G862" i="2"/>
  <c r="D863" i="2"/>
  <c r="E863" i="2"/>
  <c r="F863" i="2"/>
  <c r="G863" i="2"/>
  <c r="H863" i="2"/>
  <c r="D864" i="2"/>
  <c r="F864" i="2" s="1"/>
  <c r="E864" i="2"/>
  <c r="G864" i="2"/>
  <c r="D865" i="2"/>
  <c r="F865" i="2" s="1"/>
  <c r="E865" i="2"/>
  <c r="G865" i="2"/>
  <c r="D866" i="2"/>
  <c r="E866" i="2"/>
  <c r="G866" i="2"/>
  <c r="D867" i="2"/>
  <c r="E867" i="2"/>
  <c r="G867" i="2"/>
  <c r="D868" i="2"/>
  <c r="E868" i="2"/>
  <c r="G868" i="2"/>
  <c r="D869" i="2"/>
  <c r="E869" i="2"/>
  <c r="G869" i="2"/>
  <c r="D870" i="2"/>
  <c r="E870" i="2"/>
  <c r="G870" i="2"/>
  <c r="D871" i="2"/>
  <c r="F871" i="2" s="1"/>
  <c r="E871" i="2"/>
  <c r="G871" i="2"/>
  <c r="H871" i="2"/>
  <c r="D872" i="2"/>
  <c r="H872" i="2" s="1"/>
  <c r="E872" i="2"/>
  <c r="F872" i="2"/>
  <c r="G872" i="2"/>
  <c r="D873" i="2"/>
  <c r="E873" i="2"/>
  <c r="G873" i="2"/>
  <c r="H873" i="2"/>
  <c r="D874" i="2"/>
  <c r="E874" i="2"/>
  <c r="G874" i="2"/>
  <c r="D875" i="2"/>
  <c r="E875" i="2"/>
  <c r="G875" i="2"/>
  <c r="H875" i="2"/>
  <c r="D876" i="2"/>
  <c r="E876" i="2"/>
  <c r="G876" i="2"/>
  <c r="D877" i="2"/>
  <c r="E877" i="2"/>
  <c r="G877" i="2"/>
  <c r="D878" i="2"/>
  <c r="E878" i="2"/>
  <c r="G878" i="2"/>
  <c r="D879" i="2"/>
  <c r="H879" i="2" s="1"/>
  <c r="E879" i="2"/>
  <c r="G879" i="2"/>
  <c r="D880" i="2"/>
  <c r="E880" i="2"/>
  <c r="F880" i="2"/>
  <c r="G880" i="2"/>
  <c r="H880" i="2"/>
  <c r="D881" i="2"/>
  <c r="F881" i="2" s="1"/>
  <c r="E881" i="2"/>
  <c r="G881" i="2"/>
  <c r="H881" i="2"/>
  <c r="D882" i="2"/>
  <c r="E882" i="2"/>
  <c r="F882" i="2"/>
  <c r="G882" i="2"/>
  <c r="D883" i="2"/>
  <c r="E883" i="2"/>
  <c r="G883" i="2"/>
  <c r="D884" i="2"/>
  <c r="E884" i="2"/>
  <c r="G884" i="2"/>
  <c r="D885" i="2"/>
  <c r="F886" i="2" s="1"/>
  <c r="E885" i="2"/>
  <c r="G885" i="2"/>
  <c r="D886" i="2"/>
  <c r="E886" i="2"/>
  <c r="G886" i="2"/>
  <c r="D887" i="2"/>
  <c r="F888" i="2" s="1"/>
  <c r="E887" i="2"/>
  <c r="G887" i="2"/>
  <c r="H887" i="2"/>
  <c r="D888" i="2"/>
  <c r="E888" i="2"/>
  <c r="G888" i="2"/>
  <c r="H888" i="2"/>
  <c r="D889" i="2"/>
  <c r="H889" i="2" s="1"/>
  <c r="E889" i="2"/>
  <c r="F889" i="2"/>
  <c r="G889" i="2"/>
  <c r="D890" i="2"/>
  <c r="E890" i="2"/>
  <c r="F890" i="2"/>
  <c r="G890" i="2"/>
  <c r="D891" i="2"/>
  <c r="E891" i="2"/>
  <c r="G891" i="2"/>
  <c r="D892" i="2"/>
  <c r="F892" i="2" s="1"/>
  <c r="E892" i="2"/>
  <c r="G892" i="2"/>
  <c r="H892" i="2"/>
  <c r="D893" i="2"/>
  <c r="E893" i="2"/>
  <c r="G893" i="2"/>
  <c r="D894" i="2"/>
  <c r="E894" i="2"/>
  <c r="F894" i="2"/>
  <c r="G894" i="2"/>
  <c r="D895" i="2"/>
  <c r="E895" i="2"/>
  <c r="F895" i="2"/>
  <c r="G895" i="2"/>
  <c r="H895" i="2"/>
  <c r="D896" i="2"/>
  <c r="E896" i="2"/>
  <c r="G896" i="2"/>
  <c r="D897" i="2"/>
  <c r="F898" i="2" s="1"/>
  <c r="E897" i="2"/>
  <c r="G897" i="2"/>
  <c r="D898" i="2"/>
  <c r="E898" i="2"/>
  <c r="G898" i="2"/>
  <c r="D899" i="2"/>
  <c r="H899" i="2" s="1"/>
  <c r="E899" i="2"/>
  <c r="G899" i="2"/>
  <c r="D900" i="2"/>
  <c r="F900" i="2" s="1"/>
  <c r="E900" i="2"/>
  <c r="G900" i="2"/>
  <c r="H900" i="2"/>
  <c r="D901" i="2"/>
  <c r="H902" i="2" s="1"/>
  <c r="E901" i="2"/>
  <c r="G901" i="2"/>
  <c r="H901" i="2"/>
  <c r="D902" i="2"/>
  <c r="E902" i="2"/>
  <c r="F902" i="2"/>
  <c r="G902" i="2"/>
  <c r="D903" i="2"/>
  <c r="E903" i="2"/>
  <c r="F903" i="2"/>
  <c r="G903" i="2"/>
  <c r="H903" i="2"/>
  <c r="D904" i="2"/>
  <c r="E904" i="2"/>
  <c r="G904" i="2"/>
  <c r="D905" i="2"/>
  <c r="E905" i="2"/>
  <c r="G905" i="2"/>
  <c r="D906" i="2"/>
  <c r="E906" i="2"/>
  <c r="G906" i="2"/>
  <c r="D907" i="2"/>
  <c r="E907" i="2"/>
  <c r="F907" i="2"/>
  <c r="G907" i="2"/>
  <c r="H907" i="2"/>
  <c r="D908" i="2"/>
  <c r="E908" i="2"/>
  <c r="G908" i="2"/>
  <c r="D909" i="2"/>
  <c r="F910" i="2" s="1"/>
  <c r="E909" i="2"/>
  <c r="F909" i="2"/>
  <c r="G909" i="2"/>
  <c r="H909" i="2"/>
  <c r="D910" i="2"/>
  <c r="E910" i="2"/>
  <c r="G910" i="2"/>
  <c r="H910" i="2"/>
  <c r="D911" i="2"/>
  <c r="H911" i="2" s="1"/>
  <c r="E911" i="2"/>
  <c r="F911" i="2"/>
  <c r="G911" i="2"/>
  <c r="D912" i="2"/>
  <c r="E912" i="2"/>
  <c r="G912" i="2"/>
  <c r="H912" i="2"/>
  <c r="D913" i="2"/>
  <c r="E913" i="2"/>
  <c r="G913" i="2"/>
  <c r="D914" i="2"/>
  <c r="E914" i="2"/>
  <c r="F914" i="2"/>
  <c r="G914" i="2"/>
  <c r="D915" i="2"/>
  <c r="E915" i="2"/>
  <c r="G915" i="2"/>
  <c r="D916" i="2"/>
  <c r="E916" i="2"/>
  <c r="G916" i="2"/>
  <c r="D917" i="2"/>
  <c r="E917" i="2"/>
  <c r="G917" i="2"/>
  <c r="D918" i="2"/>
  <c r="E918" i="2"/>
  <c r="G918" i="2"/>
  <c r="D919" i="2"/>
  <c r="E919" i="2"/>
  <c r="G919" i="2"/>
  <c r="D920" i="2"/>
  <c r="E920" i="2"/>
  <c r="G920" i="2"/>
  <c r="H920" i="2"/>
  <c r="D921" i="2"/>
  <c r="E921" i="2"/>
  <c r="G921" i="2"/>
  <c r="D922" i="2"/>
  <c r="E922" i="2"/>
  <c r="G922" i="2"/>
  <c r="D923" i="2"/>
  <c r="E923" i="2"/>
  <c r="G923" i="2"/>
  <c r="D924" i="2"/>
  <c r="F924" i="2" s="1"/>
  <c r="E924" i="2"/>
  <c r="G924" i="2"/>
  <c r="H924" i="2"/>
  <c r="D925" i="2"/>
  <c r="H926" i="2" s="1"/>
  <c r="E925" i="2"/>
  <c r="G925" i="2"/>
  <c r="H925" i="2"/>
  <c r="D926" i="2"/>
  <c r="E926" i="2"/>
  <c r="F926" i="2"/>
  <c r="G926" i="2"/>
  <c r="D927" i="2"/>
  <c r="E927" i="2"/>
  <c r="F927" i="2"/>
  <c r="G927" i="2"/>
  <c r="H927" i="2"/>
  <c r="D928" i="2"/>
  <c r="E928" i="2"/>
  <c r="G928" i="2"/>
  <c r="D929" i="2"/>
  <c r="E929" i="2"/>
  <c r="G929" i="2"/>
  <c r="D930" i="2"/>
  <c r="E930" i="2"/>
  <c r="F930" i="2"/>
  <c r="G930" i="2"/>
  <c r="D931" i="2"/>
  <c r="H931" i="2" s="1"/>
  <c r="E931" i="2"/>
  <c r="F931" i="2"/>
  <c r="G931" i="2"/>
  <c r="D932" i="2"/>
  <c r="E932" i="2"/>
  <c r="G932" i="2"/>
  <c r="D933" i="2"/>
  <c r="F934" i="2" s="1"/>
  <c r="E933" i="2"/>
  <c r="G933" i="2"/>
  <c r="D934" i="2"/>
  <c r="E934" i="2"/>
  <c r="G934" i="2"/>
  <c r="H934" i="2"/>
  <c r="D935" i="2"/>
  <c r="E935" i="2"/>
  <c r="F935" i="2"/>
  <c r="G935" i="2"/>
  <c r="D936" i="2"/>
  <c r="E936" i="2"/>
  <c r="G936" i="2"/>
  <c r="D937" i="2"/>
  <c r="E937" i="2"/>
  <c r="G937" i="2"/>
  <c r="D938" i="2"/>
  <c r="E938" i="2"/>
  <c r="G938" i="2"/>
  <c r="D939" i="2"/>
  <c r="E939" i="2"/>
  <c r="G939" i="2"/>
  <c r="D940" i="2"/>
  <c r="E940" i="2"/>
  <c r="G940" i="2"/>
  <c r="H940" i="2"/>
  <c r="D941" i="2"/>
  <c r="F941" i="2" s="1"/>
  <c r="E941" i="2"/>
  <c r="G941" i="2"/>
  <c r="D942" i="2"/>
  <c r="H942" i="2" s="1"/>
  <c r="E942" i="2"/>
  <c r="F942" i="2"/>
  <c r="G942" i="2"/>
  <c r="D943" i="2"/>
  <c r="E943" i="2"/>
  <c r="G943" i="2"/>
  <c r="H943" i="2"/>
  <c r="D944" i="2"/>
  <c r="E944" i="2"/>
  <c r="F944" i="2"/>
  <c r="G944" i="2"/>
  <c r="D945" i="2"/>
  <c r="E945" i="2"/>
  <c r="G945" i="2"/>
  <c r="D946" i="2"/>
  <c r="E946" i="2"/>
  <c r="G946" i="2"/>
  <c r="D947" i="2"/>
  <c r="E947" i="2"/>
  <c r="F947" i="2"/>
  <c r="G947" i="2"/>
  <c r="D948" i="2"/>
  <c r="E948" i="2"/>
  <c r="G948" i="2"/>
  <c r="H948" i="2"/>
  <c r="D949" i="2"/>
  <c r="E949" i="2"/>
  <c r="G949" i="2"/>
  <c r="D950" i="2"/>
  <c r="E950" i="2"/>
  <c r="G950" i="2"/>
  <c r="H950" i="2"/>
  <c r="D951" i="2"/>
  <c r="E951" i="2"/>
  <c r="G951" i="2"/>
  <c r="D952" i="2"/>
  <c r="F953" i="2" s="1"/>
  <c r="E952" i="2"/>
  <c r="G952" i="2"/>
  <c r="D953" i="2"/>
  <c r="E953" i="2"/>
  <c r="G953" i="2"/>
  <c r="H953" i="2"/>
  <c r="D954" i="2"/>
  <c r="E954" i="2"/>
  <c r="G954" i="2"/>
  <c r="D955" i="2"/>
  <c r="E955" i="2"/>
  <c r="G955" i="2"/>
  <c r="D956" i="2"/>
  <c r="E956" i="2"/>
  <c r="G956" i="2"/>
  <c r="D957" i="2"/>
  <c r="E957" i="2"/>
  <c r="G957" i="2"/>
  <c r="D958" i="2"/>
  <c r="E958" i="2"/>
  <c r="G958" i="2"/>
  <c r="H958" i="2"/>
  <c r="D959" i="2"/>
  <c r="E959" i="2"/>
  <c r="G959" i="2"/>
  <c r="D960" i="2"/>
  <c r="E960" i="2"/>
  <c r="F960" i="2"/>
  <c r="G960" i="2"/>
  <c r="H960" i="2"/>
  <c r="D961" i="2"/>
  <c r="F961" i="2" s="1"/>
  <c r="E961" i="2"/>
  <c r="G961" i="2"/>
  <c r="H961" i="2"/>
  <c r="D962" i="2"/>
  <c r="E962" i="2"/>
  <c r="G962" i="2"/>
  <c r="D963" i="2"/>
  <c r="E963" i="2"/>
  <c r="G963" i="2"/>
  <c r="D964" i="2"/>
  <c r="E964" i="2"/>
  <c r="G964" i="2"/>
  <c r="D965" i="2"/>
  <c r="E965" i="2"/>
  <c r="G965" i="2"/>
  <c r="D966" i="2"/>
  <c r="E966" i="2"/>
  <c r="G966" i="2"/>
  <c r="H966" i="2"/>
  <c r="D967" i="2"/>
  <c r="E967" i="2"/>
  <c r="G967" i="2"/>
  <c r="D968" i="2"/>
  <c r="E968" i="2"/>
  <c r="F968" i="2"/>
  <c r="G968" i="2"/>
  <c r="D969" i="2"/>
  <c r="F969" i="2" s="1"/>
  <c r="E969" i="2"/>
  <c r="G969" i="2"/>
  <c r="H969" i="2"/>
  <c r="D970" i="2"/>
  <c r="E970" i="2"/>
  <c r="G970" i="2"/>
  <c r="D971" i="2"/>
  <c r="E971" i="2"/>
  <c r="G971" i="2"/>
  <c r="D972" i="2"/>
  <c r="E972" i="2"/>
  <c r="G972" i="2"/>
  <c r="D973" i="2"/>
  <c r="E973" i="2"/>
  <c r="G973" i="2"/>
  <c r="D974" i="2"/>
  <c r="E974" i="2"/>
  <c r="G974" i="2"/>
  <c r="H974" i="2"/>
  <c r="D975" i="2"/>
  <c r="E975" i="2"/>
  <c r="G975" i="2"/>
  <c r="D976" i="2"/>
  <c r="E976" i="2"/>
  <c r="F976" i="2"/>
  <c r="G976" i="2"/>
  <c r="H976" i="2"/>
  <c r="D977" i="2"/>
  <c r="F977" i="2" s="1"/>
  <c r="E977" i="2"/>
  <c r="G977" i="2"/>
  <c r="H977" i="2"/>
  <c r="D978" i="2"/>
  <c r="E978" i="2"/>
  <c r="F978" i="2"/>
  <c r="G978" i="2"/>
  <c r="D979" i="2"/>
  <c r="E979" i="2"/>
  <c r="G979" i="2"/>
  <c r="H979" i="2"/>
  <c r="D980" i="2"/>
  <c r="E980" i="2"/>
  <c r="G980" i="2"/>
  <c r="D981" i="2"/>
  <c r="H981" i="2" s="1"/>
  <c r="E981" i="2"/>
  <c r="F981" i="2"/>
  <c r="G981" i="2"/>
  <c r="D982" i="2"/>
  <c r="E982" i="2"/>
  <c r="G982" i="2"/>
  <c r="H982" i="2"/>
  <c r="D983" i="2"/>
  <c r="E983" i="2"/>
  <c r="G983" i="2"/>
  <c r="D984" i="2"/>
  <c r="E984" i="2"/>
  <c r="G984" i="2"/>
  <c r="D985" i="2"/>
  <c r="F985" i="2" s="1"/>
  <c r="E985" i="2"/>
  <c r="G985" i="2"/>
  <c r="H985" i="2"/>
  <c r="D986" i="2"/>
  <c r="E986" i="2"/>
  <c r="F986" i="2"/>
  <c r="G986" i="2"/>
  <c r="D987" i="2"/>
  <c r="E987" i="2"/>
  <c r="G987" i="2"/>
  <c r="D988" i="2"/>
  <c r="E988" i="2"/>
  <c r="G988" i="2"/>
  <c r="D989" i="2"/>
  <c r="H989" i="2" s="1"/>
  <c r="E989" i="2"/>
  <c r="G989" i="2"/>
  <c r="D990" i="2"/>
  <c r="E990" i="2"/>
  <c r="G990" i="2"/>
  <c r="H990" i="2"/>
  <c r="D991" i="2"/>
  <c r="E991" i="2"/>
  <c r="G991" i="2"/>
  <c r="D992" i="2"/>
  <c r="E992" i="2"/>
  <c r="G992" i="2"/>
  <c r="D993" i="2"/>
  <c r="F993" i="2" s="1"/>
  <c r="E993" i="2"/>
  <c r="G993" i="2"/>
  <c r="H993" i="2"/>
  <c r="D994" i="2"/>
  <c r="F994" i="2" s="1"/>
  <c r="E994" i="2"/>
  <c r="G994" i="2"/>
  <c r="D995" i="2"/>
  <c r="E995" i="2"/>
  <c r="G995" i="2"/>
  <c r="H995" i="2"/>
  <c r="D996" i="2"/>
  <c r="E996" i="2"/>
  <c r="G996" i="2"/>
  <c r="D997" i="2"/>
  <c r="H997" i="2" s="1"/>
  <c r="E997" i="2"/>
  <c r="F997" i="2"/>
  <c r="G997" i="2"/>
  <c r="D998" i="2"/>
  <c r="E998" i="2"/>
  <c r="G998" i="2"/>
  <c r="H998" i="2"/>
  <c r="D999" i="2"/>
  <c r="E999" i="2"/>
  <c r="G999" i="2"/>
  <c r="D1000" i="2"/>
  <c r="E1000" i="2"/>
  <c r="G1000" i="2"/>
  <c r="D1001" i="2"/>
  <c r="F1001" i="2" s="1"/>
  <c r="E1001" i="2"/>
  <c r="G1001" i="2"/>
  <c r="H1001" i="2"/>
  <c r="D1002" i="2"/>
  <c r="E1002" i="2"/>
  <c r="F1002" i="2"/>
  <c r="G1002" i="2"/>
  <c r="D1003" i="2"/>
  <c r="E1003" i="2"/>
  <c r="G1003" i="2"/>
  <c r="D1004" i="2"/>
  <c r="E1004" i="2"/>
  <c r="G1004" i="2"/>
  <c r="D1005" i="2"/>
  <c r="E1005" i="2"/>
  <c r="F1005" i="2"/>
  <c r="G1005" i="2"/>
  <c r="D1006" i="2"/>
  <c r="E1006" i="2"/>
  <c r="G1006" i="2"/>
  <c r="H1006" i="2"/>
  <c r="D1007" i="2"/>
  <c r="E1007" i="2"/>
  <c r="G1007" i="2"/>
  <c r="D1008" i="2"/>
  <c r="E1008" i="2"/>
  <c r="F1008" i="2"/>
  <c r="G1008" i="2"/>
  <c r="H1008" i="2"/>
  <c r="D1009" i="2"/>
  <c r="F1009" i="2" s="1"/>
  <c r="E1009" i="2"/>
  <c r="G1009" i="2"/>
  <c r="H1009" i="2"/>
  <c r="D1010" i="2"/>
  <c r="E1010" i="2"/>
  <c r="F1010" i="2"/>
  <c r="G1010" i="2"/>
  <c r="D1011" i="2"/>
  <c r="E1011" i="2"/>
  <c r="G1011" i="2"/>
  <c r="H1011" i="2"/>
  <c r="D1012" i="2"/>
  <c r="E1012" i="2"/>
  <c r="G1012" i="2"/>
  <c r="D1013" i="2"/>
  <c r="H1013" i="2" s="1"/>
  <c r="E1013" i="2"/>
  <c r="F1013" i="2"/>
  <c r="G1013" i="2"/>
  <c r="D1014" i="2"/>
  <c r="E1014" i="2"/>
  <c r="G1014" i="2"/>
  <c r="H1014" i="2"/>
  <c r="D1015" i="2"/>
  <c r="E1015" i="2"/>
  <c r="G1015" i="2"/>
  <c r="D1016" i="2"/>
  <c r="E1016" i="2"/>
  <c r="G1016" i="2"/>
  <c r="D1017" i="2"/>
  <c r="F1017" i="2" s="1"/>
  <c r="E1017" i="2"/>
  <c r="G1017" i="2"/>
  <c r="H1017" i="2"/>
  <c r="D1018" i="2"/>
  <c r="E1018" i="2"/>
  <c r="G1018" i="2"/>
  <c r="D1019" i="2"/>
  <c r="E1019" i="2"/>
  <c r="G1019" i="2"/>
  <c r="D1020" i="2"/>
  <c r="E1020" i="2"/>
  <c r="G1020" i="2"/>
  <c r="D1021" i="2"/>
  <c r="E1021" i="2"/>
  <c r="G1021" i="2"/>
  <c r="D1022" i="2"/>
  <c r="E1022" i="2"/>
  <c r="G1022" i="2"/>
  <c r="H1022" i="2"/>
  <c r="D1023" i="2"/>
  <c r="E1023" i="2"/>
  <c r="G1023" i="2"/>
  <c r="D1024" i="2"/>
  <c r="E1024" i="2"/>
  <c r="F1024" i="2"/>
  <c r="G1024" i="2"/>
  <c r="H1024" i="2"/>
  <c r="D1025" i="2"/>
  <c r="F1025" i="2" s="1"/>
  <c r="E1025" i="2"/>
  <c r="G1025" i="2"/>
  <c r="H1025" i="2"/>
  <c r="D1026" i="2"/>
  <c r="E1026" i="2"/>
  <c r="G1026" i="2"/>
  <c r="D1027" i="2"/>
  <c r="E1027" i="2"/>
  <c r="G1027" i="2"/>
  <c r="H1027" i="2"/>
  <c r="D1028" i="2"/>
  <c r="E1028" i="2"/>
  <c r="G1028" i="2"/>
  <c r="D1029" i="2"/>
  <c r="E1029" i="2"/>
  <c r="G1029" i="2"/>
  <c r="D1030" i="2"/>
  <c r="E1030" i="2"/>
  <c r="G1030" i="2"/>
  <c r="H1030" i="2"/>
  <c r="D1031" i="2"/>
  <c r="E1031" i="2"/>
  <c r="G1031" i="2"/>
  <c r="D1032" i="2"/>
  <c r="E1032" i="2"/>
  <c r="F1032" i="2"/>
  <c r="G1032" i="2"/>
  <c r="D1033" i="2"/>
  <c r="F1033" i="2" s="1"/>
  <c r="E1033" i="2"/>
  <c r="G1033" i="2"/>
  <c r="H1033" i="2"/>
  <c r="D1034" i="2"/>
  <c r="E1034" i="2"/>
  <c r="F1034" i="2"/>
  <c r="G1034" i="2"/>
  <c r="D1035" i="2"/>
  <c r="E1035" i="2"/>
  <c r="G1035" i="2"/>
  <c r="D1036" i="2"/>
  <c r="E1036" i="2"/>
  <c r="G1036" i="2"/>
  <c r="D1037" i="2"/>
  <c r="E1037" i="2"/>
  <c r="G1037" i="2"/>
  <c r="D1038" i="2"/>
  <c r="E1038" i="2"/>
  <c r="G1038" i="2"/>
  <c r="H1038" i="2"/>
  <c r="D1039" i="2"/>
  <c r="E1039" i="2"/>
  <c r="G1039" i="2"/>
  <c r="D1040" i="2"/>
  <c r="E1040" i="2"/>
  <c r="F1040" i="2"/>
  <c r="G1040" i="2"/>
  <c r="H1040" i="2"/>
  <c r="D1041" i="2"/>
  <c r="F1041" i="2" s="1"/>
  <c r="E1041" i="2"/>
  <c r="G1041" i="2"/>
  <c r="H1041" i="2"/>
  <c r="D1042" i="2"/>
  <c r="E1042" i="2"/>
  <c r="F1042" i="2"/>
  <c r="G1042" i="2"/>
  <c r="D1043" i="2"/>
  <c r="E1043" i="2"/>
  <c r="G1043" i="2"/>
  <c r="H1043" i="2"/>
  <c r="D1044" i="2"/>
  <c r="E1044" i="2"/>
  <c r="G1044" i="2"/>
  <c r="D1045" i="2"/>
  <c r="H1045" i="2" s="1"/>
  <c r="E1045" i="2"/>
  <c r="F1045" i="2"/>
  <c r="G1045" i="2"/>
  <c r="D1046" i="2"/>
  <c r="E1046" i="2"/>
  <c r="G1046" i="2"/>
  <c r="H1046" i="2"/>
  <c r="D1047" i="2"/>
  <c r="E1047" i="2"/>
  <c r="G1047" i="2"/>
  <c r="D1048" i="2"/>
  <c r="E1048" i="2"/>
  <c r="G1048" i="2"/>
  <c r="D1049" i="2"/>
  <c r="F1049" i="2" s="1"/>
  <c r="E1049" i="2"/>
  <c r="G1049" i="2"/>
  <c r="H1049" i="2"/>
  <c r="D1050" i="2"/>
  <c r="E1050" i="2"/>
  <c r="F1050" i="2"/>
  <c r="G1050" i="2"/>
  <c r="D1051" i="2"/>
  <c r="E1051" i="2"/>
  <c r="G1051" i="2"/>
  <c r="D1052" i="2"/>
  <c r="E1052" i="2"/>
  <c r="G1052" i="2"/>
  <c r="D1053" i="2"/>
  <c r="H1053" i="2" s="1"/>
  <c r="E1053" i="2"/>
  <c r="G1053" i="2"/>
  <c r="D1054" i="2"/>
  <c r="E1054" i="2"/>
  <c r="G1054" i="2"/>
  <c r="H1054" i="2"/>
  <c r="D1055" i="2"/>
  <c r="E1055" i="2"/>
  <c r="G1055" i="2"/>
  <c r="D1056" i="2"/>
  <c r="E1056" i="2"/>
  <c r="G1056" i="2"/>
  <c r="H1056" i="2"/>
  <c r="D1057" i="2"/>
  <c r="F1057" i="2" s="1"/>
  <c r="E1057" i="2"/>
  <c r="G1057" i="2"/>
  <c r="H1057" i="2"/>
  <c r="D1058" i="2"/>
  <c r="F1058" i="2" s="1"/>
  <c r="E1058" i="2"/>
  <c r="G1058" i="2"/>
  <c r="D1059" i="2"/>
  <c r="E1059" i="2"/>
  <c r="G1059" i="2"/>
  <c r="H1059" i="2"/>
  <c r="D1060" i="2"/>
  <c r="E1060" i="2"/>
  <c r="G1060" i="2"/>
  <c r="D1061" i="2"/>
  <c r="H1061" i="2" s="1"/>
  <c r="E1061" i="2"/>
  <c r="F1061" i="2"/>
  <c r="G1061" i="2"/>
  <c r="D1062" i="2"/>
  <c r="E1062" i="2"/>
  <c r="G1062" i="2"/>
  <c r="H1062" i="2"/>
  <c r="D1063" i="2"/>
  <c r="E1063" i="2"/>
  <c r="G1063" i="2"/>
  <c r="D1064" i="2"/>
  <c r="E1064" i="2"/>
  <c r="G1064" i="2"/>
  <c r="D1065" i="2"/>
  <c r="F1065" i="2" s="1"/>
  <c r="E1065" i="2"/>
  <c r="G1065" i="2"/>
  <c r="H1065" i="2"/>
  <c r="D1066" i="2"/>
  <c r="E1066" i="2"/>
  <c r="F1066" i="2"/>
  <c r="G1066" i="2"/>
  <c r="D1067" i="2"/>
  <c r="E1067" i="2"/>
  <c r="G1067" i="2"/>
  <c r="D1068" i="2"/>
  <c r="E1068" i="2"/>
  <c r="G1068" i="2"/>
  <c r="D1069" i="2"/>
  <c r="E1069" i="2"/>
  <c r="F1069" i="2"/>
  <c r="G1069" i="2"/>
  <c r="D1070" i="2"/>
  <c r="E1070" i="2"/>
  <c r="G1070" i="2"/>
  <c r="H1070" i="2"/>
  <c r="D1071" i="2"/>
  <c r="E1071" i="2"/>
  <c r="G1071" i="2"/>
  <c r="D1072" i="2"/>
  <c r="E1072" i="2"/>
  <c r="F1072" i="2"/>
  <c r="G1072" i="2"/>
  <c r="H1072" i="2"/>
  <c r="D1073" i="2"/>
  <c r="F1073" i="2" s="1"/>
  <c r="E1073" i="2"/>
  <c r="G1073" i="2"/>
  <c r="H1073" i="2"/>
  <c r="D1074" i="2"/>
  <c r="E1074" i="2"/>
  <c r="F1074" i="2"/>
  <c r="G1074" i="2"/>
  <c r="D1075" i="2"/>
  <c r="E1075" i="2"/>
  <c r="G1075" i="2"/>
  <c r="H1075" i="2"/>
  <c r="D1076" i="2"/>
  <c r="E1076" i="2"/>
  <c r="G1076" i="2"/>
  <c r="D1077" i="2"/>
  <c r="H1077" i="2" s="1"/>
  <c r="E1077" i="2"/>
  <c r="F1077" i="2"/>
  <c r="G1077" i="2"/>
  <c r="D1078" i="2"/>
  <c r="E1078" i="2"/>
  <c r="G1078" i="2"/>
  <c r="H1078" i="2"/>
  <c r="D1079" i="2"/>
  <c r="E1079" i="2"/>
  <c r="G1079" i="2"/>
  <c r="D1080" i="2"/>
  <c r="E1080" i="2"/>
  <c r="G1080" i="2"/>
  <c r="D1081" i="2"/>
  <c r="F1081" i="2" s="1"/>
  <c r="E1081" i="2"/>
  <c r="G1081" i="2"/>
  <c r="H1081" i="2"/>
  <c r="D1082" i="2"/>
  <c r="E1082" i="2"/>
  <c r="G1082" i="2"/>
  <c r="D1083" i="2"/>
  <c r="E1083" i="2"/>
  <c r="G1083" i="2"/>
  <c r="D1084" i="2"/>
  <c r="E1084" i="2"/>
  <c r="G1084" i="2"/>
  <c r="D1085" i="2"/>
  <c r="E1085" i="2"/>
  <c r="G1085" i="2"/>
  <c r="D1086" i="2"/>
  <c r="E1086" i="2"/>
  <c r="G1086" i="2"/>
  <c r="H1086" i="2"/>
  <c r="D1087" i="2"/>
  <c r="E1087" i="2"/>
  <c r="G1087" i="2"/>
  <c r="D1088" i="2"/>
  <c r="E1088" i="2"/>
  <c r="F1088" i="2"/>
  <c r="G1088" i="2"/>
  <c r="H1088" i="2"/>
  <c r="D1089" i="2"/>
  <c r="F1089" i="2" s="1"/>
  <c r="E1089" i="2"/>
  <c r="G1089" i="2"/>
  <c r="H1089" i="2"/>
  <c r="D1090" i="2"/>
  <c r="E1090" i="2"/>
  <c r="G1090" i="2"/>
  <c r="D1091" i="2"/>
  <c r="E1091" i="2"/>
  <c r="G1091" i="2"/>
  <c r="H1091" i="2"/>
  <c r="D1092" i="2"/>
  <c r="E1092" i="2"/>
  <c r="G1092" i="2"/>
  <c r="D1093" i="2"/>
  <c r="E1093" i="2"/>
  <c r="G1093" i="2"/>
  <c r="D1094" i="2"/>
  <c r="E1094" i="2"/>
  <c r="G1094" i="2"/>
  <c r="H1094" i="2"/>
  <c r="D1095" i="2"/>
  <c r="E1095" i="2"/>
  <c r="G1095" i="2"/>
  <c r="D1096" i="2"/>
  <c r="E1096" i="2"/>
  <c r="F1096" i="2"/>
  <c r="G1096" i="2"/>
  <c r="D1097" i="2"/>
  <c r="F1097" i="2" s="1"/>
  <c r="E1097" i="2"/>
  <c r="G1097" i="2"/>
  <c r="H1097" i="2"/>
  <c r="D1098" i="2"/>
  <c r="E1098" i="2"/>
  <c r="F1098" i="2"/>
  <c r="G1098" i="2"/>
  <c r="D1099" i="2"/>
  <c r="E1099" i="2"/>
  <c r="G1099" i="2"/>
  <c r="D1100" i="2"/>
  <c r="E1100" i="2"/>
  <c r="G1100" i="2"/>
  <c r="D1101" i="2"/>
  <c r="E1101" i="2"/>
  <c r="G1101" i="2"/>
  <c r="D1102" i="2"/>
  <c r="E1102" i="2"/>
  <c r="G1102" i="2"/>
  <c r="H1102" i="2"/>
  <c r="D1103" i="2"/>
  <c r="E1103" i="2"/>
  <c r="G1103" i="2"/>
  <c r="D1104" i="2"/>
  <c r="E1104" i="2"/>
  <c r="F1104" i="2"/>
  <c r="G1104" i="2"/>
  <c r="H1104" i="2"/>
  <c r="D1105" i="2"/>
  <c r="F1105" i="2" s="1"/>
  <c r="E1105" i="2"/>
  <c r="G1105" i="2"/>
  <c r="H1105" i="2"/>
  <c r="D1106" i="2"/>
  <c r="E1106" i="2"/>
  <c r="F1106" i="2"/>
  <c r="G1106" i="2"/>
  <c r="D1107" i="2"/>
  <c r="E1107" i="2"/>
  <c r="G1107" i="2"/>
  <c r="H1107" i="2"/>
  <c r="D1108" i="2"/>
  <c r="E1108" i="2"/>
  <c r="G1108" i="2"/>
  <c r="D1109" i="2"/>
  <c r="H1109" i="2" s="1"/>
  <c r="E1109" i="2"/>
  <c r="F1109" i="2"/>
  <c r="G1109" i="2"/>
  <c r="D1110" i="2"/>
  <c r="E1110" i="2"/>
  <c r="G1110" i="2"/>
  <c r="H1110" i="2"/>
  <c r="D1111" i="2"/>
  <c r="E1111" i="2"/>
  <c r="G1111" i="2"/>
  <c r="D1112" i="2"/>
  <c r="E1112" i="2"/>
  <c r="G1112" i="2"/>
  <c r="D1113" i="2"/>
  <c r="F1113" i="2" s="1"/>
  <c r="E1113" i="2"/>
  <c r="G1113" i="2"/>
  <c r="H1113" i="2"/>
  <c r="D1114" i="2"/>
  <c r="E1114" i="2"/>
  <c r="F1114" i="2"/>
  <c r="G1114" i="2"/>
  <c r="D1115" i="2"/>
  <c r="E1115" i="2"/>
  <c r="G1115" i="2"/>
  <c r="D1116" i="2"/>
  <c r="E1116" i="2"/>
  <c r="G1116" i="2"/>
  <c r="D1117" i="2"/>
  <c r="H1117" i="2" s="1"/>
  <c r="E1117" i="2"/>
  <c r="G1117" i="2"/>
  <c r="D1118" i="2"/>
  <c r="E1118" i="2"/>
  <c r="G1118" i="2"/>
  <c r="H1118" i="2"/>
  <c r="D1119" i="2"/>
  <c r="E1119" i="2"/>
  <c r="G1119" i="2"/>
  <c r="D1120" i="2"/>
  <c r="E1120" i="2"/>
  <c r="G1120" i="2"/>
  <c r="H1120" i="2"/>
  <c r="D1121" i="2"/>
  <c r="F1121" i="2" s="1"/>
  <c r="E1121" i="2"/>
  <c r="G1121" i="2"/>
  <c r="H1121" i="2"/>
  <c r="D1122" i="2"/>
  <c r="F1122" i="2" s="1"/>
  <c r="E1122" i="2"/>
  <c r="G1122" i="2"/>
  <c r="D1123" i="2"/>
  <c r="E1123" i="2"/>
  <c r="G1123" i="2"/>
  <c r="H1123" i="2"/>
  <c r="D1124" i="2"/>
  <c r="E1124" i="2"/>
  <c r="G1124" i="2"/>
  <c r="D1125" i="2"/>
  <c r="H1125" i="2" s="1"/>
  <c r="E1125" i="2"/>
  <c r="F1125" i="2"/>
  <c r="G1125" i="2"/>
  <c r="D1126" i="2"/>
  <c r="E1126" i="2"/>
  <c r="G1126" i="2"/>
  <c r="H1126" i="2"/>
  <c r="D1127" i="2"/>
  <c r="E1127" i="2"/>
  <c r="G1127" i="2"/>
  <c r="D1128" i="2"/>
  <c r="E1128" i="2"/>
  <c r="G1128" i="2"/>
  <c r="D1129" i="2"/>
  <c r="F1129" i="2" s="1"/>
  <c r="E1129" i="2"/>
  <c r="G1129" i="2"/>
  <c r="H1129" i="2"/>
  <c r="D1130" i="2"/>
  <c r="E1130" i="2"/>
  <c r="F1130" i="2"/>
  <c r="G1130" i="2"/>
  <c r="D1131" i="2"/>
  <c r="E1131" i="2"/>
  <c r="G1131" i="2"/>
  <c r="D1132" i="2"/>
  <c r="E1132" i="2"/>
  <c r="G1132" i="2"/>
  <c r="D1133" i="2"/>
  <c r="E1133" i="2"/>
  <c r="F1133" i="2"/>
  <c r="G1133" i="2"/>
  <c r="D1134" i="2"/>
  <c r="E1134" i="2"/>
  <c r="G1134" i="2"/>
  <c r="H1134" i="2"/>
  <c r="D1135" i="2"/>
  <c r="E1135" i="2"/>
  <c r="G1135" i="2"/>
  <c r="D1136" i="2"/>
  <c r="E1136" i="2"/>
  <c r="F1136" i="2"/>
  <c r="G1136" i="2"/>
  <c r="H1136" i="2"/>
  <c r="D1137" i="2"/>
  <c r="F1137" i="2" s="1"/>
  <c r="E1137" i="2"/>
  <c r="G1137" i="2"/>
  <c r="H1137" i="2"/>
  <c r="D1138" i="2"/>
  <c r="E1138" i="2"/>
  <c r="F1138" i="2"/>
  <c r="G1138" i="2"/>
  <c r="D1139" i="2"/>
  <c r="E1139" i="2"/>
  <c r="G1139" i="2"/>
  <c r="H1139" i="2"/>
  <c r="D1140" i="2"/>
  <c r="E1140" i="2"/>
  <c r="G1140" i="2"/>
  <c r="D1141" i="2"/>
  <c r="H1141" i="2" s="1"/>
  <c r="E1141" i="2"/>
  <c r="F1141" i="2"/>
  <c r="G1141" i="2"/>
  <c r="D1142" i="2"/>
  <c r="E1142" i="2"/>
  <c r="G1142" i="2"/>
  <c r="H1142" i="2"/>
  <c r="D1143" i="2"/>
  <c r="E1143" i="2"/>
  <c r="G1143" i="2"/>
  <c r="D1144" i="2"/>
  <c r="E1144" i="2"/>
  <c r="G1144" i="2"/>
  <c r="D1145" i="2"/>
  <c r="F1145" i="2" s="1"/>
  <c r="E1145" i="2"/>
  <c r="G1145" i="2"/>
  <c r="H1145" i="2"/>
  <c r="D1146" i="2"/>
  <c r="E1146" i="2"/>
  <c r="G1146" i="2"/>
  <c r="D1147" i="2"/>
  <c r="E1147" i="2"/>
  <c r="G1147" i="2"/>
  <c r="D1148" i="2"/>
  <c r="E1148" i="2"/>
  <c r="G1148" i="2"/>
  <c r="D1149" i="2"/>
  <c r="E1149" i="2"/>
  <c r="G1149" i="2"/>
  <c r="D1150" i="2"/>
  <c r="E1150" i="2"/>
  <c r="G1150" i="2"/>
  <c r="H1150" i="2"/>
  <c r="D1151" i="2"/>
  <c r="E1151" i="2"/>
  <c r="G1151" i="2"/>
  <c r="D1152" i="2"/>
  <c r="E1152" i="2"/>
  <c r="F1152" i="2"/>
  <c r="G1152" i="2"/>
  <c r="H1152" i="2"/>
  <c r="D1153" i="2"/>
  <c r="F1153" i="2" s="1"/>
  <c r="E1153" i="2"/>
  <c r="G1153" i="2"/>
  <c r="H1153" i="2"/>
  <c r="D1154" i="2"/>
  <c r="E1154" i="2"/>
  <c r="G1154" i="2"/>
  <c r="D1155" i="2"/>
  <c r="E1155" i="2"/>
  <c r="G1155" i="2"/>
  <c r="D1156" i="2"/>
  <c r="E1156" i="2"/>
  <c r="G1156" i="2"/>
  <c r="D1157" i="2"/>
  <c r="E1157" i="2"/>
  <c r="G1157" i="2"/>
  <c r="D1158" i="2"/>
  <c r="E1158" i="2"/>
  <c r="G1158" i="2"/>
  <c r="H1158" i="2"/>
  <c r="D1159" i="2"/>
  <c r="E1159" i="2"/>
  <c r="G1159" i="2"/>
  <c r="D1160" i="2"/>
  <c r="E1160" i="2"/>
  <c r="F1160" i="2"/>
  <c r="G1160" i="2"/>
  <c r="D1161" i="2"/>
  <c r="F1161" i="2" s="1"/>
  <c r="E1161" i="2"/>
  <c r="G1161" i="2"/>
  <c r="H1161" i="2"/>
  <c r="D1162" i="2"/>
  <c r="E1162" i="2"/>
  <c r="F1162" i="2"/>
  <c r="G1162" i="2"/>
  <c r="D1163" i="2"/>
  <c r="E1163" i="2"/>
  <c r="G1163" i="2"/>
  <c r="D1164" i="2"/>
  <c r="E1164" i="2"/>
  <c r="G1164" i="2"/>
  <c r="D1165" i="2"/>
  <c r="E1165" i="2"/>
  <c r="G1165" i="2"/>
  <c r="D1166" i="2"/>
  <c r="E1166" i="2"/>
  <c r="G1166" i="2"/>
  <c r="H1166" i="2"/>
  <c r="D1167" i="2"/>
  <c r="E1167" i="2"/>
  <c r="G1167" i="2"/>
  <c r="D1168" i="2"/>
  <c r="E1168" i="2"/>
  <c r="F1168" i="2"/>
  <c r="G1168" i="2"/>
  <c r="H1168" i="2"/>
  <c r="D1169" i="2"/>
  <c r="F1169" i="2" s="1"/>
  <c r="E1169" i="2"/>
  <c r="G1169" i="2"/>
  <c r="H1169" i="2"/>
  <c r="D1170" i="2"/>
  <c r="H1170" i="2" s="1"/>
  <c r="E1170" i="2"/>
  <c r="F1170" i="2"/>
  <c r="G1170" i="2"/>
  <c r="D1171" i="2"/>
  <c r="E1171" i="2"/>
  <c r="F1171" i="2"/>
  <c r="G1171" i="2"/>
  <c r="H1171" i="2"/>
  <c r="D1172" i="2"/>
  <c r="E1172" i="2"/>
  <c r="G1172" i="2"/>
  <c r="D1173" i="2"/>
  <c r="E1173" i="2"/>
  <c r="G1173" i="2"/>
  <c r="D1174" i="2"/>
  <c r="E1174" i="2"/>
  <c r="G1174" i="2"/>
  <c r="H1174" i="2"/>
  <c r="D1175" i="2"/>
  <c r="E1175" i="2"/>
  <c r="G1175" i="2"/>
  <c r="D1176" i="2"/>
  <c r="E1176" i="2"/>
  <c r="F1176" i="2"/>
  <c r="G1176" i="2"/>
  <c r="H1176" i="2"/>
  <c r="D1177" i="2"/>
  <c r="F1177" i="2" s="1"/>
  <c r="E1177" i="2"/>
  <c r="G1177" i="2"/>
  <c r="H1177" i="2"/>
  <c r="D1178" i="2"/>
  <c r="H1178" i="2" s="1"/>
  <c r="E1178" i="2"/>
  <c r="F1178" i="2"/>
  <c r="G1178" i="2"/>
  <c r="D1179" i="2"/>
  <c r="E1179" i="2"/>
  <c r="F1179" i="2"/>
  <c r="G1179" i="2"/>
  <c r="H1179" i="2"/>
  <c r="D1180" i="2"/>
  <c r="E1180" i="2"/>
  <c r="G1180" i="2"/>
  <c r="D1181" i="2"/>
  <c r="E1181" i="2"/>
  <c r="G1181" i="2"/>
  <c r="D1182" i="2"/>
  <c r="E1182" i="2"/>
  <c r="G1182" i="2"/>
  <c r="H1182" i="2"/>
  <c r="D1183" i="2"/>
  <c r="E1183" i="2"/>
  <c r="G1183" i="2"/>
  <c r="D1184" i="2"/>
  <c r="E1184" i="2"/>
  <c r="F1184" i="2"/>
  <c r="G1184" i="2"/>
  <c r="H1184" i="2"/>
  <c r="D1185" i="2"/>
  <c r="F1185" i="2" s="1"/>
  <c r="E1185" i="2"/>
  <c r="G1185" i="2"/>
  <c r="H1185" i="2"/>
  <c r="D1186" i="2"/>
  <c r="H1186" i="2" s="1"/>
  <c r="E1186" i="2"/>
  <c r="F1186" i="2"/>
  <c r="G1186" i="2"/>
  <c r="D1187" i="2"/>
  <c r="E1187" i="2"/>
  <c r="F1187" i="2"/>
  <c r="G1187" i="2"/>
  <c r="H1187" i="2"/>
  <c r="D1188" i="2"/>
  <c r="E1188" i="2"/>
  <c r="G1188" i="2"/>
  <c r="D1189" i="2"/>
  <c r="E1189" i="2"/>
  <c r="G1189" i="2"/>
  <c r="D1190" i="2"/>
  <c r="E1190" i="2"/>
  <c r="G1190" i="2"/>
  <c r="H1190" i="2"/>
  <c r="D1191" i="2"/>
  <c r="E1191" i="2"/>
  <c r="G1191" i="2"/>
  <c r="D1192" i="2"/>
  <c r="E1192" i="2"/>
  <c r="F1192" i="2"/>
  <c r="G1192" i="2"/>
  <c r="H1192" i="2"/>
  <c r="D1193" i="2"/>
  <c r="F1193" i="2" s="1"/>
  <c r="E1193" i="2"/>
  <c r="G1193" i="2"/>
  <c r="H1193" i="2"/>
  <c r="D1194" i="2"/>
  <c r="H1194" i="2" s="1"/>
  <c r="E1194" i="2"/>
  <c r="F1194" i="2"/>
  <c r="G1194" i="2"/>
  <c r="D1195" i="2"/>
  <c r="E1195" i="2"/>
  <c r="F1195" i="2"/>
  <c r="G1195" i="2"/>
  <c r="H1195" i="2"/>
  <c r="D1196" i="2"/>
  <c r="E1196" i="2"/>
  <c r="G1196" i="2"/>
  <c r="D1197" i="2"/>
  <c r="E1197" i="2"/>
  <c r="G1197" i="2"/>
  <c r="D1198" i="2"/>
  <c r="E1198" i="2"/>
  <c r="G1198" i="2"/>
  <c r="H1198" i="2"/>
  <c r="D1199" i="2"/>
  <c r="E1199" i="2"/>
  <c r="G1199" i="2"/>
  <c r="D1200" i="2"/>
  <c r="E1200" i="2"/>
  <c r="F1200" i="2"/>
  <c r="G1200" i="2"/>
  <c r="H1200" i="2"/>
  <c r="D1201" i="2"/>
  <c r="F1201" i="2" s="1"/>
  <c r="E1201" i="2"/>
  <c r="G1201" i="2"/>
  <c r="H1201" i="2"/>
  <c r="D1202" i="2"/>
  <c r="H1202" i="2" s="1"/>
  <c r="E1202" i="2"/>
  <c r="F1202" i="2"/>
  <c r="G1202" i="2"/>
  <c r="D1203" i="2"/>
  <c r="E1203" i="2"/>
  <c r="F1203" i="2"/>
  <c r="G1203" i="2"/>
  <c r="H1203" i="2"/>
  <c r="D1204" i="2"/>
  <c r="E1204" i="2"/>
  <c r="G1204" i="2"/>
  <c r="D1205" i="2"/>
  <c r="E1205" i="2"/>
  <c r="G1205" i="2"/>
  <c r="D1206" i="2"/>
  <c r="E1206" i="2"/>
  <c r="G1206" i="2"/>
  <c r="H1206" i="2"/>
  <c r="D1207" i="2"/>
  <c r="E1207" i="2"/>
  <c r="G1207" i="2"/>
  <c r="D1208" i="2"/>
  <c r="E1208" i="2"/>
  <c r="F1208" i="2"/>
  <c r="G1208" i="2"/>
  <c r="H1208" i="2"/>
  <c r="D1209" i="2"/>
  <c r="F1209" i="2" s="1"/>
  <c r="E1209" i="2"/>
  <c r="G1209" i="2"/>
  <c r="H1209" i="2"/>
  <c r="D1210" i="2"/>
  <c r="H1210" i="2" s="1"/>
  <c r="E1210" i="2"/>
  <c r="F1210" i="2"/>
  <c r="G1210" i="2"/>
  <c r="D1211" i="2"/>
  <c r="E1211" i="2"/>
  <c r="F1211" i="2"/>
  <c r="G1211" i="2"/>
  <c r="H1211" i="2"/>
  <c r="D1212" i="2"/>
  <c r="E1212" i="2"/>
  <c r="G1212" i="2"/>
  <c r="D1213" i="2"/>
  <c r="F1213" i="2" s="1"/>
  <c r="E1213" i="2"/>
  <c r="G1213" i="2"/>
  <c r="D1214" i="2"/>
  <c r="E1214" i="2"/>
  <c r="G1214" i="2"/>
  <c r="H1214" i="2"/>
  <c r="D1215" i="2"/>
  <c r="E1215" i="2"/>
  <c r="G1215" i="2"/>
  <c r="D1216" i="2"/>
  <c r="E1216" i="2"/>
  <c r="F1216" i="2"/>
  <c r="G1216" i="2"/>
  <c r="H1216" i="2"/>
  <c r="D1217" i="2"/>
  <c r="F1217" i="2" s="1"/>
  <c r="E1217" i="2"/>
  <c r="G1217" i="2"/>
  <c r="H1217" i="2"/>
  <c r="D1218" i="2"/>
  <c r="H1218" i="2" s="1"/>
  <c r="E1218" i="2"/>
  <c r="F1218" i="2"/>
  <c r="G1218" i="2"/>
  <c r="D1219" i="2"/>
  <c r="E1219" i="2"/>
  <c r="F1219" i="2"/>
  <c r="G1219" i="2"/>
  <c r="H1219" i="2"/>
  <c r="D1220" i="2"/>
  <c r="E1220" i="2"/>
  <c r="G1220" i="2"/>
  <c r="D1221" i="2"/>
  <c r="F1221" i="2" s="1"/>
  <c r="E1221" i="2"/>
  <c r="G1221" i="2"/>
  <c r="D1222" i="2"/>
  <c r="E1222" i="2"/>
  <c r="F1222" i="2"/>
  <c r="G1222" i="2"/>
  <c r="H1222" i="2"/>
  <c r="D1223" i="2"/>
  <c r="E1223" i="2"/>
  <c r="G1223" i="2"/>
  <c r="D1224" i="2"/>
  <c r="E1224" i="2"/>
  <c r="F1224" i="2"/>
  <c r="G1224" i="2"/>
  <c r="D1225" i="2"/>
  <c r="F1225" i="2" s="1"/>
  <c r="E1225" i="2"/>
  <c r="G1225" i="2"/>
  <c r="H1225" i="2"/>
  <c r="D1226" i="2"/>
  <c r="E1226" i="2"/>
  <c r="F1226" i="2"/>
  <c r="G1226" i="2"/>
  <c r="D1227" i="2"/>
  <c r="E1227" i="2"/>
  <c r="G1227" i="2"/>
  <c r="D1228" i="2"/>
  <c r="E1228" i="2"/>
  <c r="G1228" i="2"/>
  <c r="D1229" i="2"/>
  <c r="F1229" i="2" s="1"/>
  <c r="E1229" i="2"/>
  <c r="G1229" i="2"/>
  <c r="D1230" i="2"/>
  <c r="E1230" i="2"/>
  <c r="F1230" i="2"/>
  <c r="G1230" i="2"/>
  <c r="H1230" i="2"/>
  <c r="D1231" i="2"/>
  <c r="E1231" i="2"/>
  <c r="G1231" i="2"/>
  <c r="D1232" i="2"/>
  <c r="E1232" i="2"/>
  <c r="G1232" i="2"/>
  <c r="D1233" i="2"/>
  <c r="E1233" i="2"/>
  <c r="G1233" i="2"/>
  <c r="D1234" i="2"/>
  <c r="E1234" i="2"/>
  <c r="G1234" i="2"/>
  <c r="D1235" i="2"/>
  <c r="E1235" i="2"/>
  <c r="G1235" i="2"/>
  <c r="D1236" i="2"/>
  <c r="F1236" i="2" s="1"/>
  <c r="E1236" i="2"/>
  <c r="G1236" i="2"/>
  <c r="H1236" i="2"/>
  <c r="D1237" i="2"/>
  <c r="E1237" i="2"/>
  <c r="F1237" i="2"/>
  <c r="G1237" i="2"/>
  <c r="D1238" i="2"/>
  <c r="E1238" i="2"/>
  <c r="F1238" i="2"/>
  <c r="G1238" i="2"/>
  <c r="H1238" i="2"/>
  <c r="D1239" i="2"/>
  <c r="E1239" i="2"/>
  <c r="G1239" i="2"/>
  <c r="D1240" i="2"/>
  <c r="F1240" i="2" s="1"/>
  <c r="E1240" i="2"/>
  <c r="G1240" i="2"/>
  <c r="D1241" i="2"/>
  <c r="F1241" i="2" s="1"/>
  <c r="E1241" i="2"/>
  <c r="G1241" i="2"/>
  <c r="H1241" i="2"/>
  <c r="D1242" i="2"/>
  <c r="H1242" i="2" s="1"/>
  <c r="E1242" i="2"/>
  <c r="F1242" i="2"/>
  <c r="G1242" i="2"/>
  <c r="D1243" i="2"/>
  <c r="E1243" i="2"/>
  <c r="F1243" i="2"/>
  <c r="G1243" i="2"/>
  <c r="H1243" i="2"/>
  <c r="D1244" i="2"/>
  <c r="F1244" i="2" s="1"/>
  <c r="E1244" i="2"/>
  <c r="G1244" i="2"/>
  <c r="H1244" i="2"/>
  <c r="D1245" i="2"/>
  <c r="E1245" i="2"/>
  <c r="G1245" i="2"/>
  <c r="D1246" i="2"/>
  <c r="E1246" i="2"/>
  <c r="G1246" i="2"/>
  <c r="D1247" i="2"/>
  <c r="E1247" i="2"/>
  <c r="G1247" i="2"/>
  <c r="D1248" i="2"/>
  <c r="F1248" i="2" s="1"/>
  <c r="E1248" i="2"/>
  <c r="G1248" i="2"/>
  <c r="H1248" i="2"/>
  <c r="D1249" i="2"/>
  <c r="F1249" i="2" s="1"/>
  <c r="E1249" i="2"/>
  <c r="G1249" i="2"/>
  <c r="H1249" i="2"/>
  <c r="D1250" i="2"/>
  <c r="H1250" i="2" s="1"/>
  <c r="E1250" i="2"/>
  <c r="F1250" i="2"/>
  <c r="G1250" i="2"/>
  <c r="D1251" i="2"/>
  <c r="E1251" i="2"/>
  <c r="G1251" i="2"/>
  <c r="H1251" i="2"/>
  <c r="D1252" i="2"/>
  <c r="F1252" i="2" s="1"/>
  <c r="E1252" i="2"/>
  <c r="G1252" i="2"/>
  <c r="H1252" i="2"/>
  <c r="D1253" i="2"/>
  <c r="F1253" i="2" s="1"/>
  <c r="E1253" i="2"/>
  <c r="G1253" i="2"/>
  <c r="D1254" i="2"/>
  <c r="E1254" i="2"/>
  <c r="F1254" i="2"/>
  <c r="G1254" i="2"/>
  <c r="H1254" i="2"/>
  <c r="D1255" i="2"/>
  <c r="H1255" i="2" s="1"/>
  <c r="E1255" i="2"/>
  <c r="G1255" i="2"/>
  <c r="D1256" i="2"/>
  <c r="E1256" i="2"/>
  <c r="G1256" i="2"/>
  <c r="D1257" i="2"/>
  <c r="E1257" i="2"/>
  <c r="G1257" i="2"/>
  <c r="D1258" i="2"/>
  <c r="E1258" i="2"/>
  <c r="G1258" i="2"/>
  <c r="D1259" i="2"/>
  <c r="E1259" i="2"/>
  <c r="F1259" i="2"/>
  <c r="G1259" i="2"/>
  <c r="D1260" i="2"/>
  <c r="E1260" i="2"/>
  <c r="F1260" i="2"/>
  <c r="G1260" i="2"/>
  <c r="H1260" i="2"/>
  <c r="D1261" i="2"/>
  <c r="E1261" i="2"/>
  <c r="G1261" i="2"/>
  <c r="D1262" i="2"/>
  <c r="E1262" i="2"/>
  <c r="G1262" i="2"/>
  <c r="H1262" i="2"/>
  <c r="D1263" i="2"/>
  <c r="F1263" i="2" s="1"/>
  <c r="E1263" i="2"/>
  <c r="G1263" i="2"/>
  <c r="D1264" i="2"/>
  <c r="E1264" i="2"/>
  <c r="F1264" i="2"/>
  <c r="G1264" i="2"/>
  <c r="H1264" i="2"/>
  <c r="D1265" i="2"/>
  <c r="F1265" i="2" s="1"/>
  <c r="E1265" i="2"/>
  <c r="G1265" i="2"/>
  <c r="D1266" i="2"/>
  <c r="E1266" i="2"/>
  <c r="F1266" i="2"/>
  <c r="G1266" i="2"/>
  <c r="D1267" i="2"/>
  <c r="E1267" i="2"/>
  <c r="G1267" i="2"/>
  <c r="D1268" i="2"/>
  <c r="E1268" i="2"/>
  <c r="G1268" i="2"/>
  <c r="D1269" i="2"/>
  <c r="E1269" i="2"/>
  <c r="F1269" i="2"/>
  <c r="G1269" i="2"/>
  <c r="D1270" i="2"/>
  <c r="E1270" i="2"/>
  <c r="F1270" i="2"/>
  <c r="G1270" i="2"/>
  <c r="H1270" i="2"/>
  <c r="D1271" i="2"/>
  <c r="E1271" i="2"/>
  <c r="G1271" i="2"/>
  <c r="D1272" i="2"/>
  <c r="E1272" i="2"/>
  <c r="G1272" i="2"/>
  <c r="D1273" i="2"/>
  <c r="E1273" i="2"/>
  <c r="G1273" i="2"/>
  <c r="D1274" i="2"/>
  <c r="F1275" i="2" s="1"/>
  <c r="E1274" i="2"/>
  <c r="G1274" i="2"/>
  <c r="D1275" i="2"/>
  <c r="E1275" i="2"/>
  <c r="G1275" i="2"/>
  <c r="D1276" i="2"/>
  <c r="E1276" i="2"/>
  <c r="G1276" i="2"/>
  <c r="D1277" i="2"/>
  <c r="E1277" i="2"/>
  <c r="G1277" i="2"/>
  <c r="D1278" i="2"/>
  <c r="E1278" i="2"/>
  <c r="G1278" i="2"/>
  <c r="D1279" i="2"/>
  <c r="E1279" i="2"/>
  <c r="G1279" i="2"/>
  <c r="D1280" i="2"/>
  <c r="F1280" i="2" s="1"/>
  <c r="E1280" i="2"/>
  <c r="G1280" i="2"/>
  <c r="D1281" i="2"/>
  <c r="E1281" i="2"/>
  <c r="G1281" i="2"/>
  <c r="D1282" i="2"/>
  <c r="F1283" i="2" s="1"/>
  <c r="E1282" i="2"/>
  <c r="G1282" i="2"/>
  <c r="H1282" i="2"/>
  <c r="D1283" i="2"/>
  <c r="E1283" i="2"/>
  <c r="G1283" i="2"/>
  <c r="D1284" i="2"/>
  <c r="E1284" i="2"/>
  <c r="F1284" i="2"/>
  <c r="G1284" i="2"/>
  <c r="H1284" i="2"/>
  <c r="D1285" i="2"/>
  <c r="F1285" i="2" s="1"/>
  <c r="E1285" i="2"/>
  <c r="G1285" i="2"/>
  <c r="D1286" i="2"/>
  <c r="H1286" i="2" s="1"/>
  <c r="E1286" i="2"/>
  <c r="F1286" i="2"/>
  <c r="G1286" i="2"/>
  <c r="D1287" i="2"/>
  <c r="F1287" i="2" s="1"/>
  <c r="E1287" i="2"/>
  <c r="G1287" i="2"/>
  <c r="D1288" i="2"/>
  <c r="E1288" i="2"/>
  <c r="G1288" i="2"/>
  <c r="D1289" i="2"/>
  <c r="E1289" i="2"/>
  <c r="G1289" i="2"/>
  <c r="D1290" i="2"/>
  <c r="E1290" i="2"/>
  <c r="G1290" i="2"/>
  <c r="D1291" i="2"/>
  <c r="E1291" i="2"/>
  <c r="F1291" i="2"/>
  <c r="G1291" i="2"/>
  <c r="D1292" i="2"/>
  <c r="E1292" i="2"/>
  <c r="F1292" i="2"/>
  <c r="G1292" i="2"/>
  <c r="H1292" i="2"/>
  <c r="D1293" i="2"/>
  <c r="E1293" i="2"/>
  <c r="G1293" i="2"/>
  <c r="D1294" i="2"/>
  <c r="E1294" i="2"/>
  <c r="G1294" i="2"/>
  <c r="D1295" i="2"/>
  <c r="F1295" i="2" s="1"/>
  <c r="E1295" i="2"/>
  <c r="G1295" i="2"/>
  <c r="D1296" i="2"/>
  <c r="E1296" i="2"/>
  <c r="F1296" i="2"/>
  <c r="G1296" i="2"/>
  <c r="H1296" i="2"/>
  <c r="D1297" i="2"/>
  <c r="F1297" i="2" s="1"/>
  <c r="E1297" i="2"/>
  <c r="G1297" i="2"/>
  <c r="D1298" i="2"/>
  <c r="E1298" i="2"/>
  <c r="F1298" i="2"/>
  <c r="G1298" i="2"/>
  <c r="D1299" i="2"/>
  <c r="E1299" i="2"/>
  <c r="G1299" i="2"/>
  <c r="H1299" i="2"/>
  <c r="D1300" i="2"/>
  <c r="E1300" i="2"/>
  <c r="G1300" i="2"/>
  <c r="D1301" i="2"/>
  <c r="E1301" i="2"/>
  <c r="F1301" i="2"/>
  <c r="G1301" i="2"/>
  <c r="D1302" i="2"/>
  <c r="E1302" i="2"/>
  <c r="F1302" i="2"/>
  <c r="G1302" i="2"/>
  <c r="H1302" i="2"/>
  <c r="D1303" i="2"/>
  <c r="E1303" i="2"/>
  <c r="G1303" i="2"/>
  <c r="D1304" i="2"/>
  <c r="F1304" i="2" s="1"/>
  <c r="E1304" i="2"/>
  <c r="G1304" i="2"/>
  <c r="D1305" i="2"/>
  <c r="E1305" i="2"/>
  <c r="G1305" i="2"/>
  <c r="D1306" i="2"/>
  <c r="F1307" i="2" s="1"/>
  <c r="E1306" i="2"/>
  <c r="G1306" i="2"/>
  <c r="D1307" i="2"/>
  <c r="E1307" i="2"/>
  <c r="G1307" i="2"/>
  <c r="D1308" i="2"/>
  <c r="E1308" i="2"/>
  <c r="G1308" i="2"/>
  <c r="D1309" i="2"/>
  <c r="E1309" i="2"/>
  <c r="G1309" i="2"/>
  <c r="D1310" i="2"/>
  <c r="E1310" i="2"/>
  <c r="G1310" i="2"/>
  <c r="D1311" i="2"/>
  <c r="E1311" i="2"/>
  <c r="G1311" i="2"/>
  <c r="D1312" i="2"/>
  <c r="F1312" i="2" s="1"/>
  <c r="E1312" i="2"/>
  <c r="G1312" i="2"/>
  <c r="D1313" i="2"/>
  <c r="E1313" i="2"/>
  <c r="G1313" i="2"/>
  <c r="D1314" i="2"/>
  <c r="F1315" i="2" s="1"/>
  <c r="E1314" i="2"/>
  <c r="G1314" i="2"/>
  <c r="H1314" i="2"/>
  <c r="D1315" i="2"/>
  <c r="E1315" i="2"/>
  <c r="G1315" i="2"/>
  <c r="D1316" i="2"/>
  <c r="E1316" i="2"/>
  <c r="F1316" i="2"/>
  <c r="G1316" i="2"/>
  <c r="H1316" i="2"/>
  <c r="D1317" i="2"/>
  <c r="F1317" i="2" s="1"/>
  <c r="E1317" i="2"/>
  <c r="G1317" i="2"/>
  <c r="D1318" i="2"/>
  <c r="H1318" i="2" s="1"/>
  <c r="E1318" i="2"/>
  <c r="F1318" i="2"/>
  <c r="G1318" i="2"/>
  <c r="D1319" i="2"/>
  <c r="F1319" i="2" s="1"/>
  <c r="E1319" i="2"/>
  <c r="G1319" i="2"/>
  <c r="D1320" i="2"/>
  <c r="E1320" i="2"/>
  <c r="G1320" i="2"/>
  <c r="D1321" i="2"/>
  <c r="E1321" i="2"/>
  <c r="G1321" i="2"/>
  <c r="H1321" i="2"/>
  <c r="D1322" i="2"/>
  <c r="E1322" i="2"/>
  <c r="G1322" i="2"/>
  <c r="D1323" i="2"/>
  <c r="E1323" i="2"/>
  <c r="F1323" i="2"/>
  <c r="G1323" i="2"/>
  <c r="D1324" i="2"/>
  <c r="E1324" i="2"/>
  <c r="F1324" i="2"/>
  <c r="G1324" i="2"/>
  <c r="H1324" i="2"/>
  <c r="D1325" i="2"/>
  <c r="E1325" i="2"/>
  <c r="G1325" i="2"/>
  <c r="D1326" i="2"/>
  <c r="E1326" i="2"/>
  <c r="G1326" i="2"/>
  <c r="D1327" i="2"/>
  <c r="F1327" i="2" s="1"/>
  <c r="E1327" i="2"/>
  <c r="G1327" i="2"/>
  <c r="D1328" i="2"/>
  <c r="E1328" i="2"/>
  <c r="F1328" i="2"/>
  <c r="G1328" i="2"/>
  <c r="H1328" i="2"/>
  <c r="D1329" i="2"/>
  <c r="F1329" i="2" s="1"/>
  <c r="E1329" i="2"/>
  <c r="G1329" i="2"/>
  <c r="D1330" i="2"/>
  <c r="E1330" i="2"/>
  <c r="G1330" i="2"/>
  <c r="D1331" i="2"/>
  <c r="E1331" i="2"/>
  <c r="G1331" i="2"/>
  <c r="H1331" i="2"/>
  <c r="D1332" i="2"/>
  <c r="E1332" i="2"/>
  <c r="G1332" i="2"/>
  <c r="D1333" i="2"/>
  <c r="E1333" i="2"/>
  <c r="G1333" i="2"/>
  <c r="D1334" i="2"/>
  <c r="E1334" i="2"/>
  <c r="F1334" i="2"/>
  <c r="G1334" i="2"/>
  <c r="H1334" i="2"/>
  <c r="D1335" i="2"/>
  <c r="E1335" i="2"/>
  <c r="G1335" i="2"/>
  <c r="D1336" i="2"/>
  <c r="F1336" i="2" s="1"/>
  <c r="E1336" i="2"/>
  <c r="G1336" i="2"/>
  <c r="D1337" i="2"/>
  <c r="E1337" i="2"/>
  <c r="G1337" i="2"/>
  <c r="D1338" i="2"/>
  <c r="F1339" i="2" s="1"/>
  <c r="E1338" i="2"/>
  <c r="F1338" i="2"/>
  <c r="G1338" i="2"/>
  <c r="D1339" i="2"/>
  <c r="E1339" i="2"/>
  <c r="G1339" i="2"/>
  <c r="D1340" i="2"/>
  <c r="E1340" i="2"/>
  <c r="F1340" i="2"/>
  <c r="G1340" i="2"/>
  <c r="D1341" i="2"/>
  <c r="E1341" i="2"/>
  <c r="G1341" i="2"/>
  <c r="D1342" i="2"/>
  <c r="E1342" i="2"/>
  <c r="G1342" i="2"/>
  <c r="D1343" i="2"/>
  <c r="E1343" i="2"/>
  <c r="G1343" i="2"/>
  <c r="D1344" i="2"/>
  <c r="F1344" i="2" s="1"/>
  <c r="E1344" i="2"/>
  <c r="G1344" i="2"/>
  <c r="D1345" i="2"/>
  <c r="E1345" i="2"/>
  <c r="G1345" i="2"/>
  <c r="D1346" i="2"/>
  <c r="F1347" i="2" s="1"/>
  <c r="E1346" i="2"/>
  <c r="G1346" i="2"/>
  <c r="D1347" i="2"/>
  <c r="E1347" i="2"/>
  <c r="G1347" i="2"/>
  <c r="D1348" i="2"/>
  <c r="E1348" i="2"/>
  <c r="F1348" i="2"/>
  <c r="G1348" i="2"/>
  <c r="H1348" i="2"/>
  <c r="D1349" i="2"/>
  <c r="F1349" i="2" s="1"/>
  <c r="E1349" i="2"/>
  <c r="G1349" i="2"/>
  <c r="D1350" i="2"/>
  <c r="H1350" i="2" s="1"/>
  <c r="E1350" i="2"/>
  <c r="F1350" i="2"/>
  <c r="G1350" i="2"/>
  <c r="D1351" i="2"/>
  <c r="F1351" i="2" s="1"/>
  <c r="E1351" i="2"/>
  <c r="G1351" i="2"/>
  <c r="D1352" i="2"/>
  <c r="E1352" i="2"/>
  <c r="G1352" i="2"/>
  <c r="D1353" i="2"/>
  <c r="E1353" i="2"/>
  <c r="G1353" i="2"/>
  <c r="H1353" i="2"/>
  <c r="D1354" i="2"/>
  <c r="E1354" i="2"/>
  <c r="G1354" i="2"/>
  <c r="D1355" i="2"/>
  <c r="E1355" i="2"/>
  <c r="G1355" i="2"/>
  <c r="D1356" i="2"/>
  <c r="E1356" i="2"/>
  <c r="F1356" i="2"/>
  <c r="G1356" i="2"/>
  <c r="H1356" i="2"/>
  <c r="D1357" i="2"/>
  <c r="E1357" i="2"/>
  <c r="G1357" i="2"/>
  <c r="D1358" i="2"/>
  <c r="E1358" i="2"/>
  <c r="G1358" i="2"/>
  <c r="D1359" i="2"/>
  <c r="F1359" i="2" s="1"/>
  <c r="E1359" i="2"/>
  <c r="G1359" i="2"/>
  <c r="D1360" i="2"/>
  <c r="E1360" i="2"/>
  <c r="F1360" i="2"/>
  <c r="G1360" i="2"/>
  <c r="H1360" i="2"/>
  <c r="D1361" i="2"/>
  <c r="F1361" i="2" s="1"/>
  <c r="E1361" i="2"/>
  <c r="G1361" i="2"/>
  <c r="D1362" i="2"/>
  <c r="E1362" i="2"/>
  <c r="G1362" i="2"/>
  <c r="D1363" i="2"/>
  <c r="E1363" i="2"/>
  <c r="G1363" i="2"/>
  <c r="D1364" i="2"/>
  <c r="E1364" i="2"/>
  <c r="G1364" i="2"/>
  <c r="D1365" i="2"/>
  <c r="E1365" i="2"/>
  <c r="G1365" i="2"/>
  <c r="D1366" i="2"/>
  <c r="E1366" i="2"/>
  <c r="F1366" i="2"/>
  <c r="G1366" i="2"/>
  <c r="H1366" i="2"/>
  <c r="D1367" i="2"/>
  <c r="E1367" i="2"/>
  <c r="G1367" i="2"/>
  <c r="D1368" i="2"/>
  <c r="F1368" i="2" s="1"/>
  <c r="E1368" i="2"/>
  <c r="G1368" i="2"/>
  <c r="D1369" i="2"/>
  <c r="E1369" i="2"/>
  <c r="G1369" i="2"/>
  <c r="D1370" i="2"/>
  <c r="F1371" i="2" s="1"/>
  <c r="E1370" i="2"/>
  <c r="F1370" i="2"/>
  <c r="G1370" i="2"/>
  <c r="D1371" i="2"/>
  <c r="E1371" i="2"/>
  <c r="G1371" i="2"/>
  <c r="D1372" i="2"/>
  <c r="H1372" i="2" s="1"/>
  <c r="E1372" i="2"/>
  <c r="F1372" i="2"/>
  <c r="G1372" i="2"/>
  <c r="D1373" i="2"/>
  <c r="E1373" i="2"/>
  <c r="G1373" i="2"/>
  <c r="H1373" i="2"/>
  <c r="D1374" i="2"/>
  <c r="E1374" i="2"/>
  <c r="G1374" i="2"/>
  <c r="D1375" i="2"/>
  <c r="E1375" i="2"/>
  <c r="G1375" i="2"/>
  <c r="D1376" i="2"/>
  <c r="F1376" i="2" s="1"/>
  <c r="E1376" i="2"/>
  <c r="G1376" i="2"/>
  <c r="D1377" i="2"/>
  <c r="E1377" i="2"/>
  <c r="G1377" i="2"/>
  <c r="D1378" i="2"/>
  <c r="F1379" i="2" s="1"/>
  <c r="E1378" i="2"/>
  <c r="G1378" i="2"/>
  <c r="D1379" i="2"/>
  <c r="E1379" i="2"/>
  <c r="G1379" i="2"/>
  <c r="D1380" i="2"/>
  <c r="E1380" i="2"/>
  <c r="F1380" i="2"/>
  <c r="G1380" i="2"/>
  <c r="H1380" i="2"/>
  <c r="D1381" i="2"/>
  <c r="F1381" i="2" s="1"/>
  <c r="E1381" i="2"/>
  <c r="G1381" i="2"/>
  <c r="D1382" i="2"/>
  <c r="H1382" i="2" s="1"/>
  <c r="E1382" i="2"/>
  <c r="F1382" i="2"/>
  <c r="G1382" i="2"/>
  <c r="D1383" i="2"/>
  <c r="F1383" i="2" s="1"/>
  <c r="E1383" i="2"/>
  <c r="G1383" i="2"/>
  <c r="D1384" i="2"/>
  <c r="E1384" i="2"/>
  <c r="G1384" i="2"/>
  <c r="D1385" i="2"/>
  <c r="E1385" i="2"/>
  <c r="G1385" i="2"/>
  <c r="H1385" i="2"/>
  <c r="D1386" i="2"/>
  <c r="E1386" i="2"/>
  <c r="G1386" i="2"/>
  <c r="D1387" i="2"/>
  <c r="E1387" i="2"/>
  <c r="G1387" i="2"/>
  <c r="D1388" i="2"/>
  <c r="E1388" i="2"/>
  <c r="F1388" i="2"/>
  <c r="G1388" i="2"/>
  <c r="H1388" i="2"/>
  <c r="D1389" i="2"/>
  <c r="E1389" i="2"/>
  <c r="G1389" i="2"/>
  <c r="D1390" i="2"/>
  <c r="E1390" i="2"/>
  <c r="G1390" i="2"/>
  <c r="D1391" i="2"/>
  <c r="E1391" i="2"/>
  <c r="G1391" i="2"/>
  <c r="D1392" i="2"/>
  <c r="E1392" i="2"/>
  <c r="F1392" i="2"/>
  <c r="G1392" i="2"/>
  <c r="H1392" i="2"/>
  <c r="D1393" i="2"/>
  <c r="F1393" i="2" s="1"/>
  <c r="E1393" i="2"/>
  <c r="G1393" i="2"/>
  <c r="D1394" i="2"/>
  <c r="E1394" i="2"/>
  <c r="G1394" i="2"/>
  <c r="D1395" i="2"/>
  <c r="E1395" i="2"/>
  <c r="G1395" i="2"/>
  <c r="H1395" i="2"/>
  <c r="D1396" i="2"/>
  <c r="E1396" i="2"/>
  <c r="G1396" i="2"/>
  <c r="D1397" i="2"/>
  <c r="E1397" i="2"/>
  <c r="G1397" i="2"/>
  <c r="D1398" i="2"/>
  <c r="E1398" i="2"/>
  <c r="F1398" i="2"/>
  <c r="G1398" i="2"/>
  <c r="H1398" i="2"/>
  <c r="D1399" i="2"/>
  <c r="E1399" i="2"/>
  <c r="G1399" i="2"/>
  <c r="D1400" i="2"/>
  <c r="F1400" i="2" s="1"/>
  <c r="E1400" i="2"/>
  <c r="G1400" i="2"/>
  <c r="D1401" i="2"/>
  <c r="E1401" i="2"/>
  <c r="G1401" i="2"/>
  <c r="D1402" i="2"/>
  <c r="E1402" i="2"/>
  <c r="G1402" i="2"/>
  <c r="D1403" i="2"/>
  <c r="E1403" i="2"/>
  <c r="G1403" i="2"/>
  <c r="D1404" i="2"/>
  <c r="E1404" i="2"/>
  <c r="G1404" i="2"/>
  <c r="D1405" i="2"/>
  <c r="E1405" i="2"/>
  <c r="G1405" i="2"/>
  <c r="D1406" i="2"/>
  <c r="E1406" i="2"/>
  <c r="G1406" i="2"/>
  <c r="D1407" i="2"/>
  <c r="E1407" i="2"/>
  <c r="G1407" i="2"/>
  <c r="D1408" i="2"/>
  <c r="F1408" i="2" s="1"/>
  <c r="E1408" i="2"/>
  <c r="G1408" i="2"/>
  <c r="D1409" i="2"/>
  <c r="E1409" i="2"/>
  <c r="G1409" i="2"/>
  <c r="D1410" i="2"/>
  <c r="E1410" i="2"/>
  <c r="F1410" i="2"/>
  <c r="G1410" i="2"/>
  <c r="H1410" i="2"/>
  <c r="D1411" i="2"/>
  <c r="E1411" i="2"/>
  <c r="G1411" i="2"/>
  <c r="D1412" i="2"/>
  <c r="E1412" i="2"/>
  <c r="F1412" i="2"/>
  <c r="G1412" i="2"/>
  <c r="H1412" i="2"/>
  <c r="D1413" i="2"/>
  <c r="E1413" i="2"/>
  <c r="G1413" i="2"/>
  <c r="D1414" i="2"/>
  <c r="E1414" i="2"/>
  <c r="F1414" i="2"/>
  <c r="G1414" i="2"/>
  <c r="H1414" i="2"/>
  <c r="D1415" i="2"/>
  <c r="E1415" i="2"/>
  <c r="G1415" i="2"/>
  <c r="D1416" i="2"/>
  <c r="E1416" i="2"/>
  <c r="G1416" i="2"/>
  <c r="D1417" i="2"/>
  <c r="E1417" i="2"/>
  <c r="G1417" i="2"/>
  <c r="D1418" i="2"/>
  <c r="H1419" i="2" s="1"/>
  <c r="E1418" i="2"/>
  <c r="G1418" i="2"/>
  <c r="H1418" i="2"/>
  <c r="D1419" i="2"/>
  <c r="E1419" i="2"/>
  <c r="G1419" i="2"/>
  <c r="D1420" i="2"/>
  <c r="E1420" i="2"/>
  <c r="F1420" i="2"/>
  <c r="G1420" i="2"/>
  <c r="H1420" i="2"/>
  <c r="D1421" i="2"/>
  <c r="E1421" i="2"/>
  <c r="G1421" i="2"/>
  <c r="D1422" i="2"/>
  <c r="E1422" i="2"/>
  <c r="F1422" i="2"/>
  <c r="G1422" i="2"/>
  <c r="H1422" i="2"/>
  <c r="D1423" i="2"/>
  <c r="E1423" i="2"/>
  <c r="G1423" i="2"/>
  <c r="D1424" i="2"/>
  <c r="E1424" i="2"/>
  <c r="F1424" i="2"/>
  <c r="G1424" i="2"/>
  <c r="H1424" i="2"/>
  <c r="D1425" i="2"/>
  <c r="E1425" i="2"/>
  <c r="G1425" i="2"/>
  <c r="D1426" i="2"/>
  <c r="F1427" i="2" s="1"/>
  <c r="E1426" i="2"/>
  <c r="F1426" i="2"/>
  <c r="G1426" i="2"/>
  <c r="H1426" i="2"/>
  <c r="D1427" i="2"/>
  <c r="E1427" i="2"/>
  <c r="G1427" i="2"/>
  <c r="H1427" i="2"/>
  <c r="D1428" i="2"/>
  <c r="H1429" i="2" s="1"/>
  <c r="E1428" i="2"/>
  <c r="F1428" i="2"/>
  <c r="G1428" i="2"/>
  <c r="D1429" i="2"/>
  <c r="E1429" i="2"/>
  <c r="F1429" i="2"/>
  <c r="G1429" i="2"/>
  <c r="D1430" i="2"/>
  <c r="H1430" i="2" s="1"/>
  <c r="E1430" i="2"/>
  <c r="G1430" i="2"/>
  <c r="D1431" i="2"/>
  <c r="E1431" i="2"/>
  <c r="G1431" i="2"/>
  <c r="D1432" i="2"/>
  <c r="F1432" i="2" s="1"/>
  <c r="E1432" i="2"/>
  <c r="G1432" i="2"/>
  <c r="D1433" i="2"/>
  <c r="E1433" i="2"/>
  <c r="G1433" i="2"/>
  <c r="D1434" i="2"/>
  <c r="E1434" i="2"/>
  <c r="F1434" i="2"/>
  <c r="G1434" i="2"/>
  <c r="D1435" i="2"/>
  <c r="E1435" i="2"/>
  <c r="G1435" i="2"/>
  <c r="D1436" i="2"/>
  <c r="H1436" i="2" s="1"/>
  <c r="E1436" i="2"/>
  <c r="F1436" i="2"/>
  <c r="G1436" i="2"/>
  <c r="D1437" i="2"/>
  <c r="E1437" i="2"/>
  <c r="G1437" i="2"/>
  <c r="H1437" i="2"/>
  <c r="D1438" i="2"/>
  <c r="E1438" i="2"/>
  <c r="F1438" i="2"/>
  <c r="G1438" i="2"/>
  <c r="D1439" i="2"/>
  <c r="E1439" i="2"/>
  <c r="G1439" i="2"/>
  <c r="D1440" i="2"/>
  <c r="F1440" i="2" s="1"/>
  <c r="E1440" i="2"/>
  <c r="G1440" i="2"/>
  <c r="D1441" i="2"/>
  <c r="E1441" i="2"/>
  <c r="G1441" i="2"/>
  <c r="D1442" i="2"/>
  <c r="E1442" i="2"/>
  <c r="F1442" i="2"/>
  <c r="G1442" i="2"/>
  <c r="D1443" i="2"/>
  <c r="E1443" i="2"/>
  <c r="G1443" i="2"/>
  <c r="D1444" i="2"/>
  <c r="H1444" i="2" s="1"/>
  <c r="E1444" i="2"/>
  <c r="F1444" i="2"/>
  <c r="G1444" i="2"/>
  <c r="D1445" i="2"/>
  <c r="E1445" i="2"/>
  <c r="G1445" i="2"/>
  <c r="D1446" i="2"/>
  <c r="H1446" i="2" s="1"/>
  <c r="E1446" i="2"/>
  <c r="F1446" i="2"/>
  <c r="G1446" i="2"/>
  <c r="D1447" i="2"/>
  <c r="E1447" i="2"/>
  <c r="G1447" i="2"/>
  <c r="D1448" i="2"/>
  <c r="E1448" i="2"/>
  <c r="G1448" i="2"/>
  <c r="D1449" i="2"/>
  <c r="E1449" i="2"/>
  <c r="G1449" i="2"/>
  <c r="D1450" i="2"/>
  <c r="H1451" i="2" s="1"/>
  <c r="E1450" i="2"/>
  <c r="F1450" i="2"/>
  <c r="G1450" i="2"/>
  <c r="H1450" i="2"/>
  <c r="D1451" i="2"/>
  <c r="E1451" i="2"/>
  <c r="G1451" i="2"/>
  <c r="D1452" i="2"/>
  <c r="H1452" i="2" s="1"/>
  <c r="E1452" i="2"/>
  <c r="F1452" i="2"/>
  <c r="G1452" i="2"/>
  <c r="D1453" i="2"/>
  <c r="E1453" i="2"/>
  <c r="G1453" i="2"/>
  <c r="D1454" i="2"/>
  <c r="H1454" i="2" s="1"/>
  <c r="E1454" i="2"/>
  <c r="F1454" i="2"/>
  <c r="G1454" i="2"/>
  <c r="D1455" i="2"/>
  <c r="E1455" i="2"/>
  <c r="G1455" i="2"/>
  <c r="D1456" i="2"/>
  <c r="E1456" i="2"/>
  <c r="F1456" i="2"/>
  <c r="G1456" i="2"/>
  <c r="H1456" i="2"/>
  <c r="D1457" i="2"/>
  <c r="E1457" i="2"/>
  <c r="G1457" i="2"/>
  <c r="D1458" i="2"/>
  <c r="F1459" i="2" s="1"/>
  <c r="E1458" i="2"/>
  <c r="F1458" i="2"/>
  <c r="G1458" i="2"/>
  <c r="D1459" i="2"/>
  <c r="E1459" i="2"/>
  <c r="G1459" i="2"/>
  <c r="H1459" i="2"/>
  <c r="D1460" i="2"/>
  <c r="E1460" i="2"/>
  <c r="F1460" i="2"/>
  <c r="G1460" i="2"/>
  <c r="D1461" i="2"/>
  <c r="E1461" i="2"/>
  <c r="G1461" i="2"/>
  <c r="D1462" i="2"/>
  <c r="E1462" i="2"/>
  <c r="G1462" i="2"/>
  <c r="D1463" i="2"/>
  <c r="E1463" i="2"/>
  <c r="G1463" i="2"/>
  <c r="D1464" i="2"/>
  <c r="F1464" i="2" s="1"/>
  <c r="E1464" i="2"/>
  <c r="G1464" i="2"/>
  <c r="D1465" i="2"/>
  <c r="E1465" i="2"/>
  <c r="G1465" i="2"/>
  <c r="D1466" i="2"/>
  <c r="E1466" i="2"/>
  <c r="F1466" i="2"/>
  <c r="G1466" i="2"/>
  <c r="D1467" i="2"/>
  <c r="E1467" i="2"/>
  <c r="G1467" i="2"/>
  <c r="D1468" i="2"/>
  <c r="H1468" i="2" s="1"/>
  <c r="E1468" i="2"/>
  <c r="F1468" i="2"/>
  <c r="G1468" i="2"/>
  <c r="D1469" i="2"/>
  <c r="E1469" i="2"/>
  <c r="G1469" i="2"/>
  <c r="D1470" i="2"/>
  <c r="E1470" i="2"/>
  <c r="G1470" i="2"/>
  <c r="D1471" i="2"/>
  <c r="E1471" i="2"/>
  <c r="G1471" i="2"/>
  <c r="D1472" i="2"/>
  <c r="F1472" i="2" s="1"/>
  <c r="E1472" i="2"/>
  <c r="G1472" i="2"/>
  <c r="D1473" i="2"/>
  <c r="F1473" i="2" s="1"/>
  <c r="E1473" i="2"/>
  <c r="G1473" i="2"/>
  <c r="H1473" i="2"/>
  <c r="D1474" i="2"/>
  <c r="F1475" i="2" s="1"/>
  <c r="E1474" i="2"/>
  <c r="G1474" i="2"/>
  <c r="D1475" i="2"/>
  <c r="E1475" i="2"/>
  <c r="G1475" i="2"/>
  <c r="D1476" i="2"/>
  <c r="E1476" i="2"/>
  <c r="G1476" i="2"/>
  <c r="D1477" i="2"/>
  <c r="E1477" i="2"/>
  <c r="G1477" i="2"/>
  <c r="D1478" i="2"/>
  <c r="E1478" i="2"/>
  <c r="G1478" i="2"/>
  <c r="D1479" i="2"/>
  <c r="E1479" i="2"/>
  <c r="G1479" i="2"/>
  <c r="D1480" i="2"/>
  <c r="E1480" i="2"/>
  <c r="G1480" i="2"/>
  <c r="D1481" i="2"/>
  <c r="E1481" i="2"/>
  <c r="G1481" i="2"/>
  <c r="H1481" i="2"/>
  <c r="D1482" i="2"/>
  <c r="E1482" i="2"/>
  <c r="G1482" i="2"/>
  <c r="D1483" i="2"/>
  <c r="E1483" i="2"/>
  <c r="G1483" i="2"/>
  <c r="D1484" i="2"/>
  <c r="E1484" i="2"/>
  <c r="F1484" i="2"/>
  <c r="G1484" i="2"/>
  <c r="H1484" i="2"/>
  <c r="D1485" i="2"/>
  <c r="E1485" i="2"/>
  <c r="G1485" i="2"/>
  <c r="D1486" i="2"/>
  <c r="E1486" i="2"/>
  <c r="G1486" i="2"/>
  <c r="H1486" i="2"/>
  <c r="D1487" i="2"/>
  <c r="E1487" i="2"/>
  <c r="G1487" i="2"/>
  <c r="D1488" i="2"/>
  <c r="E1488" i="2"/>
  <c r="G1488" i="2"/>
  <c r="D1489" i="2"/>
  <c r="E1489" i="2"/>
  <c r="G1489" i="2"/>
  <c r="D1490" i="2"/>
  <c r="F1491" i="2" s="1"/>
  <c r="E1490" i="2"/>
  <c r="G1490" i="2"/>
  <c r="D1491" i="2"/>
  <c r="E1491" i="2"/>
  <c r="G1491" i="2"/>
  <c r="H1491" i="2"/>
  <c r="D1492" i="2"/>
  <c r="F1493" i="2" s="1"/>
  <c r="E1492" i="2"/>
  <c r="F1492" i="2"/>
  <c r="G1492" i="2"/>
  <c r="H1492" i="2"/>
  <c r="D1493" i="2"/>
  <c r="E1493" i="2"/>
  <c r="G1493" i="2"/>
  <c r="D1494" i="2"/>
  <c r="E1494" i="2"/>
  <c r="F1494" i="2"/>
  <c r="G1494" i="2"/>
  <c r="D1495" i="2"/>
  <c r="E1495" i="2"/>
  <c r="G1495" i="2"/>
  <c r="D1496" i="2"/>
  <c r="F1496" i="2" s="1"/>
  <c r="E1496" i="2"/>
  <c r="G1496" i="2"/>
  <c r="D1497" i="2"/>
  <c r="E1497" i="2"/>
  <c r="G1497" i="2"/>
  <c r="D1498" i="2"/>
  <c r="E1498" i="2"/>
  <c r="G1498" i="2"/>
  <c r="D1499" i="2"/>
  <c r="E1499" i="2"/>
  <c r="G1499" i="2"/>
  <c r="D1500" i="2"/>
  <c r="H1500" i="2" s="1"/>
  <c r="E1500" i="2"/>
  <c r="G1500" i="2"/>
  <c r="D1501" i="2"/>
  <c r="E1501" i="2"/>
  <c r="G1501" i="2"/>
  <c r="H1501" i="2"/>
  <c r="D1502" i="2"/>
  <c r="E1502" i="2"/>
  <c r="G1502" i="2"/>
  <c r="D1503" i="2"/>
  <c r="E1503" i="2"/>
  <c r="G1503" i="2"/>
  <c r="D1504" i="2"/>
  <c r="E1504" i="2"/>
  <c r="G1504" i="2"/>
  <c r="D1505" i="2"/>
  <c r="E1505" i="2"/>
  <c r="G1505" i="2"/>
  <c r="D1506" i="2"/>
  <c r="E1506" i="2"/>
  <c r="G1506" i="2"/>
  <c r="D1507" i="2"/>
  <c r="E1507" i="2"/>
  <c r="F1507" i="2"/>
  <c r="G1507" i="2"/>
  <c r="D1508" i="2"/>
  <c r="E1508" i="2"/>
  <c r="F1508" i="2"/>
  <c r="G1508" i="2"/>
  <c r="H1508" i="2"/>
  <c r="D1509" i="2"/>
  <c r="E1509" i="2"/>
  <c r="G1509" i="2"/>
  <c r="D1510" i="2"/>
  <c r="E1510" i="2"/>
  <c r="G1510" i="2"/>
  <c r="H1510" i="2"/>
  <c r="D1511" i="2"/>
  <c r="E1511" i="2"/>
  <c r="G1511" i="2"/>
  <c r="D1512" i="2"/>
  <c r="E1512" i="2"/>
  <c r="G1512" i="2"/>
  <c r="D1513" i="2"/>
  <c r="E1513" i="2"/>
  <c r="G1513" i="2"/>
  <c r="D1514" i="2"/>
  <c r="F1515" i="2" s="1"/>
  <c r="E1514" i="2"/>
  <c r="G1514" i="2"/>
  <c r="H1514" i="2"/>
  <c r="D1515" i="2"/>
  <c r="E1515" i="2"/>
  <c r="G1515" i="2"/>
  <c r="D1516" i="2"/>
  <c r="E1516" i="2"/>
  <c r="G1516" i="2"/>
  <c r="D1517" i="2"/>
  <c r="E1517" i="2"/>
  <c r="G1517" i="2"/>
  <c r="D1518" i="2"/>
  <c r="E1518" i="2"/>
  <c r="G1518" i="2"/>
  <c r="D1519" i="2"/>
  <c r="E1519" i="2"/>
  <c r="G1519" i="2"/>
  <c r="D1520" i="2"/>
  <c r="E1520" i="2"/>
  <c r="G1520" i="2"/>
  <c r="H1520" i="2"/>
  <c r="D1521" i="2"/>
  <c r="E1521" i="2"/>
  <c r="G1521" i="2"/>
  <c r="D1522" i="2"/>
  <c r="F1523" i="2" s="1"/>
  <c r="E1522" i="2"/>
  <c r="G1522" i="2"/>
  <c r="D1523" i="2"/>
  <c r="E1523" i="2"/>
  <c r="G1523" i="2"/>
  <c r="H1523" i="2"/>
  <c r="D1524" i="2"/>
  <c r="F1525" i="2" s="1"/>
  <c r="E1524" i="2"/>
  <c r="F1524" i="2"/>
  <c r="G1524" i="2"/>
  <c r="H1524" i="2"/>
  <c r="D1525" i="2"/>
  <c r="E1525" i="2"/>
  <c r="G1525" i="2"/>
  <c r="H1525" i="2"/>
  <c r="D1526" i="2"/>
  <c r="F1527" i="2" s="1"/>
  <c r="E1526" i="2"/>
  <c r="F1526" i="2"/>
  <c r="G1526" i="2"/>
  <c r="H1526" i="2"/>
  <c r="D1527" i="2"/>
  <c r="E1527" i="2"/>
  <c r="G1527" i="2"/>
  <c r="D1528" i="2"/>
  <c r="F1528" i="2" s="1"/>
  <c r="E1528" i="2"/>
  <c r="G1528" i="2"/>
  <c r="H1528" i="2"/>
  <c r="D1529" i="2"/>
  <c r="E1529" i="2"/>
  <c r="G1529" i="2"/>
  <c r="H1529" i="2"/>
  <c r="D1530" i="2"/>
  <c r="H1531" i="2" s="1"/>
  <c r="E1530" i="2"/>
  <c r="F1530" i="2"/>
  <c r="G1530" i="2"/>
  <c r="D1531" i="2"/>
  <c r="E1531" i="2"/>
  <c r="F1531" i="2"/>
  <c r="G1531" i="2"/>
  <c r="D1532" i="2"/>
  <c r="E1532" i="2"/>
  <c r="G1532" i="2"/>
  <c r="D1533" i="2"/>
  <c r="E1533" i="2"/>
  <c r="G1533" i="2"/>
  <c r="D1534" i="2"/>
  <c r="E1534" i="2"/>
  <c r="G1534" i="2"/>
  <c r="D1535" i="2"/>
  <c r="E1535" i="2"/>
  <c r="G1535" i="2"/>
  <c r="D1536" i="2"/>
  <c r="E1536" i="2"/>
  <c r="G1536" i="2"/>
  <c r="D1537" i="2"/>
  <c r="E1537" i="2"/>
  <c r="G1537" i="2"/>
  <c r="H1537" i="2"/>
  <c r="D1538" i="2"/>
  <c r="E1538" i="2"/>
  <c r="G1538" i="2"/>
  <c r="D1539" i="2"/>
  <c r="E1539" i="2"/>
  <c r="G1539" i="2"/>
  <c r="D1540" i="2"/>
  <c r="E1540" i="2"/>
  <c r="F1540" i="2"/>
  <c r="G1540" i="2"/>
  <c r="H1540" i="2"/>
  <c r="D1541" i="2"/>
  <c r="E1541" i="2"/>
  <c r="G1541" i="2"/>
  <c r="D1542" i="2"/>
  <c r="E1542" i="2"/>
  <c r="G1542" i="2"/>
  <c r="H1542" i="2"/>
  <c r="D1543" i="2"/>
  <c r="E1543" i="2"/>
  <c r="G1543" i="2"/>
  <c r="D1544" i="2"/>
  <c r="E1544" i="2"/>
  <c r="G1544" i="2"/>
  <c r="H1544" i="2"/>
  <c r="D1545" i="2"/>
  <c r="E1545" i="2"/>
  <c r="G1545" i="2"/>
  <c r="D1546" i="2"/>
  <c r="F1547" i="2" s="1"/>
  <c r="E1546" i="2"/>
  <c r="G1546" i="2"/>
  <c r="D1547" i="2"/>
  <c r="E1547" i="2"/>
  <c r="G1547" i="2"/>
  <c r="D1548" i="2"/>
  <c r="E1548" i="2"/>
  <c r="F1548" i="2"/>
  <c r="G1548" i="2"/>
  <c r="D1549" i="2"/>
  <c r="E1549" i="2"/>
  <c r="G1549" i="2"/>
  <c r="H1549" i="2"/>
  <c r="D1550" i="2"/>
  <c r="E1550" i="2"/>
  <c r="G1550" i="2"/>
  <c r="D1551" i="2"/>
  <c r="E1551" i="2"/>
  <c r="F1551" i="2"/>
  <c r="G1551" i="2"/>
  <c r="D1552" i="2"/>
  <c r="E1552" i="2"/>
  <c r="G1552" i="2"/>
  <c r="H1552" i="2"/>
  <c r="D1553" i="2"/>
  <c r="E1553" i="2"/>
  <c r="G1553" i="2"/>
  <c r="D1554" i="2"/>
  <c r="F1555" i="2" s="1"/>
  <c r="E1554" i="2"/>
  <c r="G1554" i="2"/>
  <c r="D1555" i="2"/>
  <c r="E1555" i="2"/>
  <c r="G1555" i="2"/>
  <c r="H1555" i="2"/>
  <c r="D1556" i="2"/>
  <c r="F1557" i="2" s="1"/>
  <c r="E1556" i="2"/>
  <c r="F1556" i="2"/>
  <c r="G1556" i="2"/>
  <c r="H1556" i="2"/>
  <c r="D1557" i="2"/>
  <c r="E1557" i="2"/>
  <c r="G1557" i="2"/>
  <c r="H1557" i="2"/>
  <c r="D1558" i="2"/>
  <c r="F1559" i="2" s="1"/>
  <c r="E1558" i="2"/>
  <c r="F1558" i="2"/>
  <c r="G1558" i="2"/>
  <c r="H1558" i="2"/>
  <c r="D1559" i="2"/>
  <c r="E1559" i="2"/>
  <c r="G1559" i="2"/>
  <c r="D1560" i="2"/>
  <c r="F1560" i="2" s="1"/>
  <c r="E1560" i="2"/>
  <c r="G1560" i="2"/>
  <c r="H1560" i="2"/>
  <c r="D1561" i="2"/>
  <c r="E1561" i="2"/>
  <c r="G1561" i="2"/>
  <c r="H1561" i="2"/>
  <c r="D1562" i="2"/>
  <c r="H1563" i="2" s="1"/>
  <c r="E1562" i="2"/>
  <c r="F1562" i="2"/>
  <c r="G1562" i="2"/>
  <c r="D1563" i="2"/>
  <c r="E1563" i="2"/>
  <c r="F1563" i="2"/>
  <c r="G1563" i="2"/>
  <c r="D1564" i="2"/>
  <c r="H1564" i="2" s="1"/>
  <c r="E1564" i="2"/>
  <c r="F1564" i="2"/>
  <c r="G1564" i="2"/>
  <c r="D1565" i="2"/>
  <c r="E1565" i="2"/>
  <c r="G1565" i="2"/>
  <c r="H1565" i="2"/>
  <c r="D1566" i="2"/>
  <c r="E1566" i="2"/>
  <c r="G1566" i="2"/>
  <c r="D1567" i="2"/>
  <c r="E1567" i="2"/>
  <c r="F1567" i="2"/>
  <c r="G1567" i="2"/>
  <c r="H1567" i="2"/>
  <c r="D1568" i="2"/>
  <c r="E1568" i="2"/>
  <c r="F1568" i="2"/>
  <c r="G1568" i="2"/>
  <c r="H1568" i="2"/>
  <c r="D1569" i="2"/>
  <c r="E1569" i="2"/>
  <c r="F1569" i="2"/>
  <c r="G1569" i="2"/>
  <c r="D1570" i="2"/>
  <c r="E1570" i="2"/>
  <c r="G1570" i="2"/>
  <c r="D1571" i="2"/>
  <c r="E1571" i="2"/>
  <c r="G1571" i="2"/>
  <c r="D1572" i="2"/>
  <c r="E1572" i="2"/>
  <c r="G1572" i="2"/>
  <c r="D1573" i="2"/>
  <c r="E1573" i="2"/>
  <c r="G1573" i="2"/>
  <c r="H1573" i="2"/>
  <c r="D1574" i="2"/>
  <c r="H1574" i="2" s="1"/>
  <c r="E1574" i="2"/>
  <c r="F1574" i="2"/>
  <c r="G1574" i="2"/>
  <c r="D1575" i="2"/>
  <c r="E1575" i="2"/>
  <c r="F1575" i="2"/>
  <c r="G1575" i="2"/>
  <c r="H1575" i="2"/>
  <c r="D1576" i="2"/>
  <c r="E1576" i="2"/>
  <c r="G1576" i="2"/>
  <c r="D1577" i="2"/>
  <c r="F1578" i="2" s="1"/>
  <c r="E1577" i="2"/>
  <c r="F1577" i="2"/>
  <c r="G1577" i="2"/>
  <c r="H1577" i="2"/>
  <c r="D1578" i="2"/>
  <c r="E1578" i="2"/>
  <c r="G1578" i="2"/>
  <c r="D1579" i="2"/>
  <c r="E1579" i="2"/>
  <c r="F1579" i="2"/>
  <c r="G1579" i="2"/>
  <c r="D1580" i="2"/>
  <c r="E1580" i="2"/>
  <c r="G1580" i="2"/>
  <c r="D1581" i="2"/>
  <c r="E1581" i="2"/>
  <c r="G1581" i="2"/>
  <c r="D1582" i="2"/>
  <c r="F1583" i="2" s="1"/>
  <c r="E1582" i="2"/>
  <c r="G1582" i="2"/>
  <c r="D1583" i="2"/>
  <c r="E1583" i="2"/>
  <c r="G1583" i="2"/>
  <c r="H1583" i="2"/>
  <c r="D1584" i="2"/>
  <c r="H1584" i="2" s="1"/>
  <c r="E1584" i="2"/>
  <c r="F1584" i="2"/>
  <c r="G1584" i="2"/>
  <c r="D1585" i="2"/>
  <c r="E1585" i="2"/>
  <c r="F1585" i="2"/>
  <c r="G1585" i="2"/>
  <c r="H1585" i="2"/>
  <c r="D1586" i="2"/>
  <c r="E1586" i="2"/>
  <c r="G1586" i="2"/>
  <c r="D1587" i="2"/>
  <c r="E1587" i="2"/>
  <c r="G1587" i="2"/>
  <c r="D1588" i="2"/>
  <c r="E1588" i="2"/>
  <c r="G1588" i="2"/>
  <c r="D1589" i="2"/>
  <c r="E1589" i="2"/>
  <c r="G1589" i="2"/>
  <c r="D1590" i="2"/>
  <c r="E1590" i="2"/>
  <c r="G1590" i="2"/>
  <c r="H1590" i="2"/>
  <c r="D1591" i="2"/>
  <c r="E1591" i="2"/>
  <c r="F1591" i="2"/>
  <c r="G1591" i="2"/>
  <c r="H1591" i="2"/>
  <c r="D1592" i="2"/>
  <c r="E1592" i="2"/>
  <c r="F1592" i="2"/>
  <c r="G1592" i="2"/>
  <c r="H1592" i="2"/>
  <c r="D1593" i="2"/>
  <c r="E1593" i="2"/>
  <c r="G1593" i="2"/>
  <c r="D1594" i="2"/>
  <c r="E1594" i="2"/>
  <c r="G1594" i="2"/>
  <c r="D1595" i="2"/>
  <c r="E1595" i="2"/>
  <c r="F1595" i="2"/>
  <c r="G1595" i="2"/>
  <c r="D1596" i="2"/>
  <c r="H1596" i="2" s="1"/>
  <c r="E1596" i="2"/>
  <c r="G1596" i="2"/>
  <c r="D1597" i="2"/>
  <c r="E1597" i="2"/>
  <c r="G1597" i="2"/>
  <c r="H1597" i="2"/>
  <c r="D1598" i="2"/>
  <c r="E1598" i="2"/>
  <c r="G1598" i="2"/>
  <c r="D1599" i="2"/>
  <c r="E1599" i="2"/>
  <c r="F1599" i="2"/>
  <c r="G1599" i="2"/>
  <c r="H1599" i="2"/>
  <c r="D1600" i="2"/>
  <c r="E1600" i="2"/>
  <c r="F1600" i="2"/>
  <c r="G1600" i="2"/>
  <c r="H1600" i="2"/>
  <c r="D1601" i="2"/>
  <c r="E1601" i="2"/>
  <c r="F1601" i="2"/>
  <c r="G1601" i="2"/>
  <c r="D1602" i="2"/>
  <c r="E1602" i="2"/>
  <c r="G1602" i="2"/>
  <c r="D1603" i="2"/>
  <c r="E1603" i="2"/>
  <c r="G1603" i="2"/>
  <c r="D1604" i="2"/>
  <c r="E1604" i="2"/>
  <c r="G1604" i="2"/>
  <c r="D1605" i="2"/>
  <c r="E1605" i="2"/>
  <c r="G1605" i="2"/>
  <c r="H1605" i="2"/>
  <c r="D1606" i="2"/>
  <c r="H1606" i="2" s="1"/>
  <c r="E1606" i="2"/>
  <c r="F1606" i="2"/>
  <c r="G1606" i="2"/>
  <c r="D1607" i="2"/>
  <c r="E1607" i="2"/>
  <c r="F1607" i="2"/>
  <c r="G1607" i="2"/>
  <c r="H1607" i="2"/>
  <c r="D1608" i="2"/>
  <c r="E1608" i="2"/>
  <c r="G1608" i="2"/>
  <c r="D1609" i="2"/>
  <c r="F1610" i="2" s="1"/>
  <c r="E1609" i="2"/>
  <c r="F1609" i="2"/>
  <c r="G1609" i="2"/>
  <c r="H1609" i="2"/>
  <c r="D1610" i="2"/>
  <c r="E1610" i="2"/>
  <c r="G1610" i="2"/>
  <c r="D1611" i="2"/>
  <c r="E1611" i="2"/>
  <c r="F1611" i="2"/>
  <c r="G1611" i="2"/>
  <c r="D1612" i="2"/>
  <c r="E1612" i="2"/>
  <c r="G1612" i="2"/>
  <c r="D1613" i="2"/>
  <c r="E1613" i="2"/>
  <c r="G1613" i="2"/>
  <c r="D1614" i="2"/>
  <c r="F1615" i="2" s="1"/>
  <c r="E1614" i="2"/>
  <c r="G1614" i="2"/>
  <c r="D1615" i="2"/>
  <c r="E1615" i="2"/>
  <c r="G1615" i="2"/>
  <c r="H1615" i="2"/>
  <c r="D1616" i="2"/>
  <c r="H1616" i="2" s="1"/>
  <c r="E1616" i="2"/>
  <c r="F1616" i="2"/>
  <c r="G1616" i="2"/>
  <c r="D1617" i="2"/>
  <c r="E1617" i="2"/>
  <c r="F1617" i="2"/>
  <c r="G1617" i="2"/>
  <c r="H1617" i="2"/>
  <c r="D1618" i="2"/>
  <c r="E1618" i="2"/>
  <c r="G1618" i="2"/>
  <c r="D1619" i="2"/>
  <c r="E1619" i="2"/>
  <c r="G1619" i="2"/>
  <c r="D1620" i="2"/>
  <c r="E1620" i="2"/>
  <c r="G1620" i="2"/>
  <c r="D1621" i="2"/>
  <c r="E1621" i="2"/>
  <c r="G1621" i="2"/>
  <c r="D1622" i="2"/>
  <c r="E1622" i="2"/>
  <c r="G1622" i="2"/>
  <c r="H1622" i="2"/>
  <c r="D1623" i="2"/>
  <c r="E1623" i="2"/>
  <c r="F1623" i="2"/>
  <c r="G1623" i="2"/>
  <c r="H1623" i="2"/>
  <c r="D1624" i="2"/>
  <c r="E1624" i="2"/>
  <c r="F1624" i="2"/>
  <c r="G1624" i="2"/>
  <c r="H1624" i="2"/>
  <c r="D1625" i="2"/>
  <c r="E1625" i="2"/>
  <c r="G1625" i="2"/>
  <c r="D1626" i="2"/>
  <c r="E1626" i="2"/>
  <c r="G1626" i="2"/>
  <c r="D1627" i="2"/>
  <c r="E1627" i="2"/>
  <c r="F1627" i="2"/>
  <c r="G1627" i="2"/>
  <c r="D1628" i="2"/>
  <c r="H1628" i="2" s="1"/>
  <c r="E1628" i="2"/>
  <c r="G1628" i="2"/>
  <c r="D1629" i="2"/>
  <c r="E1629" i="2"/>
  <c r="G1629" i="2"/>
  <c r="H1629" i="2"/>
  <c r="D1630" i="2"/>
  <c r="E1630" i="2"/>
  <c r="G1630" i="2"/>
  <c r="D1631" i="2"/>
  <c r="E1631" i="2"/>
  <c r="F1631" i="2"/>
  <c r="G1631" i="2"/>
  <c r="H1631" i="2"/>
  <c r="D1632" i="2"/>
  <c r="E1632" i="2"/>
  <c r="F1632" i="2"/>
  <c r="G1632" i="2"/>
  <c r="H1632" i="2"/>
  <c r="D1633" i="2"/>
  <c r="E1633" i="2"/>
  <c r="F1633" i="2"/>
  <c r="G1633" i="2"/>
  <c r="D1634" i="2"/>
  <c r="E1634" i="2"/>
  <c r="G1634" i="2"/>
  <c r="D1635" i="2"/>
  <c r="E1635" i="2"/>
  <c r="G1635" i="2"/>
  <c r="D1636" i="2"/>
  <c r="E1636" i="2"/>
  <c r="G1636" i="2"/>
  <c r="D1637" i="2"/>
  <c r="E1637" i="2"/>
  <c r="G1637" i="2"/>
  <c r="H1637" i="2"/>
  <c r="D1638" i="2"/>
  <c r="H1638" i="2" s="1"/>
  <c r="E1638" i="2"/>
  <c r="F1638" i="2"/>
  <c r="G1638" i="2"/>
  <c r="D1639" i="2"/>
  <c r="E1639" i="2"/>
  <c r="F1639" i="2"/>
  <c r="G1639" i="2"/>
  <c r="H1639" i="2"/>
  <c r="D1640" i="2"/>
  <c r="E1640" i="2"/>
  <c r="G1640" i="2"/>
  <c r="D1641" i="2"/>
  <c r="E1641" i="2"/>
  <c r="F1641" i="2"/>
  <c r="G1641" i="2"/>
  <c r="H1641" i="2"/>
  <c r="D1642" i="2"/>
  <c r="E1642" i="2"/>
  <c r="G1642" i="2"/>
  <c r="D1643" i="2"/>
  <c r="H1643" i="2" s="1"/>
  <c r="E1643" i="2"/>
  <c r="F1643" i="2"/>
  <c r="G1643" i="2"/>
  <c r="D1644" i="2"/>
  <c r="E1644" i="2"/>
  <c r="G1644" i="2"/>
  <c r="H1644" i="2"/>
  <c r="D1645" i="2"/>
  <c r="E1645" i="2"/>
  <c r="G1645" i="2"/>
  <c r="D1646" i="2"/>
  <c r="F1647" i="2" s="1"/>
  <c r="E1646" i="2"/>
  <c r="G1646" i="2"/>
  <c r="H1646" i="2"/>
  <c r="D1647" i="2"/>
  <c r="E1647" i="2"/>
  <c r="G1647" i="2"/>
  <c r="H1647" i="2"/>
  <c r="D1648" i="2"/>
  <c r="H1648" i="2" s="1"/>
  <c r="E1648" i="2"/>
  <c r="F1648" i="2"/>
  <c r="G1648" i="2"/>
  <c r="D1649" i="2"/>
  <c r="E1649" i="2"/>
  <c r="F1649" i="2"/>
  <c r="G1649" i="2"/>
  <c r="H1649" i="2"/>
  <c r="D1650" i="2"/>
  <c r="E1650" i="2"/>
  <c r="G1650" i="2"/>
  <c r="D1651" i="2"/>
  <c r="H1651" i="2" s="1"/>
  <c r="E1651" i="2"/>
  <c r="F1651" i="2"/>
  <c r="G1651" i="2"/>
  <c r="D1652" i="2"/>
  <c r="F1652" i="2" s="1"/>
  <c r="E1652" i="2"/>
  <c r="G1652" i="2"/>
  <c r="H1652" i="2"/>
  <c r="D1653" i="2"/>
  <c r="E1653" i="2"/>
  <c r="G1653" i="2"/>
  <c r="H1653" i="2"/>
  <c r="D1654" i="2"/>
  <c r="E1654" i="2"/>
  <c r="G1654" i="2"/>
  <c r="H1654" i="2"/>
  <c r="D1655" i="2"/>
  <c r="E1655" i="2"/>
  <c r="F1655" i="2"/>
  <c r="G1655" i="2"/>
  <c r="H1655" i="2"/>
  <c r="D1656" i="2"/>
  <c r="E1656" i="2"/>
  <c r="F1656" i="2"/>
  <c r="G1656" i="2"/>
  <c r="H1656" i="2"/>
  <c r="D1657" i="2"/>
  <c r="F1657" i="2" s="1"/>
  <c r="E1657" i="2"/>
  <c r="G1657" i="2"/>
  <c r="D1658" i="2"/>
  <c r="F1658" i="2" s="1"/>
  <c r="E1658" i="2"/>
  <c r="G1658" i="2"/>
  <c r="D1659" i="2"/>
  <c r="E1659" i="2"/>
  <c r="G1659" i="2"/>
  <c r="D1660" i="2"/>
  <c r="H1660" i="2" s="1"/>
  <c r="E1660" i="2"/>
  <c r="G1660" i="2"/>
  <c r="D1661" i="2"/>
  <c r="E1661" i="2"/>
  <c r="G1661" i="2"/>
  <c r="D1662" i="2"/>
  <c r="E1662" i="2"/>
  <c r="G1662" i="2"/>
  <c r="D1663" i="2"/>
  <c r="E1663" i="2"/>
  <c r="F1663" i="2"/>
  <c r="G1663" i="2"/>
  <c r="D1664" i="2"/>
  <c r="E1664" i="2"/>
  <c r="F1664" i="2"/>
  <c r="G1664" i="2"/>
  <c r="H1664" i="2"/>
  <c r="D1665" i="2"/>
  <c r="H1665" i="2" s="1"/>
  <c r="E1665" i="2"/>
  <c r="G1665" i="2"/>
  <c r="D1666" i="2"/>
  <c r="E1666" i="2"/>
  <c r="F1666" i="2"/>
  <c r="G1666" i="2"/>
  <c r="H1666" i="2"/>
  <c r="D1667" i="2"/>
  <c r="E1667" i="2"/>
  <c r="G1667" i="2"/>
  <c r="D1668" i="2"/>
  <c r="E1668" i="2"/>
  <c r="F1668" i="2"/>
  <c r="G1668" i="2"/>
  <c r="H1668" i="2"/>
  <c r="D1669" i="2"/>
  <c r="E1669" i="2"/>
  <c r="G1669" i="2"/>
  <c r="H1669" i="2"/>
  <c r="D1670" i="2"/>
  <c r="H1670" i="2" s="1"/>
  <c r="E1670" i="2"/>
  <c r="F1670" i="2"/>
  <c r="G1670" i="2"/>
  <c r="D1671" i="2"/>
  <c r="E1671" i="2"/>
  <c r="F1671" i="2"/>
  <c r="G1671" i="2"/>
  <c r="H1671" i="2"/>
  <c r="D1672" i="2"/>
  <c r="E1672" i="2"/>
  <c r="G1672" i="2"/>
  <c r="D1673" i="2"/>
  <c r="F1674" i="2" s="1"/>
  <c r="E1673" i="2"/>
  <c r="G1673" i="2"/>
  <c r="D1674" i="2"/>
  <c r="E1674" i="2"/>
  <c r="G1674" i="2"/>
  <c r="H1674" i="2"/>
  <c r="D1675" i="2"/>
  <c r="H1675" i="2" s="1"/>
  <c r="E1675" i="2"/>
  <c r="F1675" i="2"/>
  <c r="G1675" i="2"/>
  <c r="D1676" i="2"/>
  <c r="E1676" i="2"/>
  <c r="F1676" i="2"/>
  <c r="G1676" i="2"/>
  <c r="H1676" i="2"/>
  <c r="D1677" i="2"/>
  <c r="E1677" i="2"/>
  <c r="G1677" i="2"/>
  <c r="D1678" i="2"/>
  <c r="E1678" i="2"/>
  <c r="G1678" i="2"/>
  <c r="D1679" i="2"/>
  <c r="E1679" i="2"/>
  <c r="G1679" i="2"/>
  <c r="H1679" i="2"/>
  <c r="D1680" i="2"/>
  <c r="E1680" i="2"/>
  <c r="G1680" i="2"/>
  <c r="D1681" i="2"/>
  <c r="E1681" i="2"/>
  <c r="G1681" i="2"/>
  <c r="H1681" i="2"/>
  <c r="D1682" i="2"/>
  <c r="F1682" i="2" s="1"/>
  <c r="E1682" i="2"/>
  <c r="G1682" i="2"/>
  <c r="D1683" i="2"/>
  <c r="E1683" i="2"/>
  <c r="F1683" i="2"/>
  <c r="G1683" i="2"/>
  <c r="D1684" i="2"/>
  <c r="F1684" i="2" s="1"/>
  <c r="E1684" i="2"/>
  <c r="G1684" i="2"/>
  <c r="D1685" i="2"/>
  <c r="E1685" i="2"/>
  <c r="G1685" i="2"/>
  <c r="H1685" i="2"/>
  <c r="D1686" i="2"/>
  <c r="E1686" i="2"/>
  <c r="G1686" i="2"/>
  <c r="H1686" i="2"/>
  <c r="D1687" i="2"/>
  <c r="E1687" i="2"/>
  <c r="F1687" i="2"/>
  <c r="G1687" i="2"/>
  <c r="H1687" i="2"/>
  <c r="D1688" i="2"/>
  <c r="E1688" i="2"/>
  <c r="F1688" i="2"/>
  <c r="G1688" i="2"/>
  <c r="H1688" i="2"/>
  <c r="D1689" i="2"/>
  <c r="E1689" i="2"/>
  <c r="G1689" i="2"/>
  <c r="D1690" i="2"/>
  <c r="F1690" i="2" s="1"/>
  <c r="E1690" i="2"/>
  <c r="G1690" i="2"/>
  <c r="D1691" i="2"/>
  <c r="E1691" i="2"/>
  <c r="G1691" i="2"/>
  <c r="D1692" i="2"/>
  <c r="H1692" i="2" s="1"/>
  <c r="E1692" i="2"/>
  <c r="G1692" i="2"/>
  <c r="D1693" i="2"/>
  <c r="E1693" i="2"/>
  <c r="G1693" i="2"/>
  <c r="D1694" i="2"/>
  <c r="E1694" i="2"/>
  <c r="G1694" i="2"/>
  <c r="D1695" i="2"/>
  <c r="E1695" i="2"/>
  <c r="G1695" i="2"/>
  <c r="H1695" i="2"/>
  <c r="D1696" i="2"/>
  <c r="E1696" i="2"/>
  <c r="F1696" i="2"/>
  <c r="G1696" i="2"/>
  <c r="H1696" i="2"/>
  <c r="D1697" i="2"/>
  <c r="H1697" i="2" s="1"/>
  <c r="E1697" i="2"/>
  <c r="F1697" i="2"/>
  <c r="G1697" i="2"/>
  <c r="D1698" i="2"/>
  <c r="E1698" i="2"/>
  <c r="F1698" i="2"/>
  <c r="G1698" i="2"/>
  <c r="H1698" i="2"/>
  <c r="D1699" i="2"/>
  <c r="E1699" i="2"/>
  <c r="G1699" i="2"/>
  <c r="D1700" i="2"/>
  <c r="E1700" i="2"/>
  <c r="F1700" i="2"/>
  <c r="G1700" i="2"/>
  <c r="H1700" i="2"/>
  <c r="D1701" i="2"/>
  <c r="E1701" i="2"/>
  <c r="G1701" i="2"/>
  <c r="H1701" i="2"/>
  <c r="D1702" i="2"/>
  <c r="E1702" i="2"/>
  <c r="G1702" i="2"/>
  <c r="D1703" i="2"/>
  <c r="E1703" i="2"/>
  <c r="G1703" i="2"/>
  <c r="H1703" i="2"/>
  <c r="D1704" i="2"/>
  <c r="E1704" i="2"/>
  <c r="G1704" i="2"/>
  <c r="D1705" i="2"/>
  <c r="F1706" i="2" s="1"/>
  <c r="E1705" i="2"/>
  <c r="G1705" i="2"/>
  <c r="H1705" i="2"/>
  <c r="D1706" i="2"/>
  <c r="E1706" i="2"/>
  <c r="G1706" i="2"/>
  <c r="H1706" i="2"/>
  <c r="D1707" i="2"/>
  <c r="H1707" i="2" s="1"/>
  <c r="E1707" i="2"/>
  <c r="F1707" i="2"/>
  <c r="G1707" i="2"/>
  <c r="D1708" i="2"/>
  <c r="E1708" i="2"/>
  <c r="F1708" i="2"/>
  <c r="G1708" i="2"/>
  <c r="H1708" i="2"/>
  <c r="D1709" i="2"/>
  <c r="E1709" i="2"/>
  <c r="G1709" i="2"/>
  <c r="D1710" i="2"/>
  <c r="F1711" i="2" s="1"/>
  <c r="E1710" i="2"/>
  <c r="G1710" i="2"/>
  <c r="D1711" i="2"/>
  <c r="E1711" i="2"/>
  <c r="G1711" i="2"/>
  <c r="H1711" i="2"/>
  <c r="D1712" i="2"/>
  <c r="H1712" i="2" s="1"/>
  <c r="E1712" i="2"/>
  <c r="F1712" i="2"/>
  <c r="G1712" i="2"/>
  <c r="D1713" i="2"/>
  <c r="E1713" i="2"/>
  <c r="F1713" i="2"/>
  <c r="G1713" i="2"/>
  <c r="H1713" i="2"/>
  <c r="D1714" i="2"/>
  <c r="F1714" i="2" s="1"/>
  <c r="E1714" i="2"/>
  <c r="G1714" i="2"/>
  <c r="H1714" i="2"/>
  <c r="D1715" i="2"/>
  <c r="E1715" i="2"/>
  <c r="G1715" i="2"/>
  <c r="D1716" i="2"/>
  <c r="E1716" i="2"/>
  <c r="G1716" i="2"/>
  <c r="D1717" i="2"/>
  <c r="E1717" i="2"/>
  <c r="G1717" i="2"/>
  <c r="D1718" i="2"/>
  <c r="E1718" i="2"/>
  <c r="G1718" i="2"/>
  <c r="H1718" i="2"/>
  <c r="D1719" i="2"/>
  <c r="E1719" i="2"/>
  <c r="F1719" i="2"/>
  <c r="G1719" i="2"/>
  <c r="H1719" i="2"/>
  <c r="D1720" i="2"/>
  <c r="E1720" i="2"/>
  <c r="F1720" i="2"/>
  <c r="G1720" i="2"/>
  <c r="H1720" i="2"/>
  <c r="D1721" i="2"/>
  <c r="F1721" i="2" s="1"/>
  <c r="E1721" i="2"/>
  <c r="G1721" i="2"/>
  <c r="D1722" i="2"/>
  <c r="E1722" i="2"/>
  <c r="G1722" i="2"/>
  <c r="D1723" i="2"/>
  <c r="E1723" i="2"/>
  <c r="G1723" i="2"/>
  <c r="D1724" i="2"/>
  <c r="E1724" i="2"/>
  <c r="G1724" i="2"/>
  <c r="D1725" i="2"/>
  <c r="H1725" i="2" s="1"/>
  <c r="E1725" i="2"/>
  <c r="G1725" i="2"/>
  <c r="D1726" i="2"/>
  <c r="E1726" i="2"/>
  <c r="G1726" i="2"/>
  <c r="D1727" i="2"/>
  <c r="E1727" i="2"/>
  <c r="G1727" i="2"/>
  <c r="H1727" i="2"/>
  <c r="D1728" i="2"/>
  <c r="E1728" i="2"/>
  <c r="F1728" i="2"/>
  <c r="G1728" i="2"/>
  <c r="H1728" i="2"/>
  <c r="D1729" i="2"/>
  <c r="H1729" i="2" s="1"/>
  <c r="E1729" i="2"/>
  <c r="F1729" i="2"/>
  <c r="G1729" i="2"/>
  <c r="D1730" i="2"/>
  <c r="F1730" i="2" s="1"/>
  <c r="E1730" i="2"/>
  <c r="G1730" i="2"/>
  <c r="D1731" i="2"/>
  <c r="E1731" i="2"/>
  <c r="G1731" i="2"/>
  <c r="D1732" i="2"/>
  <c r="F1732" i="2" s="1"/>
  <c r="E1732" i="2"/>
  <c r="G1732" i="2"/>
  <c r="D1733" i="2"/>
  <c r="E1733" i="2"/>
  <c r="G1733" i="2"/>
  <c r="H1733" i="2"/>
  <c r="D1734" i="2"/>
  <c r="H1734" i="2" s="1"/>
  <c r="E1734" i="2"/>
  <c r="F1734" i="2"/>
  <c r="G1734" i="2"/>
  <c r="D1735" i="2"/>
  <c r="E1735" i="2"/>
  <c r="F1735" i="2"/>
  <c r="G1735" i="2"/>
  <c r="H1735" i="2"/>
  <c r="D1736" i="2"/>
  <c r="F1736" i="2" s="1"/>
  <c r="E1736" i="2"/>
  <c r="G1736" i="2"/>
  <c r="D1737" i="2"/>
  <c r="E1737" i="2"/>
  <c r="G1737" i="2"/>
  <c r="D1738" i="2"/>
  <c r="E1738" i="2"/>
  <c r="G1738" i="2"/>
  <c r="D1739" i="2"/>
  <c r="H1739" i="2" s="1"/>
  <c r="E1739" i="2"/>
  <c r="G1739" i="2"/>
  <c r="D1740" i="2"/>
  <c r="E1740" i="2"/>
  <c r="F1740" i="2"/>
  <c r="G1740" i="2"/>
  <c r="H1740" i="2"/>
  <c r="D1741" i="2"/>
  <c r="E1741" i="2"/>
  <c r="G1741" i="2"/>
  <c r="D1742" i="2"/>
  <c r="F1743" i="2" s="1"/>
  <c r="E1742" i="2"/>
  <c r="F1742" i="2"/>
  <c r="G1742" i="2"/>
  <c r="H1742" i="2"/>
  <c r="D1743" i="2"/>
  <c r="E1743" i="2"/>
  <c r="G1743" i="2"/>
  <c r="H1743" i="2"/>
  <c r="D1744" i="2"/>
  <c r="H1744" i="2" s="1"/>
  <c r="E1744" i="2"/>
  <c r="F1744" i="2"/>
  <c r="G1744" i="2"/>
  <c r="D1745" i="2"/>
  <c r="E1745" i="2"/>
  <c r="F1745" i="2"/>
  <c r="G1745" i="2"/>
  <c r="H1745" i="2"/>
  <c r="D1746" i="2"/>
  <c r="E1746" i="2"/>
  <c r="G1746" i="2"/>
  <c r="D1747" i="2"/>
  <c r="E1747" i="2"/>
  <c r="G1747" i="2"/>
  <c r="D1748" i="2"/>
  <c r="E1748" i="2"/>
  <c r="G1748" i="2"/>
  <c r="D1749" i="2"/>
  <c r="E1749" i="2"/>
  <c r="G1749" i="2"/>
  <c r="H1749" i="2"/>
  <c r="D1750" i="2"/>
  <c r="E1750" i="2"/>
  <c r="G1750" i="2"/>
  <c r="H1750" i="2"/>
  <c r="D1751" i="2"/>
  <c r="F1752" i="2" s="1"/>
  <c r="E1751" i="2"/>
  <c r="F1751" i="2"/>
  <c r="G1751" i="2"/>
  <c r="H1751" i="2"/>
  <c r="D1752" i="2"/>
  <c r="H1752" i="2" s="1"/>
  <c r="E1752" i="2"/>
  <c r="G1752" i="2"/>
  <c r="D1753" i="2"/>
  <c r="E1753" i="2"/>
  <c r="G1753" i="2"/>
  <c r="D1754" i="2"/>
  <c r="F1754" i="2" s="1"/>
  <c r="E1754" i="2"/>
  <c r="G1754" i="2"/>
  <c r="D1755" i="2"/>
  <c r="E1755" i="2"/>
  <c r="G1755" i="2"/>
  <c r="D1756" i="2"/>
  <c r="E1756" i="2"/>
  <c r="G1756" i="2"/>
  <c r="H1756" i="2"/>
  <c r="D1757" i="2"/>
  <c r="H1758" i="2" s="1"/>
  <c r="E1757" i="2"/>
  <c r="G1757" i="2"/>
  <c r="D1758" i="2"/>
  <c r="E1758" i="2"/>
  <c r="F1758" i="2"/>
  <c r="G1758" i="2"/>
  <c r="D1759" i="2"/>
  <c r="E1759" i="2"/>
  <c r="F1759" i="2"/>
  <c r="G1759" i="2"/>
  <c r="H1759" i="2"/>
  <c r="D1760" i="2"/>
  <c r="E1760" i="2"/>
  <c r="G1760" i="2"/>
  <c r="D1761" i="2"/>
  <c r="F1762" i="2" s="1"/>
  <c r="E1761" i="2"/>
  <c r="F1761" i="2"/>
  <c r="G1761" i="2"/>
  <c r="D1762" i="2"/>
  <c r="E1762" i="2"/>
  <c r="G1762" i="2"/>
  <c r="D1763" i="2"/>
  <c r="E1763" i="2"/>
  <c r="F1763" i="2"/>
  <c r="G1763" i="2"/>
  <c r="H1763" i="2"/>
  <c r="D1764" i="2"/>
  <c r="F1764" i="2" s="1"/>
  <c r="E1764" i="2"/>
  <c r="G1764" i="2"/>
  <c r="D1765" i="2"/>
  <c r="E1765" i="2"/>
  <c r="G1765" i="2"/>
  <c r="D1766" i="2"/>
  <c r="E1766" i="2"/>
  <c r="G1766" i="2"/>
  <c r="D1767" i="2"/>
  <c r="H1768" i="2" s="1"/>
  <c r="E1767" i="2"/>
  <c r="G1767" i="2"/>
  <c r="D1768" i="2"/>
  <c r="E1768" i="2"/>
  <c r="F1768" i="2"/>
  <c r="G1768" i="2"/>
  <c r="D1769" i="2"/>
  <c r="E1769" i="2"/>
  <c r="F1769" i="2"/>
  <c r="G1769" i="2"/>
  <c r="H1769" i="2"/>
  <c r="D1770" i="2"/>
  <c r="E1770" i="2"/>
  <c r="G1770" i="2"/>
  <c r="D1771" i="2"/>
  <c r="E1771" i="2"/>
  <c r="G1771" i="2"/>
  <c r="H1771" i="2"/>
  <c r="D1772" i="2"/>
  <c r="F1772" i="2" s="1"/>
  <c r="E1772" i="2"/>
  <c r="G1772" i="2"/>
  <c r="D1773" i="2"/>
  <c r="F1774" i="2" s="1"/>
  <c r="E1773" i="2"/>
  <c r="F1773" i="2"/>
  <c r="G1773" i="2"/>
  <c r="H1773" i="2"/>
  <c r="D1774" i="2"/>
  <c r="E1774" i="2"/>
  <c r="G1774" i="2"/>
  <c r="D1775" i="2"/>
  <c r="E1775" i="2"/>
  <c r="G1775" i="2"/>
  <c r="D1776" i="2"/>
  <c r="F1776" i="2" s="1"/>
  <c r="E1776" i="2"/>
  <c r="G1776" i="2"/>
  <c r="H1776" i="2"/>
  <c r="D1777" i="2"/>
  <c r="F1777" i="2" s="1"/>
  <c r="E1777" i="2"/>
  <c r="G1777" i="2"/>
  <c r="D1778" i="2"/>
  <c r="E1778" i="2"/>
  <c r="F1778" i="2"/>
  <c r="G1778" i="2"/>
  <c r="D1779" i="2"/>
  <c r="H1779" i="2" s="1"/>
  <c r="E1779" i="2"/>
  <c r="F1779" i="2"/>
  <c r="G1779" i="2"/>
  <c r="D1780" i="2"/>
  <c r="E1780" i="2"/>
  <c r="G1780" i="2"/>
  <c r="D1781" i="2"/>
  <c r="E1781" i="2"/>
  <c r="G1781" i="2"/>
  <c r="H1781" i="2"/>
  <c r="D1782" i="2"/>
  <c r="E1782" i="2"/>
  <c r="F1782" i="2"/>
  <c r="G1782" i="2"/>
  <c r="H1782" i="2"/>
  <c r="D1783" i="2"/>
  <c r="F1784" i="2" s="1"/>
  <c r="E1783" i="2"/>
  <c r="F1783" i="2"/>
  <c r="G1783" i="2"/>
  <c r="H1783" i="2"/>
  <c r="D1784" i="2"/>
  <c r="H1784" i="2" s="1"/>
  <c r="E1784" i="2"/>
  <c r="G1784" i="2"/>
  <c r="D1785" i="2"/>
  <c r="E1785" i="2"/>
  <c r="G1785" i="2"/>
  <c r="D1786" i="2"/>
  <c r="E1786" i="2"/>
  <c r="G1786" i="2"/>
  <c r="D1787" i="2"/>
  <c r="E1787" i="2"/>
  <c r="G1787" i="2"/>
  <c r="D1788" i="2"/>
  <c r="E1788" i="2"/>
  <c r="G1788" i="2"/>
  <c r="D1789" i="2"/>
  <c r="H1790" i="2" s="1"/>
  <c r="E1789" i="2"/>
  <c r="G1789" i="2"/>
  <c r="D1790" i="2"/>
  <c r="E1790" i="2"/>
  <c r="F1790" i="2"/>
  <c r="G1790" i="2"/>
  <c r="D1791" i="2"/>
  <c r="E1791" i="2"/>
  <c r="F1791" i="2"/>
  <c r="G1791" i="2"/>
  <c r="H1791" i="2"/>
  <c r="D1792" i="2"/>
  <c r="E1792" i="2"/>
  <c r="G1792" i="2"/>
  <c r="D1793" i="2"/>
  <c r="F1794" i="2" s="1"/>
  <c r="E1793" i="2"/>
  <c r="G1793" i="2"/>
  <c r="D1794" i="2"/>
  <c r="E1794" i="2"/>
  <c r="G1794" i="2"/>
  <c r="D1795" i="2"/>
  <c r="E1795" i="2"/>
  <c r="F1795" i="2"/>
  <c r="G1795" i="2"/>
  <c r="H1795" i="2"/>
  <c r="D1796" i="2"/>
  <c r="F1796" i="2" s="1"/>
  <c r="E1796" i="2"/>
  <c r="G1796" i="2"/>
  <c r="D1797" i="2"/>
  <c r="E1797" i="2"/>
  <c r="G1797" i="2"/>
  <c r="D1798" i="2"/>
  <c r="E1798" i="2"/>
  <c r="G1798" i="2"/>
  <c r="H1798" i="2"/>
  <c r="D1799" i="2"/>
  <c r="H1800" i="2" s="1"/>
  <c r="E1799" i="2"/>
  <c r="G1799" i="2"/>
  <c r="D1800" i="2"/>
  <c r="E1800" i="2"/>
  <c r="F1800" i="2"/>
  <c r="G1800" i="2"/>
  <c r="D1801" i="2"/>
  <c r="E1801" i="2"/>
  <c r="F1801" i="2"/>
  <c r="G1801" i="2"/>
  <c r="H1801" i="2"/>
  <c r="D1802" i="2"/>
  <c r="E1802" i="2"/>
  <c r="G1802" i="2"/>
  <c r="D1803" i="2"/>
  <c r="F1803" i="2" s="1"/>
  <c r="E1803" i="2"/>
  <c r="G1803" i="2"/>
  <c r="D1804" i="2"/>
  <c r="F1804" i="2" s="1"/>
  <c r="E1804" i="2"/>
  <c r="G1804" i="2"/>
  <c r="D1805" i="2"/>
  <c r="F1806" i="2" s="1"/>
  <c r="E1805" i="2"/>
  <c r="F1805" i="2"/>
  <c r="G1805" i="2"/>
  <c r="H1805" i="2"/>
  <c r="D1806" i="2"/>
  <c r="E1806" i="2"/>
  <c r="G1806" i="2"/>
  <c r="D1807" i="2"/>
  <c r="E1807" i="2"/>
  <c r="G1807" i="2"/>
  <c r="D1808" i="2"/>
  <c r="E1808" i="2"/>
  <c r="G1808" i="2"/>
  <c r="H1808" i="2"/>
  <c r="D1809" i="2"/>
  <c r="F1809" i="2" s="1"/>
  <c r="E1809" i="2"/>
  <c r="G1809" i="2"/>
  <c r="D1810" i="2"/>
  <c r="E1810" i="2"/>
  <c r="F1810" i="2"/>
  <c r="G1810" i="2"/>
  <c r="D1811" i="2"/>
  <c r="H1811" i="2" s="1"/>
  <c r="E1811" i="2"/>
  <c r="F1811" i="2"/>
  <c r="G1811" i="2"/>
  <c r="D1812" i="2"/>
  <c r="E1812" i="2"/>
  <c r="G1812" i="2"/>
  <c r="D1813" i="2"/>
  <c r="E1813" i="2"/>
  <c r="G1813" i="2"/>
  <c r="H1813" i="2"/>
  <c r="D1814" i="2"/>
  <c r="E1814" i="2"/>
  <c r="F1814" i="2"/>
  <c r="G1814" i="2"/>
  <c r="H1814" i="2"/>
  <c r="D1815" i="2"/>
  <c r="F1816" i="2" s="1"/>
  <c r="E1815" i="2"/>
  <c r="F1815" i="2"/>
  <c r="G1815" i="2"/>
  <c r="H1815" i="2"/>
  <c r="D1816" i="2"/>
  <c r="H1816" i="2" s="1"/>
  <c r="E1816" i="2"/>
  <c r="G1816" i="2"/>
  <c r="D1817" i="2"/>
  <c r="E1817" i="2"/>
  <c r="G1817" i="2"/>
  <c r="D1818" i="2"/>
  <c r="F1818" i="2" s="1"/>
  <c r="E1818" i="2"/>
  <c r="G1818" i="2"/>
  <c r="D1819" i="2"/>
  <c r="E1819" i="2"/>
  <c r="G1819" i="2"/>
  <c r="D1820" i="2"/>
  <c r="E1820" i="2"/>
  <c r="G1820" i="2"/>
  <c r="H1820" i="2"/>
  <c r="D1821" i="2"/>
  <c r="H1822" i="2" s="1"/>
  <c r="E1821" i="2"/>
  <c r="G1821" i="2"/>
  <c r="D1822" i="2"/>
  <c r="E1822" i="2"/>
  <c r="F1822" i="2"/>
  <c r="G1822" i="2"/>
  <c r="D1823" i="2"/>
  <c r="E1823" i="2"/>
  <c r="F1823" i="2"/>
  <c r="G1823" i="2"/>
  <c r="H1823" i="2"/>
  <c r="D1824" i="2"/>
  <c r="E1824" i="2"/>
  <c r="G1824" i="2"/>
  <c r="D1825" i="2"/>
  <c r="F1826" i="2" s="1"/>
  <c r="E1825" i="2"/>
  <c r="G1825" i="2"/>
  <c r="D1826" i="2"/>
  <c r="E1826" i="2"/>
  <c r="G1826" i="2"/>
  <c r="D1827" i="2"/>
  <c r="E1827" i="2"/>
  <c r="F1827" i="2"/>
  <c r="G1827" i="2"/>
  <c r="H1827" i="2"/>
  <c r="D1828" i="2"/>
  <c r="F1828" i="2" s="1"/>
  <c r="E1828" i="2"/>
  <c r="G1828" i="2"/>
  <c r="D1829" i="2"/>
  <c r="E1829" i="2"/>
  <c r="G1829" i="2"/>
  <c r="D1830" i="2"/>
  <c r="E1830" i="2"/>
  <c r="G1830" i="2"/>
  <c r="D1831" i="2"/>
  <c r="H1832" i="2" s="1"/>
  <c r="E1831" i="2"/>
  <c r="G1831" i="2"/>
  <c r="D1832" i="2"/>
  <c r="E1832" i="2"/>
  <c r="F1832" i="2"/>
  <c r="G1832" i="2"/>
  <c r="D1833" i="2"/>
  <c r="E1833" i="2"/>
  <c r="F1833" i="2"/>
  <c r="G1833" i="2"/>
  <c r="H1833" i="2"/>
  <c r="D1834" i="2"/>
  <c r="E1834" i="2"/>
  <c r="G1834" i="2"/>
  <c r="D1835" i="2"/>
  <c r="F1835" i="2" s="1"/>
  <c r="E1835" i="2"/>
  <c r="G1835" i="2"/>
  <c r="H1835" i="2"/>
  <c r="D1836" i="2"/>
  <c r="F1836" i="2" s="1"/>
  <c r="E1836" i="2"/>
  <c r="G1836" i="2"/>
  <c r="D1837" i="2"/>
  <c r="F1838" i="2" s="1"/>
  <c r="E1837" i="2"/>
  <c r="F1837" i="2"/>
  <c r="G1837" i="2"/>
  <c r="H1837" i="2"/>
  <c r="D1838" i="2"/>
  <c r="E1838" i="2"/>
  <c r="G1838" i="2"/>
  <c r="D1839" i="2"/>
  <c r="E1839" i="2"/>
  <c r="G1839" i="2"/>
  <c r="D1840" i="2"/>
  <c r="F1840" i="2" s="1"/>
  <c r="E1840" i="2"/>
  <c r="G1840" i="2"/>
  <c r="D1841" i="2"/>
  <c r="F1841" i="2" s="1"/>
  <c r="E1841" i="2"/>
  <c r="G1841" i="2"/>
  <c r="D1842" i="2"/>
  <c r="E1842" i="2"/>
  <c r="F1842" i="2"/>
  <c r="G1842" i="2"/>
  <c r="D1843" i="2"/>
  <c r="H1843" i="2" s="1"/>
  <c r="E1843" i="2"/>
  <c r="F1843" i="2"/>
  <c r="G1843" i="2"/>
  <c r="D1844" i="2"/>
  <c r="E1844" i="2"/>
  <c r="G1844" i="2"/>
  <c r="D1845" i="2"/>
  <c r="F1846" i="2" s="1"/>
  <c r="E1845" i="2"/>
  <c r="G1845" i="2"/>
  <c r="H1845" i="2"/>
  <c r="D1846" i="2"/>
  <c r="E1846" i="2"/>
  <c r="G1846" i="2"/>
  <c r="H1846" i="2"/>
  <c r="D1847" i="2"/>
  <c r="F1848" i="2" s="1"/>
  <c r="E1847" i="2"/>
  <c r="F1847" i="2"/>
  <c r="G1847" i="2"/>
  <c r="H1847" i="2"/>
  <c r="D1848" i="2"/>
  <c r="H1848" i="2" s="1"/>
  <c r="E1848" i="2"/>
  <c r="G1848" i="2"/>
  <c r="D1849" i="2"/>
  <c r="E1849" i="2"/>
  <c r="G1849" i="2"/>
  <c r="D1850" i="2"/>
  <c r="F1850" i="2" s="1"/>
  <c r="E1850" i="2"/>
  <c r="G1850" i="2"/>
  <c r="D1851" i="2"/>
  <c r="E1851" i="2"/>
  <c r="G1851" i="2"/>
  <c r="D1852" i="2"/>
  <c r="E1852" i="2"/>
  <c r="G1852" i="2"/>
  <c r="D1853" i="2"/>
  <c r="H1854" i="2" s="1"/>
  <c r="E1853" i="2"/>
  <c r="G1853" i="2"/>
  <c r="D1854" i="2"/>
  <c r="E1854" i="2"/>
  <c r="F1854" i="2"/>
  <c r="G1854" i="2"/>
  <c r="D1855" i="2"/>
  <c r="E1855" i="2"/>
  <c r="F1855" i="2"/>
  <c r="G1855" i="2"/>
  <c r="H1855" i="2"/>
  <c r="D1856" i="2"/>
  <c r="E1856" i="2"/>
  <c r="G1856" i="2"/>
  <c r="D1857" i="2"/>
  <c r="F1858" i="2" s="1"/>
  <c r="E1857" i="2"/>
  <c r="F1857" i="2"/>
  <c r="G1857" i="2"/>
  <c r="D1858" i="2"/>
  <c r="E1858" i="2"/>
  <c r="G1858" i="2"/>
  <c r="D1859" i="2"/>
  <c r="E1859" i="2"/>
  <c r="F1859" i="2"/>
  <c r="G1859" i="2"/>
  <c r="H1859" i="2"/>
  <c r="D1860" i="2"/>
  <c r="F1860" i="2" s="1"/>
  <c r="E1860" i="2"/>
  <c r="G1860" i="2"/>
  <c r="D1861" i="2"/>
  <c r="E1861" i="2"/>
  <c r="G1861" i="2"/>
  <c r="D1862" i="2"/>
  <c r="E1862" i="2"/>
  <c r="G1862" i="2"/>
  <c r="D1863" i="2"/>
  <c r="H1864" i="2" s="1"/>
  <c r="E1863" i="2"/>
  <c r="G1863" i="2"/>
  <c r="D1864" i="2"/>
  <c r="E1864" i="2"/>
  <c r="F1864" i="2"/>
  <c r="G1864" i="2"/>
  <c r="D1865" i="2"/>
  <c r="E1865" i="2"/>
  <c r="F1865" i="2"/>
  <c r="G1865" i="2"/>
  <c r="H1865" i="2"/>
  <c r="D1866" i="2"/>
  <c r="E1866" i="2"/>
  <c r="G1866" i="2"/>
  <c r="D1867" i="2"/>
  <c r="E1867" i="2"/>
  <c r="G1867" i="2"/>
  <c r="D1868" i="2"/>
  <c r="F1868" i="2" s="1"/>
  <c r="E1868" i="2"/>
  <c r="G1868" i="2"/>
  <c r="D1869" i="2"/>
  <c r="F1870" i="2" s="1"/>
  <c r="E1869" i="2"/>
  <c r="F1869" i="2"/>
  <c r="G1869" i="2"/>
  <c r="H1869" i="2"/>
  <c r="D1870" i="2"/>
  <c r="E1870" i="2"/>
  <c r="G1870" i="2"/>
  <c r="D1871" i="2"/>
  <c r="E1871" i="2"/>
  <c r="G1871" i="2"/>
  <c r="D1872" i="2"/>
  <c r="F1872" i="2" s="1"/>
  <c r="E1872" i="2"/>
  <c r="G1872" i="2"/>
  <c r="H1872" i="2"/>
  <c r="D1873" i="2"/>
  <c r="F1873" i="2" s="1"/>
  <c r="E1873" i="2"/>
  <c r="G1873" i="2"/>
  <c r="D1874" i="2"/>
  <c r="E1874" i="2"/>
  <c r="F1874" i="2"/>
  <c r="G1874" i="2"/>
  <c r="D1875" i="2"/>
  <c r="H1875" i="2" s="1"/>
  <c r="E1875" i="2"/>
  <c r="F1875" i="2"/>
  <c r="G1875" i="2"/>
  <c r="D1876" i="2"/>
  <c r="E1876" i="2"/>
  <c r="G1876" i="2"/>
  <c r="D1877" i="2"/>
  <c r="F1878" i="2" s="1"/>
  <c r="E1877" i="2"/>
  <c r="G1877" i="2"/>
  <c r="D1878" i="2"/>
  <c r="E1878" i="2"/>
  <c r="G1878" i="2"/>
  <c r="H1878" i="2"/>
  <c r="D1879" i="2"/>
  <c r="F1880" i="2" s="1"/>
  <c r="E1879" i="2"/>
  <c r="F1879" i="2"/>
  <c r="G1879" i="2"/>
  <c r="H1879" i="2"/>
  <c r="D1880" i="2"/>
  <c r="H1880" i="2" s="1"/>
  <c r="E1880" i="2"/>
  <c r="G1880" i="2"/>
  <c r="D1881" i="2"/>
  <c r="E1881" i="2"/>
  <c r="G1881" i="2"/>
  <c r="D1882" i="2"/>
  <c r="E1882" i="2"/>
  <c r="G1882" i="2"/>
  <c r="D1883" i="2"/>
  <c r="E1883" i="2"/>
  <c r="G1883" i="2"/>
  <c r="D1884" i="2"/>
  <c r="E1884" i="2"/>
  <c r="G1884" i="2"/>
  <c r="D1885" i="2"/>
  <c r="H1886" i="2" s="1"/>
  <c r="E1885" i="2"/>
  <c r="G1885" i="2"/>
  <c r="D1886" i="2"/>
  <c r="E1886" i="2"/>
  <c r="F1886" i="2"/>
  <c r="G1886" i="2"/>
  <c r="D1887" i="2"/>
  <c r="E1887" i="2"/>
  <c r="F1887" i="2"/>
  <c r="G1887" i="2"/>
  <c r="H1887" i="2"/>
  <c r="D1888" i="2"/>
  <c r="E1888" i="2"/>
  <c r="G1888" i="2"/>
  <c r="D1889" i="2"/>
  <c r="F1890" i="2" s="1"/>
  <c r="E1889" i="2"/>
  <c r="G1889" i="2"/>
  <c r="D1890" i="2"/>
  <c r="E1890" i="2"/>
  <c r="G1890" i="2"/>
  <c r="D1891" i="2"/>
  <c r="E1891" i="2"/>
  <c r="F1891" i="2"/>
  <c r="G1891" i="2"/>
  <c r="H1891" i="2"/>
  <c r="D1892" i="2"/>
  <c r="F1892" i="2" s="1"/>
  <c r="E1892" i="2"/>
  <c r="G1892" i="2"/>
  <c r="D1893" i="2"/>
  <c r="E1893" i="2"/>
  <c r="G1893" i="2"/>
  <c r="D1894" i="2"/>
  <c r="E1894" i="2"/>
  <c r="G1894" i="2"/>
  <c r="H1894" i="2"/>
  <c r="D1895" i="2"/>
  <c r="H1896" i="2" s="1"/>
  <c r="E1895" i="2"/>
  <c r="G1895" i="2"/>
  <c r="D1896" i="2"/>
  <c r="E1896" i="2"/>
  <c r="F1896" i="2"/>
  <c r="G1896" i="2"/>
  <c r="D1897" i="2"/>
  <c r="E1897" i="2"/>
  <c r="F1897" i="2"/>
  <c r="G1897" i="2"/>
  <c r="H1897" i="2"/>
  <c r="D1898" i="2"/>
  <c r="E1898" i="2"/>
  <c r="G1898" i="2"/>
  <c r="D1899" i="2"/>
  <c r="F1899" i="2" s="1"/>
  <c r="E1899" i="2"/>
  <c r="G1899" i="2"/>
  <c r="D1900" i="2"/>
  <c r="F1900" i="2" s="1"/>
  <c r="E1900" i="2"/>
  <c r="G1900" i="2"/>
  <c r="D1901" i="2"/>
  <c r="F1902" i="2" s="1"/>
  <c r="E1901" i="2"/>
  <c r="F1901" i="2"/>
  <c r="G1901" i="2"/>
  <c r="H1901" i="2"/>
  <c r="D1902" i="2"/>
  <c r="E1902" i="2"/>
  <c r="G1902" i="2"/>
  <c r="D1903" i="2"/>
  <c r="E1903" i="2"/>
  <c r="G1903" i="2"/>
  <c r="D1904" i="2"/>
  <c r="E1904" i="2"/>
  <c r="G1904" i="2"/>
  <c r="H1904" i="2"/>
  <c r="D1905" i="2"/>
  <c r="F1905" i="2" s="1"/>
  <c r="E1905" i="2"/>
  <c r="G1905" i="2"/>
  <c r="D1906" i="2"/>
  <c r="E1906" i="2"/>
  <c r="F1906" i="2"/>
  <c r="G1906" i="2"/>
  <c r="D1907" i="2"/>
  <c r="H1907" i="2" s="1"/>
  <c r="E1907" i="2"/>
  <c r="F1907" i="2"/>
  <c r="G1907" i="2"/>
  <c r="D1908" i="2"/>
  <c r="E1908" i="2"/>
  <c r="G1908" i="2"/>
  <c r="D1909" i="2"/>
  <c r="F1910" i="2" s="1"/>
  <c r="E1909" i="2"/>
  <c r="G1909" i="2"/>
  <c r="H1909" i="2"/>
  <c r="D1910" i="2"/>
  <c r="E1910" i="2"/>
  <c r="G1910" i="2"/>
  <c r="D1911" i="2"/>
  <c r="F1912" i="2" s="1"/>
  <c r="E1911" i="2"/>
  <c r="F1911" i="2"/>
  <c r="G1911" i="2"/>
  <c r="H1911" i="2"/>
  <c r="D1912" i="2"/>
  <c r="H1912" i="2" s="1"/>
  <c r="E1912" i="2"/>
  <c r="G1912" i="2"/>
  <c r="D1913" i="2"/>
  <c r="E1913" i="2"/>
  <c r="G1913" i="2"/>
  <c r="D1914" i="2"/>
  <c r="F1914" i="2" s="1"/>
  <c r="E1914" i="2"/>
  <c r="G1914" i="2"/>
  <c r="D1915" i="2"/>
  <c r="E1915" i="2"/>
  <c r="G1915" i="2"/>
  <c r="D1916" i="2"/>
  <c r="E1916" i="2"/>
  <c r="G1916" i="2"/>
  <c r="H1916" i="2"/>
  <c r="D1917" i="2"/>
  <c r="H1918" i="2" s="1"/>
  <c r="E1917" i="2"/>
  <c r="G1917" i="2"/>
  <c r="D1918" i="2"/>
  <c r="E1918" i="2"/>
  <c r="F1918" i="2"/>
  <c r="G1918" i="2"/>
  <c r="D1919" i="2"/>
  <c r="E1919" i="2"/>
  <c r="F1919" i="2"/>
  <c r="G1919" i="2"/>
  <c r="H1919" i="2"/>
  <c r="D1920" i="2"/>
  <c r="E1920" i="2"/>
  <c r="G1920" i="2"/>
  <c r="D1921" i="2"/>
  <c r="F1922" i="2" s="1"/>
  <c r="E1921" i="2"/>
  <c r="G1921" i="2"/>
  <c r="D1922" i="2"/>
  <c r="E1922" i="2"/>
  <c r="G1922" i="2"/>
  <c r="D1923" i="2"/>
  <c r="E1923" i="2"/>
  <c r="F1923" i="2"/>
  <c r="G1923" i="2"/>
  <c r="H1923" i="2"/>
  <c r="D1924" i="2"/>
  <c r="F1924" i="2" s="1"/>
  <c r="E1924" i="2"/>
  <c r="G1924" i="2"/>
  <c r="D1925" i="2"/>
  <c r="E1925" i="2"/>
  <c r="G1925" i="2"/>
  <c r="D1926" i="2"/>
  <c r="E1926" i="2"/>
  <c r="G1926" i="2"/>
  <c r="H1926" i="2"/>
  <c r="D1927" i="2"/>
  <c r="H1928" i="2" s="1"/>
  <c r="E1927" i="2"/>
  <c r="G1927" i="2"/>
  <c r="D1928" i="2"/>
  <c r="E1928" i="2"/>
  <c r="F1928" i="2"/>
  <c r="G1928" i="2"/>
  <c r="D1929" i="2"/>
  <c r="E1929" i="2"/>
  <c r="F1929" i="2"/>
  <c r="G1929" i="2"/>
  <c r="H1929" i="2"/>
  <c r="D1930" i="2"/>
  <c r="E1930" i="2"/>
  <c r="G1930" i="2"/>
  <c r="D1931" i="2"/>
  <c r="F1931" i="2" s="1"/>
  <c r="E1931" i="2"/>
  <c r="G1931" i="2"/>
  <c r="H1931" i="2"/>
  <c r="D1932" i="2"/>
  <c r="F1932" i="2" s="1"/>
  <c r="E1932" i="2"/>
  <c r="G1932" i="2"/>
  <c r="D1933" i="2"/>
  <c r="F1934" i="2" s="1"/>
  <c r="E1933" i="2"/>
  <c r="F1933" i="2"/>
  <c r="G1933" i="2"/>
  <c r="H1933" i="2"/>
  <c r="D1934" i="2"/>
  <c r="E1934" i="2"/>
  <c r="G1934" i="2"/>
  <c r="D1935" i="2"/>
  <c r="E1935" i="2"/>
  <c r="G1935" i="2"/>
  <c r="D1936" i="2"/>
  <c r="F1936" i="2" s="1"/>
  <c r="E1936" i="2"/>
  <c r="G1936" i="2"/>
  <c r="H1936" i="2"/>
  <c r="D1937" i="2"/>
  <c r="F1937" i="2" s="1"/>
  <c r="E1937" i="2"/>
  <c r="G1937" i="2"/>
  <c r="D1938" i="2"/>
  <c r="E1938" i="2"/>
  <c r="F1938" i="2"/>
  <c r="G1938" i="2"/>
  <c r="D1939" i="2"/>
  <c r="H1939" i="2" s="1"/>
  <c r="E1939" i="2"/>
  <c r="F1939" i="2"/>
  <c r="G1939" i="2"/>
  <c r="D1940" i="2"/>
  <c r="E1940" i="2"/>
  <c r="G1940" i="2"/>
  <c r="D1941" i="2"/>
  <c r="F1942" i="2" s="1"/>
  <c r="E1941" i="2"/>
  <c r="G1941" i="2"/>
  <c r="D1942" i="2"/>
  <c r="E1942" i="2"/>
  <c r="G1942" i="2"/>
  <c r="D1943" i="2"/>
  <c r="F1944" i="2" s="1"/>
  <c r="E1943" i="2"/>
  <c r="F1943" i="2"/>
  <c r="G1943" i="2"/>
  <c r="H1943" i="2"/>
  <c r="D1944" i="2"/>
  <c r="H1944" i="2" s="1"/>
  <c r="E1944" i="2"/>
  <c r="G1944" i="2"/>
  <c r="D1945" i="2"/>
  <c r="E1945" i="2"/>
  <c r="G1945" i="2"/>
  <c r="D1946" i="2"/>
  <c r="E1946" i="2"/>
  <c r="G1946" i="2"/>
  <c r="D1947" i="2"/>
  <c r="E1947" i="2"/>
  <c r="G1947" i="2"/>
  <c r="D1948" i="2"/>
  <c r="E1948" i="2"/>
  <c r="G1948" i="2"/>
  <c r="D1949" i="2"/>
  <c r="H1950" i="2" s="1"/>
  <c r="E1949" i="2"/>
  <c r="G1949" i="2"/>
  <c r="D1950" i="2"/>
  <c r="E1950" i="2"/>
  <c r="F1950" i="2"/>
  <c r="G1950" i="2"/>
  <c r="D1951" i="2"/>
  <c r="E1951" i="2"/>
  <c r="F1951" i="2"/>
  <c r="G1951" i="2"/>
  <c r="H1951" i="2"/>
  <c r="D1952" i="2"/>
  <c r="E1952" i="2"/>
  <c r="G1952" i="2"/>
  <c r="D1953" i="2"/>
  <c r="F1954" i="2" s="1"/>
  <c r="E1953" i="2"/>
  <c r="G1953" i="2"/>
  <c r="D1954" i="2"/>
  <c r="E1954" i="2"/>
  <c r="G1954" i="2"/>
  <c r="D1955" i="2"/>
  <c r="E1955" i="2"/>
  <c r="F1955" i="2"/>
  <c r="G1955" i="2"/>
  <c r="H1955" i="2"/>
  <c r="D1956" i="2"/>
  <c r="F1956" i="2" s="1"/>
  <c r="E1956" i="2"/>
  <c r="G1956" i="2"/>
  <c r="D1957" i="2"/>
  <c r="E1957" i="2"/>
  <c r="G1957" i="2"/>
  <c r="D1958" i="2"/>
  <c r="E1958" i="2"/>
  <c r="G1958" i="2"/>
  <c r="H1958" i="2"/>
  <c r="D1959" i="2"/>
  <c r="H1960" i="2" s="1"/>
  <c r="E1959" i="2"/>
  <c r="G1959" i="2"/>
  <c r="D1960" i="2"/>
  <c r="E1960" i="2"/>
  <c r="F1960" i="2"/>
  <c r="G1960" i="2"/>
  <c r="D1961" i="2"/>
  <c r="E1961" i="2"/>
  <c r="F1961" i="2"/>
  <c r="G1961" i="2"/>
  <c r="H1961" i="2"/>
  <c r="D1962" i="2"/>
  <c r="E1962" i="2"/>
  <c r="G1962" i="2"/>
  <c r="D1963" i="2"/>
  <c r="F1963" i="2" s="1"/>
  <c r="E1963" i="2"/>
  <c r="G1963" i="2"/>
  <c r="D1964" i="2"/>
  <c r="F1964" i="2" s="1"/>
  <c r="E1964" i="2"/>
  <c r="G1964" i="2"/>
  <c r="D1965" i="2"/>
  <c r="F1966" i="2" s="1"/>
  <c r="E1965" i="2"/>
  <c r="F1965" i="2"/>
  <c r="G1965" i="2"/>
  <c r="H1965" i="2"/>
  <c r="D1966" i="2"/>
  <c r="E1966" i="2"/>
  <c r="G1966" i="2"/>
  <c r="D1967" i="2"/>
  <c r="E1967" i="2"/>
  <c r="G1967" i="2"/>
  <c r="D1968" i="2"/>
  <c r="E1968" i="2"/>
  <c r="G1968" i="2"/>
  <c r="H1968" i="2"/>
  <c r="D1969" i="2"/>
  <c r="F1969" i="2" s="1"/>
  <c r="E1969" i="2"/>
  <c r="G1969" i="2"/>
  <c r="D1970" i="2"/>
  <c r="E1970" i="2"/>
  <c r="F1970" i="2"/>
  <c r="G1970" i="2"/>
  <c r="D1971" i="2"/>
  <c r="H1971" i="2" s="1"/>
  <c r="E1971" i="2"/>
  <c r="F1971" i="2"/>
  <c r="G1971" i="2"/>
  <c r="D1972" i="2"/>
  <c r="E1972" i="2"/>
  <c r="G1972" i="2"/>
  <c r="D1973" i="2"/>
  <c r="F1974" i="2" s="1"/>
  <c r="E1973" i="2"/>
  <c r="G1973" i="2"/>
  <c r="H1973" i="2"/>
  <c r="D1974" i="2"/>
  <c r="E1974" i="2"/>
  <c r="G1974" i="2"/>
  <c r="D1975" i="2"/>
  <c r="F1976" i="2" s="1"/>
  <c r="E1975" i="2"/>
  <c r="F1975" i="2"/>
  <c r="G1975" i="2"/>
  <c r="H1975" i="2"/>
  <c r="D1976" i="2"/>
  <c r="H1976" i="2" s="1"/>
  <c r="E1976" i="2"/>
  <c r="G1976" i="2"/>
  <c r="D1977" i="2"/>
  <c r="E1977" i="2"/>
  <c r="G1977" i="2"/>
  <c r="D1978" i="2"/>
  <c r="F1978" i="2" s="1"/>
  <c r="E1978" i="2"/>
  <c r="G1978" i="2"/>
  <c r="D1979" i="2"/>
  <c r="E1979" i="2"/>
  <c r="G1979" i="2"/>
  <c r="D1980" i="2"/>
  <c r="E1980" i="2"/>
  <c r="G1980" i="2"/>
  <c r="H1980" i="2"/>
  <c r="D1981" i="2"/>
  <c r="H1982" i="2" s="1"/>
  <c r="E1981" i="2"/>
  <c r="G1981" i="2"/>
  <c r="D1982" i="2"/>
  <c r="E1982" i="2"/>
  <c r="F1982" i="2"/>
  <c r="G1982" i="2"/>
  <c r="D1983" i="2"/>
  <c r="E1983" i="2"/>
  <c r="F1983" i="2"/>
  <c r="G1983" i="2"/>
  <c r="H1983" i="2"/>
  <c r="D1984" i="2"/>
  <c r="E1984" i="2"/>
  <c r="G1984" i="2"/>
  <c r="D1985" i="2"/>
  <c r="F1986" i="2" s="1"/>
  <c r="E1985" i="2"/>
  <c r="G1985" i="2"/>
  <c r="D1986" i="2"/>
  <c r="E1986" i="2"/>
  <c r="G1986" i="2"/>
  <c r="D1987" i="2"/>
  <c r="E1987" i="2"/>
  <c r="F1987" i="2"/>
  <c r="G1987" i="2"/>
  <c r="H1987" i="2"/>
  <c r="D1988" i="2"/>
  <c r="F1988" i="2" s="1"/>
  <c r="E1988" i="2"/>
  <c r="G1988" i="2"/>
  <c r="D1989" i="2"/>
  <c r="E1989" i="2"/>
  <c r="G1989" i="2"/>
  <c r="D1990" i="2"/>
  <c r="E1990" i="2"/>
  <c r="G1990" i="2"/>
  <c r="H1990" i="2"/>
  <c r="D1991" i="2"/>
  <c r="H1992" i="2" s="1"/>
  <c r="E1991" i="2"/>
  <c r="G1991" i="2"/>
  <c r="D1992" i="2"/>
  <c r="E1992" i="2"/>
  <c r="F1992" i="2"/>
  <c r="G1992" i="2"/>
  <c r="D1993" i="2"/>
  <c r="E1993" i="2"/>
  <c r="F1993" i="2"/>
  <c r="G1993" i="2"/>
  <c r="H1993" i="2"/>
  <c r="D1994" i="2"/>
  <c r="E1994" i="2"/>
  <c r="G1994" i="2"/>
  <c r="D1995" i="2"/>
  <c r="F1995" i="2" s="1"/>
  <c r="E1995" i="2"/>
  <c r="G1995" i="2"/>
  <c r="H1995" i="2"/>
  <c r="D1996" i="2"/>
  <c r="F1996" i="2" s="1"/>
  <c r="E1996" i="2"/>
  <c r="G1996" i="2"/>
  <c r="D1997" i="2"/>
  <c r="F1998" i="2" s="1"/>
  <c r="E1997" i="2"/>
  <c r="F1997" i="2"/>
  <c r="G1997" i="2"/>
  <c r="H1997" i="2"/>
  <c r="D1998" i="2"/>
  <c r="E1998" i="2"/>
  <c r="G1998" i="2"/>
  <c r="D1999" i="2"/>
  <c r="E1999" i="2"/>
  <c r="G1999" i="2"/>
  <c r="D2000" i="2"/>
  <c r="F2000" i="2" s="1"/>
  <c r="E2000" i="2"/>
  <c r="G2000" i="2"/>
  <c r="H2000" i="2"/>
  <c r="D2001" i="2"/>
  <c r="F2001" i="2" s="1"/>
  <c r="E2001" i="2"/>
  <c r="G2001" i="2"/>
  <c r="D2002" i="2"/>
  <c r="E2002" i="2"/>
  <c r="F2002" i="2"/>
  <c r="G2002" i="2"/>
  <c r="D2003" i="2"/>
  <c r="H2003" i="2" s="1"/>
  <c r="E2003" i="2"/>
  <c r="F2003" i="2"/>
  <c r="G2003" i="2"/>
  <c r="D2004" i="2"/>
  <c r="E2004" i="2"/>
  <c r="G2004" i="2"/>
  <c r="D2005" i="2"/>
  <c r="F2006" i="2" s="1"/>
  <c r="E2005" i="2"/>
  <c r="G2005" i="2"/>
  <c r="D2006" i="2"/>
  <c r="E2006" i="2"/>
  <c r="G2006" i="2"/>
  <c r="D2007" i="2"/>
  <c r="F2008" i="2" s="1"/>
  <c r="E2007" i="2"/>
  <c r="F2007" i="2"/>
  <c r="G2007" i="2"/>
  <c r="H2007" i="2"/>
  <c r="D2008" i="2"/>
  <c r="H2008" i="2" s="1"/>
  <c r="E2008" i="2"/>
  <c r="G2008" i="2"/>
  <c r="D2009" i="2"/>
  <c r="E2009" i="2"/>
  <c r="G2009" i="2"/>
  <c r="D2010" i="2"/>
  <c r="E2010" i="2"/>
  <c r="G2010" i="2"/>
  <c r="D2011" i="2"/>
  <c r="E2011" i="2"/>
  <c r="G2011" i="2"/>
  <c r="D2012" i="2"/>
  <c r="E2012" i="2"/>
  <c r="G2012" i="2"/>
  <c r="D2013" i="2"/>
  <c r="H2014" i="2" s="1"/>
  <c r="E2013" i="2"/>
  <c r="G2013" i="2"/>
  <c r="D2014" i="2"/>
  <c r="E2014" i="2"/>
  <c r="F2014" i="2"/>
  <c r="G2014" i="2"/>
  <c r="D2015" i="2"/>
  <c r="E2015" i="2"/>
  <c r="F2015" i="2"/>
  <c r="G2015" i="2"/>
  <c r="H2015" i="2"/>
  <c r="D2016" i="2"/>
  <c r="E2016" i="2"/>
  <c r="G2016" i="2"/>
  <c r="D2017" i="2"/>
  <c r="F2018" i="2" s="1"/>
  <c r="E2017" i="2"/>
  <c r="G2017" i="2"/>
  <c r="D2018" i="2"/>
  <c r="E2018" i="2"/>
  <c r="G2018" i="2"/>
  <c r="D2019" i="2"/>
  <c r="E2019" i="2"/>
  <c r="F2019" i="2"/>
  <c r="G2019" i="2"/>
  <c r="H2019" i="2"/>
  <c r="D2020" i="2"/>
  <c r="F2020" i="2" s="1"/>
  <c r="E2020" i="2"/>
  <c r="G2020" i="2"/>
  <c r="D2021" i="2"/>
  <c r="E2021" i="2"/>
  <c r="G2021" i="2"/>
  <c r="D2022" i="2"/>
  <c r="E2022" i="2"/>
  <c r="G2022" i="2"/>
  <c r="H2022" i="2"/>
  <c r="D2023" i="2"/>
  <c r="H2024" i="2" s="1"/>
  <c r="E2023" i="2"/>
  <c r="G2023" i="2"/>
  <c r="D2024" i="2"/>
  <c r="E2024" i="2"/>
  <c r="F2024" i="2"/>
  <c r="G2024" i="2"/>
  <c r="D2025" i="2"/>
  <c r="E2025" i="2"/>
  <c r="F2025" i="2"/>
  <c r="G2025" i="2"/>
  <c r="H2025" i="2"/>
  <c r="D2026" i="2"/>
  <c r="E2026" i="2"/>
  <c r="G2026" i="2"/>
  <c r="D2027" i="2"/>
  <c r="F2027" i="2" s="1"/>
  <c r="E2027" i="2"/>
  <c r="G2027" i="2"/>
  <c r="D2028" i="2"/>
  <c r="F2028" i="2" s="1"/>
  <c r="E2028" i="2"/>
  <c r="G2028" i="2"/>
  <c r="D2029" i="2"/>
  <c r="F2030" i="2" s="1"/>
  <c r="E2029" i="2"/>
  <c r="F2029" i="2"/>
  <c r="G2029" i="2"/>
  <c r="H2029" i="2"/>
  <c r="D2030" i="2"/>
  <c r="E2030" i="2"/>
  <c r="G2030" i="2"/>
  <c r="D2031" i="2"/>
  <c r="E2031" i="2"/>
  <c r="G2031" i="2"/>
  <c r="D2032" i="2"/>
  <c r="E2032" i="2"/>
  <c r="G2032" i="2"/>
  <c r="H2032" i="2"/>
  <c r="D2033" i="2"/>
  <c r="F2033" i="2" s="1"/>
  <c r="E2033" i="2"/>
  <c r="G2033" i="2"/>
  <c r="D2034" i="2"/>
  <c r="E2034" i="2"/>
  <c r="F2034" i="2"/>
  <c r="G2034" i="2"/>
  <c r="D2035" i="2"/>
  <c r="H2035" i="2" s="1"/>
  <c r="E2035" i="2"/>
  <c r="F2035" i="2"/>
  <c r="G2035" i="2"/>
  <c r="D2036" i="2"/>
  <c r="E2036" i="2"/>
  <c r="G2036" i="2"/>
  <c r="D2037" i="2"/>
  <c r="F2038" i="2" s="1"/>
  <c r="E2037" i="2"/>
  <c r="G2037" i="2"/>
  <c r="H2037" i="2"/>
  <c r="D2038" i="2"/>
  <c r="E2038" i="2"/>
  <c r="G2038" i="2"/>
  <c r="D2039" i="2"/>
  <c r="F2040" i="2" s="1"/>
  <c r="E2039" i="2"/>
  <c r="F2039" i="2"/>
  <c r="G2039" i="2"/>
  <c r="H2039" i="2"/>
  <c r="D2040" i="2"/>
  <c r="H2040" i="2" s="1"/>
  <c r="E2040" i="2"/>
  <c r="G2040" i="2"/>
  <c r="D2041" i="2"/>
  <c r="E2041" i="2"/>
  <c r="G2041" i="2"/>
  <c r="D2042" i="2"/>
  <c r="F2042" i="2" s="1"/>
  <c r="E2042" i="2"/>
  <c r="G2042" i="2"/>
  <c r="D2043" i="2"/>
  <c r="F2044" i="2" s="1"/>
  <c r="E2043" i="2"/>
  <c r="G2043" i="2"/>
  <c r="D2044" i="2"/>
  <c r="F2045" i="2" s="1"/>
  <c r="E2044" i="2"/>
  <c r="G2044" i="2"/>
  <c r="D2045" i="2"/>
  <c r="H2045" i="2" s="1"/>
  <c r="E2045" i="2"/>
  <c r="G2045" i="2"/>
  <c r="D2046" i="2"/>
  <c r="E2046" i="2"/>
  <c r="G2046" i="2"/>
  <c r="D2047" i="2"/>
  <c r="F2047" i="2" s="1"/>
  <c r="E2047" i="2"/>
  <c r="G2047" i="2"/>
  <c r="H2047" i="2"/>
  <c r="D2048" i="2"/>
  <c r="H2049" i="2" s="1"/>
  <c r="E2048" i="2"/>
  <c r="G2048" i="2"/>
  <c r="D2049" i="2"/>
  <c r="E2049" i="2"/>
  <c r="F2049" i="2"/>
  <c r="G2049" i="2"/>
  <c r="D2050" i="2"/>
  <c r="E2050" i="2"/>
  <c r="F2050" i="2"/>
  <c r="G2050" i="2"/>
  <c r="H2050" i="2"/>
  <c r="D2051" i="2"/>
  <c r="E2051" i="2"/>
  <c r="G2051" i="2"/>
  <c r="D2052" i="2"/>
  <c r="F2053" i="2" s="1"/>
  <c r="E2052" i="2"/>
  <c r="G2052" i="2"/>
  <c r="D2053" i="2"/>
  <c r="H2053" i="2" s="1"/>
  <c r="E2053" i="2"/>
  <c r="G2053" i="2"/>
  <c r="D2054" i="2"/>
  <c r="E2054" i="2"/>
  <c r="G2054" i="2"/>
  <c r="D2055" i="2"/>
  <c r="E2055" i="2"/>
  <c r="G2055" i="2"/>
  <c r="H2055" i="2"/>
  <c r="D2056" i="2"/>
  <c r="H2057" i="2" s="1"/>
  <c r="E2056" i="2"/>
  <c r="G2056" i="2"/>
  <c r="D2057" i="2"/>
  <c r="E2057" i="2"/>
  <c r="F2057" i="2"/>
  <c r="G2057" i="2"/>
  <c r="D2058" i="2"/>
  <c r="E2058" i="2"/>
  <c r="F2058" i="2"/>
  <c r="G2058" i="2"/>
  <c r="H2058" i="2"/>
  <c r="D2059" i="2"/>
  <c r="E2059" i="2"/>
  <c r="G2059" i="2"/>
  <c r="D2060" i="2"/>
  <c r="F2061" i="2" s="1"/>
  <c r="E2060" i="2"/>
  <c r="F2060" i="2"/>
  <c r="G2060" i="2"/>
  <c r="D2061" i="2"/>
  <c r="H2061" i="2" s="1"/>
  <c r="E2061" i="2"/>
  <c r="G2061" i="2"/>
  <c r="D2062" i="2"/>
  <c r="E2062" i="2"/>
  <c r="G2062" i="2"/>
  <c r="D2063" i="2"/>
  <c r="F2063" i="2" s="1"/>
  <c r="E2063" i="2"/>
  <c r="G2063" i="2"/>
  <c r="D2064" i="2"/>
  <c r="H2065" i="2" s="1"/>
  <c r="E2064" i="2"/>
  <c r="G2064" i="2"/>
  <c r="D2065" i="2"/>
  <c r="E2065" i="2"/>
  <c r="F2065" i="2"/>
  <c r="G2065" i="2"/>
  <c r="D2066" i="2"/>
  <c r="E2066" i="2"/>
  <c r="F2066" i="2"/>
  <c r="G2066" i="2"/>
  <c r="H2066" i="2"/>
  <c r="D2067" i="2"/>
  <c r="E2067" i="2"/>
  <c r="G2067" i="2"/>
  <c r="D2068" i="2"/>
  <c r="F2069" i="2" s="1"/>
  <c r="E2068" i="2"/>
  <c r="G2068" i="2"/>
  <c r="D2069" i="2"/>
  <c r="H2069" i="2" s="1"/>
  <c r="E2069" i="2"/>
  <c r="G2069" i="2"/>
  <c r="D2070" i="2"/>
  <c r="E2070" i="2"/>
  <c r="G2070" i="2"/>
  <c r="D2071" i="2"/>
  <c r="F2071" i="2" s="1"/>
  <c r="E2071" i="2"/>
  <c r="G2071" i="2"/>
  <c r="H2071" i="2"/>
  <c r="D2072" i="2"/>
  <c r="H2073" i="2" s="1"/>
  <c r="E2072" i="2"/>
  <c r="G2072" i="2"/>
  <c r="D2073" i="2"/>
  <c r="E2073" i="2"/>
  <c r="F2073" i="2"/>
  <c r="G2073" i="2"/>
  <c r="D2074" i="2"/>
  <c r="E2074" i="2"/>
  <c r="F2074" i="2"/>
  <c r="G2074" i="2"/>
  <c r="H2074" i="2"/>
  <c r="D2075" i="2"/>
  <c r="E2075" i="2"/>
  <c r="G2075" i="2"/>
  <c r="D2076" i="2"/>
  <c r="F2077" i="2" s="1"/>
  <c r="E2076" i="2"/>
  <c r="G2076" i="2"/>
  <c r="D2077" i="2"/>
  <c r="H2077" i="2" s="1"/>
  <c r="E2077" i="2"/>
  <c r="G2077" i="2"/>
  <c r="D2078" i="2"/>
  <c r="E2078" i="2"/>
  <c r="G2078" i="2"/>
  <c r="D2079" i="2"/>
  <c r="E2079" i="2"/>
  <c r="G2079" i="2"/>
  <c r="H2079" i="2"/>
  <c r="D2080" i="2"/>
  <c r="H2081" i="2" s="1"/>
  <c r="E2080" i="2"/>
  <c r="G2080" i="2"/>
  <c r="D2081" i="2"/>
  <c r="E2081" i="2"/>
  <c r="F2081" i="2"/>
  <c r="G2081" i="2"/>
  <c r="D2082" i="2"/>
  <c r="E2082" i="2"/>
  <c r="F2082" i="2"/>
  <c r="G2082" i="2"/>
  <c r="H2082" i="2"/>
  <c r="D2083" i="2"/>
  <c r="E2083" i="2"/>
  <c r="G2083" i="2"/>
  <c r="D2084" i="2"/>
  <c r="F2085" i="2" s="1"/>
  <c r="E2084" i="2"/>
  <c r="F2084" i="2"/>
  <c r="G2084" i="2"/>
  <c r="D2085" i="2"/>
  <c r="H2085" i="2" s="1"/>
  <c r="E2085" i="2"/>
  <c r="G2085" i="2"/>
  <c r="D2086" i="2"/>
  <c r="E2086" i="2"/>
  <c r="G2086" i="2"/>
  <c r="D2087" i="2"/>
  <c r="F2087" i="2" s="1"/>
  <c r="E2087" i="2"/>
  <c r="G2087" i="2"/>
  <c r="D2088" i="2"/>
  <c r="H2089" i="2" s="1"/>
  <c r="E2088" i="2"/>
  <c r="G2088" i="2"/>
  <c r="D2089" i="2"/>
  <c r="E2089" i="2"/>
  <c r="F2089" i="2"/>
  <c r="G2089" i="2"/>
  <c r="D2090" i="2"/>
  <c r="E2090" i="2"/>
  <c r="F2090" i="2"/>
  <c r="G2090" i="2"/>
  <c r="H2090" i="2"/>
  <c r="D2091" i="2"/>
  <c r="E2091" i="2"/>
  <c r="G2091" i="2"/>
  <c r="D2092" i="2"/>
  <c r="F2093" i="2" s="1"/>
  <c r="E2092" i="2"/>
  <c r="G2092" i="2"/>
  <c r="D2093" i="2"/>
  <c r="H2093" i="2" s="1"/>
  <c r="E2093" i="2"/>
  <c r="G2093" i="2"/>
  <c r="D2094" i="2"/>
  <c r="E2094" i="2"/>
  <c r="G2094" i="2"/>
  <c r="D2095" i="2"/>
  <c r="F2095" i="2" s="1"/>
  <c r="E2095" i="2"/>
  <c r="G2095" i="2"/>
  <c r="H2095" i="2"/>
  <c r="D2096" i="2"/>
  <c r="H2097" i="2" s="1"/>
  <c r="E2096" i="2"/>
  <c r="G2096" i="2"/>
  <c r="D2097" i="2"/>
  <c r="E2097" i="2"/>
  <c r="F2097" i="2"/>
  <c r="G2097" i="2"/>
  <c r="D2098" i="2"/>
  <c r="E2098" i="2"/>
  <c r="F2098" i="2"/>
  <c r="G2098" i="2"/>
  <c r="H2098" i="2"/>
  <c r="D2099" i="2"/>
  <c r="E2099" i="2"/>
  <c r="G2099" i="2"/>
  <c r="D2100" i="2"/>
  <c r="F2101" i="2" s="1"/>
  <c r="E2100" i="2"/>
  <c r="G2100" i="2"/>
  <c r="D2101" i="2"/>
  <c r="H2101" i="2" s="1"/>
  <c r="E2101" i="2"/>
  <c r="G2101" i="2"/>
  <c r="D2102" i="2"/>
  <c r="E2102" i="2"/>
  <c r="G2102" i="2"/>
  <c r="D2103" i="2"/>
  <c r="E2103" i="2"/>
  <c r="G2103" i="2"/>
  <c r="D2104" i="2"/>
  <c r="H2105" i="2" s="1"/>
  <c r="E2104" i="2"/>
  <c r="G2104" i="2"/>
  <c r="D2105" i="2"/>
  <c r="E2105" i="2"/>
  <c r="F2105" i="2"/>
  <c r="G2105" i="2"/>
  <c r="D2106" i="2"/>
  <c r="E2106" i="2"/>
  <c r="F2106" i="2"/>
  <c r="G2106" i="2"/>
  <c r="H2106" i="2"/>
  <c r="D2107" i="2"/>
  <c r="E2107" i="2"/>
  <c r="G2107" i="2"/>
  <c r="D2108" i="2"/>
  <c r="F2109" i="2" s="1"/>
  <c r="E2108" i="2"/>
  <c r="F2108" i="2"/>
  <c r="G2108" i="2"/>
  <c r="D2109" i="2"/>
  <c r="H2109" i="2" s="1"/>
  <c r="E2109" i="2"/>
  <c r="G2109" i="2"/>
  <c r="D2110" i="2"/>
  <c r="E2110" i="2"/>
  <c r="G2110" i="2"/>
  <c r="D2111" i="2"/>
  <c r="F2111" i="2" s="1"/>
  <c r="E2111" i="2"/>
  <c r="G2111" i="2"/>
  <c r="H2111" i="2"/>
  <c r="D2112" i="2"/>
  <c r="H2113" i="2" s="1"/>
  <c r="E2112" i="2"/>
  <c r="G2112" i="2"/>
  <c r="D2113" i="2"/>
  <c r="E2113" i="2"/>
  <c r="F2113" i="2"/>
  <c r="G2113" i="2"/>
  <c r="D2114" i="2"/>
  <c r="E2114" i="2"/>
  <c r="F2114" i="2"/>
  <c r="G2114" i="2"/>
  <c r="H2114" i="2"/>
  <c r="D2115" i="2"/>
  <c r="E2115" i="2"/>
  <c r="G2115" i="2"/>
  <c r="D2116" i="2"/>
  <c r="F2117" i="2" s="1"/>
  <c r="E2116" i="2"/>
  <c r="G2116" i="2"/>
  <c r="D2117" i="2"/>
  <c r="H2117" i="2" s="1"/>
  <c r="E2117" i="2"/>
  <c r="G2117" i="2"/>
  <c r="D2118" i="2"/>
  <c r="E2118" i="2"/>
  <c r="G2118" i="2"/>
  <c r="D2119" i="2"/>
  <c r="E2119" i="2"/>
  <c r="G2119" i="2"/>
  <c r="H2119" i="2"/>
  <c r="D2120" i="2"/>
  <c r="H2121" i="2" s="1"/>
  <c r="E2120" i="2"/>
  <c r="G2120" i="2"/>
  <c r="D2121" i="2"/>
  <c r="E2121" i="2"/>
  <c r="F2121" i="2"/>
  <c r="G2121" i="2"/>
  <c r="D2122" i="2"/>
  <c r="E2122" i="2"/>
  <c r="F2122" i="2"/>
  <c r="G2122" i="2"/>
  <c r="H2122" i="2"/>
  <c r="D2123" i="2"/>
  <c r="E2123" i="2"/>
  <c r="G2123" i="2"/>
  <c r="D2124" i="2"/>
  <c r="F2125" i="2" s="1"/>
  <c r="E2124" i="2"/>
  <c r="F2124" i="2"/>
  <c r="G2124" i="2"/>
  <c r="D2125" i="2"/>
  <c r="H2125" i="2" s="1"/>
  <c r="E2125" i="2"/>
  <c r="G2125" i="2"/>
  <c r="D2126" i="2"/>
  <c r="E2126" i="2"/>
  <c r="G2126" i="2"/>
  <c r="D2127" i="2"/>
  <c r="F2127" i="2" s="1"/>
  <c r="E2127" i="2"/>
  <c r="G2127" i="2"/>
  <c r="D2128" i="2"/>
  <c r="H2129" i="2" s="1"/>
  <c r="E2128" i="2"/>
  <c r="G2128" i="2"/>
  <c r="D2129" i="2"/>
  <c r="E2129" i="2"/>
  <c r="F2129" i="2"/>
  <c r="G2129" i="2"/>
  <c r="D2130" i="2"/>
  <c r="E2130" i="2"/>
  <c r="F2130" i="2"/>
  <c r="G2130" i="2"/>
  <c r="H2130" i="2"/>
  <c r="D2131" i="2"/>
  <c r="E2131" i="2"/>
  <c r="G2131" i="2"/>
  <c r="D2132" i="2"/>
  <c r="F2133" i="2" s="1"/>
  <c r="E2132" i="2"/>
  <c r="G2132" i="2"/>
  <c r="D2133" i="2"/>
  <c r="H2133" i="2" s="1"/>
  <c r="E2133" i="2"/>
  <c r="G2133" i="2"/>
  <c r="D2134" i="2"/>
  <c r="E2134" i="2"/>
  <c r="G2134" i="2"/>
  <c r="D2135" i="2"/>
  <c r="F2135" i="2" s="1"/>
  <c r="E2135" i="2"/>
  <c r="G2135" i="2"/>
  <c r="H2135" i="2"/>
  <c r="D2136" i="2"/>
  <c r="H2137" i="2" s="1"/>
  <c r="E2136" i="2"/>
  <c r="G2136" i="2"/>
  <c r="D2137" i="2"/>
  <c r="E2137" i="2"/>
  <c r="F2137" i="2"/>
  <c r="G2137" i="2"/>
  <c r="D2138" i="2"/>
  <c r="E2138" i="2"/>
  <c r="F2138" i="2"/>
  <c r="G2138" i="2"/>
  <c r="H2138" i="2"/>
  <c r="D2139" i="2"/>
  <c r="E2139" i="2"/>
  <c r="G2139" i="2"/>
  <c r="D2140" i="2"/>
  <c r="F2141" i="2" s="1"/>
  <c r="E2140" i="2"/>
  <c r="G2140" i="2"/>
  <c r="D2141" i="2"/>
  <c r="H2141" i="2" s="1"/>
  <c r="E2141" i="2"/>
  <c r="G2141" i="2"/>
  <c r="D2142" i="2"/>
  <c r="E2142" i="2"/>
  <c r="G2142" i="2"/>
  <c r="D2143" i="2"/>
  <c r="E2143" i="2"/>
  <c r="G2143" i="2"/>
  <c r="H2143" i="2"/>
  <c r="D2144" i="2"/>
  <c r="H2145" i="2" s="1"/>
  <c r="E2144" i="2"/>
  <c r="G2144" i="2"/>
  <c r="D2145" i="2"/>
  <c r="E2145" i="2"/>
  <c r="F2145" i="2"/>
  <c r="G2145" i="2"/>
  <c r="D2146" i="2"/>
  <c r="E2146" i="2"/>
  <c r="F2146" i="2"/>
  <c r="G2146" i="2"/>
  <c r="H2146" i="2"/>
  <c r="D2147" i="2"/>
  <c r="E2147" i="2"/>
  <c r="G2147" i="2"/>
  <c r="D2148" i="2"/>
  <c r="F2149" i="2" s="1"/>
  <c r="E2148" i="2"/>
  <c r="F2148" i="2"/>
  <c r="G2148" i="2"/>
  <c r="D2149" i="2"/>
  <c r="H2149" i="2" s="1"/>
  <c r="E2149" i="2"/>
  <c r="G2149" i="2"/>
  <c r="D2150" i="2"/>
  <c r="E2150" i="2"/>
  <c r="G2150" i="2"/>
  <c r="D2151" i="2"/>
  <c r="F2151" i="2" s="1"/>
  <c r="E2151" i="2"/>
  <c r="G2151" i="2"/>
  <c r="D2152" i="2"/>
  <c r="H2153" i="2" s="1"/>
  <c r="E2152" i="2"/>
  <c r="G2152" i="2"/>
  <c r="D2153" i="2"/>
  <c r="E2153" i="2"/>
  <c r="F2153" i="2"/>
  <c r="G2153" i="2"/>
  <c r="D2154" i="2"/>
  <c r="E2154" i="2"/>
  <c r="F2154" i="2"/>
  <c r="G2154" i="2"/>
  <c r="H2154" i="2"/>
  <c r="D2155" i="2"/>
  <c r="E2155" i="2"/>
  <c r="G2155" i="2"/>
  <c r="D2156" i="2"/>
  <c r="F2157" i="2" s="1"/>
  <c r="E2156" i="2"/>
  <c r="G2156" i="2"/>
  <c r="D2157" i="2"/>
  <c r="H2157" i="2" s="1"/>
  <c r="E2157" i="2"/>
  <c r="G2157" i="2"/>
  <c r="D2158" i="2"/>
  <c r="E2158" i="2"/>
  <c r="G2158" i="2"/>
  <c r="D2159" i="2"/>
  <c r="F2159" i="2" s="1"/>
  <c r="E2159" i="2"/>
  <c r="G2159" i="2"/>
  <c r="H2159" i="2"/>
  <c r="D2160" i="2"/>
  <c r="H2161" i="2" s="1"/>
  <c r="E2160" i="2"/>
  <c r="G2160" i="2"/>
  <c r="D2161" i="2"/>
  <c r="E2161" i="2"/>
  <c r="F2161" i="2"/>
  <c r="G2161" i="2"/>
  <c r="D2162" i="2"/>
  <c r="E2162" i="2"/>
  <c r="F2162" i="2"/>
  <c r="G2162" i="2"/>
  <c r="H2162" i="2"/>
  <c r="D2163" i="2"/>
  <c r="E2163" i="2"/>
  <c r="G2163" i="2"/>
  <c r="D2164" i="2"/>
  <c r="F2165" i="2" s="1"/>
  <c r="E2164" i="2"/>
  <c r="G2164" i="2"/>
  <c r="D2165" i="2"/>
  <c r="H2165" i="2" s="1"/>
  <c r="E2165" i="2"/>
  <c r="G2165" i="2"/>
  <c r="D2166" i="2"/>
  <c r="E2166" i="2"/>
  <c r="G2166" i="2"/>
  <c r="D2167" i="2"/>
  <c r="E2167" i="2"/>
  <c r="G2167" i="2"/>
  <c r="D2168" i="2"/>
  <c r="H2169" i="2" s="1"/>
  <c r="E2168" i="2"/>
  <c r="G2168" i="2"/>
  <c r="D2169" i="2"/>
  <c r="E2169" i="2"/>
  <c r="F2169" i="2"/>
  <c r="G2169" i="2"/>
  <c r="D2170" i="2"/>
  <c r="E2170" i="2"/>
  <c r="F2170" i="2"/>
  <c r="G2170" i="2"/>
  <c r="H2170" i="2"/>
  <c r="D2171" i="2"/>
  <c r="E2171" i="2"/>
  <c r="G2171" i="2"/>
  <c r="D2172" i="2"/>
  <c r="F2173" i="2" s="1"/>
  <c r="E2172" i="2"/>
  <c r="F2172" i="2"/>
  <c r="G2172" i="2"/>
  <c r="D2173" i="2"/>
  <c r="H2173" i="2" s="1"/>
  <c r="E2173" i="2"/>
  <c r="G2173" i="2"/>
  <c r="D2174" i="2"/>
  <c r="E2174" i="2"/>
  <c r="G2174" i="2"/>
  <c r="D2175" i="2"/>
  <c r="F2175" i="2" s="1"/>
  <c r="E2175" i="2"/>
  <c r="G2175" i="2"/>
  <c r="H2175" i="2"/>
  <c r="D2176" i="2"/>
  <c r="E2176" i="2"/>
  <c r="G2176" i="2"/>
  <c r="D2177" i="2"/>
  <c r="E2177" i="2"/>
  <c r="F2177" i="2"/>
  <c r="G2177" i="2"/>
  <c r="D2178" i="2"/>
  <c r="E2178" i="2"/>
  <c r="F2178" i="2"/>
  <c r="G2178" i="2"/>
  <c r="H2178" i="2"/>
  <c r="D2179" i="2"/>
  <c r="E2179" i="2"/>
  <c r="G2179" i="2"/>
  <c r="D2180" i="2"/>
  <c r="F2181" i="2" s="1"/>
  <c r="E2180" i="2"/>
  <c r="G2180" i="2"/>
  <c r="D2181" i="2"/>
  <c r="H2181" i="2" s="1"/>
  <c r="E2181" i="2"/>
  <c r="G2181" i="2"/>
  <c r="D2182" i="2"/>
  <c r="H2182" i="2" s="1"/>
  <c r="E2182" i="2"/>
  <c r="G2182" i="2"/>
  <c r="D2183" i="2"/>
  <c r="F2183" i="2" s="1"/>
  <c r="E2183" i="2"/>
  <c r="G2183" i="2"/>
  <c r="H2183" i="2"/>
  <c r="D2184" i="2"/>
  <c r="E2184" i="2"/>
  <c r="G2184" i="2"/>
  <c r="D2185" i="2"/>
  <c r="E2185" i="2"/>
  <c r="F2185" i="2"/>
  <c r="G2185" i="2"/>
  <c r="D2186" i="2"/>
  <c r="E2186" i="2"/>
  <c r="F2186" i="2"/>
  <c r="G2186" i="2"/>
  <c r="H2186" i="2"/>
  <c r="D2187" i="2"/>
  <c r="E2187" i="2"/>
  <c r="G2187" i="2"/>
  <c r="D2188" i="2"/>
  <c r="F2189" i="2" s="1"/>
  <c r="E2188" i="2"/>
  <c r="G2188" i="2"/>
  <c r="D2189" i="2"/>
  <c r="H2189" i="2" s="1"/>
  <c r="E2189" i="2"/>
  <c r="G2189" i="2"/>
  <c r="D2190" i="2"/>
  <c r="E2190" i="2"/>
  <c r="G2190" i="2"/>
  <c r="D2191" i="2"/>
  <c r="E2191" i="2"/>
  <c r="G2191" i="2"/>
  <c r="D2192" i="2"/>
  <c r="E2192" i="2"/>
  <c r="G2192" i="2"/>
  <c r="D2193" i="2"/>
  <c r="E2193" i="2"/>
  <c r="G2193" i="2"/>
  <c r="D2194" i="2"/>
  <c r="E2194" i="2"/>
  <c r="F2194" i="2"/>
  <c r="G2194" i="2"/>
  <c r="H2194" i="2"/>
  <c r="D2195" i="2"/>
  <c r="E2195" i="2"/>
  <c r="G2195" i="2"/>
  <c r="D2196" i="2"/>
  <c r="F2197" i="2" s="1"/>
  <c r="E2196" i="2"/>
  <c r="G2196" i="2"/>
  <c r="D2197" i="2"/>
  <c r="H2197" i="2" s="1"/>
  <c r="E2197" i="2"/>
  <c r="G2197" i="2"/>
  <c r="D2198" i="2"/>
  <c r="H2198" i="2" s="1"/>
  <c r="E2198" i="2"/>
  <c r="G2198" i="2"/>
  <c r="D2199" i="2"/>
  <c r="E2199" i="2"/>
  <c r="G2199" i="2"/>
  <c r="H2199" i="2"/>
  <c r="D2200" i="2"/>
  <c r="E2200" i="2"/>
  <c r="G2200" i="2"/>
  <c r="D2201" i="2"/>
  <c r="E2201" i="2"/>
  <c r="G2201" i="2"/>
  <c r="D2202" i="2"/>
  <c r="E2202" i="2"/>
  <c r="F2202" i="2"/>
  <c r="G2202" i="2"/>
  <c r="H2202" i="2"/>
  <c r="D2203" i="2"/>
  <c r="E2203" i="2"/>
  <c r="G2203" i="2"/>
  <c r="D2204" i="2"/>
  <c r="F2205" i="2" s="1"/>
  <c r="E2204" i="2"/>
  <c r="F2204" i="2"/>
  <c r="G2204" i="2"/>
  <c r="H2204" i="2"/>
  <c r="D2205" i="2"/>
  <c r="H2205" i="2" s="1"/>
  <c r="E2205" i="2"/>
  <c r="G2205" i="2"/>
  <c r="D2206" i="2"/>
  <c r="E2206" i="2"/>
  <c r="F2206" i="2"/>
  <c r="G2206" i="2"/>
  <c r="D2207" i="2"/>
  <c r="E2207" i="2"/>
  <c r="G2207" i="2"/>
  <c r="D2208" i="2"/>
  <c r="E2208" i="2"/>
  <c r="G2208" i="2"/>
  <c r="D2209" i="2"/>
  <c r="E2209" i="2"/>
  <c r="G2209" i="2"/>
  <c r="D2210" i="2"/>
  <c r="E2210" i="2"/>
  <c r="F2210" i="2"/>
  <c r="G2210" i="2"/>
  <c r="H2210" i="2"/>
  <c r="D2211" i="2"/>
  <c r="E2211" i="2"/>
  <c r="G2211" i="2"/>
  <c r="D2212" i="2"/>
  <c r="F2213" i="2" s="1"/>
  <c r="E2212" i="2"/>
  <c r="F2212" i="2"/>
  <c r="G2212" i="2"/>
  <c r="H2212" i="2"/>
  <c r="D2213" i="2"/>
  <c r="H2213" i="2" s="1"/>
  <c r="E2213" i="2"/>
  <c r="G2213" i="2"/>
  <c r="D2214" i="2"/>
  <c r="H2214" i="2" s="1"/>
  <c r="E2214" i="2"/>
  <c r="G2214" i="2"/>
  <c r="D2215" i="2"/>
  <c r="E2215" i="2"/>
  <c r="G2215" i="2"/>
  <c r="D2216" i="2"/>
  <c r="E2216" i="2"/>
  <c r="G2216" i="2"/>
  <c r="D2217" i="2"/>
  <c r="E2217" i="2"/>
  <c r="G2217" i="2"/>
  <c r="D2218" i="2"/>
  <c r="E2218" i="2"/>
  <c r="F2218" i="2"/>
  <c r="G2218" i="2"/>
  <c r="H2218" i="2"/>
  <c r="D2219" i="2"/>
  <c r="E2219" i="2"/>
  <c r="G2219" i="2"/>
  <c r="D2220" i="2"/>
  <c r="F2221" i="2" s="1"/>
  <c r="E2220" i="2"/>
  <c r="F2220" i="2"/>
  <c r="G2220" i="2"/>
  <c r="H2220" i="2"/>
  <c r="D2221" i="2"/>
  <c r="H2221" i="2" s="1"/>
  <c r="E2221" i="2"/>
  <c r="G2221" i="2"/>
  <c r="D2222" i="2"/>
  <c r="H2222" i="2" s="1"/>
  <c r="E2222" i="2"/>
  <c r="F2222" i="2"/>
  <c r="G2222" i="2"/>
  <c r="D2223" i="2"/>
  <c r="F2223" i="2" s="1"/>
  <c r="E2223" i="2"/>
  <c r="G2223" i="2"/>
  <c r="D2224" i="2"/>
  <c r="E2224" i="2"/>
  <c r="G2224" i="2"/>
  <c r="D2225" i="2"/>
  <c r="E2225" i="2"/>
  <c r="G2225" i="2"/>
  <c r="D2226" i="2"/>
  <c r="E2226" i="2"/>
  <c r="F2226" i="2"/>
  <c r="G2226" i="2"/>
  <c r="H2226" i="2"/>
  <c r="D2227" i="2"/>
  <c r="E2227" i="2"/>
  <c r="G2227" i="2"/>
  <c r="D2228" i="2"/>
  <c r="F2229" i="2" s="1"/>
  <c r="E2228" i="2"/>
  <c r="G2228" i="2"/>
  <c r="D2229" i="2"/>
  <c r="H2229" i="2" s="1"/>
  <c r="E2229" i="2"/>
  <c r="G2229" i="2"/>
  <c r="D2230" i="2"/>
  <c r="H2230" i="2" s="1"/>
  <c r="E2230" i="2"/>
  <c r="F2230" i="2"/>
  <c r="G2230" i="2"/>
  <c r="D2231" i="2"/>
  <c r="F2231" i="2" s="1"/>
  <c r="E2231" i="2"/>
  <c r="G2231" i="2"/>
  <c r="H2231" i="2"/>
  <c r="D2232" i="2"/>
  <c r="E2232" i="2"/>
  <c r="G2232" i="2"/>
  <c r="D2233" i="2"/>
  <c r="E2233" i="2"/>
  <c r="F2233" i="2"/>
  <c r="G2233" i="2"/>
  <c r="D2234" i="2"/>
  <c r="E2234" i="2"/>
  <c r="F2234" i="2"/>
  <c r="G2234" i="2"/>
  <c r="H2234" i="2"/>
  <c r="D2235" i="2"/>
  <c r="E2235" i="2"/>
  <c r="G2235" i="2"/>
  <c r="D2236" i="2"/>
  <c r="F2237" i="2" s="1"/>
  <c r="E2236" i="2"/>
  <c r="G2236" i="2"/>
  <c r="H2236" i="2"/>
  <c r="D2237" i="2"/>
  <c r="H2237" i="2" s="1"/>
  <c r="E2237" i="2"/>
  <c r="G2237" i="2"/>
  <c r="D2238" i="2"/>
  <c r="H2238" i="2" s="1"/>
  <c r="E2238" i="2"/>
  <c r="F2238" i="2"/>
  <c r="G2238" i="2"/>
  <c r="D2239" i="2"/>
  <c r="F2239" i="2" s="1"/>
  <c r="E2239" i="2"/>
  <c r="G2239" i="2"/>
  <c r="H2239" i="2"/>
  <c r="D2240" i="2"/>
  <c r="E2240" i="2"/>
  <c r="G2240" i="2"/>
  <c r="D2241" i="2"/>
  <c r="E2241" i="2"/>
  <c r="F2241" i="2"/>
  <c r="G2241" i="2"/>
  <c r="D2242" i="2"/>
  <c r="E2242" i="2"/>
  <c r="F2242" i="2"/>
  <c r="G2242" i="2"/>
  <c r="H2242" i="2"/>
  <c r="D2243" i="2"/>
  <c r="E2243" i="2"/>
  <c r="G2243" i="2"/>
  <c r="D2244" i="2"/>
  <c r="F2245" i="2" s="1"/>
  <c r="E2244" i="2"/>
  <c r="G2244" i="2"/>
  <c r="D2245" i="2"/>
  <c r="H2245" i="2" s="1"/>
  <c r="E2245" i="2"/>
  <c r="G2245" i="2"/>
  <c r="D2246" i="2"/>
  <c r="H2246" i="2" s="1"/>
  <c r="E2246" i="2"/>
  <c r="G2246" i="2"/>
  <c r="D2247" i="2"/>
  <c r="F2247" i="2" s="1"/>
  <c r="E2247" i="2"/>
  <c r="G2247" i="2"/>
  <c r="H2247" i="2"/>
  <c r="D2248" i="2"/>
  <c r="E2248" i="2"/>
  <c r="G2248" i="2"/>
  <c r="H2248" i="2"/>
  <c r="D2249" i="2"/>
  <c r="E2249" i="2"/>
  <c r="F2249" i="2"/>
  <c r="G2249" i="2"/>
  <c r="D2250" i="2"/>
  <c r="E2250" i="2"/>
  <c r="F2250" i="2"/>
  <c r="G2250" i="2"/>
  <c r="H2250" i="2"/>
  <c r="D2251" i="2"/>
  <c r="E2251" i="2"/>
  <c r="G2251" i="2"/>
  <c r="D2252" i="2"/>
  <c r="F2253" i="2" s="1"/>
  <c r="E2252" i="2"/>
  <c r="G2252" i="2"/>
  <c r="D2253" i="2"/>
  <c r="H2253" i="2" s="1"/>
  <c r="E2253" i="2"/>
  <c r="G2253" i="2"/>
  <c r="D2254" i="2"/>
  <c r="H2254" i="2" s="1"/>
  <c r="E2254" i="2"/>
  <c r="G2254" i="2"/>
  <c r="D2255" i="2"/>
  <c r="F2255" i="2" s="1"/>
  <c r="E2255" i="2"/>
  <c r="G2255" i="2"/>
  <c r="H2255" i="2"/>
  <c r="D2256" i="2"/>
  <c r="H2256" i="2" s="1"/>
  <c r="E2256" i="2"/>
  <c r="G2256" i="2"/>
  <c r="D2257" i="2"/>
  <c r="E2257" i="2"/>
  <c r="F2257" i="2"/>
  <c r="G2257" i="2"/>
  <c r="D2258" i="2"/>
  <c r="E2258" i="2"/>
  <c r="F2258" i="2"/>
  <c r="G2258" i="2"/>
  <c r="H2258" i="2"/>
  <c r="D2259" i="2"/>
  <c r="E2259" i="2"/>
  <c r="G2259" i="2"/>
  <c r="D2260" i="2"/>
  <c r="F2261" i="2" s="1"/>
  <c r="E2260" i="2"/>
  <c r="G2260" i="2"/>
  <c r="D2261" i="2"/>
  <c r="H2261" i="2" s="1"/>
  <c r="E2261" i="2"/>
  <c r="G2261" i="2"/>
  <c r="D2262" i="2"/>
  <c r="H2262" i="2" s="1"/>
  <c r="E2262" i="2"/>
  <c r="G2262" i="2"/>
  <c r="D2263" i="2"/>
  <c r="F2263" i="2" s="1"/>
  <c r="E2263" i="2"/>
  <c r="G2263" i="2"/>
  <c r="H2263" i="2"/>
  <c r="D2264" i="2"/>
  <c r="H2264" i="2" s="1"/>
  <c r="E2264" i="2"/>
  <c r="G2264" i="2"/>
  <c r="D2265" i="2"/>
  <c r="E2265" i="2"/>
  <c r="F2265" i="2"/>
  <c r="G2265" i="2"/>
  <c r="D2266" i="2"/>
  <c r="E2266" i="2"/>
  <c r="F2266" i="2"/>
  <c r="G2266" i="2"/>
  <c r="H2266" i="2"/>
  <c r="D2267" i="2"/>
  <c r="E2267" i="2"/>
  <c r="G2267" i="2"/>
  <c r="D2268" i="2"/>
  <c r="F2269" i="2" s="1"/>
  <c r="E2268" i="2"/>
  <c r="G2268" i="2"/>
  <c r="D2269" i="2"/>
  <c r="H2269" i="2" s="1"/>
  <c r="E2269" i="2"/>
  <c r="G2269" i="2"/>
  <c r="D2270" i="2"/>
  <c r="H2270" i="2" s="1"/>
  <c r="E2270" i="2"/>
  <c r="G2270" i="2"/>
  <c r="D2271" i="2"/>
  <c r="F2271" i="2" s="1"/>
  <c r="E2271" i="2"/>
  <c r="G2271" i="2"/>
  <c r="H2271" i="2"/>
  <c r="D2272" i="2"/>
  <c r="H2272" i="2" s="1"/>
  <c r="E2272" i="2"/>
  <c r="G2272" i="2"/>
  <c r="D2273" i="2"/>
  <c r="E2273" i="2"/>
  <c r="F2273" i="2"/>
  <c r="G2273" i="2"/>
  <c r="D2274" i="2"/>
  <c r="E2274" i="2"/>
  <c r="F2274" i="2"/>
  <c r="G2274" i="2"/>
  <c r="H2274" i="2"/>
  <c r="D2275" i="2"/>
  <c r="E2275" i="2"/>
  <c r="G2275" i="2"/>
  <c r="D2276" i="2"/>
  <c r="F2277" i="2" s="1"/>
  <c r="E2276" i="2"/>
  <c r="G2276" i="2"/>
  <c r="D2277" i="2"/>
  <c r="H2277" i="2" s="1"/>
  <c r="E2277" i="2"/>
  <c r="G2277" i="2"/>
  <c r="D2278" i="2"/>
  <c r="H2278" i="2" s="1"/>
  <c r="E2278" i="2"/>
  <c r="G2278" i="2"/>
  <c r="D2279" i="2"/>
  <c r="E2279" i="2"/>
  <c r="G2279" i="2"/>
  <c r="H2279" i="2"/>
  <c r="D2280" i="2"/>
  <c r="H2280" i="2" s="1"/>
  <c r="E2280" i="2"/>
  <c r="G2280" i="2"/>
  <c r="D2281" i="2"/>
  <c r="E2281" i="2"/>
  <c r="G2281" i="2"/>
  <c r="D2282" i="2"/>
  <c r="E2282" i="2"/>
  <c r="F2282" i="2"/>
  <c r="G2282" i="2"/>
  <c r="H2282" i="2"/>
  <c r="D2283" i="2"/>
  <c r="E2283" i="2"/>
  <c r="G2283" i="2"/>
  <c r="D2284" i="2"/>
  <c r="F2285" i="2" s="1"/>
  <c r="E2284" i="2"/>
  <c r="G2284" i="2"/>
  <c r="D2285" i="2"/>
  <c r="H2285" i="2" s="1"/>
  <c r="E2285" i="2"/>
  <c r="G2285" i="2"/>
  <c r="D2286" i="2"/>
  <c r="H2286" i="2" s="1"/>
  <c r="E2286" i="2"/>
  <c r="G2286" i="2"/>
  <c r="D2287" i="2"/>
  <c r="E2287" i="2"/>
  <c r="G2287" i="2"/>
  <c r="H2287" i="2"/>
  <c r="D2288" i="2"/>
  <c r="H2288" i="2" s="1"/>
  <c r="E2288" i="2"/>
  <c r="G2288" i="2"/>
  <c r="D2289" i="2"/>
  <c r="E2289" i="2"/>
  <c r="G2289" i="2"/>
  <c r="D2290" i="2"/>
  <c r="E2290" i="2"/>
  <c r="F2290" i="2"/>
  <c r="G2290" i="2"/>
  <c r="H2290" i="2"/>
  <c r="D2291" i="2"/>
  <c r="E2291" i="2"/>
  <c r="G2291" i="2"/>
  <c r="D2292" i="2"/>
  <c r="F2293" i="2" s="1"/>
  <c r="E2292" i="2"/>
  <c r="G2292" i="2"/>
  <c r="D2293" i="2"/>
  <c r="H2293" i="2" s="1"/>
  <c r="E2293" i="2"/>
  <c r="G2293" i="2"/>
  <c r="D2294" i="2"/>
  <c r="H2294" i="2" s="1"/>
  <c r="E2294" i="2"/>
  <c r="G2294" i="2"/>
  <c r="D2295" i="2"/>
  <c r="E2295" i="2"/>
  <c r="G2295" i="2"/>
  <c r="H2295" i="2"/>
  <c r="D2296" i="2"/>
  <c r="H2296" i="2" s="1"/>
  <c r="E2296" i="2"/>
  <c r="G2296" i="2"/>
  <c r="D2297" i="2"/>
  <c r="E2297" i="2"/>
  <c r="G2297" i="2"/>
  <c r="D2298" i="2"/>
  <c r="E2298" i="2"/>
  <c r="F2298" i="2"/>
  <c r="G2298" i="2"/>
  <c r="H2298" i="2"/>
  <c r="D2299" i="2"/>
  <c r="E2299" i="2"/>
  <c r="G2299" i="2"/>
  <c r="D2300" i="2"/>
  <c r="F2301" i="2" s="1"/>
  <c r="E2300" i="2"/>
  <c r="G2300" i="2"/>
  <c r="D2301" i="2"/>
  <c r="H2301" i="2" s="1"/>
  <c r="E2301" i="2"/>
  <c r="G2301" i="2"/>
  <c r="D2302" i="2"/>
  <c r="H2302" i="2" s="1"/>
  <c r="E2302" i="2"/>
  <c r="G2302" i="2"/>
  <c r="D2303" i="2"/>
  <c r="E2303" i="2"/>
  <c r="G2303" i="2"/>
  <c r="H2303" i="2"/>
  <c r="D2304" i="2"/>
  <c r="H2304" i="2" s="1"/>
  <c r="E2304" i="2"/>
  <c r="G2304" i="2"/>
  <c r="D2305" i="2"/>
  <c r="E2305" i="2"/>
  <c r="G2305" i="2"/>
  <c r="D2306" i="2"/>
  <c r="E2306" i="2"/>
  <c r="F2306" i="2"/>
  <c r="G2306" i="2"/>
  <c r="H2306" i="2"/>
  <c r="D2307" i="2"/>
  <c r="E2307" i="2"/>
  <c r="G2307" i="2"/>
  <c r="D2308" i="2"/>
  <c r="F2309" i="2" s="1"/>
  <c r="E2308" i="2"/>
  <c r="G2308" i="2"/>
  <c r="D2309" i="2"/>
  <c r="H2309" i="2" s="1"/>
  <c r="E2309" i="2"/>
  <c r="G2309" i="2"/>
  <c r="D2310" i="2"/>
  <c r="H2310" i="2" s="1"/>
  <c r="E2310" i="2"/>
  <c r="G2310" i="2"/>
  <c r="D2311" i="2"/>
  <c r="E2311" i="2"/>
  <c r="G2311" i="2"/>
  <c r="H2311" i="2"/>
  <c r="D2312" i="2"/>
  <c r="H2312" i="2" s="1"/>
  <c r="E2312" i="2"/>
  <c r="G2312" i="2"/>
  <c r="D2313" i="2"/>
  <c r="E2313" i="2"/>
  <c r="G2313" i="2"/>
  <c r="D2314" i="2"/>
  <c r="E2314" i="2"/>
  <c r="F2314" i="2"/>
  <c r="G2314" i="2"/>
  <c r="H2314" i="2"/>
  <c r="D2315" i="2"/>
  <c r="E2315" i="2"/>
  <c r="G2315" i="2"/>
  <c r="D2316" i="2"/>
  <c r="F2317" i="2" s="1"/>
  <c r="E2316" i="2"/>
  <c r="G2316" i="2"/>
  <c r="D2317" i="2"/>
  <c r="H2317" i="2" s="1"/>
  <c r="E2317" i="2"/>
  <c r="G2317" i="2"/>
  <c r="D2318" i="2"/>
  <c r="H2318" i="2" s="1"/>
  <c r="E2318" i="2"/>
  <c r="G2318" i="2"/>
  <c r="D2319" i="2"/>
  <c r="E2319" i="2"/>
  <c r="G2319" i="2"/>
  <c r="H2319" i="2"/>
  <c r="D2320" i="2"/>
  <c r="H2320" i="2" s="1"/>
  <c r="E2320" i="2"/>
  <c r="G2320" i="2"/>
  <c r="D2321" i="2"/>
  <c r="E2321" i="2"/>
  <c r="G2321" i="2"/>
  <c r="D2322" i="2"/>
  <c r="E2322" i="2"/>
  <c r="F2322" i="2"/>
  <c r="G2322" i="2"/>
  <c r="H2322" i="2"/>
  <c r="D2323" i="2"/>
  <c r="E2323" i="2"/>
  <c r="G2323" i="2"/>
  <c r="D2324" i="2"/>
  <c r="F2325" i="2" s="1"/>
  <c r="E2324" i="2"/>
  <c r="G2324" i="2"/>
  <c r="D2325" i="2"/>
  <c r="H2325" i="2" s="1"/>
  <c r="E2325" i="2"/>
  <c r="G2325" i="2"/>
  <c r="D2326" i="2"/>
  <c r="H2326" i="2" s="1"/>
  <c r="E2326" i="2"/>
  <c r="G2326" i="2"/>
  <c r="D2327" i="2"/>
  <c r="E2327" i="2"/>
  <c r="G2327" i="2"/>
  <c r="H2327" i="2"/>
  <c r="D2328" i="2"/>
  <c r="H2328" i="2" s="1"/>
  <c r="E2328" i="2"/>
  <c r="G2328" i="2"/>
  <c r="D2329" i="2"/>
  <c r="E2329" i="2"/>
  <c r="G2329" i="2"/>
  <c r="D2330" i="2"/>
  <c r="E2330" i="2"/>
  <c r="F2330" i="2"/>
  <c r="G2330" i="2"/>
  <c r="H2330" i="2"/>
  <c r="D2331" i="2"/>
  <c r="E2331" i="2"/>
  <c r="G2331" i="2"/>
  <c r="D2332" i="2"/>
  <c r="F2333" i="2" s="1"/>
  <c r="E2332" i="2"/>
  <c r="G2332" i="2"/>
  <c r="D2333" i="2"/>
  <c r="H2333" i="2" s="1"/>
  <c r="E2333" i="2"/>
  <c r="G2333" i="2"/>
  <c r="D2334" i="2"/>
  <c r="H2334" i="2" s="1"/>
  <c r="E2334" i="2"/>
  <c r="G2334" i="2"/>
  <c r="D2335" i="2"/>
  <c r="E2335" i="2"/>
  <c r="G2335" i="2"/>
  <c r="H2335" i="2"/>
  <c r="D2336" i="2"/>
  <c r="H2336" i="2" s="1"/>
  <c r="E2336" i="2"/>
  <c r="G2336" i="2"/>
  <c r="D2337" i="2"/>
  <c r="E2337" i="2"/>
  <c r="G2337" i="2"/>
  <c r="D2338" i="2"/>
  <c r="E2338" i="2"/>
  <c r="F2338" i="2"/>
  <c r="G2338" i="2"/>
  <c r="H2338" i="2"/>
  <c r="D2339" i="2"/>
  <c r="E2339" i="2"/>
  <c r="G2339" i="2"/>
  <c r="D2340" i="2"/>
  <c r="F2341" i="2" s="1"/>
  <c r="E2340" i="2"/>
  <c r="G2340" i="2"/>
  <c r="D2341" i="2"/>
  <c r="H2341" i="2" s="1"/>
  <c r="E2341" i="2"/>
  <c r="G2341" i="2"/>
  <c r="D2342" i="2"/>
  <c r="H2342" i="2" s="1"/>
  <c r="E2342" i="2"/>
  <c r="G2342" i="2"/>
  <c r="D2343" i="2"/>
  <c r="E2343" i="2"/>
  <c r="G2343" i="2"/>
  <c r="H2343" i="2"/>
  <c r="D2344" i="2"/>
  <c r="H2344" i="2" s="1"/>
  <c r="E2344" i="2"/>
  <c r="G2344" i="2"/>
  <c r="D2345" i="2"/>
  <c r="E2345" i="2"/>
  <c r="G2345" i="2"/>
  <c r="D2346" i="2"/>
  <c r="E2346" i="2"/>
  <c r="F2346" i="2"/>
  <c r="G2346" i="2"/>
  <c r="H2346" i="2"/>
  <c r="D2347" i="2"/>
  <c r="E2347" i="2"/>
  <c r="G2347" i="2"/>
  <c r="D2348" i="2"/>
  <c r="F2349" i="2" s="1"/>
  <c r="E2348" i="2"/>
  <c r="G2348" i="2"/>
  <c r="D2349" i="2"/>
  <c r="H2349" i="2" s="1"/>
  <c r="E2349" i="2"/>
  <c r="G2349" i="2"/>
  <c r="D2350" i="2"/>
  <c r="H2350" i="2" s="1"/>
  <c r="E2350" i="2"/>
  <c r="G2350" i="2"/>
  <c r="D2351" i="2"/>
  <c r="E2351" i="2"/>
  <c r="G2351" i="2"/>
  <c r="H2351" i="2"/>
  <c r="D2352" i="2"/>
  <c r="H2352" i="2" s="1"/>
  <c r="E2352" i="2"/>
  <c r="G2352" i="2"/>
  <c r="D2353" i="2"/>
  <c r="E2353" i="2"/>
  <c r="G2353" i="2"/>
  <c r="D2354" i="2"/>
  <c r="E2354" i="2"/>
  <c r="F2354" i="2"/>
  <c r="G2354" i="2"/>
  <c r="H2354" i="2"/>
  <c r="D2355" i="2"/>
  <c r="E2355" i="2"/>
  <c r="G2355" i="2"/>
  <c r="D2356" i="2"/>
  <c r="F2357" i="2" s="1"/>
  <c r="E2356" i="2"/>
  <c r="G2356" i="2"/>
  <c r="D2357" i="2"/>
  <c r="H2357" i="2" s="1"/>
  <c r="E2357" i="2"/>
  <c r="G2357" i="2"/>
  <c r="D2358" i="2"/>
  <c r="H2358" i="2" s="1"/>
  <c r="E2358" i="2"/>
  <c r="G2358" i="2"/>
  <c r="D2359" i="2"/>
  <c r="E2359" i="2"/>
  <c r="G2359" i="2"/>
  <c r="H2359" i="2"/>
  <c r="D2360" i="2"/>
  <c r="H2360" i="2" s="1"/>
  <c r="E2360" i="2"/>
  <c r="G2360" i="2"/>
  <c r="D2361" i="2"/>
  <c r="E2361" i="2"/>
  <c r="G2361" i="2"/>
  <c r="D2362" i="2"/>
  <c r="E2362" i="2"/>
  <c r="F2362" i="2"/>
  <c r="G2362" i="2"/>
  <c r="H2362" i="2"/>
  <c r="D2363" i="2"/>
  <c r="E2363" i="2"/>
  <c r="G2363" i="2"/>
  <c r="D2364" i="2"/>
  <c r="F2365" i="2" s="1"/>
  <c r="E2364" i="2"/>
  <c r="G2364" i="2"/>
  <c r="D2365" i="2"/>
  <c r="H2365" i="2" s="1"/>
  <c r="E2365" i="2"/>
  <c r="G2365" i="2"/>
  <c r="D2366" i="2"/>
  <c r="H2366" i="2" s="1"/>
  <c r="E2366" i="2"/>
  <c r="G2366" i="2"/>
  <c r="D2367" i="2"/>
  <c r="E2367" i="2"/>
  <c r="G2367" i="2"/>
  <c r="H2367" i="2"/>
  <c r="D2368" i="2"/>
  <c r="H2369" i="2" s="1"/>
  <c r="E2368" i="2"/>
  <c r="G2368" i="2"/>
  <c r="D2369" i="2"/>
  <c r="E2369" i="2"/>
  <c r="F2369" i="2"/>
  <c r="G2369" i="2"/>
  <c r="D2370" i="2"/>
  <c r="E2370" i="2"/>
  <c r="F2370" i="2"/>
  <c r="G2370" i="2"/>
  <c r="H2370" i="2"/>
  <c r="D2371" i="2"/>
  <c r="E2371" i="2"/>
  <c r="G2371" i="2"/>
  <c r="D2372" i="2"/>
  <c r="F2373" i="2" s="1"/>
  <c r="E2372" i="2"/>
  <c r="G2372" i="2"/>
  <c r="H2372" i="2"/>
  <c r="D2373" i="2"/>
  <c r="H2373" i="2" s="1"/>
  <c r="E2373" i="2"/>
  <c r="G2373" i="2"/>
  <c r="D2374" i="2"/>
  <c r="E2374" i="2"/>
  <c r="F2374" i="2"/>
  <c r="G2374" i="2"/>
  <c r="H2374" i="2"/>
  <c r="D2375" i="2"/>
  <c r="F2375" i="2" s="1"/>
  <c r="E2375" i="2"/>
  <c r="G2375" i="2"/>
  <c r="H2375" i="2"/>
  <c r="D2376" i="2"/>
  <c r="H2377" i="2" s="1"/>
  <c r="E2376" i="2"/>
  <c r="F2376" i="2"/>
  <c r="G2376" i="2"/>
  <c r="H2376" i="2"/>
  <c r="D2377" i="2"/>
  <c r="E2377" i="2"/>
  <c r="F2377" i="2"/>
  <c r="G2377" i="2"/>
  <c r="D2378" i="2"/>
  <c r="E2378" i="2"/>
  <c r="F2378" i="2"/>
  <c r="G2378" i="2"/>
  <c r="H2378" i="2"/>
  <c r="D2379" i="2"/>
  <c r="E2379" i="2"/>
  <c r="G2379" i="2"/>
  <c r="D2380" i="2"/>
  <c r="F2381" i="2" s="1"/>
  <c r="E2380" i="2"/>
  <c r="F2380" i="2"/>
  <c r="G2380" i="2"/>
  <c r="H2380" i="2"/>
  <c r="D2381" i="2"/>
  <c r="H2381" i="2" s="1"/>
  <c r="E2381" i="2"/>
  <c r="G2381" i="2"/>
  <c r="D2382" i="2"/>
  <c r="E2382" i="2"/>
  <c r="F2382" i="2"/>
  <c r="G2382" i="2"/>
  <c r="H2382" i="2"/>
  <c r="D2383" i="2"/>
  <c r="F2383" i="2" s="1"/>
  <c r="E2383" i="2"/>
  <c r="G2383" i="2"/>
  <c r="H2383" i="2"/>
  <c r="D2384" i="2"/>
  <c r="H2385" i="2" s="1"/>
  <c r="E2384" i="2"/>
  <c r="F2384" i="2"/>
  <c r="G2384" i="2"/>
  <c r="H2384" i="2"/>
  <c r="D2385" i="2"/>
  <c r="E2385" i="2"/>
  <c r="G2385" i="2"/>
  <c r="D2386" i="2"/>
  <c r="H2386" i="2" s="1"/>
  <c r="E2386" i="2"/>
  <c r="F2386" i="2"/>
  <c r="G2386" i="2"/>
  <c r="D2387" i="2"/>
  <c r="E2387" i="2"/>
  <c r="G2387" i="2"/>
  <c r="D2388" i="2"/>
  <c r="E2388" i="2"/>
  <c r="F2388" i="2"/>
  <c r="G2388" i="2"/>
  <c r="D2389" i="2"/>
  <c r="E2389" i="2"/>
  <c r="G2389" i="2"/>
  <c r="D2390" i="2"/>
  <c r="H2390" i="2" s="1"/>
  <c r="E2390" i="2"/>
  <c r="G2390" i="2"/>
  <c r="D2391" i="2"/>
  <c r="E2391" i="2"/>
  <c r="G2391" i="2"/>
  <c r="H2391" i="2"/>
  <c r="D2392" i="2"/>
  <c r="H2393" i="2" s="1"/>
  <c r="E2392" i="2"/>
  <c r="F2392" i="2"/>
  <c r="G2392" i="2"/>
  <c r="D2393" i="2"/>
  <c r="E2393" i="2"/>
  <c r="F2393" i="2"/>
  <c r="G2393" i="2"/>
  <c r="D2394" i="2"/>
  <c r="E2394" i="2"/>
  <c r="G2394" i="2"/>
  <c r="D2395" i="2"/>
  <c r="E2395" i="2"/>
  <c r="G2395" i="2"/>
  <c r="D2396" i="2"/>
  <c r="E2396" i="2"/>
  <c r="G2396" i="2"/>
  <c r="D2397" i="2"/>
  <c r="E2397" i="2"/>
  <c r="G2397" i="2"/>
  <c r="D2398" i="2"/>
  <c r="H2399" i="2" s="1"/>
  <c r="E2398" i="2"/>
  <c r="G2398" i="2"/>
  <c r="D2399" i="2"/>
  <c r="E2399" i="2"/>
  <c r="G2399" i="2"/>
  <c r="D2400" i="2"/>
  <c r="H2401" i="2" s="1"/>
  <c r="E2400" i="2"/>
  <c r="G2400" i="2"/>
  <c r="D2401" i="2"/>
  <c r="E2401" i="2"/>
  <c r="F2401" i="2"/>
  <c r="G2401" i="2"/>
  <c r="D2402" i="2"/>
  <c r="E2402" i="2"/>
  <c r="F2402" i="2"/>
  <c r="G2402" i="2"/>
  <c r="H2402" i="2"/>
  <c r="D2403" i="2"/>
  <c r="F2403" i="2" s="1"/>
  <c r="E2403" i="2"/>
  <c r="G2403" i="2"/>
  <c r="D2404" i="2"/>
  <c r="E2404" i="2"/>
  <c r="G2404" i="2"/>
  <c r="H2404" i="2"/>
  <c r="D2405" i="2"/>
  <c r="H2405" i="2" s="1"/>
  <c r="E2405" i="2"/>
  <c r="F2405" i="2"/>
  <c r="G2405" i="2"/>
  <c r="D2406" i="2"/>
  <c r="E2406" i="2"/>
  <c r="F2406" i="2"/>
  <c r="G2406" i="2"/>
  <c r="H2406" i="2"/>
  <c r="D2407" i="2"/>
  <c r="F2407" i="2" s="1"/>
  <c r="E2407" i="2"/>
  <c r="G2407" i="2"/>
  <c r="D2408" i="2"/>
  <c r="F2409" i="2" s="1"/>
  <c r="E2408" i="2"/>
  <c r="G2408" i="2"/>
  <c r="H2408" i="2"/>
  <c r="D2409" i="2"/>
  <c r="E2409" i="2"/>
  <c r="G2409" i="2"/>
  <c r="H2409" i="2"/>
  <c r="D2410" i="2"/>
  <c r="H2410" i="2" s="1"/>
  <c r="E2410" i="2"/>
  <c r="F2410" i="2"/>
  <c r="G2410" i="2"/>
  <c r="D2411" i="2"/>
  <c r="E2411" i="2"/>
  <c r="F2411" i="2"/>
  <c r="G2411" i="2"/>
  <c r="H2411" i="2"/>
  <c r="D2412" i="2"/>
  <c r="F2412" i="2" s="1"/>
  <c r="E2412" i="2"/>
  <c r="G2412" i="2"/>
  <c r="D2413" i="2"/>
  <c r="F2413" i="2" s="1"/>
  <c r="E2413" i="2"/>
  <c r="G2413" i="2"/>
  <c r="D2414" i="2"/>
  <c r="E2414" i="2"/>
  <c r="G2414" i="2"/>
  <c r="D2415" i="2"/>
  <c r="F2415" i="2" s="1"/>
  <c r="E2415" i="2"/>
  <c r="G2415" i="2"/>
  <c r="D2416" i="2"/>
  <c r="E2416" i="2"/>
  <c r="G2416" i="2"/>
  <c r="H2416" i="2"/>
  <c r="D2417" i="2"/>
  <c r="E2417" i="2"/>
  <c r="F2417" i="2"/>
  <c r="G2417" i="2"/>
  <c r="H2417" i="2"/>
  <c r="D2418" i="2"/>
  <c r="F2419" i="2" s="1"/>
  <c r="E2418" i="2"/>
  <c r="F2418" i="2"/>
  <c r="G2418" i="2"/>
  <c r="H2418" i="2"/>
  <c r="D2419" i="2"/>
  <c r="E2419" i="2"/>
  <c r="G2419" i="2"/>
  <c r="H2419" i="2"/>
  <c r="D2420" i="2"/>
  <c r="H2420" i="2" s="1"/>
  <c r="E2420" i="2"/>
  <c r="F2420" i="2"/>
  <c r="G2420" i="2"/>
  <c r="D2421" i="2"/>
  <c r="E2421" i="2"/>
  <c r="F2421" i="2"/>
  <c r="G2421" i="2"/>
  <c r="D2422" i="2"/>
  <c r="E2422" i="2"/>
  <c r="G2422" i="2"/>
  <c r="D2423" i="2"/>
  <c r="E2423" i="2"/>
  <c r="G2423" i="2"/>
  <c r="D2424" i="2"/>
  <c r="H2425" i="2" s="1"/>
  <c r="E2424" i="2"/>
  <c r="G2424" i="2"/>
  <c r="D2425" i="2"/>
  <c r="E2425" i="2"/>
  <c r="F2425" i="2"/>
  <c r="G2425" i="2"/>
  <c r="D2426" i="2"/>
  <c r="E2426" i="2"/>
  <c r="F2426" i="2"/>
  <c r="G2426" i="2"/>
  <c r="H2426" i="2"/>
  <c r="D2427" i="2"/>
  <c r="E2427" i="2"/>
  <c r="G2427" i="2"/>
  <c r="D2428" i="2"/>
  <c r="F2429" i="2" s="1"/>
  <c r="E2428" i="2"/>
  <c r="G2428" i="2"/>
  <c r="D2429" i="2"/>
  <c r="E2429" i="2"/>
  <c r="G2429" i="2"/>
  <c r="D2430" i="2"/>
  <c r="H2430" i="2" s="1"/>
  <c r="E2430" i="2"/>
  <c r="G2430" i="2"/>
  <c r="D2431" i="2"/>
  <c r="E2431" i="2"/>
  <c r="G2431" i="2"/>
  <c r="H2431" i="2"/>
  <c r="D2432" i="2"/>
  <c r="H2432" i="2" s="1"/>
  <c r="E2432" i="2"/>
  <c r="F2432" i="2"/>
  <c r="G2432" i="2"/>
  <c r="D2433" i="2"/>
  <c r="E2433" i="2"/>
  <c r="F2433" i="2"/>
  <c r="G2433" i="2"/>
  <c r="H2433" i="2"/>
  <c r="D2434" i="2"/>
  <c r="F2434" i="2" s="1"/>
  <c r="E2434" i="2"/>
  <c r="G2434" i="2"/>
  <c r="D2435" i="2"/>
  <c r="E2435" i="2"/>
  <c r="G2435" i="2"/>
  <c r="D2436" i="2"/>
  <c r="E2436" i="2"/>
  <c r="G2436" i="2"/>
  <c r="D2437" i="2"/>
  <c r="E2437" i="2"/>
  <c r="G2437" i="2"/>
  <c r="D2438" i="2"/>
  <c r="E2438" i="2"/>
  <c r="F2438" i="2"/>
  <c r="G2438" i="2"/>
  <c r="H2438" i="2"/>
  <c r="D2439" i="2"/>
  <c r="F2439" i="2" s="1"/>
  <c r="E2439" i="2"/>
  <c r="G2439" i="2"/>
  <c r="D2440" i="2"/>
  <c r="F2441" i="2" s="1"/>
  <c r="E2440" i="2"/>
  <c r="G2440" i="2"/>
  <c r="H2440" i="2"/>
  <c r="D2441" i="2"/>
  <c r="E2441" i="2"/>
  <c r="G2441" i="2"/>
  <c r="H2441" i="2"/>
  <c r="D2442" i="2"/>
  <c r="H2442" i="2" s="1"/>
  <c r="E2442" i="2"/>
  <c r="F2442" i="2"/>
  <c r="G2442" i="2"/>
  <c r="D2443" i="2"/>
  <c r="E2443" i="2"/>
  <c r="F2443" i="2"/>
  <c r="G2443" i="2"/>
  <c r="H2443" i="2"/>
  <c r="D2444" i="2"/>
  <c r="F2444" i="2" s="1"/>
  <c r="E2444" i="2"/>
  <c r="G2444" i="2"/>
  <c r="D2445" i="2"/>
  <c r="E2445" i="2"/>
  <c r="F2445" i="2"/>
  <c r="G2445" i="2"/>
  <c r="D2446" i="2"/>
  <c r="E2446" i="2"/>
  <c r="G2446" i="2"/>
  <c r="D2447" i="2"/>
  <c r="F2447" i="2" s="1"/>
  <c r="E2447" i="2"/>
  <c r="G2447" i="2"/>
  <c r="D2448" i="2"/>
  <c r="E2448" i="2"/>
  <c r="G2448" i="2"/>
  <c r="H2448" i="2"/>
  <c r="D2449" i="2"/>
  <c r="E2449" i="2"/>
  <c r="F2449" i="2"/>
  <c r="G2449" i="2"/>
  <c r="H2449" i="2"/>
  <c r="D2450" i="2"/>
  <c r="F2451" i="2" s="1"/>
  <c r="E2450" i="2"/>
  <c r="F2450" i="2"/>
  <c r="G2450" i="2"/>
  <c r="H2450" i="2"/>
  <c r="D2451" i="2"/>
  <c r="E2451" i="2"/>
  <c r="G2451" i="2"/>
  <c r="H2451" i="2"/>
  <c r="D2452" i="2"/>
  <c r="H2452" i="2" s="1"/>
  <c r="E2452" i="2"/>
  <c r="F2452" i="2"/>
  <c r="G2452" i="2"/>
  <c r="D2453" i="2"/>
  <c r="E2453" i="2"/>
  <c r="F2453" i="2"/>
  <c r="G2453" i="2"/>
  <c r="D2454" i="2"/>
  <c r="E2454" i="2"/>
  <c r="G2454" i="2"/>
  <c r="D2455" i="2"/>
  <c r="E2455" i="2"/>
  <c r="G2455" i="2"/>
  <c r="D2456" i="2"/>
  <c r="H2457" i="2" s="1"/>
  <c r="E2456" i="2"/>
  <c r="G2456" i="2"/>
  <c r="D2457" i="2"/>
  <c r="E2457" i="2"/>
  <c r="F2457" i="2"/>
  <c r="G2457" i="2"/>
  <c r="D2458" i="2"/>
  <c r="E2458" i="2"/>
  <c r="F2458" i="2"/>
  <c r="G2458" i="2"/>
  <c r="H2458" i="2"/>
  <c r="D2459" i="2"/>
  <c r="E2459" i="2"/>
  <c r="G2459" i="2"/>
  <c r="D2460" i="2"/>
  <c r="F2461" i="2" s="1"/>
  <c r="E2460" i="2"/>
  <c r="G2460" i="2"/>
  <c r="D2461" i="2"/>
  <c r="E2461" i="2"/>
  <c r="G2461" i="2"/>
  <c r="D2462" i="2"/>
  <c r="H2462" i="2" s="1"/>
  <c r="E2462" i="2"/>
  <c r="F2462" i="2"/>
  <c r="G2462" i="2"/>
  <c r="D2463" i="2"/>
  <c r="E2463" i="2"/>
  <c r="G2463" i="2"/>
  <c r="H2463" i="2"/>
  <c r="D2464" i="2"/>
  <c r="H2464" i="2" s="1"/>
  <c r="E2464" i="2"/>
  <c r="F2464" i="2"/>
  <c r="G2464" i="2"/>
  <c r="D2465" i="2"/>
  <c r="E2465" i="2"/>
  <c r="F2465" i="2"/>
  <c r="G2465" i="2"/>
  <c r="H2465" i="2"/>
  <c r="D2466" i="2"/>
  <c r="F2466" i="2" s="1"/>
  <c r="E2466" i="2"/>
  <c r="G2466" i="2"/>
  <c r="D2467" i="2"/>
  <c r="F2467" i="2" s="1"/>
  <c r="E2467" i="2"/>
  <c r="G2467" i="2"/>
  <c r="D2468" i="2"/>
  <c r="E2468" i="2"/>
  <c r="G2468" i="2"/>
  <c r="D2469" i="2"/>
  <c r="E2469" i="2"/>
  <c r="G2469" i="2"/>
  <c r="D2470" i="2"/>
  <c r="F2471" i="2" s="1"/>
  <c r="E2470" i="2"/>
  <c r="G2470" i="2"/>
  <c r="D2471" i="2"/>
  <c r="E2471" i="2"/>
  <c r="G2471" i="2"/>
  <c r="H2471" i="2"/>
  <c r="D2472" i="2"/>
  <c r="H2472" i="2" s="1"/>
  <c r="E2472" i="2"/>
  <c r="F2472" i="2"/>
  <c r="G2472" i="2"/>
  <c r="D2473" i="2"/>
  <c r="E2473" i="2"/>
  <c r="F2473" i="2"/>
  <c r="G2473" i="2"/>
  <c r="H2473" i="2"/>
  <c r="D2474" i="2"/>
  <c r="F2474" i="2" s="1"/>
  <c r="E2474" i="2"/>
  <c r="G2474" i="2"/>
  <c r="D2475" i="2"/>
  <c r="E2475" i="2"/>
  <c r="G2475" i="2"/>
  <c r="D2476" i="2"/>
  <c r="E2476" i="2"/>
  <c r="G2476" i="2"/>
  <c r="D2477" i="2"/>
  <c r="E2477" i="2"/>
  <c r="G2477" i="2"/>
  <c r="D2478" i="2"/>
  <c r="F2479" i="2" s="1"/>
  <c r="E2478" i="2"/>
  <c r="G2478" i="2"/>
  <c r="D2479" i="2"/>
  <c r="E2479" i="2"/>
  <c r="G2479" i="2"/>
  <c r="H2479" i="2"/>
  <c r="D2480" i="2"/>
  <c r="H2480" i="2" s="1"/>
  <c r="E2480" i="2"/>
  <c r="F2480" i="2"/>
  <c r="G2480" i="2"/>
  <c r="D2481" i="2"/>
  <c r="E2481" i="2"/>
  <c r="F2481" i="2"/>
  <c r="G2481" i="2"/>
  <c r="H2481" i="2"/>
  <c r="D2482" i="2"/>
  <c r="F2482" i="2" s="1"/>
  <c r="E2482" i="2"/>
  <c r="G2482" i="2"/>
  <c r="D2483" i="2"/>
  <c r="F2483" i="2" s="1"/>
  <c r="E2483" i="2"/>
  <c r="G2483" i="2"/>
  <c r="D2484" i="2"/>
  <c r="E2484" i="2"/>
  <c r="G2484" i="2"/>
  <c r="D2485" i="2"/>
  <c r="E2485" i="2"/>
  <c r="G2485" i="2"/>
  <c r="D2486" i="2"/>
  <c r="F2487" i="2" s="1"/>
  <c r="E2486" i="2"/>
  <c r="G2486" i="2"/>
  <c r="D2487" i="2"/>
  <c r="E2487" i="2"/>
  <c r="G2487" i="2"/>
  <c r="H2487" i="2"/>
  <c r="D2488" i="2"/>
  <c r="H2488" i="2" s="1"/>
  <c r="E2488" i="2"/>
  <c r="F2488" i="2"/>
  <c r="G2488" i="2"/>
  <c r="D2489" i="2"/>
  <c r="E2489" i="2"/>
  <c r="F2489" i="2"/>
  <c r="G2489" i="2"/>
  <c r="H2489" i="2"/>
  <c r="D2490" i="2"/>
  <c r="F2490" i="2" s="1"/>
  <c r="E2490" i="2"/>
  <c r="G2490" i="2"/>
  <c r="D2491" i="2"/>
  <c r="F2491" i="2" s="1"/>
  <c r="E2491" i="2"/>
  <c r="G2491" i="2"/>
  <c r="D2492" i="2"/>
  <c r="E2492" i="2"/>
  <c r="G2492" i="2"/>
  <c r="D2493" i="2"/>
  <c r="E2493" i="2"/>
  <c r="G2493" i="2"/>
  <c r="D2494" i="2"/>
  <c r="F2495" i="2" s="1"/>
  <c r="E2494" i="2"/>
  <c r="G2494" i="2"/>
  <c r="D2495" i="2"/>
  <c r="E2495" i="2"/>
  <c r="G2495" i="2"/>
  <c r="H2495" i="2"/>
  <c r="D2496" i="2"/>
  <c r="H2496" i="2" s="1"/>
  <c r="E2496" i="2"/>
  <c r="F2496" i="2"/>
  <c r="G2496" i="2"/>
  <c r="D2497" i="2"/>
  <c r="E2497" i="2"/>
  <c r="F2497" i="2"/>
  <c r="G2497" i="2"/>
  <c r="H2497" i="2"/>
  <c r="D2498" i="2"/>
  <c r="F2498" i="2" s="1"/>
  <c r="E2498" i="2"/>
  <c r="G2498" i="2"/>
  <c r="D2499" i="2"/>
  <c r="E2499" i="2"/>
  <c r="F2499" i="2"/>
  <c r="G2499" i="2"/>
  <c r="D2500" i="2"/>
  <c r="E2500" i="2"/>
  <c r="G2500" i="2"/>
  <c r="D2501" i="2"/>
  <c r="E2501" i="2"/>
  <c r="G2501" i="2"/>
  <c r="D2502" i="2"/>
  <c r="F2503" i="2" s="1"/>
  <c r="E2502" i="2"/>
  <c r="G2502" i="2"/>
  <c r="D2503" i="2"/>
  <c r="E2503" i="2"/>
  <c r="G2503" i="2"/>
  <c r="H2503" i="2"/>
  <c r="D2504" i="2"/>
  <c r="H2504" i="2" s="1"/>
  <c r="E2504" i="2"/>
  <c r="F2504" i="2"/>
  <c r="G2504" i="2"/>
  <c r="D2505" i="2"/>
  <c r="E2505" i="2"/>
  <c r="F2505" i="2"/>
  <c r="G2505" i="2"/>
  <c r="H2505" i="2"/>
  <c r="D2506" i="2"/>
  <c r="F2506" i="2" s="1"/>
  <c r="E2506" i="2"/>
  <c r="G2506" i="2"/>
  <c r="D2507" i="2"/>
  <c r="F2507" i="2" s="1"/>
  <c r="E2507" i="2"/>
  <c r="G2507" i="2"/>
  <c r="D2508" i="2"/>
  <c r="E2508" i="2"/>
  <c r="G2508" i="2"/>
  <c r="D2509" i="2"/>
  <c r="E2509" i="2"/>
  <c r="G2509" i="2"/>
  <c r="D2510" i="2"/>
  <c r="F2511" i="2" s="1"/>
  <c r="E2510" i="2"/>
  <c r="G2510" i="2"/>
  <c r="D2511" i="2"/>
  <c r="E2511" i="2"/>
  <c r="G2511" i="2"/>
  <c r="H2511" i="2"/>
  <c r="D2512" i="2"/>
  <c r="H2512" i="2" s="1"/>
  <c r="E2512" i="2"/>
  <c r="F2512" i="2"/>
  <c r="G2512" i="2"/>
  <c r="D2513" i="2"/>
  <c r="E2513" i="2"/>
  <c r="F2513" i="2"/>
  <c r="G2513" i="2"/>
  <c r="H2513" i="2"/>
  <c r="D2514" i="2"/>
  <c r="F2514" i="2" s="1"/>
  <c r="E2514" i="2"/>
  <c r="G2514" i="2"/>
  <c r="D2515" i="2"/>
  <c r="F2515" i="2" s="1"/>
  <c r="E2515" i="2"/>
  <c r="G2515" i="2"/>
  <c r="D2516" i="2"/>
  <c r="E2516" i="2"/>
  <c r="G2516" i="2"/>
  <c r="D2517" i="2"/>
  <c r="E2517" i="2"/>
  <c r="G2517" i="2"/>
  <c r="D2518" i="2"/>
  <c r="F2519" i="2" s="1"/>
  <c r="E2518" i="2"/>
  <c r="G2518" i="2"/>
  <c r="D2519" i="2"/>
  <c r="E2519" i="2"/>
  <c r="G2519" i="2"/>
  <c r="H2519" i="2"/>
  <c r="D2520" i="2"/>
  <c r="H2520" i="2" s="1"/>
  <c r="E2520" i="2"/>
  <c r="F2520" i="2"/>
  <c r="G2520" i="2"/>
  <c r="D2521" i="2"/>
  <c r="E2521" i="2"/>
  <c r="F2521" i="2"/>
  <c r="G2521" i="2"/>
  <c r="H2521" i="2"/>
  <c r="D2522" i="2"/>
  <c r="F2522" i="2" s="1"/>
  <c r="E2522" i="2"/>
  <c r="G2522" i="2"/>
  <c r="D2523" i="2"/>
  <c r="E2523" i="2"/>
  <c r="F2523" i="2"/>
  <c r="G2523" i="2"/>
  <c r="D2524" i="2"/>
  <c r="E2524" i="2"/>
  <c r="G2524" i="2"/>
  <c r="D2525" i="2"/>
  <c r="E2525" i="2"/>
  <c r="G2525" i="2"/>
  <c r="D2526" i="2"/>
  <c r="F2527" i="2" s="1"/>
  <c r="E2526" i="2"/>
  <c r="G2526" i="2"/>
  <c r="D2527" i="2"/>
  <c r="E2527" i="2"/>
  <c r="G2527" i="2"/>
  <c r="H2527" i="2"/>
  <c r="D2528" i="2"/>
  <c r="H2528" i="2" s="1"/>
  <c r="E2528" i="2"/>
  <c r="F2528" i="2"/>
  <c r="G2528" i="2"/>
  <c r="D2529" i="2"/>
  <c r="E2529" i="2"/>
  <c r="F2529" i="2"/>
  <c r="G2529" i="2"/>
  <c r="H2529" i="2"/>
  <c r="D2530" i="2"/>
  <c r="F2530" i="2" s="1"/>
  <c r="E2530" i="2"/>
  <c r="G2530" i="2"/>
  <c r="D2531" i="2"/>
  <c r="F2531" i="2" s="1"/>
  <c r="E2531" i="2"/>
  <c r="G2531" i="2"/>
  <c r="D2532" i="2"/>
  <c r="E2532" i="2"/>
  <c r="G2532" i="2"/>
  <c r="D2533" i="2"/>
  <c r="E2533" i="2"/>
  <c r="G2533" i="2"/>
  <c r="D2534" i="2"/>
  <c r="F2535" i="2" s="1"/>
  <c r="E2534" i="2"/>
  <c r="G2534" i="2"/>
  <c r="D2535" i="2"/>
  <c r="E2535" i="2"/>
  <c r="G2535" i="2"/>
  <c r="H2535" i="2"/>
  <c r="D2536" i="2"/>
  <c r="H2536" i="2" s="1"/>
  <c r="E2536" i="2"/>
  <c r="F2536" i="2"/>
  <c r="G2536" i="2"/>
  <c r="D2537" i="2"/>
  <c r="E2537" i="2"/>
  <c r="F2537" i="2"/>
  <c r="G2537" i="2"/>
  <c r="H2537" i="2"/>
  <c r="D2538" i="2"/>
  <c r="F2538" i="2" s="1"/>
  <c r="E2538" i="2"/>
  <c r="G2538" i="2"/>
  <c r="D2539" i="2"/>
  <c r="E2539" i="2"/>
  <c r="G2539" i="2"/>
  <c r="D2540" i="2"/>
  <c r="E2540" i="2"/>
  <c r="G2540" i="2"/>
  <c r="D2541" i="2"/>
  <c r="E2541" i="2"/>
  <c r="G2541" i="2"/>
  <c r="D2542" i="2"/>
  <c r="F2543" i="2" s="1"/>
  <c r="E2542" i="2"/>
  <c r="G2542" i="2"/>
  <c r="D2543" i="2"/>
  <c r="E2543" i="2"/>
  <c r="G2543" i="2"/>
  <c r="H2543" i="2"/>
  <c r="D2544" i="2"/>
  <c r="H2544" i="2" s="1"/>
  <c r="E2544" i="2"/>
  <c r="F2544" i="2"/>
  <c r="G2544" i="2"/>
  <c r="D2545" i="2"/>
  <c r="E2545" i="2"/>
  <c r="F2545" i="2"/>
  <c r="G2545" i="2"/>
  <c r="H2545" i="2"/>
  <c r="D2546" i="2"/>
  <c r="F2546" i="2" s="1"/>
  <c r="E2546" i="2"/>
  <c r="G2546" i="2"/>
  <c r="D2547" i="2"/>
  <c r="F2547" i="2" s="1"/>
  <c r="E2547" i="2"/>
  <c r="G2547" i="2"/>
  <c r="D2548" i="2"/>
  <c r="E2548" i="2"/>
  <c r="G2548" i="2"/>
  <c r="D2549" i="2"/>
  <c r="E2549" i="2"/>
  <c r="G2549" i="2"/>
  <c r="D2550" i="2"/>
  <c r="F2551" i="2" s="1"/>
  <c r="E2550" i="2"/>
  <c r="G2550" i="2"/>
  <c r="D2551" i="2"/>
  <c r="E2551" i="2"/>
  <c r="G2551" i="2"/>
  <c r="H2551" i="2"/>
  <c r="D2552" i="2"/>
  <c r="H2552" i="2" s="1"/>
  <c r="E2552" i="2"/>
  <c r="F2552" i="2"/>
  <c r="G2552" i="2"/>
  <c r="D2553" i="2"/>
  <c r="E2553" i="2"/>
  <c r="F2553" i="2"/>
  <c r="G2553" i="2"/>
  <c r="H2553" i="2"/>
  <c r="D2554" i="2"/>
  <c r="F2554" i="2" s="1"/>
  <c r="E2554" i="2"/>
  <c r="G2554" i="2"/>
  <c r="D2555" i="2"/>
  <c r="F2555" i="2" s="1"/>
  <c r="E2555" i="2"/>
  <c r="G2555" i="2"/>
  <c r="D2556" i="2"/>
  <c r="E2556" i="2"/>
  <c r="G2556" i="2"/>
  <c r="D2557" i="2"/>
  <c r="E2557" i="2"/>
  <c r="G2557" i="2"/>
  <c r="D2558" i="2"/>
  <c r="F2559" i="2" s="1"/>
  <c r="E2558" i="2"/>
  <c r="G2558" i="2"/>
  <c r="D2559" i="2"/>
  <c r="E2559" i="2"/>
  <c r="G2559" i="2"/>
  <c r="H2559" i="2"/>
  <c r="D2560" i="2"/>
  <c r="H2560" i="2" s="1"/>
  <c r="E2560" i="2"/>
  <c r="F2560" i="2"/>
  <c r="G2560" i="2"/>
  <c r="D2561" i="2"/>
  <c r="E2561" i="2"/>
  <c r="F2561" i="2"/>
  <c r="G2561" i="2"/>
  <c r="H2561" i="2"/>
  <c r="D2562" i="2"/>
  <c r="F2562" i="2" s="1"/>
  <c r="E2562" i="2"/>
  <c r="G2562" i="2"/>
  <c r="D2563" i="2"/>
  <c r="E2563" i="2"/>
  <c r="F2563" i="2"/>
  <c r="G2563" i="2"/>
  <c r="D2564" i="2"/>
  <c r="E2564" i="2"/>
  <c r="G2564" i="2"/>
  <c r="D2565" i="2"/>
  <c r="E2565" i="2"/>
  <c r="G2565" i="2"/>
  <c r="D2566" i="2"/>
  <c r="F2567" i="2" s="1"/>
  <c r="E2566" i="2"/>
  <c r="G2566" i="2"/>
  <c r="D2567" i="2"/>
  <c r="E2567" i="2"/>
  <c r="G2567" i="2"/>
  <c r="H2567" i="2"/>
  <c r="D2568" i="2"/>
  <c r="H2568" i="2" s="1"/>
  <c r="E2568" i="2"/>
  <c r="F2568" i="2"/>
  <c r="G2568" i="2"/>
  <c r="D2569" i="2"/>
  <c r="E2569" i="2"/>
  <c r="F2569" i="2"/>
  <c r="G2569" i="2"/>
  <c r="H2569" i="2"/>
  <c r="D2570" i="2"/>
  <c r="F2570" i="2" s="1"/>
  <c r="E2570" i="2"/>
  <c r="G2570" i="2"/>
  <c r="D2571" i="2"/>
  <c r="F2571" i="2" s="1"/>
  <c r="E2571" i="2"/>
  <c r="G2571" i="2"/>
  <c r="D2572" i="2"/>
  <c r="E2572" i="2"/>
  <c r="G2572" i="2"/>
  <c r="D2573" i="2"/>
  <c r="E2573" i="2"/>
  <c r="G2573" i="2"/>
  <c r="D2574" i="2"/>
  <c r="F2575" i="2" s="1"/>
  <c r="E2574" i="2"/>
  <c r="G2574" i="2"/>
  <c r="D2575" i="2"/>
  <c r="E2575" i="2"/>
  <c r="G2575" i="2"/>
  <c r="H2575" i="2"/>
  <c r="D2576" i="2"/>
  <c r="H2576" i="2" s="1"/>
  <c r="E2576" i="2"/>
  <c r="F2576" i="2"/>
  <c r="G2576" i="2"/>
  <c r="D2577" i="2"/>
  <c r="E2577" i="2"/>
  <c r="F2577" i="2"/>
  <c r="G2577" i="2"/>
  <c r="H2577" i="2"/>
  <c r="D2578" i="2"/>
  <c r="F2578" i="2" s="1"/>
  <c r="E2578" i="2"/>
  <c r="G2578" i="2"/>
  <c r="D2579" i="2"/>
  <c r="F2579" i="2" s="1"/>
  <c r="E2579" i="2"/>
  <c r="G2579" i="2"/>
  <c r="D2580" i="2"/>
  <c r="E2580" i="2"/>
  <c r="G2580" i="2"/>
  <c r="D2581" i="2"/>
  <c r="E2581" i="2"/>
  <c r="G2581" i="2"/>
  <c r="D2582" i="2"/>
  <c r="F2583" i="2" s="1"/>
  <c r="E2582" i="2"/>
  <c r="G2582" i="2"/>
  <c r="D2583" i="2"/>
  <c r="E2583" i="2"/>
  <c r="G2583" i="2"/>
  <c r="H2583" i="2"/>
  <c r="D2584" i="2"/>
  <c r="H2584" i="2" s="1"/>
  <c r="E2584" i="2"/>
  <c r="F2584" i="2"/>
  <c r="G2584" i="2"/>
  <c r="D2585" i="2"/>
  <c r="E2585" i="2"/>
  <c r="F2585" i="2"/>
  <c r="G2585" i="2"/>
  <c r="H2585" i="2"/>
  <c r="D2586" i="2"/>
  <c r="E2586" i="2"/>
  <c r="G2586" i="2"/>
  <c r="D2587" i="2"/>
  <c r="E2587" i="2"/>
  <c r="F2587" i="2"/>
  <c r="G2587" i="2"/>
  <c r="D2588" i="2"/>
  <c r="E2588" i="2"/>
  <c r="G2588" i="2"/>
  <c r="D2589" i="2"/>
  <c r="E2589" i="2"/>
  <c r="G2589" i="2"/>
  <c r="D2590" i="2"/>
  <c r="F2591" i="2" s="1"/>
  <c r="E2590" i="2"/>
  <c r="G2590" i="2"/>
  <c r="H2590" i="2"/>
  <c r="D2591" i="2"/>
  <c r="E2591" i="2"/>
  <c r="G2591" i="2"/>
  <c r="H2591" i="2"/>
  <c r="D2592" i="2"/>
  <c r="H2592" i="2" s="1"/>
  <c r="E2592" i="2"/>
  <c r="F2592" i="2"/>
  <c r="G2592" i="2"/>
  <c r="D2593" i="2"/>
  <c r="E2593" i="2"/>
  <c r="F2593" i="2"/>
  <c r="G2593" i="2"/>
  <c r="H2593" i="2"/>
  <c r="D2594" i="2"/>
  <c r="E2594" i="2"/>
  <c r="G2594" i="2"/>
  <c r="D2595" i="2"/>
  <c r="F2595" i="2" s="1"/>
  <c r="E2595" i="2"/>
  <c r="G2595" i="2"/>
  <c r="D2596" i="2"/>
  <c r="E2596" i="2"/>
  <c r="G2596" i="2"/>
  <c r="D2597" i="2"/>
  <c r="E2597" i="2"/>
  <c r="G2597" i="2"/>
  <c r="D2598" i="2"/>
  <c r="F2599" i="2" s="1"/>
  <c r="E2598" i="2"/>
  <c r="G2598" i="2"/>
  <c r="D2599" i="2"/>
  <c r="E2599" i="2"/>
  <c r="G2599" i="2"/>
  <c r="H2599" i="2"/>
  <c r="D2600" i="2"/>
  <c r="H2600" i="2" s="1"/>
  <c r="E2600" i="2"/>
  <c r="F2600" i="2"/>
  <c r="G2600" i="2"/>
  <c r="D2601" i="2"/>
  <c r="E2601" i="2"/>
  <c r="F2601" i="2"/>
  <c r="G2601" i="2"/>
  <c r="H2601" i="2"/>
  <c r="D2602" i="2"/>
  <c r="E2602" i="2"/>
  <c r="G2602" i="2"/>
  <c r="D2603" i="2"/>
  <c r="E2603" i="2"/>
  <c r="G2603" i="2"/>
  <c r="D2604" i="2"/>
  <c r="E2604" i="2"/>
  <c r="G2604" i="2"/>
  <c r="D2605" i="2"/>
  <c r="E2605" i="2"/>
  <c r="G2605" i="2"/>
  <c r="D2606" i="2"/>
  <c r="F2607" i="2" s="1"/>
  <c r="E2606" i="2"/>
  <c r="G2606" i="2"/>
  <c r="H2606" i="2"/>
  <c r="D2607" i="2"/>
  <c r="E2607" i="2"/>
  <c r="G2607" i="2"/>
  <c r="H2607" i="2"/>
  <c r="D2608" i="2"/>
  <c r="H2608" i="2" s="1"/>
  <c r="E2608" i="2"/>
  <c r="F2608" i="2"/>
  <c r="G2608" i="2"/>
  <c r="D2609" i="2"/>
  <c r="E2609" i="2"/>
  <c r="F2609" i="2"/>
  <c r="G2609" i="2"/>
  <c r="H2609" i="2"/>
  <c r="D2610" i="2"/>
  <c r="E2610" i="2"/>
  <c r="G2610" i="2"/>
  <c r="D2611" i="2"/>
  <c r="F2611" i="2" s="1"/>
  <c r="E2611" i="2"/>
  <c r="G2611" i="2"/>
  <c r="D2612" i="2"/>
  <c r="E2612" i="2"/>
  <c r="G2612" i="2"/>
  <c r="D2613" i="2"/>
  <c r="E2613" i="2"/>
  <c r="G2613" i="2"/>
  <c r="D2614" i="2"/>
  <c r="F2615" i="2" s="1"/>
  <c r="E2614" i="2"/>
  <c r="G2614" i="2"/>
  <c r="D2615" i="2"/>
  <c r="E2615" i="2"/>
  <c r="G2615" i="2"/>
  <c r="H2615" i="2"/>
  <c r="D2616" i="2"/>
  <c r="H2616" i="2" s="1"/>
  <c r="E2616" i="2"/>
  <c r="F2616" i="2"/>
  <c r="G2616" i="2"/>
  <c r="D2617" i="2"/>
  <c r="E2617" i="2"/>
  <c r="F2617" i="2"/>
  <c r="G2617" i="2"/>
  <c r="H2617" i="2"/>
  <c r="D2618" i="2"/>
  <c r="E2618" i="2"/>
  <c r="G2618" i="2"/>
  <c r="D2619" i="2"/>
  <c r="E2619" i="2"/>
  <c r="F2619" i="2"/>
  <c r="G2619" i="2"/>
  <c r="D2620" i="2"/>
  <c r="E2620" i="2"/>
  <c r="G2620" i="2"/>
  <c r="D2621" i="2"/>
  <c r="E2621" i="2"/>
  <c r="G2621" i="2"/>
  <c r="D2622" i="2"/>
  <c r="F2623" i="2" s="1"/>
  <c r="E2622" i="2"/>
  <c r="G2622" i="2"/>
  <c r="H2622" i="2"/>
  <c r="D2623" i="2"/>
  <c r="E2623" i="2"/>
  <c r="G2623" i="2"/>
  <c r="H2623" i="2"/>
  <c r="D2624" i="2"/>
  <c r="H2624" i="2" s="1"/>
  <c r="E2624" i="2"/>
  <c r="F2624" i="2"/>
  <c r="G2624" i="2"/>
  <c r="D2625" i="2"/>
  <c r="E2625" i="2"/>
  <c r="F2625" i="2"/>
  <c r="G2625" i="2"/>
  <c r="H2625" i="2"/>
  <c r="D2626" i="2"/>
  <c r="E2626" i="2"/>
  <c r="G2626" i="2"/>
  <c r="D2627" i="2"/>
  <c r="F2627" i="2" s="1"/>
  <c r="E2627" i="2"/>
  <c r="G2627" i="2"/>
  <c r="D2628" i="2"/>
  <c r="E2628" i="2"/>
  <c r="G2628" i="2"/>
  <c r="D2629" i="2"/>
  <c r="E2629" i="2"/>
  <c r="G2629" i="2"/>
  <c r="D2630" i="2"/>
  <c r="F2631" i="2" s="1"/>
  <c r="E2630" i="2"/>
  <c r="G2630" i="2"/>
  <c r="D2631" i="2"/>
  <c r="E2631" i="2"/>
  <c r="G2631" i="2"/>
  <c r="H2631" i="2"/>
  <c r="D2632" i="2"/>
  <c r="H2632" i="2" s="1"/>
  <c r="E2632" i="2"/>
  <c r="F2632" i="2"/>
  <c r="G2632" i="2"/>
  <c r="D2633" i="2"/>
  <c r="E2633" i="2"/>
  <c r="F2633" i="2"/>
  <c r="G2633" i="2"/>
  <c r="H2633" i="2"/>
  <c r="D2634" i="2"/>
  <c r="E2634" i="2"/>
  <c r="G2634" i="2"/>
  <c r="D2635" i="2"/>
  <c r="F2635" i="2" s="1"/>
  <c r="E2635" i="2"/>
  <c r="G2635" i="2"/>
  <c r="D2636" i="2"/>
  <c r="E2636" i="2"/>
  <c r="G2636" i="2"/>
  <c r="D2637" i="2"/>
  <c r="E2637" i="2"/>
  <c r="G2637" i="2"/>
  <c r="D2638" i="2"/>
  <c r="F2639" i="2" s="1"/>
  <c r="E2638" i="2"/>
  <c r="G2638" i="2"/>
  <c r="H2638" i="2"/>
  <c r="D2639" i="2"/>
  <c r="E2639" i="2"/>
  <c r="G2639" i="2"/>
  <c r="H2639" i="2"/>
  <c r="D2640" i="2"/>
  <c r="H2640" i="2" s="1"/>
  <c r="E2640" i="2"/>
  <c r="F2640" i="2"/>
  <c r="G2640" i="2"/>
  <c r="D2641" i="2"/>
  <c r="E2641" i="2"/>
  <c r="F2641" i="2"/>
  <c r="G2641" i="2"/>
  <c r="H2641" i="2"/>
  <c r="D2642" i="2"/>
  <c r="E2642" i="2"/>
  <c r="G2642" i="2"/>
  <c r="D2643" i="2"/>
  <c r="F2643" i="2" s="1"/>
  <c r="E2643" i="2"/>
  <c r="G2643" i="2"/>
  <c r="D2644" i="2"/>
  <c r="E2644" i="2"/>
  <c r="G2644" i="2"/>
  <c r="D2645" i="2"/>
  <c r="E2645" i="2"/>
  <c r="G2645" i="2"/>
  <c r="D2646" i="2"/>
  <c r="F2647" i="2" s="1"/>
  <c r="E2646" i="2"/>
  <c r="G2646" i="2"/>
  <c r="D2647" i="2"/>
  <c r="E2647" i="2"/>
  <c r="G2647" i="2"/>
  <c r="H2647" i="2"/>
  <c r="D2648" i="2"/>
  <c r="H2648" i="2" s="1"/>
  <c r="E2648" i="2"/>
  <c r="F2648" i="2"/>
  <c r="G2648" i="2"/>
  <c r="D2649" i="2"/>
  <c r="E2649" i="2"/>
  <c r="F2649" i="2"/>
  <c r="G2649" i="2"/>
  <c r="H2649" i="2"/>
  <c r="D2650" i="2"/>
  <c r="E2650" i="2"/>
  <c r="G2650" i="2"/>
  <c r="D2651" i="2"/>
  <c r="E2651" i="2"/>
  <c r="F2651" i="2"/>
  <c r="G2651" i="2"/>
  <c r="D2652" i="2"/>
  <c r="E2652" i="2"/>
  <c r="G2652" i="2"/>
  <c r="D2653" i="2"/>
  <c r="E2653" i="2"/>
  <c r="G2653" i="2"/>
  <c r="D2654" i="2"/>
  <c r="F2655" i="2" s="1"/>
  <c r="E2654" i="2"/>
  <c r="G2654" i="2"/>
  <c r="H2654" i="2"/>
  <c r="D2655" i="2"/>
  <c r="E2655" i="2"/>
  <c r="G2655" i="2"/>
  <c r="H2655" i="2"/>
  <c r="D2656" i="2"/>
  <c r="H2656" i="2" s="1"/>
  <c r="E2656" i="2"/>
  <c r="F2656" i="2"/>
  <c r="G2656" i="2"/>
  <c r="D2657" i="2"/>
  <c r="E2657" i="2"/>
  <c r="F2657" i="2"/>
  <c r="G2657" i="2"/>
  <c r="H2657" i="2"/>
  <c r="D2658" i="2"/>
  <c r="E2658" i="2"/>
  <c r="G2658" i="2"/>
  <c r="D2659" i="2"/>
  <c r="F2659" i="2" s="1"/>
  <c r="E2659" i="2"/>
  <c r="G2659" i="2"/>
  <c r="D2660" i="2"/>
  <c r="E2660" i="2"/>
  <c r="G2660" i="2"/>
  <c r="D2661" i="2"/>
  <c r="E2661" i="2"/>
  <c r="G2661" i="2"/>
  <c r="D2662" i="2"/>
  <c r="F2663" i="2" s="1"/>
  <c r="E2662" i="2"/>
  <c r="G2662" i="2"/>
  <c r="D2663" i="2"/>
  <c r="E2663" i="2"/>
  <c r="G2663" i="2"/>
  <c r="H2663" i="2"/>
  <c r="D2664" i="2"/>
  <c r="H2664" i="2" s="1"/>
  <c r="E2664" i="2"/>
  <c r="F2664" i="2"/>
  <c r="G2664" i="2"/>
  <c r="D2665" i="2"/>
  <c r="E2665" i="2"/>
  <c r="F2665" i="2"/>
  <c r="G2665" i="2"/>
  <c r="H2665" i="2"/>
  <c r="D2666" i="2"/>
  <c r="E2666" i="2"/>
  <c r="G2666" i="2"/>
  <c r="D2667" i="2"/>
  <c r="E2667" i="2"/>
  <c r="G2667" i="2"/>
  <c r="D2668" i="2"/>
  <c r="E2668" i="2"/>
  <c r="G2668" i="2"/>
  <c r="D2669" i="2"/>
  <c r="E2669" i="2"/>
  <c r="G2669" i="2"/>
  <c r="D2670" i="2"/>
  <c r="F2671" i="2" s="1"/>
  <c r="E2670" i="2"/>
  <c r="G2670" i="2"/>
  <c r="H2670" i="2"/>
  <c r="D2671" i="2"/>
  <c r="E2671" i="2"/>
  <c r="G2671" i="2"/>
  <c r="H2671" i="2"/>
  <c r="D2672" i="2"/>
  <c r="H2672" i="2" s="1"/>
  <c r="E2672" i="2"/>
  <c r="F2672" i="2"/>
  <c r="G2672" i="2"/>
  <c r="D2673" i="2"/>
  <c r="E2673" i="2"/>
  <c r="F2673" i="2"/>
  <c r="G2673" i="2"/>
  <c r="H2673" i="2"/>
  <c r="D2674" i="2"/>
  <c r="E2674" i="2"/>
  <c r="G2674" i="2"/>
  <c r="D2675" i="2"/>
  <c r="F2675" i="2" s="1"/>
  <c r="E2675" i="2"/>
  <c r="G2675" i="2"/>
  <c r="D2676" i="2"/>
  <c r="E2676" i="2"/>
  <c r="G2676" i="2"/>
  <c r="D2677" i="2"/>
  <c r="E2677" i="2"/>
  <c r="G2677" i="2"/>
  <c r="D2678" i="2"/>
  <c r="F2679" i="2" s="1"/>
  <c r="E2678" i="2"/>
  <c r="G2678" i="2"/>
  <c r="D2679" i="2"/>
  <c r="E2679" i="2"/>
  <c r="G2679" i="2"/>
  <c r="H2679" i="2"/>
  <c r="D2680" i="2"/>
  <c r="H2680" i="2" s="1"/>
  <c r="E2680" i="2"/>
  <c r="F2680" i="2"/>
  <c r="G2680" i="2"/>
  <c r="D2681" i="2"/>
  <c r="E2681" i="2"/>
  <c r="F2681" i="2"/>
  <c r="G2681" i="2"/>
  <c r="H2681" i="2"/>
  <c r="D2682" i="2"/>
  <c r="E2682" i="2"/>
  <c r="G2682" i="2"/>
  <c r="D2683" i="2"/>
  <c r="E2683" i="2"/>
  <c r="F2683" i="2"/>
  <c r="G2683" i="2"/>
  <c r="D2684" i="2"/>
  <c r="E2684" i="2"/>
  <c r="G2684" i="2"/>
  <c r="D2685" i="2"/>
  <c r="E2685" i="2"/>
  <c r="G2685" i="2"/>
  <c r="D2686" i="2"/>
  <c r="F2687" i="2" s="1"/>
  <c r="E2686" i="2"/>
  <c r="G2686" i="2"/>
  <c r="H2686" i="2"/>
  <c r="D2687" i="2"/>
  <c r="E2687" i="2"/>
  <c r="G2687" i="2"/>
  <c r="H2687" i="2"/>
  <c r="D2688" i="2"/>
  <c r="H2688" i="2" s="1"/>
  <c r="E2688" i="2"/>
  <c r="F2688" i="2"/>
  <c r="G2688" i="2"/>
  <c r="D2689" i="2"/>
  <c r="E2689" i="2"/>
  <c r="F2689" i="2"/>
  <c r="G2689" i="2"/>
  <c r="H2689" i="2"/>
  <c r="D2690" i="2"/>
  <c r="E2690" i="2"/>
  <c r="G2690" i="2"/>
  <c r="D2691" i="2"/>
  <c r="F2691" i="2" s="1"/>
  <c r="E2691" i="2"/>
  <c r="G2691" i="2"/>
  <c r="D2692" i="2"/>
  <c r="E2692" i="2"/>
  <c r="G2692" i="2"/>
  <c r="D2693" i="2"/>
  <c r="E2693" i="2"/>
  <c r="G2693" i="2"/>
  <c r="D2694" i="2"/>
  <c r="F2695" i="2" s="1"/>
  <c r="E2694" i="2"/>
  <c r="G2694" i="2"/>
  <c r="D2695" i="2"/>
  <c r="E2695" i="2"/>
  <c r="G2695" i="2"/>
  <c r="H2695" i="2"/>
  <c r="D2696" i="2"/>
  <c r="H2696" i="2" s="1"/>
  <c r="E2696" i="2"/>
  <c r="F2696" i="2"/>
  <c r="G2696" i="2"/>
  <c r="D2697" i="2"/>
  <c r="E2697" i="2"/>
  <c r="F2697" i="2"/>
  <c r="G2697" i="2"/>
  <c r="H2697" i="2"/>
  <c r="D2698" i="2"/>
  <c r="E2698" i="2"/>
  <c r="G2698" i="2"/>
  <c r="D2699" i="2"/>
  <c r="E2699" i="2"/>
  <c r="G2699" i="2"/>
  <c r="D2700" i="2"/>
  <c r="E2700" i="2"/>
  <c r="G2700" i="2"/>
  <c r="D2701" i="2"/>
  <c r="F2702" i="2" s="1"/>
  <c r="E2701" i="2"/>
  <c r="G2701" i="2"/>
  <c r="D2702" i="2"/>
  <c r="F2703" i="2" s="1"/>
  <c r="E2702" i="2"/>
  <c r="G2702" i="2"/>
  <c r="H2702" i="2"/>
  <c r="D2703" i="2"/>
  <c r="E2703" i="2"/>
  <c r="G2703" i="2"/>
  <c r="H2703" i="2"/>
  <c r="D2704" i="2"/>
  <c r="H2704" i="2" s="1"/>
  <c r="E2704" i="2"/>
  <c r="F2704" i="2"/>
  <c r="G2704" i="2"/>
  <c r="D2705" i="2"/>
  <c r="E2705" i="2"/>
  <c r="F2705" i="2"/>
  <c r="G2705" i="2"/>
  <c r="H2705" i="2"/>
  <c r="D2706" i="2"/>
  <c r="E2706" i="2"/>
  <c r="G2706" i="2"/>
  <c r="D2707" i="2"/>
  <c r="E2707" i="2"/>
  <c r="F2707" i="2"/>
  <c r="G2707" i="2"/>
  <c r="D2708" i="2"/>
  <c r="E2708" i="2"/>
  <c r="G2708" i="2"/>
  <c r="H2708" i="2"/>
  <c r="D2709" i="2"/>
  <c r="F2710" i="2" s="1"/>
  <c r="E2709" i="2"/>
  <c r="G2709" i="2"/>
  <c r="D2710" i="2"/>
  <c r="F2711" i="2" s="1"/>
  <c r="E2710" i="2"/>
  <c r="G2710" i="2"/>
  <c r="H2710" i="2"/>
  <c r="D2711" i="2"/>
  <c r="E2711" i="2"/>
  <c r="G2711" i="2"/>
  <c r="H2711" i="2"/>
  <c r="D2712" i="2"/>
  <c r="H2712" i="2" s="1"/>
  <c r="E2712" i="2"/>
  <c r="F2712" i="2"/>
  <c r="G2712" i="2"/>
  <c r="D2713" i="2"/>
  <c r="E2713" i="2"/>
  <c r="F2713" i="2"/>
  <c r="G2713" i="2"/>
  <c r="H2713" i="2"/>
  <c r="D2714" i="2"/>
  <c r="E2714" i="2"/>
  <c r="G2714" i="2"/>
  <c r="D2715" i="2"/>
  <c r="E2715" i="2"/>
  <c r="F2715" i="2"/>
  <c r="G2715" i="2"/>
  <c r="D2716" i="2"/>
  <c r="E2716" i="2"/>
  <c r="G2716" i="2"/>
  <c r="H2716" i="2"/>
  <c r="D2717" i="2"/>
  <c r="F2718" i="2" s="1"/>
  <c r="E2717" i="2"/>
  <c r="G2717" i="2"/>
  <c r="D2718" i="2"/>
  <c r="F2719" i="2" s="1"/>
  <c r="E2718" i="2"/>
  <c r="G2718" i="2"/>
  <c r="H2718" i="2"/>
  <c r="D2719" i="2"/>
  <c r="E2719" i="2"/>
  <c r="G2719" i="2"/>
  <c r="H2719" i="2"/>
  <c r="D2720" i="2"/>
  <c r="H2720" i="2" s="1"/>
  <c r="E2720" i="2"/>
  <c r="F2720" i="2"/>
  <c r="G2720" i="2"/>
  <c r="D2721" i="2"/>
  <c r="E2721" i="2"/>
  <c r="F2721" i="2"/>
  <c r="G2721" i="2"/>
  <c r="H2721" i="2"/>
  <c r="D2722" i="2"/>
  <c r="E2722" i="2"/>
  <c r="G2722" i="2"/>
  <c r="D2723" i="2"/>
  <c r="E2723" i="2"/>
  <c r="F2723" i="2"/>
  <c r="G2723" i="2"/>
  <c r="D2724" i="2"/>
  <c r="E2724" i="2"/>
  <c r="G2724" i="2"/>
  <c r="H2724" i="2"/>
  <c r="D2725" i="2"/>
  <c r="F2726" i="2" s="1"/>
  <c r="E2725" i="2"/>
  <c r="G2725" i="2"/>
  <c r="D2726" i="2"/>
  <c r="F2727" i="2" s="1"/>
  <c r="E2726" i="2"/>
  <c r="G2726" i="2"/>
  <c r="H2726" i="2"/>
  <c r="D2727" i="2"/>
  <c r="E2727" i="2"/>
  <c r="G2727" i="2"/>
  <c r="H2727" i="2"/>
  <c r="D2728" i="2"/>
  <c r="H2728" i="2" s="1"/>
  <c r="E2728" i="2"/>
  <c r="F2728" i="2"/>
  <c r="G2728" i="2"/>
  <c r="D2729" i="2"/>
  <c r="E2729" i="2"/>
  <c r="F2729" i="2"/>
  <c r="G2729" i="2"/>
  <c r="H2729" i="2"/>
  <c r="D2730" i="2"/>
  <c r="E2730" i="2"/>
  <c r="G2730" i="2"/>
  <c r="D2731" i="2"/>
  <c r="E2731" i="2"/>
  <c r="F2731" i="2"/>
  <c r="G2731" i="2"/>
  <c r="D2732" i="2"/>
  <c r="E2732" i="2"/>
  <c r="G2732" i="2"/>
  <c r="H2732" i="2"/>
  <c r="D2733" i="2"/>
  <c r="F2734" i="2" s="1"/>
  <c r="E2733" i="2"/>
  <c r="G2733" i="2"/>
  <c r="D2734" i="2"/>
  <c r="F2735" i="2" s="1"/>
  <c r="E2734" i="2"/>
  <c r="G2734" i="2"/>
  <c r="H2734" i="2"/>
  <c r="D2735" i="2"/>
  <c r="E2735" i="2"/>
  <c r="G2735" i="2"/>
  <c r="H2735" i="2"/>
  <c r="D2736" i="2"/>
  <c r="H2736" i="2" s="1"/>
  <c r="E2736" i="2"/>
  <c r="F2736" i="2"/>
  <c r="G2736" i="2"/>
  <c r="D2737" i="2"/>
  <c r="E2737" i="2"/>
  <c r="G2737" i="2"/>
  <c r="H2737" i="2"/>
  <c r="D2738" i="2"/>
  <c r="E2738" i="2"/>
  <c r="G2738" i="2"/>
  <c r="D2739" i="2"/>
  <c r="E2739" i="2"/>
  <c r="F2739" i="2"/>
  <c r="G2739" i="2"/>
  <c r="D2740" i="2"/>
  <c r="E2740" i="2"/>
  <c r="G2740" i="2"/>
  <c r="H2740" i="2"/>
  <c r="D2741" i="2"/>
  <c r="F2742" i="2" s="1"/>
  <c r="E2741" i="2"/>
  <c r="G2741" i="2"/>
  <c r="D2742" i="2"/>
  <c r="F2743" i="2" s="1"/>
  <c r="E2742" i="2"/>
  <c r="G2742" i="2"/>
  <c r="H2742" i="2"/>
  <c r="D2743" i="2"/>
  <c r="E2743" i="2"/>
  <c r="G2743" i="2"/>
  <c r="H2743" i="2"/>
  <c r="D2744" i="2"/>
  <c r="H2744" i="2" s="1"/>
  <c r="E2744" i="2"/>
  <c r="F2744" i="2"/>
  <c r="G2744" i="2"/>
  <c r="D2745" i="2"/>
  <c r="E2745" i="2"/>
  <c r="G2745" i="2"/>
  <c r="H2745" i="2"/>
  <c r="D2746" i="2"/>
  <c r="F2746" i="2" s="1"/>
  <c r="E2746" i="2"/>
  <c r="G2746" i="2"/>
  <c r="H2746" i="2"/>
  <c r="D2747" i="2"/>
  <c r="H2747" i="2" s="1"/>
  <c r="E2747" i="2"/>
  <c r="G2747" i="2"/>
  <c r="D2748" i="2"/>
  <c r="E2748" i="2"/>
  <c r="F2748" i="2"/>
  <c r="G2748" i="2"/>
  <c r="H2748" i="2"/>
  <c r="D2749" i="2"/>
  <c r="E2749" i="2"/>
  <c r="G2749" i="2"/>
  <c r="D2750" i="2"/>
  <c r="F2751" i="2" s="1"/>
  <c r="E2750" i="2"/>
  <c r="F2750" i="2"/>
  <c r="G2750" i="2"/>
  <c r="H2750" i="2"/>
  <c r="D2751" i="2"/>
  <c r="E2751" i="2"/>
  <c r="G2751" i="2"/>
  <c r="H2751" i="2"/>
  <c r="D2752" i="2"/>
  <c r="E2752" i="2"/>
  <c r="G2752" i="2"/>
  <c r="D2753" i="2"/>
  <c r="E2753" i="2"/>
  <c r="G2753" i="2"/>
  <c r="D2754" i="2"/>
  <c r="F2754" i="2" s="1"/>
  <c r="E2754" i="2"/>
  <c r="G2754" i="2"/>
  <c r="D2755" i="2"/>
  <c r="F2755" i="2" s="1"/>
  <c r="E2755" i="2"/>
  <c r="G2755" i="2"/>
  <c r="D2756" i="2"/>
  <c r="E2756" i="2"/>
  <c r="F2756" i="2"/>
  <c r="G2756" i="2"/>
  <c r="H2756" i="2"/>
  <c r="D2757" i="2"/>
  <c r="E2757" i="2"/>
  <c r="G2757" i="2"/>
  <c r="D2758" i="2"/>
  <c r="F2759" i="2" s="1"/>
  <c r="E2758" i="2"/>
  <c r="G2758" i="2"/>
  <c r="D2759" i="2"/>
  <c r="E2759" i="2"/>
  <c r="G2759" i="2"/>
  <c r="H2759" i="2"/>
  <c r="D2760" i="2"/>
  <c r="H2760" i="2" s="1"/>
  <c r="E2760" i="2"/>
  <c r="F2760" i="2"/>
  <c r="G2760" i="2"/>
  <c r="D2761" i="2"/>
  <c r="E2761" i="2"/>
  <c r="F2761" i="2"/>
  <c r="G2761" i="2"/>
  <c r="H2761" i="2"/>
  <c r="D2762" i="2"/>
  <c r="F2762" i="2" s="1"/>
  <c r="E2762" i="2"/>
  <c r="G2762" i="2"/>
  <c r="D2763" i="2"/>
  <c r="E2763" i="2"/>
  <c r="F2763" i="2"/>
  <c r="G2763" i="2"/>
  <c r="D2764" i="2"/>
  <c r="E2764" i="2"/>
  <c r="F2764" i="2"/>
  <c r="G2764" i="2"/>
  <c r="H2764" i="2"/>
  <c r="D2765" i="2"/>
  <c r="E2765" i="2"/>
  <c r="G2765" i="2"/>
  <c r="D2766" i="2"/>
  <c r="F2767" i="2" s="1"/>
  <c r="E2766" i="2"/>
  <c r="G2766" i="2"/>
  <c r="D2767" i="2"/>
  <c r="E2767" i="2"/>
  <c r="G2767" i="2"/>
  <c r="H2767" i="2"/>
  <c r="D2768" i="2"/>
  <c r="H2768" i="2" s="1"/>
  <c r="E2768" i="2"/>
  <c r="F2768" i="2"/>
  <c r="G2768" i="2"/>
  <c r="D2769" i="2"/>
  <c r="E2769" i="2"/>
  <c r="F2769" i="2"/>
  <c r="G2769" i="2"/>
  <c r="H2769" i="2"/>
  <c r="D2770" i="2"/>
  <c r="F2770" i="2" s="1"/>
  <c r="E2770" i="2"/>
  <c r="G2770" i="2"/>
  <c r="H2770" i="2"/>
  <c r="D2771" i="2"/>
  <c r="H2771" i="2" s="1"/>
  <c r="E2771" i="2"/>
  <c r="G2771" i="2"/>
  <c r="D2772" i="2"/>
  <c r="E2772" i="2"/>
  <c r="G2772" i="2"/>
  <c r="H2772" i="2"/>
  <c r="D2773" i="2"/>
  <c r="E2773" i="2"/>
  <c r="G2773" i="2"/>
  <c r="D2774" i="2"/>
  <c r="F2775" i="2" s="1"/>
  <c r="E2774" i="2"/>
  <c r="G2774" i="2"/>
  <c r="H2774" i="2"/>
  <c r="D2775" i="2"/>
  <c r="E2775" i="2"/>
  <c r="G2775" i="2"/>
  <c r="H2775" i="2"/>
  <c r="D2776" i="2"/>
  <c r="H2776" i="2" s="1"/>
  <c r="E2776" i="2"/>
  <c r="F2776" i="2"/>
  <c r="G2776" i="2"/>
  <c r="D2777" i="2"/>
  <c r="E2777" i="2"/>
  <c r="G2777" i="2"/>
  <c r="H2777" i="2"/>
  <c r="D2778" i="2"/>
  <c r="F2778" i="2" s="1"/>
  <c r="E2778" i="2"/>
  <c r="G2778" i="2"/>
  <c r="H2778" i="2"/>
  <c r="D2779" i="2"/>
  <c r="H2779" i="2" s="1"/>
  <c r="E2779" i="2"/>
  <c r="G2779" i="2"/>
  <c r="D2780" i="2"/>
  <c r="E2780" i="2"/>
  <c r="F2780" i="2"/>
  <c r="G2780" i="2"/>
  <c r="H2780" i="2"/>
  <c r="D2781" i="2"/>
  <c r="E2781" i="2"/>
  <c r="G2781" i="2"/>
  <c r="D2782" i="2"/>
  <c r="F2783" i="2" s="1"/>
  <c r="E2782" i="2"/>
  <c r="F2782" i="2"/>
  <c r="G2782" i="2"/>
  <c r="H2782" i="2"/>
  <c r="D2783" i="2"/>
  <c r="E2783" i="2"/>
  <c r="G2783" i="2"/>
  <c r="H2783" i="2"/>
  <c r="D2784" i="2"/>
  <c r="E2784" i="2"/>
  <c r="G2784" i="2"/>
  <c r="D2785" i="2"/>
  <c r="E2785" i="2"/>
  <c r="G2785" i="2"/>
  <c r="H2785" i="2"/>
  <c r="D2786" i="2"/>
  <c r="F2786" i="2" s="1"/>
  <c r="E2786" i="2"/>
  <c r="G2786" i="2"/>
  <c r="D2787" i="2"/>
  <c r="F2787" i="2" s="1"/>
  <c r="E2787" i="2"/>
  <c r="G2787" i="2"/>
  <c r="D2788" i="2"/>
  <c r="E2788" i="2"/>
  <c r="F2788" i="2"/>
  <c r="G2788" i="2"/>
  <c r="H2788" i="2"/>
  <c r="D2789" i="2"/>
  <c r="F2789" i="2" s="1"/>
  <c r="E2789" i="2"/>
  <c r="G2789" i="2"/>
  <c r="H2789" i="2"/>
  <c r="D2790" i="2"/>
  <c r="E2790" i="2"/>
  <c r="G2790" i="2"/>
  <c r="H2790" i="2"/>
  <c r="D2791" i="2"/>
  <c r="E2791" i="2"/>
  <c r="F2791" i="2"/>
  <c r="G2791" i="2"/>
  <c r="H2791" i="2"/>
  <c r="D2792" i="2"/>
  <c r="H2792" i="2" s="1"/>
  <c r="E2792" i="2"/>
  <c r="F2792" i="2"/>
  <c r="G2792" i="2"/>
  <c r="D2793" i="2"/>
  <c r="E2793" i="2"/>
  <c r="G2793" i="2"/>
  <c r="D2794" i="2"/>
  <c r="E2794" i="2"/>
  <c r="G2794" i="2"/>
  <c r="D2795" i="2"/>
  <c r="H2795" i="2" s="1"/>
  <c r="E2795" i="2"/>
  <c r="G2795" i="2"/>
  <c r="D2796" i="2"/>
  <c r="E2796" i="2"/>
  <c r="G2796" i="2"/>
  <c r="H2796" i="2"/>
  <c r="D2797" i="2"/>
  <c r="F2797" i="2" s="1"/>
  <c r="E2797" i="2"/>
  <c r="G2797" i="2"/>
  <c r="H2797" i="2"/>
  <c r="D2798" i="2"/>
  <c r="H2798" i="2" s="1"/>
  <c r="E2798" i="2"/>
  <c r="F2798" i="2"/>
  <c r="G2798" i="2"/>
  <c r="D2799" i="2"/>
  <c r="E2799" i="2"/>
  <c r="F2799" i="2"/>
  <c r="G2799" i="2"/>
  <c r="D2800" i="2"/>
  <c r="E2800" i="2"/>
  <c r="G2800" i="2"/>
  <c r="D2801" i="2"/>
  <c r="E2801" i="2"/>
  <c r="G2801" i="2"/>
  <c r="D2802" i="2"/>
  <c r="F2802" i="2" s="1"/>
  <c r="E2802" i="2"/>
  <c r="G2802" i="2"/>
  <c r="D2803" i="2"/>
  <c r="F2803" i="2" s="1"/>
  <c r="E2803" i="2"/>
  <c r="G2803" i="2"/>
  <c r="D2804" i="2"/>
  <c r="E2804" i="2"/>
  <c r="F2804" i="2"/>
  <c r="G2804" i="2"/>
  <c r="H2804" i="2"/>
  <c r="D2805" i="2"/>
  <c r="F2805" i="2" s="1"/>
  <c r="E2805" i="2"/>
  <c r="G2805" i="2"/>
  <c r="H2805" i="2"/>
  <c r="D2806" i="2"/>
  <c r="F2806" i="2" s="1"/>
  <c r="E2806" i="2"/>
  <c r="G2806" i="2"/>
  <c r="H2806" i="2"/>
  <c r="D2807" i="2"/>
  <c r="E2807" i="2"/>
  <c r="F2807" i="2"/>
  <c r="G2807" i="2"/>
  <c r="H2807" i="2"/>
  <c r="D2808" i="2"/>
  <c r="H2808" i="2" s="1"/>
  <c r="E2808" i="2"/>
  <c r="F2808" i="2"/>
  <c r="G2808" i="2"/>
  <c r="D2809" i="2"/>
  <c r="E2809" i="2"/>
  <c r="G2809" i="2"/>
  <c r="D2810" i="2"/>
  <c r="E2810" i="2"/>
  <c r="G2810" i="2"/>
  <c r="H2810" i="2"/>
  <c r="D2811" i="2"/>
  <c r="H2811" i="2" s="1"/>
  <c r="E2811" i="2"/>
  <c r="G2811" i="2"/>
  <c r="D2812" i="2"/>
  <c r="E2812" i="2"/>
  <c r="G2812" i="2"/>
  <c r="H2812" i="2"/>
  <c r="D2813" i="2"/>
  <c r="F2813" i="2" s="1"/>
  <c r="E2813" i="2"/>
  <c r="G2813" i="2"/>
  <c r="H2813" i="2"/>
  <c r="D2814" i="2"/>
  <c r="H2814" i="2" s="1"/>
  <c r="E2814" i="2"/>
  <c r="F2814" i="2"/>
  <c r="G2814" i="2"/>
  <c r="D2815" i="2"/>
  <c r="E2815" i="2"/>
  <c r="F2815" i="2"/>
  <c r="G2815" i="2"/>
  <c r="D2816" i="2"/>
  <c r="E2816" i="2"/>
  <c r="G2816" i="2"/>
  <c r="D2817" i="2"/>
  <c r="E2817" i="2"/>
  <c r="G2817" i="2"/>
  <c r="H2817" i="2"/>
  <c r="D2818" i="2"/>
  <c r="F2818" i="2" s="1"/>
  <c r="E2818" i="2"/>
  <c r="G2818" i="2"/>
  <c r="D2819" i="2"/>
  <c r="F2819" i="2" s="1"/>
  <c r="E2819" i="2"/>
  <c r="G2819" i="2"/>
  <c r="D2820" i="2"/>
  <c r="E2820" i="2"/>
  <c r="G2820" i="2"/>
  <c r="H2820" i="2"/>
  <c r="D2821" i="2"/>
  <c r="F2821" i="2" s="1"/>
  <c r="E2821" i="2"/>
  <c r="G2821" i="2"/>
  <c r="H2821" i="2"/>
  <c r="D2822" i="2"/>
  <c r="F2822" i="2" s="1"/>
  <c r="E2822" i="2"/>
  <c r="G2822" i="2"/>
  <c r="H2822" i="2"/>
  <c r="D2823" i="2"/>
  <c r="E2823" i="2"/>
  <c r="F2823" i="2"/>
  <c r="G2823" i="2"/>
  <c r="H2823" i="2"/>
  <c r="D2824" i="2"/>
  <c r="H2824" i="2" s="1"/>
  <c r="E2824" i="2"/>
  <c r="F2824" i="2"/>
  <c r="G2824" i="2"/>
  <c r="D2825" i="2"/>
  <c r="E2825" i="2"/>
  <c r="G2825" i="2"/>
  <c r="D2826" i="2"/>
  <c r="E2826" i="2"/>
  <c r="G2826" i="2"/>
  <c r="D2827" i="2"/>
  <c r="H2828" i="2" s="1"/>
  <c r="E2827" i="2"/>
  <c r="G2827" i="2"/>
  <c r="D2828" i="2"/>
  <c r="E2828" i="2"/>
  <c r="F2828" i="2"/>
  <c r="G2828" i="2"/>
  <c r="D2829" i="2"/>
  <c r="H2829" i="2" s="1"/>
  <c r="E2829" i="2"/>
  <c r="F2829" i="2"/>
  <c r="G2829" i="2"/>
  <c r="D2830" i="2"/>
  <c r="E2830" i="2"/>
  <c r="G2830" i="2"/>
  <c r="D2831" i="2"/>
  <c r="E2831" i="2"/>
  <c r="G2831" i="2"/>
  <c r="D2832" i="2"/>
  <c r="F2832" i="2" s="1"/>
  <c r="E2832" i="2"/>
  <c r="G2832" i="2"/>
  <c r="D2833" i="2"/>
  <c r="H2833" i="2" s="1"/>
  <c r="E2833" i="2"/>
  <c r="F2833" i="2"/>
  <c r="G2833" i="2"/>
  <c r="D2834" i="2"/>
  <c r="F2834" i="2" s="1"/>
  <c r="E2834" i="2"/>
  <c r="G2834" i="2"/>
  <c r="D2835" i="2"/>
  <c r="E2835" i="2"/>
  <c r="F2835" i="2"/>
  <c r="G2835" i="2"/>
  <c r="H2835" i="2"/>
  <c r="D2836" i="2"/>
  <c r="E2836" i="2"/>
  <c r="F2836" i="2"/>
  <c r="G2836" i="2"/>
  <c r="H2836" i="2"/>
  <c r="D2837" i="2"/>
  <c r="F2837" i="2" s="1"/>
  <c r="E2837" i="2"/>
  <c r="G2837" i="2"/>
  <c r="D2838" i="2"/>
  <c r="H2838" i="2" s="1"/>
  <c r="E2838" i="2"/>
  <c r="F2838" i="2"/>
  <c r="G2838" i="2"/>
  <c r="D2839" i="2"/>
  <c r="H2839" i="2" s="1"/>
  <c r="E2839" i="2"/>
  <c r="F2839" i="2"/>
  <c r="G2839" i="2"/>
  <c r="D2840" i="2"/>
  <c r="E2840" i="2"/>
  <c r="G2840" i="2"/>
  <c r="D2841" i="2"/>
  <c r="E2841" i="2"/>
  <c r="G2841" i="2"/>
  <c r="D2842" i="2"/>
  <c r="F2842" i="2" s="1"/>
  <c r="E2842" i="2"/>
  <c r="G2842" i="2"/>
  <c r="D2843" i="2"/>
  <c r="F2844" i="2" s="1"/>
  <c r="E2843" i="2"/>
  <c r="G2843" i="2"/>
  <c r="H2843" i="2"/>
  <c r="D2844" i="2"/>
  <c r="E2844" i="2"/>
  <c r="G2844" i="2"/>
  <c r="D2845" i="2"/>
  <c r="E2845" i="2"/>
  <c r="F2845" i="2"/>
  <c r="G2845" i="2"/>
  <c r="H2845" i="2"/>
  <c r="D2846" i="2"/>
  <c r="E2846" i="2"/>
  <c r="F2846" i="2"/>
  <c r="G2846" i="2"/>
  <c r="H2846" i="2"/>
  <c r="D2847" i="2"/>
  <c r="F2847" i="2" s="1"/>
  <c r="E2847" i="2"/>
  <c r="G2847" i="2"/>
  <c r="D2848" i="2"/>
  <c r="E2848" i="2"/>
  <c r="F2848" i="2"/>
  <c r="G2848" i="2"/>
  <c r="D2849" i="2"/>
  <c r="F2849" i="2" s="1"/>
  <c r="E2849" i="2"/>
  <c r="G2849" i="2"/>
  <c r="H2849" i="2"/>
  <c r="D2850" i="2"/>
  <c r="E2850" i="2"/>
  <c r="G2850" i="2"/>
  <c r="H2850" i="2"/>
  <c r="D2851" i="2"/>
  <c r="F2852" i="2" s="1"/>
  <c r="E2851" i="2"/>
  <c r="F2851" i="2"/>
  <c r="G2851" i="2"/>
  <c r="D2852" i="2"/>
  <c r="E2852" i="2"/>
  <c r="G2852" i="2"/>
  <c r="D2853" i="2"/>
  <c r="H2854" i="2" s="1"/>
  <c r="E2853" i="2"/>
  <c r="G2853" i="2"/>
  <c r="H2853" i="2"/>
  <c r="D2854" i="2"/>
  <c r="F2854" i="2" s="1"/>
  <c r="E2854" i="2"/>
  <c r="G2854" i="2"/>
  <c r="D2855" i="2"/>
  <c r="E2855" i="2"/>
  <c r="F2855" i="2"/>
  <c r="G2855" i="2"/>
  <c r="H2855" i="2"/>
  <c r="D2856" i="2"/>
  <c r="H2856" i="2" s="1"/>
  <c r="E2856" i="2"/>
  <c r="F2856" i="2"/>
  <c r="G2856" i="2"/>
  <c r="D2857" i="2"/>
  <c r="E2857" i="2"/>
  <c r="G2857" i="2"/>
  <c r="D2858" i="2"/>
  <c r="E2858" i="2"/>
  <c r="G2858" i="2"/>
  <c r="D2859" i="2"/>
  <c r="H2860" i="2" s="1"/>
  <c r="E2859" i="2"/>
  <c r="G2859" i="2"/>
  <c r="D2860" i="2"/>
  <c r="E2860" i="2"/>
  <c r="F2860" i="2"/>
  <c r="G2860" i="2"/>
  <c r="D2861" i="2"/>
  <c r="H2861" i="2" s="1"/>
  <c r="E2861" i="2"/>
  <c r="F2861" i="2"/>
  <c r="G2861" i="2"/>
  <c r="D2862" i="2"/>
  <c r="E2862" i="2"/>
  <c r="G2862" i="2"/>
  <c r="D2863" i="2"/>
  <c r="E2863" i="2"/>
  <c r="G2863" i="2"/>
  <c r="D2864" i="2"/>
  <c r="F2864" i="2" s="1"/>
  <c r="E2864" i="2"/>
  <c r="G2864" i="2"/>
  <c r="D2865" i="2"/>
  <c r="H2865" i="2" s="1"/>
  <c r="E2865" i="2"/>
  <c r="F2865" i="2"/>
  <c r="G2865" i="2"/>
  <c r="D2866" i="2"/>
  <c r="F2866" i="2" s="1"/>
  <c r="E2866" i="2"/>
  <c r="G2866" i="2"/>
  <c r="D2867" i="2"/>
  <c r="E2867" i="2"/>
  <c r="F2867" i="2"/>
  <c r="G2867" i="2"/>
  <c r="H2867" i="2"/>
  <c r="D2868" i="2"/>
  <c r="E2868" i="2"/>
  <c r="F2868" i="2"/>
  <c r="G2868" i="2"/>
  <c r="H2868" i="2"/>
  <c r="D2869" i="2"/>
  <c r="F2869" i="2" s="1"/>
  <c r="E2869" i="2"/>
  <c r="G2869" i="2"/>
  <c r="D2870" i="2"/>
  <c r="H2870" i="2" s="1"/>
  <c r="E2870" i="2"/>
  <c r="F2870" i="2"/>
  <c r="G2870" i="2"/>
  <c r="D2871" i="2"/>
  <c r="F2871" i="2" s="1"/>
  <c r="E2871" i="2"/>
  <c r="G2871" i="2"/>
  <c r="D2872" i="2"/>
  <c r="E2872" i="2"/>
  <c r="G2872" i="2"/>
  <c r="D2873" i="2"/>
  <c r="E2873" i="2"/>
  <c r="G2873" i="2"/>
  <c r="H2873" i="2"/>
  <c r="D2874" i="2"/>
  <c r="F2874" i="2" s="1"/>
  <c r="E2874" i="2"/>
  <c r="G2874" i="2"/>
  <c r="D2875" i="2"/>
  <c r="F2876" i="2" s="1"/>
  <c r="E2875" i="2"/>
  <c r="G2875" i="2"/>
  <c r="H2875" i="2"/>
  <c r="D2876" i="2"/>
  <c r="E2876" i="2"/>
  <c r="G2876" i="2"/>
  <c r="D2877" i="2"/>
  <c r="E2877" i="2"/>
  <c r="F2877" i="2"/>
  <c r="G2877" i="2"/>
  <c r="H2877" i="2"/>
  <c r="D2878" i="2"/>
  <c r="E2878" i="2"/>
  <c r="F2878" i="2"/>
  <c r="G2878" i="2"/>
  <c r="H2878" i="2"/>
  <c r="D2879" i="2"/>
  <c r="F2879" i="2" s="1"/>
  <c r="E2879" i="2"/>
  <c r="G2879" i="2"/>
  <c r="D2880" i="2"/>
  <c r="E2880" i="2"/>
  <c r="F2880" i="2"/>
  <c r="G2880" i="2"/>
  <c r="D2881" i="2"/>
  <c r="F2881" i="2" s="1"/>
  <c r="E2881" i="2"/>
  <c r="G2881" i="2"/>
  <c r="H2881" i="2"/>
  <c r="D2882" i="2"/>
  <c r="E2882" i="2"/>
  <c r="G2882" i="2"/>
  <c r="H2882" i="2"/>
  <c r="D2883" i="2"/>
  <c r="F2884" i="2" s="1"/>
  <c r="E2883" i="2"/>
  <c r="G2883" i="2"/>
  <c r="D2884" i="2"/>
  <c r="E2884" i="2"/>
  <c r="G2884" i="2"/>
  <c r="D2885" i="2"/>
  <c r="H2886" i="2" s="1"/>
  <c r="E2885" i="2"/>
  <c r="G2885" i="2"/>
  <c r="H2885" i="2"/>
  <c r="D2886" i="2"/>
  <c r="F2886" i="2" s="1"/>
  <c r="E2886" i="2"/>
  <c r="G2886" i="2"/>
  <c r="D2887" i="2"/>
  <c r="E2887" i="2"/>
  <c r="F2887" i="2"/>
  <c r="G2887" i="2"/>
  <c r="H2887" i="2"/>
  <c r="D2888" i="2"/>
  <c r="H2888" i="2" s="1"/>
  <c r="E2888" i="2"/>
  <c r="F2888" i="2"/>
  <c r="G2888" i="2"/>
  <c r="D2889" i="2"/>
  <c r="E2889" i="2"/>
  <c r="G2889" i="2"/>
  <c r="D2890" i="2"/>
  <c r="E2890" i="2"/>
  <c r="G2890" i="2"/>
  <c r="H2890" i="2"/>
  <c r="D2891" i="2"/>
  <c r="H2892" i="2" s="1"/>
  <c r="E2891" i="2"/>
  <c r="G2891" i="2"/>
  <c r="D2892" i="2"/>
  <c r="E2892" i="2"/>
  <c r="F2892" i="2"/>
  <c r="G2892" i="2"/>
  <c r="D2893" i="2"/>
  <c r="F2893" i="2" s="1"/>
  <c r="E2893" i="2"/>
  <c r="G2893" i="2"/>
  <c r="D2894" i="2"/>
  <c r="E2894" i="2"/>
  <c r="G2894" i="2"/>
  <c r="D2895" i="2"/>
  <c r="F2895" i="2" s="1"/>
  <c r="E2895" i="2"/>
  <c r="G2895" i="2"/>
  <c r="D2896" i="2"/>
  <c r="F2896" i="2" s="1"/>
  <c r="E2896" i="2"/>
  <c r="G2896" i="2"/>
  <c r="D2897" i="2"/>
  <c r="H2897" i="2" s="1"/>
  <c r="E2897" i="2"/>
  <c r="F2897" i="2"/>
  <c r="G2897" i="2"/>
  <c r="D2898" i="2"/>
  <c r="F2898" i="2" s="1"/>
  <c r="E2898" i="2"/>
  <c r="G2898" i="2"/>
  <c r="D2899" i="2"/>
  <c r="E2899" i="2"/>
  <c r="F2899" i="2"/>
  <c r="G2899" i="2"/>
  <c r="H2899" i="2"/>
  <c r="D2900" i="2"/>
  <c r="E2900" i="2"/>
  <c r="F2900" i="2"/>
  <c r="G2900" i="2"/>
  <c r="H2900" i="2"/>
  <c r="D2901" i="2"/>
  <c r="F2901" i="2" s="1"/>
  <c r="E2901" i="2"/>
  <c r="G2901" i="2"/>
  <c r="D2902" i="2"/>
  <c r="H2902" i="2" s="1"/>
  <c r="E2902" i="2"/>
  <c r="F2902" i="2"/>
  <c r="G2902" i="2"/>
  <c r="D2903" i="2"/>
  <c r="F2903" i="2" s="1"/>
  <c r="E2903" i="2"/>
  <c r="G2903" i="2"/>
  <c r="D2904" i="2"/>
  <c r="E2904" i="2"/>
  <c r="G2904" i="2"/>
  <c r="D2905" i="2"/>
  <c r="E2905" i="2"/>
  <c r="G2905" i="2"/>
  <c r="D2906" i="2"/>
  <c r="F2906" i="2" s="1"/>
  <c r="E2906" i="2"/>
  <c r="G2906" i="2"/>
  <c r="D2907" i="2"/>
  <c r="F2908" i="2" s="1"/>
  <c r="E2907" i="2"/>
  <c r="G2907" i="2"/>
  <c r="H2907" i="2"/>
  <c r="D2908" i="2"/>
  <c r="E2908" i="2"/>
  <c r="G2908" i="2"/>
  <c r="D2909" i="2"/>
  <c r="E2909" i="2"/>
  <c r="F2909" i="2"/>
  <c r="G2909" i="2"/>
  <c r="H2909" i="2"/>
  <c r="D2910" i="2"/>
  <c r="E2910" i="2"/>
  <c r="F2910" i="2"/>
  <c r="G2910" i="2"/>
  <c r="H2910" i="2"/>
  <c r="D2911" i="2"/>
  <c r="F2911" i="2" s="1"/>
  <c r="E2911" i="2"/>
  <c r="G2911" i="2"/>
  <c r="D2912" i="2"/>
  <c r="E2912" i="2"/>
  <c r="F2912" i="2"/>
  <c r="G2912" i="2"/>
  <c r="D2913" i="2"/>
  <c r="F2913" i="2" s="1"/>
  <c r="E2913" i="2"/>
  <c r="G2913" i="2"/>
  <c r="H2913" i="2"/>
  <c r="D2914" i="2"/>
  <c r="E2914" i="2"/>
  <c r="G2914" i="2"/>
  <c r="H2914" i="2"/>
  <c r="D2915" i="2"/>
  <c r="F2916" i="2" s="1"/>
  <c r="E2915" i="2"/>
  <c r="G2915" i="2"/>
  <c r="D2916" i="2"/>
  <c r="E2916" i="2"/>
  <c r="G2916" i="2"/>
  <c r="D2917" i="2"/>
  <c r="H2918" i="2" s="1"/>
  <c r="E2917" i="2"/>
  <c r="G2917" i="2"/>
  <c r="H2917" i="2"/>
  <c r="D2918" i="2"/>
  <c r="F2918" i="2" s="1"/>
  <c r="E2918" i="2"/>
  <c r="G2918" i="2"/>
  <c r="D2919" i="2"/>
  <c r="E2919" i="2"/>
  <c r="F2919" i="2"/>
  <c r="G2919" i="2"/>
  <c r="H2919" i="2"/>
  <c r="D2920" i="2"/>
  <c r="H2920" i="2" s="1"/>
  <c r="E2920" i="2"/>
  <c r="F2920" i="2"/>
  <c r="G2920" i="2"/>
  <c r="D2921" i="2"/>
  <c r="E2921" i="2"/>
  <c r="G2921" i="2"/>
  <c r="D2922" i="2"/>
  <c r="E2922" i="2"/>
  <c r="G2922" i="2"/>
  <c r="D2923" i="2"/>
  <c r="H2924" i="2" s="1"/>
  <c r="E2923" i="2"/>
  <c r="G2923" i="2"/>
  <c r="D2924" i="2"/>
  <c r="E2924" i="2"/>
  <c r="F2924" i="2"/>
  <c r="G2924" i="2"/>
  <c r="D2925" i="2"/>
  <c r="F2925" i="2" s="1"/>
  <c r="E2925" i="2"/>
  <c r="G2925" i="2"/>
  <c r="D2926" i="2"/>
  <c r="E2926" i="2"/>
  <c r="G2926" i="2"/>
  <c r="D2927" i="2"/>
  <c r="E2927" i="2"/>
  <c r="G2927" i="2"/>
  <c r="D2928" i="2"/>
  <c r="F2928" i="2" s="1"/>
  <c r="E2928" i="2"/>
  <c r="G2928" i="2"/>
  <c r="D2929" i="2"/>
  <c r="H2929" i="2" s="1"/>
  <c r="E2929" i="2"/>
  <c r="F2929" i="2"/>
  <c r="G2929" i="2"/>
  <c r="D2930" i="2"/>
  <c r="F2930" i="2" s="1"/>
  <c r="E2930" i="2"/>
  <c r="G2930" i="2"/>
  <c r="D2931" i="2"/>
  <c r="E2931" i="2"/>
  <c r="F2931" i="2"/>
  <c r="G2931" i="2"/>
  <c r="H2931" i="2"/>
  <c r="D2932" i="2"/>
  <c r="E2932" i="2"/>
  <c r="F2932" i="2"/>
  <c r="G2932" i="2"/>
  <c r="H2932" i="2"/>
  <c r="D2933" i="2"/>
  <c r="F2933" i="2" s="1"/>
  <c r="E2933" i="2"/>
  <c r="G2933" i="2"/>
  <c r="D2934" i="2"/>
  <c r="H2934" i="2" s="1"/>
  <c r="E2934" i="2"/>
  <c r="F2934" i="2"/>
  <c r="G2934" i="2"/>
  <c r="D2935" i="2"/>
  <c r="F2935" i="2" s="1"/>
  <c r="E2935" i="2"/>
  <c r="G2935" i="2"/>
  <c r="D2936" i="2"/>
  <c r="E2936" i="2"/>
  <c r="G2936" i="2"/>
  <c r="D2937" i="2"/>
  <c r="E2937" i="2"/>
  <c r="G2937" i="2"/>
  <c r="D2938" i="2"/>
  <c r="F2938" i="2" s="1"/>
  <c r="E2938" i="2"/>
  <c r="G2938" i="2"/>
  <c r="D2939" i="2"/>
  <c r="F2940" i="2" s="1"/>
  <c r="E2939" i="2"/>
  <c r="G2939" i="2"/>
  <c r="H2939" i="2"/>
  <c r="D2940" i="2"/>
  <c r="E2940" i="2"/>
  <c r="G2940" i="2"/>
  <c r="D2941" i="2"/>
  <c r="E2941" i="2"/>
  <c r="F2941" i="2"/>
  <c r="G2941" i="2"/>
  <c r="H2941" i="2"/>
  <c r="D2942" i="2"/>
  <c r="E2942" i="2"/>
  <c r="F2942" i="2"/>
  <c r="G2942" i="2"/>
  <c r="H2942" i="2"/>
  <c r="D2943" i="2"/>
  <c r="F2943" i="2" s="1"/>
  <c r="E2943" i="2"/>
  <c r="G2943" i="2"/>
  <c r="D2944" i="2"/>
  <c r="E2944" i="2"/>
  <c r="F2944" i="2"/>
  <c r="G2944" i="2"/>
  <c r="D2945" i="2"/>
  <c r="F2945" i="2" s="1"/>
  <c r="E2945" i="2"/>
  <c r="G2945" i="2"/>
  <c r="H2945" i="2"/>
  <c r="D2946" i="2"/>
  <c r="E2946" i="2"/>
  <c r="G2946" i="2"/>
  <c r="H2946" i="2"/>
  <c r="D2947" i="2"/>
  <c r="F2948" i="2" s="1"/>
  <c r="E2947" i="2"/>
  <c r="G2947" i="2"/>
  <c r="D2948" i="2"/>
  <c r="E2948" i="2"/>
  <c r="G2948" i="2"/>
  <c r="D2949" i="2"/>
  <c r="H2950" i="2" s="1"/>
  <c r="E2949" i="2"/>
  <c r="G2949" i="2"/>
  <c r="H2949" i="2"/>
  <c r="D2950" i="2"/>
  <c r="F2950" i="2" s="1"/>
  <c r="E2950" i="2"/>
  <c r="G2950" i="2"/>
  <c r="D2951" i="2"/>
  <c r="E2951" i="2"/>
  <c r="F2951" i="2"/>
  <c r="G2951" i="2"/>
  <c r="H2951" i="2"/>
  <c r="D2952" i="2"/>
  <c r="H2952" i="2" s="1"/>
  <c r="E2952" i="2"/>
  <c r="F2952" i="2"/>
  <c r="G2952" i="2"/>
  <c r="D2953" i="2"/>
  <c r="E2953" i="2"/>
  <c r="G2953" i="2"/>
  <c r="D2954" i="2"/>
  <c r="E2954" i="2"/>
  <c r="G2954" i="2"/>
  <c r="D2955" i="2"/>
  <c r="H2956" i="2" s="1"/>
  <c r="E2955" i="2"/>
  <c r="G2955" i="2"/>
  <c r="D2956" i="2"/>
  <c r="E2956" i="2"/>
  <c r="F2956" i="2"/>
  <c r="G2956" i="2"/>
  <c r="D2957" i="2"/>
  <c r="F2957" i="2" s="1"/>
  <c r="E2957" i="2"/>
  <c r="G2957" i="2"/>
  <c r="D2958" i="2"/>
  <c r="E2958" i="2"/>
  <c r="G2958" i="2"/>
  <c r="D2959" i="2"/>
  <c r="E2959" i="2"/>
  <c r="G2959" i="2"/>
  <c r="D2960" i="2"/>
  <c r="F2960" i="2" s="1"/>
  <c r="E2960" i="2"/>
  <c r="G2960" i="2"/>
  <c r="D2961" i="2"/>
  <c r="H2961" i="2" s="1"/>
  <c r="E2961" i="2"/>
  <c r="F2961" i="2"/>
  <c r="G2961" i="2"/>
  <c r="D2962" i="2"/>
  <c r="F2962" i="2" s="1"/>
  <c r="E2962" i="2"/>
  <c r="G2962" i="2"/>
  <c r="D2963" i="2"/>
  <c r="E2963" i="2"/>
  <c r="F2963" i="2"/>
  <c r="G2963" i="2"/>
  <c r="H2963" i="2"/>
  <c r="D2964" i="2"/>
  <c r="E2964" i="2"/>
  <c r="F2964" i="2"/>
  <c r="G2964" i="2"/>
  <c r="H2964" i="2"/>
  <c r="D2965" i="2"/>
  <c r="F2965" i="2" s="1"/>
  <c r="E2965" i="2"/>
  <c r="G2965" i="2"/>
  <c r="D2966" i="2"/>
  <c r="H2966" i="2" s="1"/>
  <c r="E2966" i="2"/>
  <c r="F2966" i="2"/>
  <c r="G2966" i="2"/>
  <c r="D2967" i="2"/>
  <c r="F2967" i="2" s="1"/>
  <c r="E2967" i="2"/>
  <c r="G2967" i="2"/>
  <c r="D2968" i="2"/>
  <c r="E2968" i="2"/>
  <c r="G2968" i="2"/>
  <c r="D2969" i="2"/>
  <c r="E2969" i="2"/>
  <c r="G2969" i="2"/>
  <c r="H2969" i="2"/>
  <c r="D2970" i="2"/>
  <c r="F2970" i="2" s="1"/>
  <c r="E2970" i="2"/>
  <c r="G2970" i="2"/>
  <c r="D2971" i="2"/>
  <c r="F2972" i="2" s="1"/>
  <c r="E2971" i="2"/>
  <c r="G2971" i="2"/>
  <c r="H2971" i="2"/>
  <c r="D2972" i="2"/>
  <c r="E2972" i="2"/>
  <c r="G2972" i="2"/>
  <c r="D2973" i="2"/>
  <c r="E2973" i="2"/>
  <c r="F2973" i="2"/>
  <c r="G2973" i="2"/>
  <c r="H2973" i="2"/>
  <c r="D2974" i="2"/>
  <c r="E2974" i="2"/>
  <c r="F2974" i="2"/>
  <c r="G2974" i="2"/>
  <c r="H2974" i="2"/>
  <c r="D2975" i="2"/>
  <c r="E2975" i="2"/>
  <c r="G2975" i="2"/>
  <c r="D2976" i="2"/>
  <c r="E2976" i="2"/>
  <c r="G2976" i="2"/>
  <c r="D2977" i="2"/>
  <c r="F2977" i="2" s="1"/>
  <c r="E2977" i="2"/>
  <c r="G2977" i="2"/>
  <c r="H2977" i="2"/>
  <c r="D2978" i="2"/>
  <c r="E2978" i="2"/>
  <c r="G2978" i="2"/>
  <c r="H2978" i="2"/>
  <c r="D2979" i="2"/>
  <c r="F2980" i="2" s="1"/>
  <c r="E2979" i="2"/>
  <c r="G2979" i="2"/>
  <c r="D2980" i="2"/>
  <c r="E2980" i="2"/>
  <c r="G2980" i="2"/>
  <c r="D2981" i="2"/>
  <c r="H2982" i="2" s="1"/>
  <c r="E2981" i="2"/>
  <c r="G2981" i="2"/>
  <c r="H2981" i="2"/>
  <c r="D2982" i="2"/>
  <c r="F2982" i="2" s="1"/>
  <c r="E2982" i="2"/>
  <c r="G2982" i="2"/>
  <c r="D2983" i="2"/>
  <c r="E2983" i="2"/>
  <c r="F2983" i="2"/>
  <c r="G2983" i="2"/>
  <c r="H2983" i="2"/>
  <c r="D2984" i="2"/>
  <c r="H2984" i="2" s="1"/>
  <c r="E2984" i="2"/>
  <c r="F2984" i="2"/>
  <c r="G2984" i="2"/>
  <c r="D2985" i="2"/>
  <c r="E2985" i="2"/>
  <c r="G2985" i="2"/>
  <c r="D2986" i="2"/>
  <c r="E2986" i="2"/>
  <c r="G2986" i="2"/>
  <c r="H2986" i="2"/>
  <c r="D2987" i="2"/>
  <c r="E2987" i="2"/>
  <c r="G2987" i="2"/>
  <c r="D2988" i="2"/>
  <c r="E2988" i="2"/>
  <c r="F2988" i="2"/>
  <c r="G2988" i="2"/>
  <c r="D2989" i="2"/>
  <c r="F2989" i="2" s="1"/>
  <c r="E2989" i="2"/>
  <c r="G2989" i="2"/>
  <c r="D2990" i="2"/>
  <c r="E2990" i="2"/>
  <c r="G2990" i="2"/>
  <c r="D2991" i="2"/>
  <c r="F2991" i="2" s="1"/>
  <c r="E2991" i="2"/>
  <c r="G2991" i="2"/>
  <c r="H2991" i="2"/>
  <c r="D2992" i="2"/>
  <c r="F2992" i="2" s="1"/>
  <c r="E2992" i="2"/>
  <c r="G2992" i="2"/>
  <c r="D2993" i="2"/>
  <c r="H2993" i="2" s="1"/>
  <c r="E2993" i="2"/>
  <c r="F2993" i="2"/>
  <c r="G2993" i="2"/>
  <c r="D2994" i="2"/>
  <c r="F2994" i="2" s="1"/>
  <c r="E2994" i="2"/>
  <c r="G2994" i="2"/>
  <c r="D2995" i="2"/>
  <c r="E2995" i="2"/>
  <c r="F2995" i="2"/>
  <c r="G2995" i="2"/>
  <c r="H2995" i="2"/>
  <c r="D2996" i="2"/>
  <c r="E2996" i="2"/>
  <c r="F2996" i="2"/>
  <c r="G2996" i="2"/>
  <c r="H2996" i="2"/>
  <c r="D2997" i="2"/>
  <c r="E2997" i="2"/>
  <c r="G2997" i="2"/>
  <c r="D2998" i="2"/>
  <c r="E2998" i="2"/>
  <c r="G2998" i="2"/>
  <c r="D2999" i="2"/>
  <c r="F2999" i="2" s="1"/>
  <c r="E2999" i="2"/>
  <c r="G2999" i="2"/>
  <c r="D3000" i="2"/>
  <c r="E3000" i="2"/>
  <c r="G3000" i="2"/>
  <c r="D3001" i="2"/>
  <c r="E3001" i="2"/>
  <c r="G3001" i="2"/>
  <c r="D3002" i="2"/>
  <c r="E3002" i="2"/>
  <c r="G3002" i="2"/>
  <c r="D3003" i="2"/>
  <c r="F3004" i="2" s="1"/>
  <c r="E3003" i="2"/>
  <c r="G3003" i="2"/>
  <c r="D3004" i="2"/>
  <c r="E3004" i="2"/>
  <c r="G3004" i="2"/>
  <c r="D3005" i="2"/>
  <c r="E3005" i="2"/>
  <c r="F3005" i="2"/>
  <c r="G3005" i="2"/>
  <c r="H3005" i="2"/>
  <c r="D3006" i="2"/>
  <c r="E3006" i="2"/>
  <c r="F3006" i="2"/>
  <c r="G3006" i="2"/>
  <c r="H3006" i="2"/>
  <c r="D3007" i="2"/>
  <c r="E3007" i="2"/>
  <c r="G3007" i="2"/>
  <c r="D3008" i="2"/>
  <c r="E3008" i="2"/>
  <c r="F3008" i="2"/>
  <c r="G3008" i="2"/>
  <c r="D3009" i="2"/>
  <c r="F3009" i="2" s="1"/>
  <c r="E3009" i="2"/>
  <c r="G3009" i="2"/>
  <c r="H3009" i="2"/>
  <c r="D3010" i="2"/>
  <c r="E3010" i="2"/>
  <c r="G3010" i="2"/>
  <c r="H3010" i="2"/>
  <c r="D3011" i="2"/>
  <c r="F3012" i="2" s="1"/>
  <c r="E3011" i="2"/>
  <c r="G3011" i="2"/>
  <c r="D3012" i="2"/>
  <c r="E3012" i="2"/>
  <c r="G3012" i="2"/>
  <c r="D3013" i="2"/>
  <c r="H3014" i="2" s="1"/>
  <c r="E3013" i="2"/>
  <c r="G3013" i="2"/>
  <c r="H3013" i="2"/>
  <c r="D3014" i="2"/>
  <c r="F3014" i="2" s="1"/>
  <c r="E3014" i="2"/>
  <c r="G3014" i="2"/>
  <c r="D3015" i="2"/>
  <c r="E3015" i="2"/>
  <c r="F3015" i="2"/>
  <c r="G3015" i="2"/>
  <c r="H3015" i="2"/>
  <c r="D3016" i="2"/>
  <c r="H3016" i="2" s="1"/>
  <c r="E3016" i="2"/>
  <c r="F3016" i="2"/>
  <c r="G3016" i="2"/>
  <c r="D3017" i="2"/>
  <c r="E3017" i="2"/>
  <c r="G3017" i="2"/>
  <c r="D3018" i="2"/>
  <c r="E3018" i="2"/>
  <c r="G3018" i="2"/>
  <c r="D3019" i="2"/>
  <c r="E3019" i="2"/>
  <c r="G3019" i="2"/>
  <c r="D3020" i="2"/>
  <c r="E3020" i="2"/>
  <c r="G3020" i="2"/>
  <c r="D3021" i="2"/>
  <c r="E3021" i="2"/>
  <c r="G3021" i="2"/>
  <c r="D3022" i="2"/>
  <c r="E3022" i="2"/>
  <c r="G3022" i="2"/>
  <c r="D3023" i="2"/>
  <c r="F3023" i="2" s="1"/>
  <c r="E3023" i="2"/>
  <c r="G3023" i="2"/>
  <c r="H3023" i="2"/>
  <c r="D3024" i="2"/>
  <c r="F3024" i="2" s="1"/>
  <c r="E3024" i="2"/>
  <c r="G3024" i="2"/>
  <c r="D3025" i="2"/>
  <c r="H3025" i="2" s="1"/>
  <c r="E3025" i="2"/>
  <c r="F3025" i="2"/>
  <c r="G3025" i="2"/>
  <c r="D3026" i="2"/>
  <c r="E3026" i="2"/>
  <c r="G3026" i="2"/>
  <c r="D3027" i="2"/>
  <c r="E3027" i="2"/>
  <c r="G3027" i="2"/>
  <c r="D3028" i="2"/>
  <c r="E3028" i="2"/>
  <c r="F3028" i="2"/>
  <c r="G3028" i="2"/>
  <c r="H3028" i="2"/>
  <c r="D3029" i="2"/>
  <c r="H3029" i="2" s="1"/>
  <c r="E3029" i="2"/>
  <c r="F3029" i="2"/>
  <c r="G3029" i="2"/>
  <c r="D3030" i="2"/>
  <c r="H3030" i="2" s="1"/>
  <c r="E3030" i="2"/>
  <c r="G3030" i="2"/>
  <c r="D3031" i="2"/>
  <c r="E3031" i="2"/>
  <c r="G3031" i="2"/>
  <c r="D3032" i="2"/>
  <c r="E3032" i="2"/>
  <c r="G3032" i="2"/>
  <c r="D3033" i="2"/>
  <c r="E3033" i="2"/>
  <c r="G3033" i="2"/>
  <c r="D3034" i="2"/>
  <c r="E3034" i="2"/>
  <c r="G3034" i="2"/>
  <c r="D3035" i="2"/>
  <c r="F3036" i="2" s="1"/>
  <c r="E3035" i="2"/>
  <c r="G3035" i="2"/>
  <c r="D3036" i="2"/>
  <c r="E3036" i="2"/>
  <c r="G3036" i="2"/>
  <c r="D3037" i="2"/>
  <c r="E3037" i="2"/>
  <c r="F3037" i="2"/>
  <c r="G3037" i="2"/>
  <c r="H3037" i="2"/>
  <c r="D3038" i="2"/>
  <c r="E3038" i="2"/>
  <c r="F3038" i="2"/>
  <c r="G3038" i="2"/>
  <c r="H3038" i="2"/>
  <c r="D3039" i="2"/>
  <c r="E3039" i="2"/>
  <c r="F3039" i="2"/>
  <c r="G3039" i="2"/>
  <c r="H3039" i="2"/>
  <c r="D3040" i="2"/>
  <c r="E3040" i="2"/>
  <c r="F3040" i="2"/>
  <c r="G3040" i="2"/>
  <c r="D3041" i="2"/>
  <c r="F3041" i="2" s="1"/>
  <c r="E3041" i="2"/>
  <c r="G3041" i="2"/>
  <c r="H3041" i="2"/>
  <c r="D3042" i="2"/>
  <c r="E3042" i="2"/>
  <c r="G3042" i="2"/>
  <c r="H3042" i="2"/>
  <c r="D3043" i="2"/>
  <c r="E3043" i="2"/>
  <c r="F3043" i="2"/>
  <c r="G3043" i="2"/>
  <c r="D3044" i="2"/>
  <c r="E3044" i="2"/>
  <c r="G3044" i="2"/>
  <c r="D3045" i="2"/>
  <c r="E3045" i="2"/>
  <c r="G3045" i="2"/>
  <c r="H3045" i="2"/>
  <c r="D3046" i="2"/>
  <c r="F3046" i="2" s="1"/>
  <c r="E3046" i="2"/>
  <c r="G3046" i="2"/>
  <c r="D3047" i="2"/>
  <c r="E3047" i="2"/>
  <c r="F3047" i="2"/>
  <c r="G3047" i="2"/>
  <c r="H3047" i="2"/>
  <c r="D3048" i="2"/>
  <c r="H3048" i="2" s="1"/>
  <c r="E3048" i="2"/>
  <c r="F3048" i="2"/>
  <c r="G3048" i="2"/>
  <c r="D3049" i="2"/>
  <c r="E3049" i="2"/>
  <c r="G3049" i="2"/>
  <c r="D3050" i="2"/>
  <c r="F3050" i="2" s="1"/>
  <c r="E3050" i="2"/>
  <c r="G3050" i="2"/>
  <c r="D3051" i="2"/>
  <c r="H3052" i="2" s="1"/>
  <c r="E3051" i="2"/>
  <c r="G3051" i="2"/>
  <c r="H3051" i="2"/>
  <c r="D3052" i="2"/>
  <c r="E3052" i="2"/>
  <c r="F3052" i="2"/>
  <c r="G3052" i="2"/>
  <c r="D3053" i="2"/>
  <c r="H3053" i="2" s="1"/>
  <c r="E3053" i="2"/>
  <c r="F3053" i="2"/>
  <c r="G3053" i="2"/>
  <c r="D3054" i="2"/>
  <c r="E3054" i="2"/>
  <c r="G3054" i="2"/>
  <c r="D3055" i="2"/>
  <c r="E3055" i="2"/>
  <c r="G3055" i="2"/>
  <c r="D3056" i="2"/>
  <c r="F3056" i="2" s="1"/>
  <c r="E3056" i="2"/>
  <c r="G3056" i="2"/>
  <c r="D3057" i="2"/>
  <c r="H3057" i="2" s="1"/>
  <c r="E3057" i="2"/>
  <c r="F3057" i="2"/>
  <c r="G3057" i="2"/>
  <c r="D3058" i="2"/>
  <c r="E3058" i="2"/>
  <c r="G3058" i="2"/>
  <c r="D3059" i="2"/>
  <c r="E3059" i="2"/>
  <c r="G3059" i="2"/>
  <c r="D3060" i="2"/>
  <c r="E3060" i="2"/>
  <c r="F3060" i="2"/>
  <c r="G3060" i="2"/>
  <c r="H3060" i="2"/>
  <c r="D3061" i="2"/>
  <c r="F3061" i="2" s="1"/>
  <c r="E3061" i="2"/>
  <c r="G3061" i="2"/>
  <c r="H3061" i="2"/>
  <c r="D3062" i="2"/>
  <c r="H3062" i="2" s="1"/>
  <c r="E3062" i="2"/>
  <c r="F3062" i="2"/>
  <c r="G3062" i="2"/>
  <c r="D3063" i="2"/>
  <c r="H3063" i="2" s="1"/>
  <c r="E3063" i="2"/>
  <c r="F3063" i="2"/>
  <c r="G3063" i="2"/>
  <c r="D3064" i="2"/>
  <c r="E3064" i="2"/>
  <c r="G3064" i="2"/>
  <c r="D3065" i="2"/>
  <c r="E3065" i="2"/>
  <c r="G3065" i="2"/>
  <c r="D3066" i="2"/>
  <c r="E3066" i="2"/>
  <c r="G3066" i="2"/>
  <c r="D3067" i="2"/>
  <c r="H3067" i="2" s="1"/>
  <c r="E3067" i="2"/>
  <c r="G3067" i="2"/>
  <c r="D3068" i="2"/>
  <c r="E3068" i="2"/>
  <c r="G3068" i="2"/>
  <c r="D3069" i="2"/>
  <c r="E3069" i="2"/>
  <c r="F3069" i="2"/>
  <c r="G3069" i="2"/>
  <c r="H3069" i="2"/>
  <c r="D3070" i="2"/>
  <c r="E3070" i="2"/>
  <c r="F3070" i="2"/>
  <c r="G3070" i="2"/>
  <c r="H3070" i="2"/>
  <c r="D3071" i="2"/>
  <c r="F3071" i="2" s="1"/>
  <c r="E3071" i="2"/>
  <c r="G3071" i="2"/>
  <c r="H3071" i="2"/>
  <c r="D3072" i="2"/>
  <c r="H3072" i="2" s="1"/>
  <c r="E3072" i="2"/>
  <c r="F3072" i="2"/>
  <c r="G3072" i="2"/>
  <c r="D3073" i="2"/>
  <c r="F3073" i="2" s="1"/>
  <c r="E3073" i="2"/>
  <c r="G3073" i="2"/>
  <c r="H3073" i="2"/>
  <c r="D3074" i="2"/>
  <c r="E3074" i="2"/>
  <c r="G3074" i="2"/>
  <c r="H3074" i="2"/>
  <c r="D3075" i="2"/>
  <c r="E3075" i="2"/>
  <c r="F3075" i="2"/>
  <c r="G3075" i="2"/>
  <c r="D3076" i="2"/>
  <c r="E3076" i="2"/>
  <c r="G3076" i="2"/>
  <c r="D3077" i="2"/>
  <c r="F3077" i="2" s="1"/>
  <c r="E3077" i="2"/>
  <c r="G3077" i="2"/>
  <c r="H3077" i="2"/>
  <c r="D3078" i="2"/>
  <c r="F3078" i="2" s="1"/>
  <c r="E3078" i="2"/>
  <c r="G3078" i="2"/>
  <c r="H3078" i="2"/>
  <c r="D3079" i="2"/>
  <c r="E3079" i="2"/>
  <c r="F3079" i="2"/>
  <c r="G3079" i="2"/>
  <c r="H3079" i="2"/>
  <c r="D3080" i="2"/>
  <c r="H3080" i="2" s="1"/>
  <c r="E3080" i="2"/>
  <c r="F3080" i="2"/>
  <c r="G3080" i="2"/>
  <c r="D3081" i="2"/>
  <c r="E3081" i="2"/>
  <c r="G3081" i="2"/>
  <c r="D3082" i="2"/>
  <c r="F3082" i="2" s="1"/>
  <c r="E3082" i="2"/>
  <c r="G3082" i="2"/>
  <c r="D3083" i="2"/>
  <c r="H3084" i="2" s="1"/>
  <c r="E3083" i="2"/>
  <c r="G3083" i="2"/>
  <c r="H3083" i="2"/>
  <c r="D3084" i="2"/>
  <c r="E3084" i="2"/>
  <c r="F3084" i="2"/>
  <c r="G3084" i="2"/>
  <c r="D3085" i="2"/>
  <c r="H3085" i="2" s="1"/>
  <c r="E3085" i="2"/>
  <c r="F3085" i="2"/>
  <c r="G3085" i="2"/>
  <c r="D3086" i="2"/>
  <c r="E3086" i="2"/>
  <c r="G3086" i="2"/>
  <c r="D3087" i="2"/>
  <c r="E3087" i="2"/>
  <c r="G3087" i="2"/>
  <c r="D3088" i="2"/>
  <c r="F3088" i="2" s="1"/>
  <c r="E3088" i="2"/>
  <c r="G3088" i="2"/>
  <c r="D3089" i="2"/>
  <c r="H3089" i="2" s="1"/>
  <c r="E3089" i="2"/>
  <c r="G3089" i="2"/>
  <c r="D3090" i="2"/>
  <c r="E3090" i="2"/>
  <c r="G3090" i="2"/>
  <c r="H3090" i="2"/>
  <c r="D3091" i="2"/>
  <c r="E3091" i="2"/>
  <c r="G3091" i="2"/>
  <c r="H3091" i="2"/>
  <c r="D3092" i="2"/>
  <c r="E3092" i="2"/>
  <c r="F3092" i="2"/>
  <c r="G3092" i="2"/>
  <c r="H3092" i="2"/>
  <c r="D3093" i="2"/>
  <c r="E3093" i="2"/>
  <c r="F3093" i="2"/>
  <c r="G3093" i="2"/>
  <c r="H3093" i="2"/>
  <c r="D3094" i="2"/>
  <c r="H3094" i="2" s="1"/>
  <c r="E3094" i="2"/>
  <c r="G3094" i="2"/>
  <c r="D3095" i="2"/>
  <c r="E3095" i="2"/>
  <c r="G3095" i="2"/>
  <c r="D3096" i="2"/>
  <c r="E3096" i="2"/>
  <c r="G3096" i="2"/>
  <c r="D3097" i="2"/>
  <c r="E3097" i="2"/>
  <c r="G3097" i="2"/>
  <c r="D3098" i="2"/>
  <c r="E3098" i="2"/>
  <c r="G3098" i="2"/>
  <c r="D3099" i="2"/>
  <c r="E3099" i="2"/>
  <c r="G3099" i="2"/>
  <c r="D3100" i="2"/>
  <c r="E3100" i="2"/>
  <c r="G3100" i="2"/>
  <c r="H3100" i="2"/>
  <c r="D3101" i="2"/>
  <c r="E3101" i="2"/>
  <c r="F3101" i="2"/>
  <c r="G3101" i="2"/>
  <c r="H3101" i="2"/>
  <c r="D3102" i="2"/>
  <c r="E3102" i="2"/>
  <c r="F3102" i="2"/>
  <c r="G3102" i="2"/>
  <c r="H3102" i="2"/>
  <c r="D3103" i="2"/>
  <c r="E3103" i="2"/>
  <c r="F3103" i="2"/>
  <c r="G3103" i="2"/>
  <c r="H3103" i="2"/>
  <c r="D3104" i="2"/>
  <c r="H3104" i="2" s="1"/>
  <c r="E3104" i="2"/>
  <c r="G3104" i="2"/>
  <c r="D3105" i="2"/>
  <c r="F3105" i="2" s="1"/>
  <c r="E3105" i="2"/>
  <c r="G3105" i="2"/>
  <c r="H3105" i="2"/>
  <c r="D3106" i="2"/>
  <c r="E3106" i="2"/>
  <c r="G3106" i="2"/>
  <c r="H3106" i="2"/>
  <c r="D3107" i="2"/>
  <c r="E3107" i="2"/>
  <c r="F3107" i="2"/>
  <c r="G3107" i="2"/>
  <c r="D3108" i="2"/>
  <c r="E3108" i="2"/>
  <c r="G3108" i="2"/>
  <c r="D3109" i="2"/>
  <c r="F3109" i="2" s="1"/>
  <c r="E3109" i="2"/>
  <c r="G3109" i="2"/>
  <c r="H3109" i="2"/>
  <c r="D3110" i="2"/>
  <c r="F3110" i="2" s="1"/>
  <c r="E3110" i="2"/>
  <c r="G3110" i="2"/>
  <c r="D3111" i="2"/>
  <c r="E3111" i="2"/>
  <c r="F3111" i="2"/>
  <c r="G3111" i="2"/>
  <c r="H3111" i="2"/>
  <c r="D3112" i="2"/>
  <c r="H3112" i="2" s="1"/>
  <c r="E3112" i="2"/>
  <c r="F3112" i="2"/>
  <c r="G3112" i="2"/>
  <c r="D3113" i="2"/>
  <c r="E3113" i="2"/>
  <c r="G3113" i="2"/>
  <c r="D3114" i="2"/>
  <c r="F3114" i="2" s="1"/>
  <c r="E3114" i="2"/>
  <c r="G3114" i="2"/>
  <c r="D3115" i="2"/>
  <c r="H3116" i="2" s="1"/>
  <c r="E3115" i="2"/>
  <c r="F3115" i="2"/>
  <c r="G3115" i="2"/>
  <c r="H3115" i="2"/>
  <c r="D3116" i="2"/>
  <c r="E3116" i="2"/>
  <c r="G3116" i="2"/>
  <c r="D3117" i="2"/>
  <c r="H3117" i="2" s="1"/>
  <c r="E3117" i="2"/>
  <c r="F3117" i="2"/>
  <c r="G3117" i="2"/>
  <c r="D3118" i="2"/>
  <c r="E3118" i="2"/>
  <c r="G3118" i="2"/>
  <c r="D3119" i="2"/>
  <c r="F3119" i="2" s="1"/>
  <c r="E3119" i="2"/>
  <c r="G3119" i="2"/>
  <c r="H3119" i="2"/>
  <c r="D3120" i="2"/>
  <c r="F3120" i="2" s="1"/>
  <c r="E3120" i="2"/>
  <c r="G3120" i="2"/>
  <c r="D3121" i="2"/>
  <c r="H3121" i="2" s="1"/>
  <c r="E3121" i="2"/>
  <c r="F3121" i="2"/>
  <c r="G3121" i="2"/>
  <c r="D3122" i="2"/>
  <c r="F3122" i="2" s="1"/>
  <c r="E3122" i="2"/>
  <c r="G3122" i="2"/>
  <c r="D3123" i="2"/>
  <c r="E3123" i="2"/>
  <c r="G3123" i="2"/>
  <c r="H3123" i="2"/>
  <c r="D3124" i="2"/>
  <c r="E3124" i="2"/>
  <c r="F3124" i="2"/>
  <c r="G3124" i="2"/>
  <c r="H3124" i="2"/>
  <c r="D3125" i="2"/>
  <c r="H3125" i="2" s="1"/>
  <c r="E3125" i="2"/>
  <c r="F3125" i="2"/>
  <c r="G3125" i="2"/>
  <c r="D3126" i="2"/>
  <c r="E3126" i="2"/>
  <c r="G3126" i="2"/>
  <c r="D3127" i="2"/>
  <c r="H3127" i="2" s="1"/>
  <c r="E3127" i="2"/>
  <c r="G3127" i="2"/>
  <c r="D3128" i="2"/>
  <c r="E3128" i="2"/>
  <c r="G3128" i="2"/>
  <c r="D3129" i="2"/>
  <c r="E3129" i="2"/>
  <c r="F3129" i="2"/>
  <c r="G3129" i="2"/>
  <c r="H3129" i="2"/>
  <c r="D3130" i="2"/>
  <c r="E3130" i="2"/>
  <c r="G3130" i="2"/>
  <c r="D3131" i="2"/>
  <c r="E3131" i="2"/>
  <c r="G3131" i="2"/>
  <c r="D3132" i="2"/>
  <c r="E3132" i="2"/>
  <c r="G3132" i="2"/>
  <c r="D3133" i="2"/>
  <c r="E3133" i="2"/>
  <c r="F3133" i="2"/>
  <c r="G3133" i="2"/>
  <c r="H3133" i="2"/>
  <c r="D3134" i="2"/>
  <c r="E3134" i="2"/>
  <c r="F3134" i="2"/>
  <c r="G3134" i="2"/>
  <c r="H3134" i="2"/>
  <c r="D3135" i="2"/>
  <c r="F3135" i="2" s="1"/>
  <c r="E3135" i="2"/>
  <c r="G3135" i="2"/>
  <c r="D3136" i="2"/>
  <c r="E3136" i="2"/>
  <c r="G3136" i="2"/>
  <c r="D3137" i="2"/>
  <c r="E3137" i="2"/>
  <c r="G3137" i="2"/>
  <c r="H3137" i="2"/>
  <c r="D3138" i="2"/>
  <c r="E3138" i="2"/>
  <c r="G3138" i="2"/>
  <c r="H3138" i="2"/>
  <c r="D3139" i="2"/>
  <c r="H3139" i="2" s="1"/>
  <c r="E3139" i="2"/>
  <c r="G3139" i="2"/>
  <c r="D3140" i="2"/>
  <c r="E3140" i="2"/>
  <c r="F3140" i="2"/>
  <c r="G3140" i="2"/>
  <c r="H3140" i="2"/>
  <c r="D3141" i="2"/>
  <c r="F3141" i="2" s="1"/>
  <c r="E3141" i="2"/>
  <c r="G3141" i="2"/>
  <c r="H3141" i="2"/>
  <c r="D3142" i="2"/>
  <c r="F3142" i="2" s="1"/>
  <c r="E3142" i="2"/>
  <c r="G3142" i="2"/>
  <c r="D3143" i="2"/>
  <c r="E3143" i="2"/>
  <c r="G3143" i="2"/>
  <c r="H3143" i="2"/>
  <c r="D3144" i="2"/>
  <c r="H3144" i="2" s="1"/>
  <c r="E3144" i="2"/>
  <c r="G3144" i="2"/>
  <c r="D3145" i="2"/>
  <c r="E3145" i="2"/>
  <c r="F3145" i="2"/>
  <c r="G3145" i="2"/>
  <c r="H3145" i="2"/>
  <c r="D3146" i="2"/>
  <c r="E3146" i="2"/>
  <c r="G3146" i="2"/>
  <c r="H3146" i="2"/>
  <c r="D3147" i="2"/>
  <c r="H3147" i="2" s="1"/>
  <c r="E3147" i="2"/>
  <c r="F3147" i="2"/>
  <c r="G3147" i="2"/>
  <c r="D3148" i="2"/>
  <c r="E3148" i="2"/>
  <c r="G3148" i="2"/>
  <c r="H3148" i="2"/>
  <c r="D3149" i="2"/>
  <c r="H3149" i="2" s="1"/>
  <c r="E3149" i="2"/>
  <c r="G3149" i="2"/>
  <c r="D3150" i="2"/>
  <c r="E3150" i="2"/>
  <c r="G3150" i="2"/>
  <c r="H3150" i="2"/>
  <c r="D3151" i="2"/>
  <c r="F3151" i="2" s="1"/>
  <c r="E3151" i="2"/>
  <c r="G3151" i="2"/>
  <c r="D3152" i="2"/>
  <c r="E3152" i="2"/>
  <c r="F3152" i="2"/>
  <c r="G3152" i="2"/>
  <c r="D3153" i="2"/>
  <c r="F3153" i="2" s="1"/>
  <c r="E3153" i="2"/>
  <c r="G3153" i="2"/>
  <c r="D3154" i="2"/>
  <c r="F3154" i="2" s="1"/>
  <c r="E3154" i="2"/>
  <c r="G3154" i="2"/>
  <c r="H3154" i="2"/>
  <c r="D3155" i="2"/>
  <c r="E3155" i="2"/>
  <c r="G3155" i="2"/>
  <c r="H3155" i="2"/>
  <c r="D3156" i="2"/>
  <c r="E3156" i="2"/>
  <c r="F3156" i="2"/>
  <c r="G3156" i="2"/>
  <c r="H3156" i="2"/>
  <c r="D3157" i="2"/>
  <c r="E3157" i="2"/>
  <c r="F3157" i="2"/>
  <c r="G3157" i="2"/>
  <c r="H3157" i="2"/>
  <c r="D3158" i="2"/>
  <c r="F3158" i="2" s="1"/>
  <c r="E3158" i="2"/>
  <c r="G3158" i="2"/>
  <c r="D3159" i="2"/>
  <c r="H3159" i="2" s="1"/>
  <c r="E3159" i="2"/>
  <c r="F3159" i="2"/>
  <c r="G3159" i="2"/>
  <c r="D3160" i="2"/>
  <c r="F3160" i="2" s="1"/>
  <c r="E3160" i="2"/>
  <c r="G3160" i="2"/>
  <c r="D3161" i="2"/>
  <c r="H3161" i="2" s="1"/>
  <c r="E3161" i="2"/>
  <c r="F3161" i="2"/>
  <c r="G3161" i="2"/>
  <c r="D3162" i="2"/>
  <c r="E3162" i="2"/>
  <c r="G3162" i="2"/>
  <c r="H3162" i="2"/>
  <c r="D3163" i="2"/>
  <c r="F3163" i="2" s="1"/>
  <c r="E3163" i="2"/>
  <c r="G3163" i="2"/>
  <c r="D3164" i="2"/>
  <c r="E3164" i="2"/>
  <c r="G3164" i="2"/>
  <c r="H3164" i="2"/>
  <c r="D3165" i="2"/>
  <c r="E3165" i="2"/>
  <c r="F3165" i="2"/>
  <c r="G3165" i="2"/>
  <c r="H3165" i="2"/>
  <c r="D3166" i="2"/>
  <c r="E3166" i="2"/>
  <c r="F3166" i="2"/>
  <c r="G3166" i="2"/>
  <c r="H3166" i="2"/>
  <c r="D3167" i="2"/>
  <c r="F3167" i="2" s="1"/>
  <c r="E3167" i="2"/>
  <c r="G3167" i="2"/>
  <c r="H3167" i="2"/>
  <c r="D3168" i="2"/>
  <c r="H3168" i="2" s="1"/>
  <c r="E3168" i="2"/>
  <c r="G3168" i="2"/>
  <c r="D3169" i="2"/>
  <c r="E3169" i="2"/>
  <c r="G3169" i="2"/>
  <c r="H3169" i="2"/>
  <c r="D3170" i="2"/>
  <c r="E3170" i="2"/>
  <c r="G3170" i="2"/>
  <c r="H3170" i="2"/>
  <c r="D3171" i="2"/>
  <c r="H3171" i="2" s="1"/>
  <c r="E3171" i="2"/>
  <c r="F3171" i="2"/>
  <c r="G3171" i="2"/>
  <c r="D3172" i="2"/>
  <c r="E3172" i="2"/>
  <c r="F3172" i="2"/>
  <c r="G3172" i="2"/>
  <c r="H3172" i="2"/>
  <c r="D3173" i="2"/>
  <c r="F3173" i="2" s="1"/>
  <c r="E3173" i="2"/>
  <c r="G3173" i="2"/>
  <c r="H3173" i="2"/>
  <c r="D3174" i="2"/>
  <c r="H3175" i="2" s="1"/>
  <c r="E3174" i="2"/>
  <c r="G3174" i="2"/>
  <c r="D3175" i="2"/>
  <c r="E3175" i="2"/>
  <c r="F3175" i="2"/>
  <c r="G3175" i="2"/>
  <c r="D3176" i="2"/>
  <c r="H3176" i="2" s="1"/>
  <c r="E3176" i="2"/>
  <c r="F3176" i="2"/>
  <c r="G3176" i="2"/>
  <c r="D3177" i="2"/>
  <c r="F3177" i="2" s="1"/>
  <c r="E3177" i="2"/>
  <c r="G3177" i="2"/>
  <c r="D3178" i="2"/>
  <c r="E3178" i="2"/>
  <c r="G3178" i="2"/>
  <c r="H3178" i="2"/>
  <c r="D3179" i="2"/>
  <c r="H3180" i="2" s="1"/>
  <c r="E3179" i="2"/>
  <c r="G3179" i="2"/>
  <c r="D3180" i="2"/>
  <c r="E3180" i="2"/>
  <c r="G3180" i="2"/>
  <c r="D3181" i="2"/>
  <c r="H3181" i="2" s="1"/>
  <c r="E3181" i="2"/>
  <c r="G3181" i="2"/>
  <c r="D3182" i="2"/>
  <c r="H3182" i="2" s="1"/>
  <c r="E3182" i="2"/>
  <c r="F3182" i="2"/>
  <c r="G3182" i="2"/>
  <c r="D3183" i="2"/>
  <c r="E3183" i="2"/>
  <c r="G3183" i="2"/>
  <c r="H3183" i="2"/>
  <c r="D3184" i="2"/>
  <c r="H3184" i="2" s="1"/>
  <c r="E3184" i="2"/>
  <c r="G3184" i="2"/>
  <c r="D3185" i="2"/>
  <c r="E3185" i="2"/>
  <c r="G3185" i="2"/>
  <c r="H3185" i="2"/>
  <c r="D3186" i="2"/>
  <c r="F3186" i="2" s="1"/>
  <c r="E3186" i="2"/>
  <c r="G3186" i="2"/>
  <c r="D3187" i="2"/>
  <c r="E3187" i="2"/>
  <c r="G3187" i="2"/>
  <c r="H3187" i="2"/>
  <c r="D3188" i="2"/>
  <c r="E3188" i="2"/>
  <c r="F3188" i="2"/>
  <c r="G3188" i="2"/>
  <c r="H3188" i="2"/>
  <c r="D3189" i="2"/>
  <c r="H3189" i="2" s="1"/>
  <c r="E3189" i="2"/>
  <c r="F3189" i="2"/>
  <c r="G3189" i="2"/>
  <c r="D3190" i="2"/>
  <c r="E3190" i="2"/>
  <c r="G3190" i="2"/>
  <c r="H3190" i="2"/>
  <c r="D3191" i="2"/>
  <c r="H3191" i="2" s="1"/>
  <c r="E3191" i="2"/>
  <c r="G3191" i="2"/>
  <c r="D3192" i="2"/>
  <c r="E3192" i="2"/>
  <c r="G3192" i="2"/>
  <c r="D3193" i="2"/>
  <c r="F3193" i="2" s="1"/>
  <c r="E3193" i="2"/>
  <c r="G3193" i="2"/>
  <c r="D3194" i="2"/>
  <c r="E3194" i="2"/>
  <c r="G3194" i="2"/>
  <c r="H3194" i="2"/>
  <c r="D3195" i="2"/>
  <c r="F3195" i="2" s="1"/>
  <c r="E3195" i="2"/>
  <c r="G3195" i="2"/>
  <c r="D3196" i="2"/>
  <c r="E3196" i="2"/>
  <c r="F3196" i="2"/>
  <c r="G3196" i="2"/>
  <c r="H3196" i="2"/>
  <c r="D3197" i="2"/>
  <c r="E3197" i="2"/>
  <c r="F3197" i="2"/>
  <c r="G3197" i="2"/>
  <c r="H3197" i="2"/>
  <c r="D3198" i="2"/>
  <c r="F3198" i="2" s="1"/>
  <c r="E3198" i="2"/>
  <c r="G3198" i="2"/>
  <c r="D3199" i="2"/>
  <c r="E3199" i="2"/>
  <c r="G3199" i="2"/>
  <c r="H3199" i="2"/>
  <c r="D3200" i="2"/>
  <c r="H3200" i="2" s="1"/>
  <c r="E3200" i="2"/>
  <c r="G3200" i="2"/>
  <c r="D3201" i="2"/>
  <c r="E3201" i="2"/>
  <c r="F3201" i="2"/>
  <c r="G3201" i="2"/>
  <c r="H3201" i="2"/>
  <c r="D3202" i="2"/>
  <c r="E3202" i="2"/>
  <c r="G3202" i="2"/>
  <c r="H3202" i="2"/>
  <c r="D3203" i="2"/>
  <c r="H3203" i="2" s="1"/>
  <c r="E3203" i="2"/>
  <c r="F3203" i="2"/>
  <c r="G3203" i="2"/>
  <c r="D3204" i="2"/>
  <c r="E3204" i="2"/>
  <c r="G3204" i="2"/>
  <c r="H3204" i="2"/>
  <c r="D3205" i="2"/>
  <c r="F3205" i="2" s="1"/>
  <c r="E3205" i="2"/>
  <c r="G3205" i="2"/>
  <c r="D3206" i="2"/>
  <c r="F3207" i="2" s="1"/>
  <c r="E3206" i="2"/>
  <c r="G3206" i="2"/>
  <c r="H3206" i="2"/>
  <c r="D3207" i="2"/>
  <c r="E3207" i="2"/>
  <c r="G3207" i="2"/>
  <c r="D3208" i="2"/>
  <c r="H3208" i="2" s="1"/>
  <c r="E3208" i="2"/>
  <c r="F3208" i="2"/>
  <c r="G3208" i="2"/>
  <c r="D3209" i="2"/>
  <c r="F3209" i="2" s="1"/>
  <c r="E3209" i="2"/>
  <c r="G3209" i="2"/>
  <c r="D3210" i="2"/>
  <c r="F3210" i="2" s="1"/>
  <c r="E3210" i="2"/>
  <c r="G3210" i="2"/>
  <c r="D3211" i="2"/>
  <c r="F3211" i="2" s="1"/>
  <c r="E3211" i="2"/>
  <c r="G3211" i="2"/>
  <c r="H3211" i="2"/>
  <c r="D3212" i="2"/>
  <c r="E3212" i="2"/>
  <c r="F3212" i="2"/>
  <c r="G3212" i="2"/>
  <c r="H3212" i="2"/>
  <c r="D3213" i="2"/>
  <c r="H3213" i="2" s="1"/>
  <c r="E3213" i="2"/>
  <c r="F3213" i="2"/>
  <c r="G3213" i="2"/>
  <c r="D3214" i="2"/>
  <c r="F3214" i="2" s="1"/>
  <c r="E3214" i="2"/>
  <c r="G3214" i="2"/>
  <c r="D3215" i="2"/>
  <c r="E3215" i="2"/>
  <c r="G3215" i="2"/>
  <c r="H3215" i="2"/>
  <c r="D3216" i="2"/>
  <c r="H3216" i="2" s="1"/>
  <c r="E3216" i="2"/>
  <c r="G3216" i="2"/>
  <c r="D3217" i="2"/>
  <c r="E3217" i="2"/>
  <c r="F3217" i="2"/>
  <c r="G3217" i="2"/>
  <c r="H3217" i="2"/>
  <c r="D3218" i="2"/>
  <c r="E3218" i="2"/>
  <c r="G3218" i="2"/>
  <c r="H3218" i="2"/>
  <c r="D3219" i="2"/>
  <c r="E3219" i="2"/>
  <c r="F3219" i="2"/>
  <c r="G3219" i="2"/>
  <c r="H3219" i="2"/>
  <c r="D3220" i="2"/>
  <c r="E3220" i="2"/>
  <c r="F3220" i="2"/>
  <c r="G3220" i="2"/>
  <c r="H3220" i="2"/>
  <c r="D3221" i="2"/>
  <c r="H3222" i="2" s="1"/>
  <c r="E3221" i="2"/>
  <c r="G3221" i="2"/>
  <c r="D3222" i="2"/>
  <c r="E3222" i="2"/>
  <c r="G3222" i="2"/>
  <c r="D3223" i="2"/>
  <c r="F3223" i="2" s="1"/>
  <c r="E3223" i="2"/>
  <c r="G3223" i="2"/>
  <c r="D3224" i="2"/>
  <c r="H3224" i="2" s="1"/>
  <c r="E3224" i="2"/>
  <c r="F3224" i="2"/>
  <c r="G3224" i="2"/>
  <c r="D3225" i="2"/>
  <c r="F3225" i="2" s="1"/>
  <c r="E3225" i="2"/>
  <c r="G3225" i="2"/>
  <c r="H3225" i="2"/>
  <c r="D3226" i="2"/>
  <c r="F3226" i="2" s="1"/>
  <c r="E3226" i="2"/>
  <c r="G3226" i="2"/>
  <c r="D3227" i="2"/>
  <c r="E3227" i="2"/>
  <c r="G3227" i="2"/>
  <c r="D3228" i="2"/>
  <c r="E3228" i="2"/>
  <c r="F3228" i="2"/>
  <c r="G3228" i="2"/>
  <c r="H3228" i="2"/>
  <c r="D3229" i="2"/>
  <c r="E3229" i="2"/>
  <c r="F3229" i="2"/>
  <c r="G3229" i="2"/>
  <c r="H3229" i="2"/>
  <c r="D3230" i="2"/>
  <c r="F3230" i="2" s="1"/>
  <c r="E3230" i="2"/>
  <c r="G3230" i="2"/>
  <c r="D3231" i="2"/>
  <c r="H3231" i="2" s="1"/>
  <c r="E3231" i="2"/>
  <c r="F3231" i="2"/>
  <c r="G3231" i="2"/>
  <c r="D3232" i="2"/>
  <c r="E3232" i="2"/>
  <c r="G3232" i="2"/>
  <c r="H3232" i="2"/>
  <c r="D3233" i="2"/>
  <c r="H3233" i="2" s="1"/>
  <c r="E3233" i="2"/>
  <c r="G3233" i="2"/>
  <c r="D3234" i="2"/>
  <c r="E3234" i="2"/>
  <c r="G3234" i="2"/>
  <c r="H3234" i="2"/>
  <c r="D3235" i="2"/>
  <c r="F3235" i="2" s="1"/>
  <c r="E3235" i="2"/>
  <c r="G3235" i="2"/>
  <c r="D3236" i="2"/>
  <c r="F3237" i="2" s="1"/>
  <c r="E3236" i="2"/>
  <c r="F3236" i="2"/>
  <c r="G3236" i="2"/>
  <c r="H3236" i="2"/>
  <c r="D3237" i="2"/>
  <c r="E3237" i="2"/>
  <c r="G3237" i="2"/>
  <c r="H3237" i="2"/>
  <c r="D3238" i="2"/>
  <c r="F3238" i="2" s="1"/>
  <c r="E3238" i="2"/>
  <c r="G3238" i="2"/>
  <c r="D3239" i="2"/>
  <c r="E3239" i="2"/>
  <c r="G3239" i="2"/>
  <c r="H3239" i="2"/>
  <c r="D3240" i="2"/>
  <c r="F3240" i="2" s="1"/>
  <c r="E3240" i="2"/>
  <c r="G3240" i="2"/>
  <c r="D3241" i="2"/>
  <c r="H3241" i="2" s="1"/>
  <c r="E3241" i="2"/>
  <c r="F3241" i="2"/>
  <c r="G3241" i="2"/>
  <c r="D3242" i="2"/>
  <c r="F3242" i="2" s="1"/>
  <c r="E3242" i="2"/>
  <c r="G3242" i="2"/>
  <c r="H3242" i="2"/>
  <c r="D3243" i="2"/>
  <c r="F3243" i="2" s="1"/>
  <c r="E3243" i="2"/>
  <c r="G3243" i="2"/>
  <c r="D3244" i="2"/>
  <c r="F3245" i="2" s="1"/>
  <c r="E3244" i="2"/>
  <c r="G3244" i="2"/>
  <c r="H3244" i="2"/>
  <c r="D3245" i="2"/>
  <c r="E3245" i="2"/>
  <c r="G3245" i="2"/>
  <c r="D3246" i="2"/>
  <c r="E3246" i="2"/>
  <c r="F3246" i="2"/>
  <c r="G3246" i="2"/>
  <c r="H3246" i="2"/>
  <c r="D3247" i="2"/>
  <c r="F3247" i="2" s="1"/>
  <c r="E3247" i="2"/>
  <c r="G3247" i="2"/>
  <c r="H3247" i="2"/>
  <c r="D3248" i="2"/>
  <c r="F3248" i="2" s="1"/>
  <c r="E3248" i="2"/>
  <c r="G3248" i="2"/>
  <c r="D3249" i="2"/>
  <c r="E3249" i="2"/>
  <c r="G3249" i="2"/>
  <c r="D3250" i="2"/>
  <c r="F3250" i="2" s="1"/>
  <c r="E3250" i="2"/>
  <c r="G3250" i="2"/>
  <c r="D3251" i="2"/>
  <c r="E3251" i="2"/>
  <c r="G3251" i="2"/>
  <c r="H3251" i="2"/>
  <c r="D3252" i="2"/>
  <c r="H3253" i="2" s="1"/>
  <c r="E3252" i="2"/>
  <c r="G3252" i="2"/>
  <c r="D3253" i="2"/>
  <c r="E3253" i="2"/>
  <c r="F3253" i="2"/>
  <c r="G3253" i="2"/>
  <c r="D3254" i="2"/>
  <c r="E3254" i="2"/>
  <c r="F3254" i="2"/>
  <c r="G3254" i="2"/>
  <c r="H3254" i="2"/>
  <c r="D3255" i="2"/>
  <c r="H3256" i="2" s="1"/>
  <c r="E3255" i="2"/>
  <c r="G3255" i="2"/>
  <c r="D3256" i="2"/>
  <c r="E3256" i="2"/>
  <c r="G3256" i="2"/>
  <c r="D3257" i="2"/>
  <c r="F3257" i="2" s="1"/>
  <c r="E3257" i="2"/>
  <c r="G3257" i="2"/>
  <c r="D3258" i="2"/>
  <c r="H3258" i="2" s="1"/>
  <c r="E3258" i="2"/>
  <c r="F3258" i="2"/>
  <c r="G3258" i="2"/>
  <c r="D3259" i="2"/>
  <c r="E3259" i="2"/>
  <c r="G3259" i="2"/>
  <c r="H3259" i="2"/>
  <c r="D3260" i="2"/>
  <c r="F3260" i="2" s="1"/>
  <c r="E3260" i="2"/>
  <c r="G3260" i="2"/>
  <c r="D3261" i="2"/>
  <c r="E3261" i="2"/>
  <c r="G3261" i="2"/>
  <c r="H3261" i="2"/>
  <c r="D3262" i="2"/>
  <c r="F3262" i="2" s="1"/>
  <c r="E3262" i="2"/>
  <c r="G3262" i="2"/>
  <c r="D3263" i="2"/>
  <c r="H3263" i="2" s="1"/>
  <c r="E3263" i="2"/>
  <c r="F3263" i="2"/>
  <c r="G3263" i="2"/>
  <c r="D3264" i="2"/>
  <c r="E3264" i="2"/>
  <c r="G3264" i="2"/>
  <c r="H3264" i="2"/>
  <c r="D3265" i="2"/>
  <c r="H3265" i="2" s="1"/>
  <c r="E3265" i="2"/>
  <c r="G3265" i="2"/>
  <c r="D3266" i="2"/>
  <c r="E3266" i="2"/>
  <c r="G3266" i="2"/>
  <c r="H3266" i="2"/>
  <c r="D3267" i="2"/>
  <c r="F3267" i="2" s="1"/>
  <c r="E3267" i="2"/>
  <c r="G3267" i="2"/>
  <c r="D3268" i="2"/>
  <c r="F3269" i="2" s="1"/>
  <c r="E3268" i="2"/>
  <c r="F3268" i="2"/>
  <c r="G3268" i="2"/>
  <c r="H3268" i="2"/>
  <c r="D3269" i="2"/>
  <c r="E3269" i="2"/>
  <c r="G3269" i="2"/>
  <c r="H3269" i="2"/>
  <c r="D3270" i="2"/>
  <c r="F3270" i="2" s="1"/>
  <c r="E3270" i="2"/>
  <c r="G3270" i="2"/>
  <c r="D3271" i="2"/>
  <c r="E3271" i="2"/>
  <c r="G3271" i="2"/>
  <c r="H3271" i="2"/>
  <c r="D3272" i="2"/>
  <c r="F3272" i="2" s="1"/>
  <c r="E3272" i="2"/>
  <c r="G3272" i="2"/>
  <c r="D3273" i="2"/>
  <c r="E3273" i="2"/>
  <c r="F3273" i="2"/>
  <c r="G3273" i="2"/>
  <c r="D3274" i="2"/>
  <c r="F3274" i="2" s="1"/>
  <c r="E3274" i="2"/>
  <c r="G3274" i="2"/>
  <c r="H3274" i="2"/>
  <c r="D3275" i="2"/>
  <c r="F3275" i="2" s="1"/>
  <c r="E3275" i="2"/>
  <c r="G3275" i="2"/>
  <c r="D3276" i="2"/>
  <c r="F3277" i="2" s="1"/>
  <c r="E3276" i="2"/>
  <c r="G3276" i="2"/>
  <c r="H3276" i="2"/>
  <c r="D3277" i="2"/>
  <c r="E3277" i="2"/>
  <c r="G3277" i="2"/>
  <c r="D3278" i="2"/>
  <c r="E3278" i="2"/>
  <c r="F3278" i="2"/>
  <c r="G3278" i="2"/>
  <c r="H3278" i="2"/>
  <c r="D3279" i="2"/>
  <c r="F3279" i="2" s="1"/>
  <c r="E3279" i="2"/>
  <c r="G3279" i="2"/>
  <c r="H3279" i="2"/>
  <c r="D3280" i="2"/>
  <c r="F3280" i="2" s="1"/>
  <c r="E3280" i="2"/>
  <c r="G3280" i="2"/>
  <c r="D3281" i="2"/>
  <c r="E3281" i="2"/>
  <c r="G3281" i="2"/>
  <c r="D3282" i="2"/>
  <c r="F3282" i="2" s="1"/>
  <c r="E3282" i="2"/>
  <c r="G3282" i="2"/>
  <c r="D3283" i="2"/>
  <c r="E3283" i="2"/>
  <c r="G3283" i="2"/>
  <c r="H3283" i="2"/>
  <c r="D3284" i="2"/>
  <c r="H3285" i="2" s="1"/>
  <c r="E3284" i="2"/>
  <c r="G3284" i="2"/>
  <c r="D3285" i="2"/>
  <c r="E3285" i="2"/>
  <c r="F3285" i="2"/>
  <c r="G3285" i="2"/>
  <c r="D3286" i="2"/>
  <c r="E3286" i="2"/>
  <c r="F3286" i="2"/>
  <c r="G3286" i="2"/>
  <c r="H3286" i="2"/>
  <c r="D3287" i="2"/>
  <c r="H3288" i="2" s="1"/>
  <c r="E3287" i="2"/>
  <c r="G3287" i="2"/>
  <c r="D3288" i="2"/>
  <c r="E3288" i="2"/>
  <c r="G3288" i="2"/>
  <c r="D3289" i="2"/>
  <c r="F3289" i="2" s="1"/>
  <c r="E3289" i="2"/>
  <c r="G3289" i="2"/>
  <c r="D3290" i="2"/>
  <c r="H3290" i="2" s="1"/>
  <c r="E3290" i="2"/>
  <c r="F3290" i="2"/>
  <c r="G3290" i="2"/>
  <c r="D3291" i="2"/>
  <c r="E3291" i="2"/>
  <c r="G3291" i="2"/>
  <c r="H3291" i="2"/>
  <c r="D3292" i="2"/>
  <c r="F3292" i="2" s="1"/>
  <c r="E3292" i="2"/>
  <c r="G3292" i="2"/>
  <c r="D3293" i="2"/>
  <c r="E3293" i="2"/>
  <c r="G3293" i="2"/>
  <c r="H3293" i="2"/>
  <c r="D3294" i="2"/>
  <c r="F3294" i="2" s="1"/>
  <c r="E3294" i="2"/>
  <c r="G3294" i="2"/>
  <c r="D3295" i="2"/>
  <c r="H3295" i="2" s="1"/>
  <c r="E3295" i="2"/>
  <c r="F3295" i="2"/>
  <c r="G3295" i="2"/>
  <c r="D3296" i="2"/>
  <c r="E3296" i="2"/>
  <c r="G3296" i="2"/>
  <c r="H3296" i="2"/>
  <c r="D3297" i="2"/>
  <c r="H3297" i="2" s="1"/>
  <c r="E3297" i="2"/>
  <c r="G3297" i="2"/>
  <c r="D3298" i="2"/>
  <c r="E3298" i="2"/>
  <c r="G3298" i="2"/>
  <c r="H3298" i="2"/>
  <c r="D3299" i="2"/>
  <c r="F3299" i="2" s="1"/>
  <c r="E3299" i="2"/>
  <c r="G3299" i="2"/>
  <c r="D3300" i="2"/>
  <c r="F3301" i="2" s="1"/>
  <c r="E3300" i="2"/>
  <c r="F3300" i="2"/>
  <c r="G3300" i="2"/>
  <c r="H3300" i="2"/>
  <c r="D3301" i="2"/>
  <c r="E3301" i="2"/>
  <c r="G3301" i="2"/>
  <c r="H3301" i="2"/>
  <c r="D3302" i="2"/>
  <c r="F3302" i="2" s="1"/>
  <c r="E3302" i="2"/>
  <c r="G3302" i="2"/>
  <c r="D3303" i="2"/>
  <c r="E3303" i="2"/>
  <c r="G3303" i="2"/>
  <c r="H3303" i="2"/>
  <c r="D3304" i="2"/>
  <c r="F3304" i="2" s="1"/>
  <c r="E3304" i="2"/>
  <c r="G3304" i="2"/>
  <c r="D3305" i="2"/>
  <c r="E3305" i="2"/>
  <c r="F3305" i="2"/>
  <c r="G3305" i="2"/>
  <c r="D3306" i="2"/>
  <c r="F3306" i="2" s="1"/>
  <c r="E3306" i="2"/>
  <c r="G3306" i="2"/>
  <c r="H3306" i="2"/>
  <c r="D3307" i="2"/>
  <c r="F3307" i="2" s="1"/>
  <c r="E3307" i="2"/>
  <c r="G3307" i="2"/>
  <c r="D3308" i="2"/>
  <c r="F3309" i="2" s="1"/>
  <c r="E3308" i="2"/>
  <c r="G3308" i="2"/>
  <c r="H3308" i="2"/>
  <c r="D3309" i="2"/>
  <c r="E3309" i="2"/>
  <c r="G3309" i="2"/>
  <c r="D3310" i="2"/>
  <c r="E3310" i="2"/>
  <c r="F3310" i="2"/>
  <c r="G3310" i="2"/>
  <c r="H3310" i="2"/>
  <c r="D3311" i="2"/>
  <c r="F3311" i="2" s="1"/>
  <c r="E3311" i="2"/>
  <c r="G3311" i="2"/>
  <c r="H3311" i="2"/>
  <c r="D3312" i="2"/>
  <c r="F3312" i="2" s="1"/>
  <c r="E3312" i="2"/>
  <c r="G3312" i="2"/>
  <c r="D3313" i="2"/>
  <c r="E3313" i="2"/>
  <c r="G3313" i="2"/>
  <c r="D3314" i="2"/>
  <c r="F3314" i="2" s="1"/>
  <c r="E3314" i="2"/>
  <c r="G3314" i="2"/>
  <c r="D3315" i="2"/>
  <c r="E3315" i="2"/>
  <c r="G3315" i="2"/>
  <c r="H3315" i="2"/>
  <c r="D3316" i="2"/>
  <c r="H3317" i="2" s="1"/>
  <c r="E3316" i="2"/>
  <c r="G3316" i="2"/>
  <c r="D3317" i="2"/>
  <c r="E3317" i="2"/>
  <c r="F3317" i="2"/>
  <c r="G3317" i="2"/>
  <c r="D3318" i="2"/>
  <c r="E3318" i="2"/>
  <c r="F3318" i="2"/>
  <c r="G3318" i="2"/>
  <c r="H3318" i="2"/>
  <c r="D3319" i="2"/>
  <c r="H3320" i="2" s="1"/>
  <c r="E3319" i="2"/>
  <c r="G3319" i="2"/>
  <c r="D3320" i="2"/>
  <c r="E3320" i="2"/>
  <c r="G3320" i="2"/>
  <c r="D3321" i="2"/>
  <c r="F3321" i="2" s="1"/>
  <c r="E3321" i="2"/>
  <c r="G3321" i="2"/>
  <c r="D3322" i="2"/>
  <c r="H3322" i="2" s="1"/>
  <c r="E3322" i="2"/>
  <c r="F3322" i="2"/>
  <c r="G3322" i="2"/>
  <c r="D3323" i="2"/>
  <c r="E3323" i="2"/>
  <c r="G3323" i="2"/>
  <c r="H3323" i="2"/>
  <c r="D3324" i="2"/>
  <c r="F3324" i="2" s="1"/>
  <c r="E3324" i="2"/>
  <c r="G3324" i="2"/>
  <c r="D3325" i="2"/>
  <c r="E3325" i="2"/>
  <c r="G3325" i="2"/>
  <c r="H3325" i="2"/>
  <c r="D3326" i="2"/>
  <c r="F3326" i="2" s="1"/>
  <c r="E3326" i="2"/>
  <c r="G3326" i="2"/>
  <c r="D3327" i="2"/>
  <c r="H3327" i="2" s="1"/>
  <c r="E3327" i="2"/>
  <c r="F3327" i="2"/>
  <c r="G3327" i="2"/>
  <c r="D3328" i="2"/>
  <c r="E3328" i="2"/>
  <c r="F3328" i="2"/>
  <c r="G3328" i="2"/>
  <c r="H3328" i="2"/>
  <c r="D3329" i="2"/>
  <c r="H3329" i="2" s="1"/>
  <c r="E3329" i="2"/>
  <c r="G3329" i="2"/>
  <c r="D3330" i="2"/>
  <c r="E3330" i="2"/>
  <c r="G3330" i="2"/>
  <c r="H3330" i="2"/>
  <c r="D3331" i="2"/>
  <c r="F3331" i="2" s="1"/>
  <c r="E3331" i="2"/>
  <c r="G3331" i="2"/>
  <c r="D3332" i="2"/>
  <c r="F3333" i="2" s="1"/>
  <c r="E3332" i="2"/>
  <c r="F3332" i="2"/>
  <c r="G3332" i="2"/>
  <c r="H3332" i="2"/>
  <c r="D3333" i="2"/>
  <c r="E3333" i="2"/>
  <c r="G3333" i="2"/>
  <c r="D3334" i="2"/>
  <c r="F3334" i="2" s="1"/>
  <c r="E3334" i="2"/>
  <c r="G3334" i="2"/>
  <c r="D3335" i="2"/>
  <c r="E3335" i="2"/>
  <c r="G3335" i="2"/>
  <c r="H3335" i="2"/>
  <c r="D3336" i="2"/>
  <c r="F3336" i="2" s="1"/>
  <c r="E3336" i="2"/>
  <c r="G3336" i="2"/>
  <c r="D3337" i="2"/>
  <c r="E3337" i="2"/>
  <c r="F3337" i="2"/>
  <c r="G3337" i="2"/>
  <c r="D3338" i="2"/>
  <c r="F3338" i="2" s="1"/>
  <c r="E3338" i="2"/>
  <c r="G3338" i="2"/>
  <c r="H3338" i="2"/>
  <c r="D3339" i="2"/>
  <c r="F3339" i="2" s="1"/>
  <c r="E3339" i="2"/>
  <c r="G3339" i="2"/>
  <c r="D3340" i="2"/>
  <c r="F3341" i="2" s="1"/>
  <c r="E3340" i="2"/>
  <c r="G3340" i="2"/>
  <c r="H3340" i="2"/>
  <c r="D3341" i="2"/>
  <c r="E3341" i="2"/>
  <c r="G3341" i="2"/>
  <c r="D3342" i="2"/>
  <c r="H3343" i="2" s="1"/>
  <c r="E3342" i="2"/>
  <c r="F3342" i="2"/>
  <c r="G3342" i="2"/>
  <c r="H3342" i="2"/>
  <c r="D3343" i="2"/>
  <c r="F3343" i="2" s="1"/>
  <c r="E3343" i="2"/>
  <c r="G3343" i="2"/>
  <c r="D3344" i="2"/>
  <c r="F3344" i="2" s="1"/>
  <c r="E3344" i="2"/>
  <c r="G3344" i="2"/>
  <c r="D3345" i="2"/>
  <c r="E3345" i="2"/>
  <c r="G3345" i="2"/>
  <c r="D3346" i="2"/>
  <c r="F3346" i="2" s="1"/>
  <c r="E3346" i="2"/>
  <c r="G3346" i="2"/>
  <c r="D3347" i="2"/>
  <c r="E3347" i="2"/>
  <c r="G3347" i="2"/>
  <c r="H3347" i="2"/>
  <c r="D3348" i="2"/>
  <c r="H3349" i="2" s="1"/>
  <c r="E3348" i="2"/>
  <c r="G3348" i="2"/>
  <c r="D3349" i="2"/>
  <c r="E3349" i="2"/>
  <c r="F3349" i="2"/>
  <c r="G3349" i="2"/>
  <c r="D3350" i="2"/>
  <c r="E3350" i="2"/>
  <c r="F3350" i="2"/>
  <c r="G3350" i="2"/>
  <c r="H3350" i="2"/>
  <c r="D3351" i="2"/>
  <c r="H3352" i="2" s="1"/>
  <c r="E3351" i="2"/>
  <c r="G3351" i="2"/>
  <c r="D3352" i="2"/>
  <c r="E3352" i="2"/>
  <c r="G3352" i="2"/>
  <c r="D3353" i="2"/>
  <c r="F3353" i="2" s="1"/>
  <c r="E3353" i="2"/>
  <c r="G3353" i="2"/>
  <c r="D3354" i="2"/>
  <c r="H3354" i="2" s="1"/>
  <c r="E3354" i="2"/>
  <c r="F3354" i="2"/>
  <c r="G3354" i="2"/>
  <c r="D3355" i="2"/>
  <c r="E3355" i="2"/>
  <c r="G3355" i="2"/>
  <c r="H3355" i="2"/>
  <c r="D3356" i="2"/>
  <c r="F3356" i="2" s="1"/>
  <c r="E3356" i="2"/>
  <c r="G3356" i="2"/>
  <c r="D3357" i="2"/>
  <c r="E3357" i="2"/>
  <c r="G3357" i="2"/>
  <c r="H3357" i="2"/>
  <c r="D3358" i="2"/>
  <c r="F3358" i="2" s="1"/>
  <c r="E3358" i="2"/>
  <c r="G3358" i="2"/>
  <c r="D3359" i="2"/>
  <c r="H3359" i="2" s="1"/>
  <c r="E3359" i="2"/>
  <c r="F3359" i="2"/>
  <c r="G3359" i="2"/>
  <c r="D3360" i="2"/>
  <c r="E3360" i="2"/>
  <c r="F3360" i="2"/>
  <c r="G3360" i="2"/>
  <c r="H3360" i="2"/>
  <c r="D3361" i="2"/>
  <c r="E3361" i="2"/>
  <c r="G3361" i="2"/>
  <c r="D3362" i="2"/>
  <c r="E3362" i="2"/>
  <c r="G3362" i="2"/>
  <c r="D3363" i="2"/>
  <c r="F3363" i="2" s="1"/>
  <c r="E3363" i="2"/>
  <c r="G3363" i="2"/>
  <c r="D3364" i="2"/>
  <c r="F3365" i="2" s="1"/>
  <c r="E3364" i="2"/>
  <c r="F3364" i="2"/>
  <c r="G3364" i="2"/>
  <c r="H3364" i="2"/>
  <c r="D3365" i="2"/>
  <c r="E3365" i="2"/>
  <c r="G3365" i="2"/>
  <c r="D3366" i="2"/>
  <c r="F3366" i="2" s="1"/>
  <c r="E3366" i="2"/>
  <c r="G3366" i="2"/>
  <c r="D3367" i="2"/>
  <c r="E3367" i="2"/>
  <c r="G3367" i="2"/>
  <c r="H3367" i="2"/>
  <c r="D3368" i="2"/>
  <c r="F3368" i="2" s="1"/>
  <c r="E3368" i="2"/>
  <c r="G3368" i="2"/>
  <c r="D3369" i="2"/>
  <c r="E3369" i="2"/>
  <c r="F3369" i="2"/>
  <c r="G3369" i="2"/>
  <c r="D3370" i="2"/>
  <c r="F3370" i="2" s="1"/>
  <c r="E3370" i="2"/>
  <c r="G3370" i="2"/>
  <c r="H3370" i="2"/>
  <c r="D3371" i="2"/>
  <c r="F3371" i="2" s="1"/>
  <c r="E3371" i="2"/>
  <c r="G3371" i="2"/>
  <c r="D3372" i="2"/>
  <c r="F3373" i="2" s="1"/>
  <c r="E3372" i="2"/>
  <c r="G3372" i="2"/>
  <c r="H3372" i="2"/>
  <c r="D3373" i="2"/>
  <c r="E3373" i="2"/>
  <c r="G3373" i="2"/>
  <c r="D3374" i="2"/>
  <c r="H3375" i="2" s="1"/>
  <c r="E3374" i="2"/>
  <c r="F3374" i="2"/>
  <c r="G3374" i="2"/>
  <c r="H3374" i="2"/>
  <c r="D3375" i="2"/>
  <c r="F3375" i="2" s="1"/>
  <c r="E3375" i="2"/>
  <c r="G3375" i="2"/>
  <c r="D3376" i="2"/>
  <c r="F3376" i="2" s="1"/>
  <c r="E3376" i="2"/>
  <c r="G3376" i="2"/>
  <c r="D3377" i="2"/>
  <c r="E3377" i="2"/>
  <c r="G3377" i="2"/>
  <c r="D3378" i="2"/>
  <c r="E3378" i="2"/>
  <c r="G3378" i="2"/>
  <c r="D3379" i="2"/>
  <c r="E3379" i="2"/>
  <c r="G3379" i="2"/>
  <c r="H3379" i="2"/>
  <c r="D3380" i="2"/>
  <c r="H3381" i="2" s="1"/>
  <c r="E3380" i="2"/>
  <c r="G3380" i="2"/>
  <c r="D3381" i="2"/>
  <c r="E3381" i="2"/>
  <c r="F3381" i="2"/>
  <c r="G3381" i="2"/>
  <c r="D3382" i="2"/>
  <c r="E3382" i="2"/>
  <c r="F3382" i="2"/>
  <c r="G3382" i="2"/>
  <c r="H3382" i="2"/>
  <c r="D3383" i="2"/>
  <c r="E3383" i="2"/>
  <c r="G3383" i="2"/>
  <c r="D3384" i="2"/>
  <c r="E3384" i="2"/>
  <c r="G3384" i="2"/>
  <c r="D3385" i="2"/>
  <c r="F3385" i="2" s="1"/>
  <c r="E3385" i="2"/>
  <c r="G3385" i="2"/>
  <c r="D3386" i="2"/>
  <c r="H3386" i="2" s="1"/>
  <c r="E3386" i="2"/>
  <c r="F3386" i="2"/>
  <c r="G3386" i="2"/>
  <c r="D3387" i="2"/>
  <c r="E3387" i="2"/>
  <c r="G3387" i="2"/>
  <c r="H3387" i="2"/>
  <c r="D3388" i="2"/>
  <c r="F3388" i="2" s="1"/>
  <c r="E3388" i="2"/>
  <c r="G3388" i="2"/>
  <c r="D3389" i="2"/>
  <c r="E3389" i="2"/>
  <c r="G3389" i="2"/>
  <c r="H3389" i="2"/>
  <c r="D3390" i="2"/>
  <c r="F3390" i="2" s="1"/>
  <c r="E3390" i="2"/>
  <c r="G3390" i="2"/>
  <c r="D3391" i="2"/>
  <c r="H3391" i="2" s="1"/>
  <c r="E3391" i="2"/>
  <c r="F3391" i="2"/>
  <c r="G3391" i="2"/>
  <c r="D3392" i="2"/>
  <c r="E3392" i="2"/>
  <c r="F3392" i="2"/>
  <c r="G3392" i="2"/>
  <c r="H3392" i="2"/>
  <c r="D3393" i="2"/>
  <c r="E3393" i="2"/>
  <c r="G3393" i="2"/>
  <c r="D3394" i="2"/>
  <c r="E3394" i="2"/>
  <c r="G3394" i="2"/>
  <c r="H3394" i="2"/>
  <c r="D3395" i="2"/>
  <c r="F3395" i="2" s="1"/>
  <c r="E3395" i="2"/>
  <c r="G3395" i="2"/>
  <c r="D3396" i="2"/>
  <c r="F3397" i="2" s="1"/>
  <c r="E3396" i="2"/>
  <c r="F3396" i="2"/>
  <c r="G3396" i="2"/>
  <c r="H3396" i="2"/>
  <c r="D3397" i="2"/>
  <c r="E3397" i="2"/>
  <c r="G3397" i="2"/>
  <c r="D3398" i="2"/>
  <c r="E3398" i="2"/>
  <c r="G3398" i="2"/>
  <c r="D3399" i="2"/>
  <c r="E3399" i="2"/>
  <c r="G3399" i="2"/>
  <c r="D3400" i="2"/>
  <c r="F3400" i="2" s="1"/>
  <c r="E3400" i="2"/>
  <c r="G3400" i="2"/>
  <c r="D3401" i="2"/>
  <c r="E3401" i="2"/>
  <c r="F3401" i="2"/>
  <c r="G3401" i="2"/>
  <c r="D3402" i="2"/>
  <c r="F3402" i="2" s="1"/>
  <c r="E3402" i="2"/>
  <c r="G3402" i="2"/>
  <c r="H3402" i="2"/>
  <c r="D3403" i="2"/>
  <c r="E3403" i="2"/>
  <c r="G3403" i="2"/>
  <c r="D3404" i="2"/>
  <c r="F3405" i="2" s="1"/>
  <c r="E3404" i="2"/>
  <c r="G3404" i="2"/>
  <c r="D3405" i="2"/>
  <c r="E3405" i="2"/>
  <c r="G3405" i="2"/>
  <c r="D3406" i="2"/>
  <c r="H3407" i="2" s="1"/>
  <c r="E3406" i="2"/>
  <c r="F3406" i="2"/>
  <c r="G3406" i="2"/>
  <c r="H3406" i="2"/>
  <c r="D3407" i="2"/>
  <c r="F3407" i="2" s="1"/>
  <c r="E3407" i="2"/>
  <c r="G3407" i="2"/>
  <c r="D3408" i="2"/>
  <c r="E3408" i="2"/>
  <c r="G3408" i="2"/>
  <c r="D3409" i="2"/>
  <c r="E3409" i="2"/>
  <c r="G3409" i="2"/>
  <c r="D3410" i="2"/>
  <c r="E3410" i="2"/>
  <c r="G3410" i="2"/>
  <c r="D3411" i="2"/>
  <c r="E3411" i="2"/>
  <c r="G3411" i="2"/>
  <c r="D3412" i="2"/>
  <c r="H3413" i="2" s="1"/>
  <c r="E3412" i="2"/>
  <c r="G3412" i="2"/>
  <c r="D3413" i="2"/>
  <c r="E3413" i="2"/>
  <c r="F3413" i="2"/>
  <c r="G3413" i="2"/>
  <c r="D3414" i="2"/>
  <c r="E3414" i="2"/>
  <c r="F3414" i="2"/>
  <c r="G3414" i="2"/>
  <c r="H3414" i="2"/>
  <c r="D3415" i="2"/>
  <c r="E3415" i="2"/>
  <c r="G3415" i="2"/>
  <c r="D3416" i="2"/>
  <c r="E3416" i="2"/>
  <c r="F3416" i="2"/>
  <c r="G3416" i="2"/>
  <c r="D3417" i="2"/>
  <c r="F3417" i="2" s="1"/>
  <c r="E3417" i="2"/>
  <c r="G3417" i="2"/>
  <c r="D3418" i="2"/>
  <c r="H3418" i="2" s="1"/>
  <c r="E3418" i="2"/>
  <c r="F3418" i="2"/>
  <c r="G3418" i="2"/>
  <c r="D3419" i="2"/>
  <c r="E3419" i="2"/>
  <c r="G3419" i="2"/>
  <c r="H3419" i="2"/>
  <c r="D3420" i="2"/>
  <c r="E3420" i="2"/>
  <c r="G3420" i="2"/>
  <c r="D3421" i="2"/>
  <c r="E3421" i="2"/>
  <c r="G3421" i="2"/>
  <c r="H3421" i="2"/>
  <c r="D3422" i="2"/>
  <c r="F3422" i="2" s="1"/>
  <c r="E3422" i="2"/>
  <c r="G3422" i="2"/>
  <c r="D3423" i="2"/>
  <c r="H3423" i="2" s="1"/>
  <c r="E3423" i="2"/>
  <c r="F3423" i="2"/>
  <c r="G3423" i="2"/>
  <c r="D3424" i="2"/>
  <c r="E3424" i="2"/>
  <c r="F3424" i="2"/>
  <c r="G3424" i="2"/>
  <c r="H3424" i="2"/>
  <c r="D3425" i="2"/>
  <c r="E3425" i="2"/>
  <c r="G3425" i="2"/>
  <c r="D3426" i="2"/>
  <c r="E3426" i="2"/>
  <c r="G3426" i="2"/>
  <c r="D3427" i="2"/>
  <c r="F3427" i="2" s="1"/>
  <c r="E3427" i="2"/>
  <c r="G3427" i="2"/>
  <c r="D3428" i="2"/>
  <c r="F3429" i="2" s="1"/>
  <c r="E3428" i="2"/>
  <c r="F3428" i="2"/>
  <c r="G3428" i="2"/>
  <c r="H3428" i="2"/>
  <c r="D3429" i="2"/>
  <c r="E3429" i="2"/>
  <c r="G3429" i="2"/>
  <c r="D3430" i="2"/>
  <c r="H3431" i="2" s="1"/>
  <c r="E3430" i="2"/>
  <c r="G3430" i="2"/>
  <c r="D3431" i="2"/>
  <c r="E3431" i="2"/>
  <c r="G3431" i="2"/>
  <c r="D3432" i="2"/>
  <c r="F3432" i="2" s="1"/>
  <c r="E3432" i="2"/>
  <c r="G3432" i="2"/>
  <c r="D3433" i="2"/>
  <c r="E3433" i="2"/>
  <c r="F3433" i="2"/>
  <c r="G3433" i="2"/>
  <c r="D3434" i="2"/>
  <c r="F3434" i="2" s="1"/>
  <c r="E3434" i="2"/>
  <c r="G3434" i="2"/>
  <c r="H3434" i="2"/>
  <c r="D3435" i="2"/>
  <c r="E3435" i="2"/>
  <c r="G3435" i="2"/>
  <c r="D3436" i="2"/>
  <c r="E3436" i="2"/>
  <c r="G3436" i="2"/>
  <c r="H3436" i="2"/>
  <c r="D3437" i="2"/>
  <c r="F3437" i="2" s="1"/>
  <c r="E3437" i="2"/>
  <c r="G3437" i="2"/>
  <c r="D3438" i="2"/>
  <c r="H3438" i="2" s="1"/>
  <c r="E3438" i="2"/>
  <c r="F3438" i="2"/>
  <c r="G3438" i="2"/>
  <c r="D3439" i="2"/>
  <c r="E3439" i="2"/>
  <c r="F3439" i="2"/>
  <c r="G3439" i="2"/>
  <c r="H3439" i="2"/>
  <c r="D3440" i="2"/>
  <c r="E3440" i="2"/>
  <c r="G3440" i="2"/>
  <c r="D3441" i="2"/>
  <c r="H3442" i="2" s="1"/>
  <c r="E3441" i="2"/>
  <c r="G3441" i="2"/>
  <c r="D3442" i="2"/>
  <c r="F3442" i="2" s="1"/>
  <c r="E3442" i="2"/>
  <c r="G3442" i="2"/>
  <c r="D3443" i="2"/>
  <c r="E3443" i="2"/>
  <c r="G3443" i="2"/>
  <c r="D3444" i="2"/>
  <c r="E3444" i="2"/>
  <c r="G3444" i="2"/>
  <c r="H3444" i="2"/>
  <c r="D3445" i="2"/>
  <c r="F3445" i="2" s="1"/>
  <c r="E3445" i="2"/>
  <c r="G3445" i="2"/>
  <c r="D3446" i="2"/>
  <c r="H3446" i="2" s="1"/>
  <c r="E3446" i="2"/>
  <c r="F3446" i="2"/>
  <c r="G3446" i="2"/>
  <c r="D3447" i="2"/>
  <c r="E3447" i="2"/>
  <c r="F3447" i="2"/>
  <c r="G3447" i="2"/>
  <c r="H3447" i="2"/>
  <c r="D3448" i="2"/>
  <c r="E3448" i="2"/>
  <c r="G3448" i="2"/>
  <c r="D3449" i="2"/>
  <c r="H3450" i="2" s="1"/>
  <c r="E3449" i="2"/>
  <c r="F3449" i="2"/>
  <c r="G3449" i="2"/>
  <c r="D3450" i="2"/>
  <c r="F3450" i="2" s="1"/>
  <c r="E3450" i="2"/>
  <c r="G3450" i="2"/>
  <c r="D3451" i="2"/>
  <c r="E3451" i="2"/>
  <c r="G3451" i="2"/>
  <c r="D3452" i="2"/>
  <c r="E3452" i="2"/>
  <c r="G3452" i="2"/>
  <c r="D3453" i="2"/>
  <c r="F3453" i="2" s="1"/>
  <c r="E3453" i="2"/>
  <c r="G3453" i="2"/>
  <c r="D3454" i="2"/>
  <c r="H3454" i="2" s="1"/>
  <c r="E3454" i="2"/>
  <c r="F3454" i="2"/>
  <c r="G3454" i="2"/>
  <c r="D3455" i="2"/>
  <c r="E3455" i="2"/>
  <c r="F3455" i="2"/>
  <c r="G3455" i="2"/>
  <c r="H3455" i="2"/>
  <c r="D3456" i="2"/>
  <c r="E3456" i="2"/>
  <c r="G3456" i="2"/>
  <c r="D3457" i="2"/>
  <c r="H3458" i="2" s="1"/>
  <c r="E3457" i="2"/>
  <c r="G3457" i="2"/>
  <c r="D3458" i="2"/>
  <c r="F3458" i="2" s="1"/>
  <c r="E3458" i="2"/>
  <c r="G3458" i="2"/>
  <c r="D3459" i="2"/>
  <c r="H3460" i="2" s="1"/>
  <c r="E3459" i="2"/>
  <c r="G3459" i="2"/>
  <c r="D3460" i="2"/>
  <c r="E3460" i="2"/>
  <c r="G3460" i="2"/>
  <c r="D3461" i="2"/>
  <c r="F3461" i="2" s="1"/>
  <c r="E3461" i="2"/>
  <c r="G3461" i="2"/>
  <c r="D3462" i="2"/>
  <c r="H3462" i="2" s="1"/>
  <c r="E3462" i="2"/>
  <c r="F3462" i="2"/>
  <c r="G3462" i="2"/>
  <c r="D3463" i="2"/>
  <c r="E3463" i="2"/>
  <c r="F3463" i="2"/>
  <c r="G3463" i="2"/>
  <c r="H3463" i="2"/>
  <c r="D3464" i="2"/>
  <c r="E3464" i="2"/>
  <c r="G3464" i="2"/>
  <c r="D3465" i="2"/>
  <c r="H3466" i="2" s="1"/>
  <c r="E3465" i="2"/>
  <c r="F3465" i="2"/>
  <c r="G3465" i="2"/>
  <c r="D3466" i="2"/>
  <c r="F3466" i="2" s="1"/>
  <c r="E3466" i="2"/>
  <c r="G3466" i="2"/>
  <c r="D3467" i="2"/>
  <c r="E3467" i="2"/>
  <c r="G3467" i="2"/>
  <c r="D3468" i="2"/>
  <c r="E3468" i="2"/>
  <c r="G3468" i="2"/>
  <c r="D3469" i="2"/>
  <c r="F3469" i="2" s="1"/>
  <c r="E3469" i="2"/>
  <c r="G3469" i="2"/>
  <c r="D3470" i="2"/>
  <c r="H3470" i="2" s="1"/>
  <c r="E3470" i="2"/>
  <c r="F3470" i="2"/>
  <c r="G3470" i="2"/>
  <c r="D3471" i="2"/>
  <c r="E3471" i="2"/>
  <c r="F3471" i="2"/>
  <c r="G3471" i="2"/>
  <c r="H3471" i="2"/>
  <c r="D3472" i="2"/>
  <c r="E3472" i="2"/>
  <c r="G3472" i="2"/>
  <c r="D3473" i="2"/>
  <c r="H3474" i="2" s="1"/>
  <c r="E3473" i="2"/>
  <c r="F3473" i="2"/>
  <c r="G3473" i="2"/>
  <c r="D3474" i="2"/>
  <c r="F3474" i="2" s="1"/>
  <c r="E3474" i="2"/>
  <c r="G3474" i="2"/>
  <c r="D3475" i="2"/>
  <c r="E3475" i="2"/>
  <c r="G3475" i="2"/>
  <c r="D3476" i="2"/>
  <c r="E3476" i="2"/>
  <c r="G3476" i="2"/>
  <c r="H3476" i="2"/>
  <c r="D3477" i="2"/>
  <c r="F3477" i="2" s="1"/>
  <c r="E3477" i="2"/>
  <c r="G3477" i="2"/>
  <c r="D3478" i="2"/>
  <c r="H3478" i="2" s="1"/>
  <c r="E3478" i="2"/>
  <c r="F3478" i="2"/>
  <c r="G3478" i="2"/>
  <c r="D3479" i="2"/>
  <c r="E3479" i="2"/>
  <c r="F3479" i="2"/>
  <c r="G3479" i="2"/>
  <c r="H3479" i="2"/>
  <c r="D3480" i="2"/>
  <c r="E3480" i="2"/>
  <c r="G3480" i="2"/>
  <c r="D3481" i="2"/>
  <c r="H3482" i="2" s="1"/>
  <c r="E3481" i="2"/>
  <c r="G3481" i="2"/>
  <c r="D3482" i="2"/>
  <c r="F3482" i="2" s="1"/>
  <c r="E3482" i="2"/>
  <c r="G3482" i="2"/>
  <c r="D3483" i="2"/>
  <c r="H3484" i="2" s="1"/>
  <c r="E3483" i="2"/>
  <c r="G3483" i="2"/>
  <c r="D3484" i="2"/>
  <c r="E3484" i="2"/>
  <c r="G3484" i="2"/>
  <c r="D3485" i="2"/>
  <c r="F3485" i="2" s="1"/>
  <c r="E3485" i="2"/>
  <c r="G3485" i="2"/>
  <c r="D3486" i="2"/>
  <c r="H3486" i="2" s="1"/>
  <c r="E3486" i="2"/>
  <c r="F3486" i="2"/>
  <c r="G3486" i="2"/>
  <c r="D3487" i="2"/>
  <c r="E3487" i="2"/>
  <c r="F3487" i="2"/>
  <c r="G3487" i="2"/>
  <c r="H3487" i="2"/>
  <c r="D3488" i="2"/>
  <c r="E3488" i="2"/>
  <c r="G3488" i="2"/>
  <c r="D3489" i="2"/>
  <c r="H3490" i="2" s="1"/>
  <c r="E3489" i="2"/>
  <c r="F3489" i="2"/>
  <c r="G3489" i="2"/>
  <c r="D3490" i="2"/>
  <c r="F3490" i="2" s="1"/>
  <c r="E3490" i="2"/>
  <c r="G3490" i="2"/>
  <c r="D3491" i="2"/>
  <c r="E3491" i="2"/>
  <c r="G3491" i="2"/>
  <c r="D3492" i="2"/>
  <c r="E3492" i="2"/>
  <c r="G3492" i="2"/>
  <c r="D3493" i="2"/>
  <c r="F3493" i="2" s="1"/>
  <c r="E3493" i="2"/>
  <c r="G3493" i="2"/>
  <c r="D3494" i="2"/>
  <c r="H3494" i="2" s="1"/>
  <c r="E3494" i="2"/>
  <c r="F3494" i="2"/>
  <c r="G3494" i="2"/>
  <c r="D3495" i="2"/>
  <c r="E3495" i="2"/>
  <c r="F3495" i="2"/>
  <c r="G3495" i="2"/>
  <c r="H3495" i="2"/>
  <c r="D3496" i="2"/>
  <c r="F3497" i="2" s="1"/>
  <c r="E3496" i="2"/>
  <c r="G3496" i="2"/>
  <c r="D3497" i="2"/>
  <c r="H3498" i="2" s="1"/>
  <c r="E3497" i="2"/>
  <c r="G3497" i="2"/>
  <c r="D3498" i="2"/>
  <c r="F3498" i="2" s="1"/>
  <c r="E3498" i="2"/>
  <c r="G3498" i="2"/>
  <c r="D3499" i="2"/>
  <c r="E3499" i="2"/>
  <c r="F3499" i="2"/>
  <c r="G3499" i="2"/>
  <c r="D3500" i="2"/>
  <c r="E3500" i="2"/>
  <c r="G3500" i="2"/>
  <c r="D3501" i="2"/>
  <c r="E3501" i="2"/>
  <c r="G3501" i="2"/>
  <c r="D3502" i="2"/>
  <c r="H3502" i="2" s="1"/>
  <c r="E3502" i="2"/>
  <c r="F3502" i="2"/>
  <c r="G3502" i="2"/>
  <c r="D3503" i="2"/>
  <c r="E3503" i="2"/>
  <c r="F3503" i="2"/>
  <c r="G3503" i="2"/>
  <c r="H3503" i="2"/>
  <c r="D3504" i="2"/>
  <c r="E3504" i="2"/>
  <c r="G3504" i="2"/>
  <c r="D3505" i="2"/>
  <c r="H3506" i="2" s="1"/>
  <c r="E3505" i="2"/>
  <c r="G3505" i="2"/>
  <c r="H3505" i="2"/>
  <c r="D3506" i="2"/>
  <c r="F3506" i="2" s="1"/>
  <c r="E3506" i="2"/>
  <c r="G3506" i="2"/>
  <c r="D3507" i="2"/>
  <c r="F3507" i="2" s="1"/>
  <c r="E3507" i="2"/>
  <c r="G3507" i="2"/>
  <c r="D3508" i="2"/>
  <c r="E3508" i="2"/>
  <c r="G3508" i="2"/>
  <c r="H3508" i="2"/>
  <c r="D3509" i="2"/>
  <c r="F3509" i="2" s="1"/>
  <c r="E3509" i="2"/>
  <c r="G3509" i="2"/>
  <c r="H3509" i="2"/>
  <c r="D3510" i="2"/>
  <c r="H3510" i="2" s="1"/>
  <c r="E3510" i="2"/>
  <c r="F3510" i="2"/>
  <c r="G3510" i="2"/>
  <c r="D3511" i="2"/>
  <c r="E3511" i="2"/>
  <c r="F3511" i="2"/>
  <c r="G3511" i="2"/>
  <c r="H3511" i="2"/>
  <c r="D3512" i="2"/>
  <c r="E3512" i="2"/>
  <c r="G3512" i="2"/>
  <c r="D3513" i="2"/>
  <c r="H3514" i="2" s="1"/>
  <c r="E3513" i="2"/>
  <c r="G3513" i="2"/>
  <c r="H3513" i="2"/>
  <c r="D3514" i="2"/>
  <c r="F3514" i="2" s="1"/>
  <c r="E3514" i="2"/>
  <c r="G3514" i="2"/>
  <c r="D3515" i="2"/>
  <c r="F3515" i="2" s="1"/>
  <c r="E3515" i="2"/>
  <c r="G3515" i="2"/>
  <c r="D3516" i="2"/>
  <c r="E3516" i="2"/>
  <c r="G3516" i="2"/>
  <c r="H3516" i="2"/>
  <c r="D3517" i="2"/>
  <c r="F3517" i="2" s="1"/>
  <c r="E3517" i="2"/>
  <c r="G3517" i="2"/>
  <c r="H3517" i="2"/>
  <c r="D3518" i="2"/>
  <c r="H3518" i="2" s="1"/>
  <c r="E3518" i="2"/>
  <c r="F3518" i="2"/>
  <c r="G3518" i="2"/>
  <c r="D3519" i="2"/>
  <c r="E3519" i="2"/>
  <c r="F3519" i="2"/>
  <c r="G3519" i="2"/>
  <c r="H3519" i="2"/>
  <c r="D3520" i="2"/>
  <c r="E3520" i="2"/>
  <c r="G3520" i="2"/>
  <c r="D3521" i="2"/>
  <c r="H3522" i="2" s="1"/>
  <c r="E3521" i="2"/>
  <c r="G3521" i="2"/>
  <c r="H3521" i="2"/>
  <c r="D3522" i="2"/>
  <c r="F3522" i="2" s="1"/>
  <c r="E3522" i="2"/>
  <c r="G3522" i="2"/>
  <c r="D3523" i="2"/>
  <c r="F3523" i="2" s="1"/>
  <c r="E3523" i="2"/>
  <c r="G3523" i="2"/>
  <c r="D3524" i="2"/>
  <c r="E3524" i="2"/>
  <c r="G3524" i="2"/>
  <c r="H3524" i="2"/>
  <c r="D3525" i="2"/>
  <c r="F3525" i="2" s="1"/>
  <c r="E3525" i="2"/>
  <c r="G3525" i="2"/>
  <c r="D3526" i="2"/>
  <c r="H3526" i="2" s="1"/>
  <c r="E3526" i="2"/>
  <c r="F3526" i="2"/>
  <c r="G3526" i="2"/>
  <c r="D3527" i="2"/>
  <c r="E3527" i="2"/>
  <c r="F3527" i="2"/>
  <c r="G3527" i="2"/>
  <c r="H3527" i="2"/>
  <c r="D3528" i="2"/>
  <c r="E3528" i="2"/>
  <c r="G3528" i="2"/>
  <c r="D3529" i="2"/>
  <c r="H3530" i="2" s="1"/>
  <c r="E3529" i="2"/>
  <c r="G3529" i="2"/>
  <c r="D3530" i="2"/>
  <c r="F3530" i="2" s="1"/>
  <c r="E3530" i="2"/>
  <c r="G3530" i="2"/>
  <c r="D3531" i="2"/>
  <c r="F3531" i="2" s="1"/>
  <c r="E3531" i="2"/>
  <c r="G3531" i="2"/>
  <c r="D3532" i="2"/>
  <c r="E3532" i="2"/>
  <c r="G3532" i="2"/>
  <c r="H3532" i="2"/>
  <c r="D3533" i="2"/>
  <c r="F3533" i="2" s="1"/>
  <c r="E3533" i="2"/>
  <c r="G3533" i="2"/>
  <c r="D3534" i="2"/>
  <c r="E3534" i="2"/>
  <c r="F3534" i="2"/>
  <c r="G3534" i="2"/>
  <c r="D3535" i="2"/>
  <c r="E3535" i="2"/>
  <c r="F3535" i="2"/>
  <c r="G3535" i="2"/>
  <c r="H3535" i="2"/>
  <c r="D3536" i="2"/>
  <c r="E3536" i="2"/>
  <c r="G3536" i="2"/>
  <c r="D3537" i="2"/>
  <c r="H3538" i="2" s="1"/>
  <c r="E3537" i="2"/>
  <c r="G3537" i="2"/>
  <c r="D3538" i="2"/>
  <c r="F3538" i="2" s="1"/>
  <c r="E3538" i="2"/>
  <c r="G3538" i="2"/>
  <c r="D3539" i="2"/>
  <c r="F3539" i="2" s="1"/>
  <c r="E3539" i="2"/>
  <c r="G3539" i="2"/>
  <c r="D3540" i="2"/>
  <c r="E3540" i="2"/>
  <c r="G3540" i="2"/>
  <c r="D3541" i="2"/>
  <c r="F3541" i="2" s="1"/>
  <c r="E3541" i="2"/>
  <c r="G3541" i="2"/>
  <c r="D3542" i="2"/>
  <c r="E3542" i="2"/>
  <c r="F3542" i="2"/>
  <c r="G3542" i="2"/>
  <c r="D3543" i="2"/>
  <c r="E3543" i="2"/>
  <c r="F3543" i="2"/>
  <c r="G3543" i="2"/>
  <c r="H3543" i="2"/>
  <c r="D3544" i="2"/>
  <c r="E3544" i="2"/>
  <c r="G3544" i="2"/>
  <c r="D3545" i="2"/>
  <c r="H3546" i="2" s="1"/>
  <c r="E3545" i="2"/>
  <c r="G3545" i="2"/>
  <c r="D3546" i="2"/>
  <c r="E3546" i="2"/>
  <c r="G3546" i="2"/>
  <c r="D3547" i="2"/>
  <c r="F3547" i="2" s="1"/>
  <c r="E3547" i="2"/>
  <c r="G3547" i="2"/>
  <c r="D3548" i="2"/>
  <c r="E3548" i="2"/>
  <c r="G3548" i="2"/>
  <c r="D3549" i="2"/>
  <c r="F3549" i="2" s="1"/>
  <c r="E3549" i="2"/>
  <c r="G3549" i="2"/>
  <c r="D3550" i="2"/>
  <c r="E3550" i="2"/>
  <c r="F3550" i="2"/>
  <c r="G3550" i="2"/>
  <c r="D3551" i="2"/>
  <c r="E3551" i="2"/>
  <c r="G3551" i="2"/>
  <c r="H3551" i="2"/>
  <c r="D3552" i="2"/>
  <c r="E3552" i="2"/>
  <c r="G3552" i="2"/>
  <c r="D3553" i="2"/>
  <c r="F3553" i="2" s="1"/>
  <c r="E3553" i="2"/>
  <c r="G3553" i="2"/>
  <c r="D3554" i="2"/>
  <c r="E3554" i="2"/>
  <c r="G3554" i="2"/>
  <c r="H3554" i="2"/>
  <c r="D3555" i="2"/>
  <c r="H3555" i="2" s="1"/>
  <c r="E3555" i="2"/>
  <c r="F3555" i="2"/>
  <c r="G3555" i="2"/>
  <c r="D3556" i="2"/>
  <c r="E3556" i="2"/>
  <c r="F3556" i="2"/>
  <c r="G3556" i="2"/>
  <c r="H3556" i="2"/>
  <c r="D3557" i="2"/>
  <c r="F3557" i="2" s="1"/>
  <c r="E3557" i="2"/>
  <c r="G3557" i="2"/>
  <c r="H3557" i="2"/>
  <c r="D3558" i="2"/>
  <c r="H3558" i="2" s="1"/>
  <c r="E3558" i="2"/>
  <c r="G3558" i="2"/>
  <c r="D3559" i="2"/>
  <c r="E3559" i="2"/>
  <c r="G3559" i="2"/>
  <c r="H3559" i="2"/>
  <c r="D3560" i="2"/>
  <c r="F3561" i="2" s="1"/>
  <c r="E3560" i="2"/>
  <c r="G3560" i="2"/>
  <c r="D3561" i="2"/>
  <c r="E3561" i="2"/>
  <c r="G3561" i="2"/>
  <c r="H3561" i="2"/>
  <c r="D3562" i="2"/>
  <c r="F3562" i="2" s="1"/>
  <c r="E3562" i="2"/>
  <c r="G3562" i="2"/>
  <c r="H3562" i="2"/>
  <c r="D3563" i="2"/>
  <c r="H3563" i="2" s="1"/>
  <c r="E3563" i="2"/>
  <c r="F3563" i="2"/>
  <c r="G3563" i="2"/>
  <c r="D3564" i="2"/>
  <c r="E3564" i="2"/>
  <c r="G3564" i="2"/>
  <c r="H3564" i="2"/>
  <c r="D3565" i="2"/>
  <c r="F3565" i="2" s="1"/>
  <c r="E3565" i="2"/>
  <c r="G3565" i="2"/>
  <c r="H3565" i="2"/>
  <c r="D3566" i="2"/>
  <c r="H3566" i="2" s="1"/>
  <c r="E3566" i="2"/>
  <c r="G3566" i="2"/>
  <c r="D3567" i="2"/>
  <c r="E3567" i="2"/>
  <c r="G3567" i="2"/>
  <c r="H3567" i="2"/>
  <c r="D3568" i="2"/>
  <c r="E3568" i="2"/>
  <c r="G3568" i="2"/>
  <c r="D3569" i="2"/>
  <c r="E3569" i="2"/>
  <c r="F3569" i="2"/>
  <c r="G3569" i="2"/>
  <c r="H3569" i="2"/>
  <c r="D3570" i="2"/>
  <c r="E3570" i="2"/>
  <c r="G3570" i="2"/>
  <c r="H3570" i="2"/>
  <c r="D3571" i="2"/>
  <c r="F3571" i="2" s="1"/>
  <c r="E3571" i="2"/>
  <c r="G3571" i="2"/>
  <c r="D3572" i="2"/>
  <c r="E3572" i="2"/>
  <c r="G3572" i="2"/>
  <c r="H3572" i="2"/>
  <c r="D3573" i="2"/>
  <c r="F3573" i="2" s="1"/>
  <c r="E3573" i="2"/>
  <c r="G3573" i="2"/>
  <c r="D3574" i="2"/>
  <c r="E3574" i="2"/>
  <c r="F3574" i="2"/>
  <c r="G3574" i="2"/>
  <c r="D3575" i="2"/>
  <c r="F3575" i="2" s="1"/>
  <c r="E3575" i="2"/>
  <c r="G3575" i="2"/>
  <c r="D3576" i="2"/>
  <c r="E3576" i="2"/>
  <c r="G3576" i="2"/>
  <c r="D3577" i="2"/>
  <c r="F3577" i="2" s="1"/>
  <c r="E3577" i="2"/>
  <c r="G3577" i="2"/>
  <c r="D3578" i="2"/>
  <c r="E3578" i="2"/>
  <c r="G3578" i="2"/>
  <c r="H3578" i="2"/>
  <c r="D3579" i="2"/>
  <c r="H3580" i="2" s="1"/>
  <c r="E3579" i="2"/>
  <c r="F3579" i="2"/>
  <c r="G3579" i="2"/>
  <c r="H3579" i="2"/>
  <c r="D3580" i="2"/>
  <c r="E3580" i="2"/>
  <c r="F3580" i="2"/>
  <c r="G3580" i="2"/>
  <c r="D3581" i="2"/>
  <c r="E3581" i="2"/>
  <c r="F3581" i="2"/>
  <c r="G3581" i="2"/>
  <c r="H3581" i="2"/>
  <c r="D3582" i="2"/>
  <c r="H3582" i="2" s="1"/>
  <c r="E3582" i="2"/>
  <c r="G3582" i="2"/>
  <c r="D3583" i="2"/>
  <c r="E3583" i="2"/>
  <c r="G3583" i="2"/>
  <c r="H3583" i="2"/>
  <c r="D3584" i="2"/>
  <c r="E3584" i="2"/>
  <c r="G3584" i="2"/>
  <c r="D3585" i="2"/>
  <c r="E3585" i="2"/>
  <c r="F3585" i="2"/>
  <c r="G3585" i="2"/>
  <c r="H3585" i="2"/>
  <c r="D3586" i="2"/>
  <c r="E3586" i="2"/>
  <c r="G3586" i="2"/>
  <c r="H3586" i="2"/>
  <c r="D3587" i="2"/>
  <c r="F3587" i="2" s="1"/>
  <c r="E3587" i="2"/>
  <c r="G3587" i="2"/>
  <c r="D3588" i="2"/>
  <c r="E3588" i="2"/>
  <c r="G3588" i="2"/>
  <c r="H3588" i="2"/>
  <c r="D3589" i="2"/>
  <c r="F3589" i="2" s="1"/>
  <c r="E3589" i="2"/>
  <c r="G3589" i="2"/>
  <c r="D3590" i="2"/>
  <c r="E3590" i="2"/>
  <c r="F3590" i="2"/>
  <c r="G3590" i="2"/>
  <c r="D3591" i="2"/>
  <c r="F3591" i="2" s="1"/>
  <c r="E3591" i="2"/>
  <c r="G3591" i="2"/>
  <c r="D3592" i="2"/>
  <c r="E3592" i="2"/>
  <c r="G3592" i="2"/>
  <c r="D3593" i="2"/>
  <c r="F3593" i="2" s="1"/>
  <c r="E3593" i="2"/>
  <c r="G3593" i="2"/>
  <c r="D3594" i="2"/>
  <c r="E3594" i="2"/>
  <c r="G3594" i="2"/>
  <c r="H3594" i="2"/>
  <c r="D3595" i="2"/>
  <c r="H3596" i="2" s="1"/>
  <c r="E3595" i="2"/>
  <c r="F3595" i="2"/>
  <c r="G3595" i="2"/>
  <c r="H3595" i="2"/>
  <c r="D3596" i="2"/>
  <c r="E3596" i="2"/>
  <c r="F3596" i="2"/>
  <c r="G3596" i="2"/>
  <c r="D3597" i="2"/>
  <c r="E3597" i="2"/>
  <c r="F3597" i="2"/>
  <c r="G3597" i="2"/>
  <c r="H3597" i="2"/>
  <c r="D3598" i="2"/>
  <c r="H3598" i="2" s="1"/>
  <c r="E3598" i="2"/>
  <c r="G3598" i="2"/>
  <c r="D3599" i="2"/>
  <c r="E3599" i="2"/>
  <c r="G3599" i="2"/>
  <c r="H3599" i="2"/>
  <c r="D3600" i="2"/>
  <c r="E3600" i="2"/>
  <c r="G3600" i="2"/>
  <c r="D3601" i="2"/>
  <c r="E3601" i="2"/>
  <c r="F3601" i="2"/>
  <c r="G3601" i="2"/>
  <c r="H3601" i="2"/>
  <c r="D3602" i="2"/>
  <c r="E3602" i="2"/>
  <c r="G3602" i="2"/>
  <c r="H3602" i="2"/>
  <c r="D3603" i="2"/>
  <c r="F3603" i="2" s="1"/>
  <c r="E3603" i="2"/>
  <c r="G3603" i="2"/>
  <c r="D3604" i="2"/>
  <c r="E3604" i="2"/>
  <c r="G3604" i="2"/>
  <c r="H3604" i="2"/>
  <c r="D3605" i="2"/>
  <c r="F3605" i="2" s="1"/>
  <c r="E3605" i="2"/>
  <c r="G3605" i="2"/>
  <c r="D3606" i="2"/>
  <c r="E3606" i="2"/>
  <c r="F3606" i="2"/>
  <c r="G3606" i="2"/>
  <c r="D3607" i="2"/>
  <c r="F3607" i="2" s="1"/>
  <c r="E3607" i="2"/>
  <c r="G3607" i="2"/>
  <c r="D3608" i="2"/>
  <c r="E3608" i="2"/>
  <c r="G3608" i="2"/>
  <c r="D3609" i="2"/>
  <c r="F3609" i="2" s="1"/>
  <c r="E3609" i="2"/>
  <c r="G3609" i="2"/>
  <c r="D3610" i="2"/>
  <c r="E3610" i="2"/>
  <c r="G3610" i="2"/>
  <c r="H3610" i="2"/>
  <c r="D3611" i="2"/>
  <c r="H3612" i="2" s="1"/>
  <c r="E3611" i="2"/>
  <c r="F3611" i="2"/>
  <c r="G3611" i="2"/>
  <c r="H3611" i="2"/>
  <c r="D3612" i="2"/>
  <c r="E3612" i="2"/>
  <c r="F3612" i="2"/>
  <c r="G3612" i="2"/>
  <c r="D3613" i="2"/>
  <c r="E3613" i="2"/>
  <c r="F3613" i="2"/>
  <c r="G3613" i="2"/>
  <c r="H3613" i="2"/>
  <c r="D3614" i="2"/>
  <c r="H3614" i="2" s="1"/>
  <c r="E3614" i="2"/>
  <c r="G3614" i="2"/>
  <c r="D3615" i="2"/>
  <c r="E3615" i="2"/>
  <c r="G3615" i="2"/>
  <c r="H3615" i="2"/>
  <c r="D3616" i="2"/>
  <c r="E3616" i="2"/>
  <c r="G3616" i="2"/>
  <c r="D3617" i="2"/>
  <c r="E3617" i="2"/>
  <c r="F3617" i="2"/>
  <c r="G3617" i="2"/>
  <c r="H3617" i="2"/>
  <c r="D3618" i="2"/>
  <c r="E3618" i="2"/>
  <c r="G3618" i="2"/>
  <c r="H3618" i="2"/>
  <c r="D3619" i="2"/>
  <c r="H3620" i="2" s="1"/>
  <c r="E3619" i="2"/>
  <c r="G3619" i="2"/>
  <c r="D3620" i="2"/>
  <c r="E3620" i="2"/>
  <c r="G3620" i="2"/>
  <c r="D3621" i="2"/>
  <c r="F3621" i="2" s="1"/>
  <c r="E3621" i="2"/>
  <c r="G3621" i="2"/>
  <c r="D3622" i="2"/>
  <c r="F3623" i="2" s="1"/>
  <c r="E3622" i="2"/>
  <c r="F3622" i="2"/>
  <c r="G3622" i="2"/>
  <c r="H3622" i="2"/>
  <c r="D3623" i="2"/>
  <c r="E3623" i="2"/>
  <c r="G3623" i="2"/>
  <c r="H3623" i="2"/>
  <c r="D3624" i="2"/>
  <c r="H3625" i="2" s="1"/>
  <c r="E3624" i="2"/>
  <c r="F3624" i="2"/>
  <c r="G3624" i="2"/>
  <c r="D3625" i="2"/>
  <c r="E3625" i="2"/>
  <c r="F3625" i="2"/>
  <c r="G3625" i="2"/>
  <c r="D3626" i="2"/>
  <c r="F3626" i="2" s="1"/>
  <c r="E3626" i="2"/>
  <c r="G3626" i="2"/>
  <c r="D3627" i="2"/>
  <c r="H3628" i="2" s="1"/>
  <c r="E3627" i="2"/>
  <c r="G3627" i="2"/>
  <c r="D3628" i="2"/>
  <c r="E3628" i="2"/>
  <c r="G3628" i="2"/>
  <c r="D3629" i="2"/>
  <c r="F3629" i="2" s="1"/>
  <c r="E3629" i="2"/>
  <c r="G3629" i="2"/>
  <c r="D3630" i="2"/>
  <c r="F3631" i="2" s="1"/>
  <c r="E3630" i="2"/>
  <c r="F3630" i="2"/>
  <c r="G3630" i="2"/>
  <c r="H3630" i="2"/>
  <c r="D3631" i="2"/>
  <c r="E3631" i="2"/>
  <c r="G3631" i="2"/>
  <c r="H3631" i="2"/>
  <c r="D3632" i="2"/>
  <c r="H3633" i="2" s="1"/>
  <c r="E3632" i="2"/>
  <c r="F3632" i="2"/>
  <c r="G3632" i="2"/>
  <c r="D3633" i="2"/>
  <c r="E3633" i="2"/>
  <c r="F3633" i="2"/>
  <c r="G3633" i="2"/>
  <c r="D3634" i="2"/>
  <c r="F3634" i="2" s="1"/>
  <c r="E3634" i="2"/>
  <c r="G3634" i="2"/>
  <c r="D3635" i="2"/>
  <c r="H3636" i="2" s="1"/>
  <c r="E3635" i="2"/>
  <c r="G3635" i="2"/>
  <c r="D3636" i="2"/>
  <c r="E3636" i="2"/>
  <c r="G3636" i="2"/>
  <c r="D3637" i="2"/>
  <c r="F3637" i="2" s="1"/>
  <c r="E3637" i="2"/>
  <c r="G3637" i="2"/>
  <c r="D3638" i="2"/>
  <c r="F3639" i="2" s="1"/>
  <c r="E3638" i="2"/>
  <c r="F3638" i="2"/>
  <c r="G3638" i="2"/>
  <c r="H3638" i="2"/>
  <c r="D3639" i="2"/>
  <c r="E3639" i="2"/>
  <c r="G3639" i="2"/>
  <c r="H3639" i="2"/>
  <c r="D3640" i="2"/>
  <c r="H3641" i="2" s="1"/>
  <c r="E3640" i="2"/>
  <c r="F3640" i="2"/>
  <c r="G3640" i="2"/>
  <c r="D3641" i="2"/>
  <c r="E3641" i="2"/>
  <c r="F3641" i="2"/>
  <c r="G3641" i="2"/>
  <c r="D3642" i="2"/>
  <c r="F3642" i="2" s="1"/>
  <c r="E3642" i="2"/>
  <c r="G3642" i="2"/>
  <c r="D3643" i="2"/>
  <c r="H3644" i="2" s="1"/>
  <c r="E3643" i="2"/>
  <c r="G3643" i="2"/>
  <c r="D3644" i="2"/>
  <c r="E3644" i="2"/>
  <c r="G3644" i="2"/>
  <c r="D3645" i="2"/>
  <c r="F3645" i="2" s="1"/>
  <c r="E3645" i="2"/>
  <c r="G3645" i="2"/>
  <c r="D3646" i="2"/>
  <c r="F3647" i="2" s="1"/>
  <c r="E3646" i="2"/>
  <c r="F3646" i="2"/>
  <c r="G3646" i="2"/>
  <c r="H3646" i="2"/>
  <c r="D3647" i="2"/>
  <c r="E3647" i="2"/>
  <c r="G3647" i="2"/>
  <c r="H3647" i="2"/>
  <c r="D3648" i="2"/>
  <c r="H3649" i="2" s="1"/>
  <c r="E3648" i="2"/>
  <c r="F3648" i="2"/>
  <c r="G3648" i="2"/>
  <c r="D3649" i="2"/>
  <c r="E3649" i="2"/>
  <c r="F3649" i="2"/>
  <c r="G3649" i="2"/>
  <c r="D3650" i="2"/>
  <c r="F3650" i="2" s="1"/>
  <c r="E3650" i="2"/>
  <c r="G3650" i="2"/>
  <c r="D3651" i="2"/>
  <c r="H3652" i="2" s="1"/>
  <c r="E3651" i="2"/>
  <c r="G3651" i="2"/>
  <c r="D3652" i="2"/>
  <c r="E3652" i="2"/>
  <c r="G3652" i="2"/>
  <c r="D3653" i="2"/>
  <c r="F3653" i="2" s="1"/>
  <c r="E3653" i="2"/>
  <c r="G3653" i="2"/>
  <c r="D3654" i="2"/>
  <c r="F3655" i="2" s="1"/>
  <c r="E3654" i="2"/>
  <c r="F3654" i="2"/>
  <c r="G3654" i="2"/>
  <c r="H3654" i="2"/>
  <c r="D3655" i="2"/>
  <c r="E3655" i="2"/>
  <c r="G3655" i="2"/>
  <c r="H3655" i="2"/>
  <c r="D3656" i="2"/>
  <c r="H3657" i="2" s="1"/>
  <c r="E3656" i="2"/>
  <c r="F3656" i="2"/>
  <c r="G3656" i="2"/>
  <c r="D3657" i="2"/>
  <c r="E3657" i="2"/>
  <c r="F3657" i="2"/>
  <c r="G3657" i="2"/>
  <c r="D3658" i="2"/>
  <c r="F3658" i="2" s="1"/>
  <c r="E3658" i="2"/>
  <c r="G3658" i="2"/>
  <c r="D3659" i="2"/>
  <c r="H3660" i="2" s="1"/>
  <c r="E3659" i="2"/>
  <c r="G3659" i="2"/>
  <c r="D3660" i="2"/>
  <c r="E3660" i="2"/>
  <c r="G3660" i="2"/>
  <c r="D3661" i="2"/>
  <c r="F3661" i="2" s="1"/>
  <c r="E3661" i="2"/>
  <c r="G3661" i="2"/>
  <c r="D3662" i="2"/>
  <c r="F3663" i="2" s="1"/>
  <c r="E3662" i="2"/>
  <c r="F3662" i="2"/>
  <c r="G3662" i="2"/>
  <c r="H3662" i="2"/>
  <c r="D3663" i="2"/>
  <c r="E3663" i="2"/>
  <c r="G3663" i="2"/>
  <c r="H3663" i="2"/>
  <c r="D3664" i="2"/>
  <c r="H3665" i="2" s="1"/>
  <c r="E3664" i="2"/>
  <c r="F3664" i="2"/>
  <c r="G3664" i="2"/>
  <c r="D3665" i="2"/>
  <c r="E3665" i="2"/>
  <c r="F3665" i="2"/>
  <c r="G3665" i="2"/>
  <c r="D3666" i="2"/>
  <c r="F3666" i="2" s="1"/>
  <c r="E3666" i="2"/>
  <c r="G3666" i="2"/>
  <c r="D3667" i="2"/>
  <c r="H3668" i="2" s="1"/>
  <c r="E3667" i="2"/>
  <c r="G3667" i="2"/>
  <c r="D3668" i="2"/>
  <c r="E3668" i="2"/>
  <c r="G3668" i="2"/>
  <c r="D3669" i="2"/>
  <c r="F3669" i="2" s="1"/>
  <c r="E3669" i="2"/>
  <c r="G3669" i="2"/>
  <c r="D3670" i="2"/>
  <c r="F3671" i="2" s="1"/>
  <c r="E3670" i="2"/>
  <c r="F3670" i="2"/>
  <c r="G3670" i="2"/>
  <c r="H3670" i="2"/>
  <c r="D3671" i="2"/>
  <c r="E3671" i="2"/>
  <c r="G3671" i="2"/>
  <c r="H3671" i="2"/>
  <c r="D3672" i="2"/>
  <c r="H3673" i="2" s="1"/>
  <c r="E3672" i="2"/>
  <c r="F3672" i="2"/>
  <c r="G3672" i="2"/>
  <c r="D3673" i="2"/>
  <c r="E3673" i="2"/>
  <c r="F3673" i="2"/>
  <c r="G3673" i="2"/>
  <c r="D3674" i="2"/>
  <c r="F3674" i="2" s="1"/>
  <c r="E3674" i="2"/>
  <c r="G3674" i="2"/>
  <c r="D3675" i="2"/>
  <c r="H3676" i="2" s="1"/>
  <c r="E3675" i="2"/>
  <c r="G3675" i="2"/>
  <c r="D3676" i="2"/>
  <c r="E3676" i="2"/>
  <c r="G3676" i="2"/>
  <c r="D3677" i="2"/>
  <c r="F3677" i="2" s="1"/>
  <c r="E3677" i="2"/>
  <c r="G3677" i="2"/>
  <c r="D3678" i="2"/>
  <c r="F3679" i="2" s="1"/>
  <c r="E3678" i="2"/>
  <c r="F3678" i="2"/>
  <c r="G3678" i="2"/>
  <c r="H3678" i="2"/>
  <c r="D3679" i="2"/>
  <c r="E3679" i="2"/>
  <c r="G3679" i="2"/>
  <c r="H3679" i="2"/>
  <c r="D3680" i="2"/>
  <c r="H3681" i="2" s="1"/>
  <c r="E3680" i="2"/>
  <c r="F3680" i="2"/>
  <c r="G3680" i="2"/>
  <c r="D3681" i="2"/>
  <c r="E3681" i="2"/>
  <c r="F3681" i="2"/>
  <c r="G3681" i="2"/>
  <c r="D3682" i="2"/>
  <c r="F3682" i="2" s="1"/>
  <c r="E3682" i="2"/>
  <c r="G3682" i="2"/>
  <c r="D3683" i="2"/>
  <c r="H3684" i="2" s="1"/>
  <c r="E3683" i="2"/>
  <c r="G3683" i="2"/>
  <c r="D3684" i="2"/>
  <c r="E3684" i="2"/>
  <c r="G3684" i="2"/>
  <c r="D3685" i="2"/>
  <c r="F3685" i="2" s="1"/>
  <c r="E3685" i="2"/>
  <c r="G3685" i="2"/>
  <c r="D3686" i="2"/>
  <c r="F3687" i="2" s="1"/>
  <c r="E3686" i="2"/>
  <c r="F3686" i="2"/>
  <c r="G3686" i="2"/>
  <c r="H3686" i="2"/>
  <c r="D3687" i="2"/>
  <c r="E3687" i="2"/>
  <c r="G3687" i="2"/>
  <c r="H3687" i="2"/>
  <c r="D3688" i="2"/>
  <c r="H3689" i="2" s="1"/>
  <c r="E3688" i="2"/>
  <c r="F3688" i="2"/>
  <c r="G3688" i="2"/>
  <c r="D3689" i="2"/>
  <c r="E3689" i="2"/>
  <c r="F3689" i="2"/>
  <c r="G3689" i="2"/>
  <c r="D3690" i="2"/>
  <c r="F3690" i="2" s="1"/>
  <c r="E3690" i="2"/>
  <c r="G3690" i="2"/>
  <c r="D3691" i="2"/>
  <c r="H3692" i="2" s="1"/>
  <c r="E3691" i="2"/>
  <c r="G3691" i="2"/>
  <c r="D3692" i="2"/>
  <c r="E3692" i="2"/>
  <c r="G3692" i="2"/>
  <c r="D3693" i="2"/>
  <c r="F3693" i="2" s="1"/>
  <c r="E3693" i="2"/>
  <c r="G3693" i="2"/>
  <c r="D3694" i="2"/>
  <c r="F3695" i="2" s="1"/>
  <c r="E3694" i="2"/>
  <c r="F3694" i="2"/>
  <c r="G3694" i="2"/>
  <c r="H3694" i="2"/>
  <c r="D3695" i="2"/>
  <c r="E3695" i="2"/>
  <c r="G3695" i="2"/>
  <c r="H3695" i="2"/>
  <c r="D3696" i="2"/>
  <c r="H3697" i="2" s="1"/>
  <c r="E3696" i="2"/>
  <c r="F3696" i="2"/>
  <c r="G3696" i="2"/>
  <c r="D3697" i="2"/>
  <c r="E3697" i="2"/>
  <c r="F3697" i="2"/>
  <c r="G3697" i="2"/>
  <c r="D3698" i="2"/>
  <c r="F3698" i="2" s="1"/>
  <c r="E3698" i="2"/>
  <c r="G3698" i="2"/>
  <c r="D3699" i="2"/>
  <c r="H3700" i="2" s="1"/>
  <c r="E3699" i="2"/>
  <c r="G3699" i="2"/>
  <c r="D3700" i="2"/>
  <c r="E3700" i="2"/>
  <c r="G3700" i="2"/>
  <c r="D3701" i="2"/>
  <c r="F3701" i="2" s="1"/>
  <c r="E3701" i="2"/>
  <c r="G3701" i="2"/>
  <c r="D3702" i="2"/>
  <c r="F3703" i="2" s="1"/>
  <c r="E3702" i="2"/>
  <c r="F3702" i="2"/>
  <c r="G3702" i="2"/>
  <c r="H3702" i="2"/>
  <c r="D3703" i="2"/>
  <c r="E3703" i="2"/>
  <c r="G3703" i="2"/>
  <c r="H3703" i="2"/>
  <c r="D3704" i="2"/>
  <c r="H3705" i="2" s="1"/>
  <c r="E3704" i="2"/>
  <c r="F3704" i="2"/>
  <c r="G3704" i="2"/>
  <c r="D3705" i="2"/>
  <c r="E3705" i="2"/>
  <c r="F3705" i="2"/>
  <c r="G3705" i="2"/>
  <c r="D3706" i="2"/>
  <c r="F3706" i="2" s="1"/>
  <c r="E3706" i="2"/>
  <c r="G3706" i="2"/>
  <c r="D3707" i="2"/>
  <c r="H3708" i="2" s="1"/>
  <c r="E3707" i="2"/>
  <c r="G3707" i="2"/>
  <c r="D3708" i="2"/>
  <c r="E3708" i="2"/>
  <c r="G3708" i="2"/>
  <c r="D3709" i="2"/>
  <c r="F3709" i="2" s="1"/>
  <c r="E3709" i="2"/>
  <c r="G3709" i="2"/>
  <c r="D3710" i="2"/>
  <c r="F3711" i="2" s="1"/>
  <c r="E3710" i="2"/>
  <c r="F3710" i="2"/>
  <c r="G3710" i="2"/>
  <c r="H3710" i="2"/>
  <c r="D3711" i="2"/>
  <c r="E3711" i="2"/>
  <c r="G3711" i="2"/>
  <c r="H3711" i="2"/>
  <c r="D3712" i="2"/>
  <c r="H3713" i="2" s="1"/>
  <c r="E3712" i="2"/>
  <c r="F3712" i="2"/>
  <c r="G3712" i="2"/>
  <c r="D3713" i="2"/>
  <c r="E3713" i="2"/>
  <c r="F3713" i="2"/>
  <c r="G3713" i="2"/>
  <c r="D3714" i="2"/>
  <c r="F3714" i="2" s="1"/>
  <c r="E3714" i="2"/>
  <c r="G3714" i="2"/>
  <c r="D3715" i="2"/>
  <c r="H3716" i="2" s="1"/>
  <c r="E3715" i="2"/>
  <c r="G3715" i="2"/>
  <c r="D3716" i="2"/>
  <c r="E3716" i="2"/>
  <c r="G3716" i="2"/>
  <c r="D3717" i="2"/>
  <c r="F3717" i="2" s="1"/>
  <c r="E3717" i="2"/>
  <c r="G3717" i="2"/>
  <c r="D3718" i="2"/>
  <c r="F3719" i="2" s="1"/>
  <c r="E3718" i="2"/>
  <c r="F3718" i="2"/>
  <c r="G3718" i="2"/>
  <c r="H3718" i="2"/>
  <c r="D3719" i="2"/>
  <c r="E3719" i="2"/>
  <c r="G3719" i="2"/>
  <c r="H3719" i="2"/>
  <c r="D3720" i="2"/>
  <c r="H3721" i="2" s="1"/>
  <c r="E3720" i="2"/>
  <c r="F3720" i="2"/>
  <c r="G3720" i="2"/>
  <c r="D3721" i="2"/>
  <c r="E3721" i="2"/>
  <c r="F3721" i="2"/>
  <c r="G3721" i="2"/>
  <c r="D3722" i="2"/>
  <c r="F3722" i="2" s="1"/>
  <c r="E3722" i="2"/>
  <c r="G3722" i="2"/>
  <c r="D3723" i="2"/>
  <c r="H3724" i="2" s="1"/>
  <c r="E3723" i="2"/>
  <c r="G3723" i="2"/>
  <c r="D3724" i="2"/>
  <c r="E3724" i="2"/>
  <c r="G3724" i="2"/>
  <c r="D3725" i="2"/>
  <c r="F3725" i="2" s="1"/>
  <c r="E3725" i="2"/>
  <c r="G3725" i="2"/>
  <c r="D3726" i="2"/>
  <c r="F3727" i="2" s="1"/>
  <c r="E3726" i="2"/>
  <c r="F3726" i="2"/>
  <c r="G3726" i="2"/>
  <c r="H3726" i="2"/>
  <c r="D3727" i="2"/>
  <c r="E3727" i="2"/>
  <c r="G3727" i="2"/>
  <c r="H3727" i="2"/>
  <c r="D3728" i="2"/>
  <c r="H3729" i="2" s="1"/>
  <c r="E3728" i="2"/>
  <c r="F3728" i="2"/>
  <c r="G3728" i="2"/>
  <c r="D3729" i="2"/>
  <c r="E3729" i="2"/>
  <c r="F3729" i="2"/>
  <c r="G3729" i="2"/>
  <c r="D3730" i="2"/>
  <c r="F3730" i="2" s="1"/>
  <c r="E3730" i="2"/>
  <c r="G3730" i="2"/>
  <c r="D3731" i="2"/>
  <c r="H3732" i="2" s="1"/>
  <c r="E3731" i="2"/>
  <c r="G3731" i="2"/>
  <c r="D3732" i="2"/>
  <c r="E3732" i="2"/>
  <c r="G3732" i="2"/>
  <c r="D3733" i="2"/>
  <c r="F3733" i="2" s="1"/>
  <c r="E3733" i="2"/>
  <c r="G3733" i="2"/>
  <c r="D3734" i="2"/>
  <c r="F3735" i="2" s="1"/>
  <c r="E3734" i="2"/>
  <c r="F3734" i="2"/>
  <c r="G3734" i="2"/>
  <c r="H3734" i="2"/>
  <c r="D3735" i="2"/>
  <c r="E3735" i="2"/>
  <c r="G3735" i="2"/>
  <c r="H3735" i="2"/>
  <c r="D3736" i="2"/>
  <c r="H3737" i="2" s="1"/>
  <c r="E3736" i="2"/>
  <c r="F3736" i="2"/>
  <c r="G3736" i="2"/>
  <c r="D3737" i="2"/>
  <c r="E3737" i="2"/>
  <c r="F3737" i="2"/>
  <c r="G3737" i="2"/>
  <c r="D3738" i="2"/>
  <c r="F3738" i="2" s="1"/>
  <c r="E3738" i="2"/>
  <c r="G3738" i="2"/>
  <c r="D3739" i="2"/>
  <c r="H3740" i="2" s="1"/>
  <c r="E3739" i="2"/>
  <c r="G3739" i="2"/>
  <c r="D3740" i="2"/>
  <c r="E3740" i="2"/>
  <c r="G3740" i="2"/>
  <c r="D3741" i="2"/>
  <c r="F3741" i="2" s="1"/>
  <c r="E3741" i="2"/>
  <c r="G3741" i="2"/>
  <c r="D3742" i="2"/>
  <c r="F3743" i="2" s="1"/>
  <c r="E3742" i="2"/>
  <c r="F3742" i="2"/>
  <c r="G3742" i="2"/>
  <c r="H3742" i="2"/>
  <c r="D3743" i="2"/>
  <c r="E3743" i="2"/>
  <c r="G3743" i="2"/>
  <c r="H3743" i="2"/>
  <c r="D3744" i="2"/>
  <c r="H3745" i="2" s="1"/>
  <c r="E3744" i="2"/>
  <c r="F3744" i="2"/>
  <c r="G3744" i="2"/>
  <c r="D3745" i="2"/>
  <c r="E3745" i="2"/>
  <c r="F3745" i="2"/>
  <c r="G3745" i="2"/>
  <c r="D3746" i="2"/>
  <c r="F3746" i="2" s="1"/>
  <c r="E3746" i="2"/>
  <c r="G3746" i="2"/>
  <c r="D3747" i="2"/>
  <c r="H3748" i="2" s="1"/>
  <c r="E3747" i="2"/>
  <c r="G3747" i="2"/>
  <c r="D3748" i="2"/>
  <c r="E3748" i="2"/>
  <c r="G3748" i="2"/>
  <c r="D3749" i="2"/>
  <c r="F3749" i="2" s="1"/>
  <c r="E3749" i="2"/>
  <c r="G3749" i="2"/>
  <c r="D3750" i="2"/>
  <c r="F3751" i="2" s="1"/>
  <c r="E3750" i="2"/>
  <c r="F3750" i="2"/>
  <c r="G3750" i="2"/>
  <c r="H3750" i="2"/>
  <c r="D3751" i="2"/>
  <c r="E3751" i="2"/>
  <c r="G3751" i="2"/>
  <c r="H3751" i="2"/>
  <c r="D3752" i="2"/>
  <c r="H3753" i="2" s="1"/>
  <c r="E3752" i="2"/>
  <c r="F3752" i="2"/>
  <c r="G3752" i="2"/>
  <c r="D3753" i="2"/>
  <c r="E3753" i="2"/>
  <c r="F3753" i="2"/>
  <c r="G3753" i="2"/>
  <c r="D3754" i="2"/>
  <c r="F3754" i="2" s="1"/>
  <c r="E3754" i="2"/>
  <c r="G3754" i="2"/>
  <c r="D3755" i="2"/>
  <c r="H3756" i="2" s="1"/>
  <c r="E3755" i="2"/>
  <c r="G3755" i="2"/>
  <c r="D3756" i="2"/>
  <c r="E3756" i="2"/>
  <c r="G3756" i="2"/>
  <c r="D3757" i="2"/>
  <c r="F3757" i="2" s="1"/>
  <c r="E3757" i="2"/>
  <c r="G3757" i="2"/>
  <c r="D3758" i="2"/>
  <c r="F3759" i="2" s="1"/>
  <c r="E3758" i="2"/>
  <c r="F3758" i="2"/>
  <c r="G3758" i="2"/>
  <c r="H3758" i="2"/>
  <c r="D3759" i="2"/>
  <c r="E3759" i="2"/>
  <c r="G3759" i="2"/>
  <c r="H3759" i="2"/>
  <c r="D3760" i="2"/>
  <c r="H3761" i="2" s="1"/>
  <c r="E3760" i="2"/>
  <c r="F3760" i="2"/>
  <c r="G3760" i="2"/>
  <c r="D3761" i="2"/>
  <c r="E3761" i="2"/>
  <c r="F3761" i="2"/>
  <c r="G3761" i="2"/>
  <c r="D3762" i="2"/>
  <c r="F3762" i="2" s="1"/>
  <c r="E3762" i="2"/>
  <c r="G3762" i="2"/>
  <c r="D3763" i="2"/>
  <c r="H3764" i="2" s="1"/>
  <c r="E3763" i="2"/>
  <c r="G3763" i="2"/>
  <c r="D3764" i="2"/>
  <c r="E3764" i="2"/>
  <c r="G3764" i="2"/>
  <c r="D3765" i="2"/>
  <c r="F3765" i="2" s="1"/>
  <c r="E3765" i="2"/>
  <c r="G3765" i="2"/>
  <c r="D3766" i="2"/>
  <c r="F3767" i="2" s="1"/>
  <c r="E3766" i="2"/>
  <c r="F3766" i="2"/>
  <c r="G3766" i="2"/>
  <c r="H3766" i="2"/>
  <c r="D3767" i="2"/>
  <c r="E3767" i="2"/>
  <c r="G3767" i="2"/>
  <c r="H3767" i="2"/>
  <c r="D3768" i="2"/>
  <c r="H3769" i="2" s="1"/>
  <c r="E3768" i="2"/>
  <c r="F3768" i="2"/>
  <c r="G3768" i="2"/>
  <c r="D3769" i="2"/>
  <c r="E3769" i="2"/>
  <c r="F3769" i="2"/>
  <c r="G3769" i="2"/>
  <c r="D3770" i="2"/>
  <c r="F3770" i="2" s="1"/>
  <c r="E3770" i="2"/>
  <c r="G3770" i="2"/>
  <c r="D3771" i="2"/>
  <c r="H3772" i="2" s="1"/>
  <c r="E3771" i="2"/>
  <c r="G3771" i="2"/>
  <c r="D3772" i="2"/>
  <c r="E3772" i="2"/>
  <c r="G3772" i="2"/>
  <c r="D3773" i="2"/>
  <c r="F3773" i="2" s="1"/>
  <c r="E3773" i="2"/>
  <c r="G3773" i="2"/>
  <c r="D3774" i="2"/>
  <c r="F3775" i="2" s="1"/>
  <c r="E3774" i="2"/>
  <c r="F3774" i="2"/>
  <c r="G3774" i="2"/>
  <c r="H3774" i="2"/>
  <c r="D3775" i="2"/>
  <c r="E3775" i="2"/>
  <c r="G3775" i="2"/>
  <c r="H3775" i="2"/>
  <c r="D3776" i="2"/>
  <c r="H3777" i="2" s="1"/>
  <c r="E3776" i="2"/>
  <c r="F3776" i="2"/>
  <c r="G3776" i="2"/>
  <c r="D3777" i="2"/>
  <c r="E3777" i="2"/>
  <c r="F3777" i="2"/>
  <c r="G3777" i="2"/>
  <c r="D3778" i="2"/>
  <c r="F3778" i="2" s="1"/>
  <c r="E3778" i="2"/>
  <c r="G3778" i="2"/>
  <c r="D3779" i="2"/>
  <c r="H3780" i="2" s="1"/>
  <c r="E3779" i="2"/>
  <c r="G3779" i="2"/>
  <c r="D3780" i="2"/>
  <c r="E3780" i="2"/>
  <c r="G3780" i="2"/>
  <c r="D3781" i="2"/>
  <c r="F3781" i="2" s="1"/>
  <c r="E3781" i="2"/>
  <c r="G3781" i="2"/>
  <c r="D3782" i="2"/>
  <c r="F3783" i="2" s="1"/>
  <c r="E3782" i="2"/>
  <c r="F3782" i="2"/>
  <c r="G3782" i="2"/>
  <c r="H3782" i="2"/>
  <c r="D3783" i="2"/>
  <c r="E3783" i="2"/>
  <c r="G3783" i="2"/>
  <c r="H3783" i="2"/>
  <c r="D3784" i="2"/>
  <c r="H3785" i="2" s="1"/>
  <c r="E3784" i="2"/>
  <c r="F3784" i="2"/>
  <c r="G3784" i="2"/>
  <c r="D3785" i="2"/>
  <c r="E3785" i="2"/>
  <c r="F3785" i="2"/>
  <c r="G3785" i="2"/>
  <c r="D3786" i="2"/>
  <c r="F3786" i="2" s="1"/>
  <c r="E3786" i="2"/>
  <c r="G3786" i="2"/>
  <c r="D3787" i="2"/>
  <c r="H3788" i="2" s="1"/>
  <c r="E3787" i="2"/>
  <c r="G3787" i="2"/>
  <c r="D3788" i="2"/>
  <c r="E3788" i="2"/>
  <c r="G3788" i="2"/>
  <c r="D3789" i="2"/>
  <c r="F3789" i="2" s="1"/>
  <c r="E3789" i="2"/>
  <c r="G3789" i="2"/>
  <c r="D3790" i="2"/>
  <c r="F3791" i="2" s="1"/>
  <c r="E3790" i="2"/>
  <c r="F3790" i="2"/>
  <c r="G3790" i="2"/>
  <c r="H3790" i="2"/>
  <c r="D3791" i="2"/>
  <c r="E3791" i="2"/>
  <c r="G3791" i="2"/>
  <c r="H3791" i="2"/>
  <c r="D3792" i="2"/>
  <c r="H3793" i="2" s="1"/>
  <c r="E3792" i="2"/>
  <c r="F3792" i="2"/>
  <c r="G3792" i="2"/>
  <c r="D3793" i="2"/>
  <c r="E3793" i="2"/>
  <c r="F3793" i="2"/>
  <c r="G3793" i="2"/>
  <c r="D3794" i="2"/>
  <c r="F3794" i="2" s="1"/>
  <c r="E3794" i="2"/>
  <c r="G3794" i="2"/>
  <c r="D3795" i="2"/>
  <c r="H3796" i="2" s="1"/>
  <c r="E3795" i="2"/>
  <c r="G3795" i="2"/>
  <c r="D3796" i="2"/>
  <c r="E3796" i="2"/>
  <c r="G3796" i="2"/>
  <c r="D3797" i="2"/>
  <c r="F3797" i="2" s="1"/>
  <c r="E3797" i="2"/>
  <c r="G3797" i="2"/>
  <c r="D3798" i="2"/>
  <c r="F3799" i="2" s="1"/>
  <c r="E3798" i="2"/>
  <c r="F3798" i="2"/>
  <c r="G3798" i="2"/>
  <c r="H3798" i="2"/>
  <c r="D3799" i="2"/>
  <c r="E3799" i="2"/>
  <c r="G3799" i="2"/>
  <c r="H3799" i="2"/>
  <c r="D3800" i="2"/>
  <c r="H3801" i="2" s="1"/>
  <c r="E3800" i="2"/>
  <c r="F3800" i="2"/>
  <c r="G3800" i="2"/>
  <c r="D3801" i="2"/>
  <c r="E3801" i="2"/>
  <c r="F3801" i="2"/>
  <c r="G3801" i="2"/>
  <c r="D3802" i="2"/>
  <c r="F3802" i="2" s="1"/>
  <c r="E3802" i="2"/>
  <c r="G3802" i="2"/>
  <c r="D3803" i="2"/>
  <c r="H3804" i="2" s="1"/>
  <c r="E3803" i="2"/>
  <c r="G3803" i="2"/>
  <c r="D3804" i="2"/>
  <c r="E3804" i="2"/>
  <c r="G3804" i="2"/>
  <c r="D3805" i="2"/>
  <c r="F3805" i="2" s="1"/>
  <c r="E3805" i="2"/>
  <c r="G3805" i="2"/>
  <c r="D3806" i="2"/>
  <c r="F3807" i="2" s="1"/>
  <c r="E3806" i="2"/>
  <c r="F3806" i="2"/>
  <c r="G3806" i="2"/>
  <c r="H3806" i="2"/>
  <c r="D3807" i="2"/>
  <c r="E3807" i="2"/>
  <c r="G3807" i="2"/>
  <c r="H3807" i="2"/>
  <c r="D3808" i="2"/>
  <c r="H3809" i="2" s="1"/>
  <c r="E3808" i="2"/>
  <c r="F3808" i="2"/>
  <c r="G3808" i="2"/>
  <c r="D3809" i="2"/>
  <c r="E3809" i="2"/>
  <c r="F3809" i="2"/>
  <c r="G3809" i="2"/>
  <c r="D3810" i="2"/>
  <c r="F3810" i="2" s="1"/>
  <c r="E3810" i="2"/>
  <c r="G3810" i="2"/>
  <c r="D3811" i="2"/>
  <c r="H3812" i="2" s="1"/>
  <c r="E3811" i="2"/>
  <c r="G3811" i="2"/>
  <c r="D3812" i="2"/>
  <c r="E3812" i="2"/>
  <c r="G3812" i="2"/>
  <c r="D3813" i="2"/>
  <c r="F3813" i="2" s="1"/>
  <c r="E3813" i="2"/>
  <c r="G3813" i="2"/>
  <c r="D3814" i="2"/>
  <c r="F3815" i="2" s="1"/>
  <c r="E3814" i="2"/>
  <c r="F3814" i="2"/>
  <c r="G3814" i="2"/>
  <c r="H3814" i="2"/>
  <c r="D3815" i="2"/>
  <c r="E3815" i="2"/>
  <c r="G3815" i="2"/>
  <c r="H3815" i="2"/>
  <c r="D3816" i="2"/>
  <c r="H3817" i="2" s="1"/>
  <c r="E3816" i="2"/>
  <c r="F3816" i="2"/>
  <c r="G3816" i="2"/>
  <c r="D3817" i="2"/>
  <c r="E3817" i="2"/>
  <c r="F3817" i="2"/>
  <c r="G3817" i="2"/>
  <c r="D3818" i="2"/>
  <c r="F3818" i="2" s="1"/>
  <c r="E3818" i="2"/>
  <c r="G3818" i="2"/>
  <c r="D3819" i="2"/>
  <c r="H3820" i="2" s="1"/>
  <c r="E3819" i="2"/>
  <c r="G3819" i="2"/>
  <c r="D3820" i="2"/>
  <c r="E3820" i="2"/>
  <c r="G3820" i="2"/>
  <c r="D3821" i="2"/>
  <c r="F3821" i="2" s="1"/>
  <c r="E3821" i="2"/>
  <c r="G3821" i="2"/>
  <c r="D3822" i="2"/>
  <c r="F3823" i="2" s="1"/>
  <c r="E3822" i="2"/>
  <c r="F3822" i="2"/>
  <c r="G3822" i="2"/>
  <c r="H3822" i="2"/>
  <c r="D3823" i="2"/>
  <c r="E3823" i="2"/>
  <c r="G3823" i="2"/>
  <c r="H3823" i="2"/>
  <c r="D3824" i="2"/>
  <c r="H3825" i="2" s="1"/>
  <c r="E3824" i="2"/>
  <c r="F3824" i="2"/>
  <c r="G3824" i="2"/>
  <c r="D3825" i="2"/>
  <c r="E3825" i="2"/>
  <c r="F3825" i="2"/>
  <c r="G3825" i="2"/>
  <c r="D3826" i="2"/>
  <c r="F3826" i="2" s="1"/>
  <c r="E3826" i="2"/>
  <c r="G3826" i="2"/>
  <c r="D3827" i="2"/>
  <c r="H3828" i="2" s="1"/>
  <c r="E3827" i="2"/>
  <c r="G3827" i="2"/>
  <c r="D3828" i="2"/>
  <c r="E3828" i="2"/>
  <c r="G3828" i="2"/>
  <c r="D3829" i="2"/>
  <c r="F3829" i="2" s="1"/>
  <c r="E3829" i="2"/>
  <c r="G3829" i="2"/>
  <c r="D3830" i="2"/>
  <c r="F3831" i="2" s="1"/>
  <c r="E3830" i="2"/>
  <c r="F3830" i="2"/>
  <c r="G3830" i="2"/>
  <c r="H3830" i="2"/>
  <c r="D3831" i="2"/>
  <c r="E3831" i="2"/>
  <c r="G3831" i="2"/>
  <c r="H3831" i="2"/>
  <c r="D3832" i="2"/>
  <c r="H3833" i="2" s="1"/>
  <c r="E3832" i="2"/>
  <c r="F3832" i="2"/>
  <c r="G3832" i="2"/>
  <c r="D3833" i="2"/>
  <c r="E3833" i="2"/>
  <c r="F3833" i="2"/>
  <c r="G3833" i="2"/>
  <c r="D3834" i="2"/>
  <c r="F3834" i="2" s="1"/>
  <c r="E3834" i="2"/>
  <c r="G3834" i="2"/>
  <c r="D3835" i="2"/>
  <c r="H3836" i="2" s="1"/>
  <c r="E3835" i="2"/>
  <c r="G3835" i="2"/>
  <c r="D3836" i="2"/>
  <c r="E3836" i="2"/>
  <c r="G3836" i="2"/>
  <c r="D3837" i="2"/>
  <c r="F3837" i="2" s="1"/>
  <c r="E3837" i="2"/>
  <c r="G3837" i="2"/>
  <c r="D3838" i="2"/>
  <c r="F3839" i="2" s="1"/>
  <c r="E3838" i="2"/>
  <c r="F3838" i="2"/>
  <c r="G3838" i="2"/>
  <c r="H3838" i="2"/>
  <c r="D3839" i="2"/>
  <c r="E3839" i="2"/>
  <c r="G3839" i="2"/>
  <c r="H3839" i="2"/>
  <c r="D3840" i="2"/>
  <c r="H3841" i="2" s="1"/>
  <c r="E3840" i="2"/>
  <c r="F3840" i="2"/>
  <c r="G3840" i="2"/>
  <c r="D3841" i="2"/>
  <c r="E3841" i="2"/>
  <c r="F3841" i="2"/>
  <c r="G3841" i="2"/>
  <c r="D3842" i="2"/>
  <c r="F3842" i="2" s="1"/>
  <c r="E3842" i="2"/>
  <c r="G3842" i="2"/>
  <c r="D3843" i="2"/>
  <c r="H3844" i="2" s="1"/>
  <c r="E3843" i="2"/>
  <c r="G3843" i="2"/>
  <c r="D3844" i="2"/>
  <c r="E3844" i="2"/>
  <c r="G3844" i="2"/>
  <c r="D3845" i="2"/>
  <c r="F3845" i="2" s="1"/>
  <c r="E3845" i="2"/>
  <c r="G3845" i="2"/>
  <c r="D3846" i="2"/>
  <c r="F3847" i="2" s="1"/>
  <c r="E3846" i="2"/>
  <c r="F3846" i="2"/>
  <c r="G3846" i="2"/>
  <c r="H3846" i="2"/>
  <c r="D3847" i="2"/>
  <c r="E3847" i="2"/>
  <c r="G3847" i="2"/>
  <c r="H3847" i="2"/>
  <c r="D3848" i="2"/>
  <c r="H3849" i="2" s="1"/>
  <c r="E3848" i="2"/>
  <c r="F3848" i="2"/>
  <c r="G3848" i="2"/>
  <c r="D3849" i="2"/>
  <c r="E3849" i="2"/>
  <c r="F3849" i="2"/>
  <c r="G3849" i="2"/>
  <c r="D3850" i="2"/>
  <c r="F3850" i="2" s="1"/>
  <c r="E3850" i="2"/>
  <c r="G3850" i="2"/>
  <c r="D3851" i="2"/>
  <c r="H3852" i="2" s="1"/>
  <c r="E3851" i="2"/>
  <c r="G3851" i="2"/>
  <c r="D3852" i="2"/>
  <c r="E3852" i="2"/>
  <c r="G3852" i="2"/>
  <c r="D3853" i="2"/>
  <c r="F3853" i="2" s="1"/>
  <c r="E3853" i="2"/>
  <c r="G3853" i="2"/>
  <c r="D3854" i="2"/>
  <c r="F3855" i="2" s="1"/>
  <c r="E3854" i="2"/>
  <c r="F3854" i="2"/>
  <c r="G3854" i="2"/>
  <c r="H3854" i="2"/>
  <c r="D3855" i="2"/>
  <c r="E3855" i="2"/>
  <c r="G3855" i="2"/>
  <c r="H3855" i="2"/>
  <c r="D3856" i="2"/>
  <c r="H3857" i="2" s="1"/>
  <c r="E3856" i="2"/>
  <c r="F3856" i="2"/>
  <c r="G3856" i="2"/>
  <c r="D3857" i="2"/>
  <c r="E3857" i="2"/>
  <c r="F3857" i="2"/>
  <c r="G3857" i="2"/>
  <c r="D3858" i="2"/>
  <c r="F3858" i="2" s="1"/>
  <c r="E3858" i="2"/>
  <c r="G3858" i="2"/>
  <c r="D3859" i="2"/>
  <c r="H3860" i="2" s="1"/>
  <c r="E3859" i="2"/>
  <c r="G3859" i="2"/>
  <c r="D3860" i="2"/>
  <c r="E3860" i="2"/>
  <c r="G3860" i="2"/>
  <c r="D3861" i="2"/>
  <c r="F3861" i="2" s="1"/>
  <c r="E3861" i="2"/>
  <c r="G3861" i="2"/>
  <c r="D3862" i="2"/>
  <c r="F3863" i="2" s="1"/>
  <c r="E3862" i="2"/>
  <c r="F3862" i="2"/>
  <c r="G3862" i="2"/>
  <c r="H3862" i="2"/>
  <c r="D3863" i="2"/>
  <c r="E3863" i="2"/>
  <c r="G3863" i="2"/>
  <c r="H3863" i="2"/>
  <c r="D3864" i="2"/>
  <c r="H3865" i="2" s="1"/>
  <c r="E3864" i="2"/>
  <c r="F3864" i="2"/>
  <c r="G3864" i="2"/>
  <c r="D3865" i="2"/>
  <c r="E3865" i="2"/>
  <c r="F3865" i="2"/>
  <c r="G3865" i="2"/>
  <c r="D3866" i="2"/>
  <c r="F3866" i="2" s="1"/>
  <c r="E3866" i="2"/>
  <c r="G3866" i="2"/>
  <c r="D3867" i="2"/>
  <c r="H3868" i="2" s="1"/>
  <c r="E3867" i="2"/>
  <c r="G3867" i="2"/>
  <c r="D3868" i="2"/>
  <c r="E3868" i="2"/>
  <c r="G3868" i="2"/>
  <c r="D3869" i="2"/>
  <c r="F3869" i="2" s="1"/>
  <c r="E3869" i="2"/>
  <c r="G3869" i="2"/>
  <c r="D3870" i="2"/>
  <c r="F3871" i="2" s="1"/>
  <c r="E3870" i="2"/>
  <c r="F3870" i="2"/>
  <c r="G3870" i="2"/>
  <c r="H3870" i="2"/>
  <c r="D3871" i="2"/>
  <c r="E3871" i="2"/>
  <c r="G3871" i="2"/>
  <c r="H3871" i="2"/>
  <c r="D3872" i="2"/>
  <c r="H3873" i="2" s="1"/>
  <c r="E3872" i="2"/>
  <c r="F3872" i="2"/>
  <c r="G3872" i="2"/>
  <c r="D3873" i="2"/>
  <c r="E3873" i="2"/>
  <c r="F3873" i="2"/>
  <c r="G3873" i="2"/>
  <c r="D3874" i="2"/>
  <c r="F3874" i="2" s="1"/>
  <c r="E3874" i="2"/>
  <c r="G3874" i="2"/>
  <c r="D3875" i="2"/>
  <c r="H3876" i="2" s="1"/>
  <c r="E3875" i="2"/>
  <c r="G3875" i="2"/>
  <c r="D3876" i="2"/>
  <c r="E3876" i="2"/>
  <c r="G3876" i="2"/>
  <c r="D3877" i="2"/>
  <c r="F3877" i="2" s="1"/>
  <c r="E3877" i="2"/>
  <c r="G3877" i="2"/>
  <c r="D3878" i="2"/>
  <c r="F3879" i="2" s="1"/>
  <c r="E3878" i="2"/>
  <c r="F3878" i="2"/>
  <c r="G3878" i="2"/>
  <c r="H3878" i="2"/>
  <c r="D3879" i="2"/>
  <c r="E3879" i="2"/>
  <c r="G3879" i="2"/>
  <c r="H3879" i="2"/>
  <c r="D3880" i="2"/>
  <c r="H3881" i="2" s="1"/>
  <c r="E3880" i="2"/>
  <c r="F3880" i="2"/>
  <c r="G3880" i="2"/>
  <c r="D3881" i="2"/>
  <c r="E3881" i="2"/>
  <c r="F3881" i="2"/>
  <c r="G3881" i="2"/>
  <c r="D3882" i="2"/>
  <c r="F3882" i="2" s="1"/>
  <c r="E3882" i="2"/>
  <c r="G3882" i="2"/>
  <c r="D3883" i="2"/>
  <c r="H3884" i="2" s="1"/>
  <c r="E3883" i="2"/>
  <c r="G3883" i="2"/>
  <c r="D3884" i="2"/>
  <c r="E3884" i="2"/>
  <c r="G3884" i="2"/>
  <c r="D3885" i="2"/>
  <c r="F3885" i="2" s="1"/>
  <c r="E3885" i="2"/>
  <c r="G3885" i="2"/>
  <c r="D3886" i="2"/>
  <c r="F3887" i="2" s="1"/>
  <c r="E3886" i="2"/>
  <c r="F3886" i="2"/>
  <c r="G3886" i="2"/>
  <c r="H3886" i="2"/>
  <c r="D3887" i="2"/>
  <c r="E3887" i="2"/>
  <c r="G3887" i="2"/>
  <c r="H3887" i="2"/>
  <c r="D3888" i="2"/>
  <c r="H3889" i="2" s="1"/>
  <c r="E3888" i="2"/>
  <c r="F3888" i="2"/>
  <c r="G3888" i="2"/>
  <c r="D3889" i="2"/>
  <c r="E3889" i="2"/>
  <c r="F3889" i="2"/>
  <c r="G3889" i="2"/>
  <c r="D3890" i="2"/>
  <c r="F3890" i="2" s="1"/>
  <c r="E3890" i="2"/>
  <c r="G3890" i="2"/>
  <c r="D3891" i="2"/>
  <c r="H3892" i="2" s="1"/>
  <c r="E3891" i="2"/>
  <c r="G3891" i="2"/>
  <c r="D3892" i="2"/>
  <c r="E3892" i="2"/>
  <c r="G3892" i="2"/>
  <c r="D3893" i="2"/>
  <c r="F3893" i="2" s="1"/>
  <c r="E3893" i="2"/>
  <c r="G3893" i="2"/>
  <c r="D3894" i="2"/>
  <c r="F3895" i="2" s="1"/>
  <c r="E3894" i="2"/>
  <c r="F3894" i="2"/>
  <c r="G3894" i="2"/>
  <c r="H3894" i="2"/>
  <c r="D3895" i="2"/>
  <c r="E3895" i="2"/>
  <c r="G3895" i="2"/>
  <c r="H3895" i="2"/>
  <c r="D3896" i="2"/>
  <c r="H3897" i="2" s="1"/>
  <c r="E3896" i="2"/>
  <c r="F3896" i="2"/>
  <c r="G3896" i="2"/>
  <c r="D3897" i="2"/>
  <c r="E3897" i="2"/>
  <c r="F3897" i="2"/>
  <c r="G3897" i="2"/>
  <c r="D3898" i="2"/>
  <c r="F3898" i="2" s="1"/>
  <c r="E3898" i="2"/>
  <c r="G3898" i="2"/>
  <c r="D3899" i="2"/>
  <c r="H3900" i="2" s="1"/>
  <c r="E3899" i="2"/>
  <c r="G3899" i="2"/>
  <c r="D3900" i="2"/>
  <c r="E3900" i="2"/>
  <c r="G3900" i="2"/>
  <c r="D3901" i="2"/>
  <c r="F3901" i="2" s="1"/>
  <c r="E3901" i="2"/>
  <c r="G3901" i="2"/>
  <c r="D3902" i="2"/>
  <c r="F3903" i="2" s="1"/>
  <c r="E3902" i="2"/>
  <c r="F3902" i="2"/>
  <c r="G3902" i="2"/>
  <c r="H3902" i="2"/>
  <c r="D3903" i="2"/>
  <c r="E3903" i="2"/>
  <c r="G3903" i="2"/>
  <c r="H3903" i="2"/>
  <c r="D3904" i="2"/>
  <c r="H3905" i="2" s="1"/>
  <c r="E3904" i="2"/>
  <c r="F3904" i="2"/>
  <c r="G3904" i="2"/>
  <c r="D3905" i="2"/>
  <c r="E3905" i="2"/>
  <c r="F3905" i="2"/>
  <c r="G3905" i="2"/>
  <c r="D3906" i="2"/>
  <c r="F3906" i="2" s="1"/>
  <c r="E3906" i="2"/>
  <c r="G3906" i="2"/>
  <c r="D3907" i="2"/>
  <c r="H3908" i="2" s="1"/>
  <c r="E3907" i="2"/>
  <c r="G3907" i="2"/>
  <c r="D3908" i="2"/>
  <c r="E3908" i="2"/>
  <c r="G3908" i="2"/>
  <c r="D3909" i="2"/>
  <c r="F3909" i="2" s="1"/>
  <c r="E3909" i="2"/>
  <c r="G3909" i="2"/>
  <c r="D3910" i="2"/>
  <c r="F3911" i="2" s="1"/>
  <c r="E3910" i="2"/>
  <c r="F3910" i="2"/>
  <c r="G3910" i="2"/>
  <c r="H3910" i="2"/>
  <c r="D3911" i="2"/>
  <c r="E3911" i="2"/>
  <c r="G3911" i="2"/>
  <c r="H3911" i="2"/>
  <c r="D3912" i="2"/>
  <c r="H3913" i="2" s="1"/>
  <c r="E3912" i="2"/>
  <c r="F3912" i="2"/>
  <c r="G3912" i="2"/>
  <c r="D3913" i="2"/>
  <c r="E3913" i="2"/>
  <c r="F3913" i="2"/>
  <c r="G3913" i="2"/>
  <c r="D3914" i="2"/>
  <c r="F3914" i="2" s="1"/>
  <c r="E3914" i="2"/>
  <c r="G3914" i="2"/>
  <c r="D3915" i="2"/>
  <c r="H3916" i="2" s="1"/>
  <c r="E3915" i="2"/>
  <c r="G3915" i="2"/>
  <c r="D3916" i="2"/>
  <c r="E3916" i="2"/>
  <c r="G3916" i="2"/>
  <c r="D3917" i="2"/>
  <c r="F3917" i="2" s="1"/>
  <c r="E3917" i="2"/>
  <c r="G3917" i="2"/>
  <c r="D3918" i="2"/>
  <c r="F3919" i="2" s="1"/>
  <c r="E3918" i="2"/>
  <c r="F3918" i="2"/>
  <c r="G3918" i="2"/>
  <c r="H3918" i="2"/>
  <c r="D3919" i="2"/>
  <c r="E3919" i="2"/>
  <c r="G3919" i="2"/>
  <c r="H3919" i="2"/>
  <c r="D3920" i="2"/>
  <c r="H3921" i="2" s="1"/>
  <c r="E3920" i="2"/>
  <c r="F3920" i="2"/>
  <c r="G3920" i="2"/>
  <c r="D3921" i="2"/>
  <c r="E3921" i="2"/>
  <c r="F3921" i="2"/>
  <c r="G3921" i="2"/>
  <c r="D3922" i="2"/>
  <c r="F3922" i="2" s="1"/>
  <c r="E3922" i="2"/>
  <c r="G3922" i="2"/>
  <c r="D3923" i="2"/>
  <c r="H3924" i="2" s="1"/>
  <c r="E3923" i="2"/>
  <c r="G3923" i="2"/>
  <c r="D3924" i="2"/>
  <c r="E3924" i="2"/>
  <c r="G3924" i="2"/>
  <c r="D3925" i="2"/>
  <c r="F3925" i="2" s="1"/>
  <c r="E3925" i="2"/>
  <c r="G3925" i="2"/>
  <c r="D3926" i="2"/>
  <c r="F3927" i="2" s="1"/>
  <c r="E3926" i="2"/>
  <c r="F3926" i="2"/>
  <c r="G3926" i="2"/>
  <c r="H3926" i="2"/>
  <c r="D3927" i="2"/>
  <c r="E3927" i="2"/>
  <c r="G3927" i="2"/>
  <c r="H3927" i="2"/>
  <c r="D3928" i="2"/>
  <c r="H3929" i="2" s="1"/>
  <c r="E3928" i="2"/>
  <c r="F3928" i="2"/>
  <c r="G3928" i="2"/>
  <c r="D3929" i="2"/>
  <c r="E3929" i="2"/>
  <c r="F3929" i="2"/>
  <c r="G3929" i="2"/>
  <c r="D3930" i="2"/>
  <c r="F3930" i="2" s="1"/>
  <c r="E3930" i="2"/>
  <c r="G3930" i="2"/>
  <c r="D3931" i="2"/>
  <c r="H3932" i="2" s="1"/>
  <c r="E3931" i="2"/>
  <c r="G3931" i="2"/>
  <c r="D3932" i="2"/>
  <c r="E3932" i="2"/>
  <c r="G3932" i="2"/>
  <c r="D3933" i="2"/>
  <c r="F3933" i="2" s="1"/>
  <c r="E3933" i="2"/>
  <c r="G3933" i="2"/>
  <c r="D3934" i="2"/>
  <c r="F3935" i="2" s="1"/>
  <c r="E3934" i="2"/>
  <c r="F3934" i="2"/>
  <c r="G3934" i="2"/>
  <c r="H3934" i="2"/>
  <c r="D3935" i="2"/>
  <c r="E3935" i="2"/>
  <c r="G3935" i="2"/>
  <c r="H3935" i="2"/>
  <c r="D3936" i="2"/>
  <c r="H3937" i="2" s="1"/>
  <c r="E3936" i="2"/>
  <c r="F3936" i="2"/>
  <c r="G3936" i="2"/>
  <c r="D3937" i="2"/>
  <c r="E3937" i="2"/>
  <c r="F3937" i="2"/>
  <c r="G3937" i="2"/>
  <c r="D3938" i="2"/>
  <c r="F3938" i="2" s="1"/>
  <c r="E3938" i="2"/>
  <c r="G3938" i="2"/>
  <c r="D3939" i="2"/>
  <c r="H3940" i="2" s="1"/>
  <c r="E3939" i="2"/>
  <c r="G3939" i="2"/>
  <c r="D3940" i="2"/>
  <c r="E3940" i="2"/>
  <c r="G3940" i="2"/>
  <c r="D3941" i="2"/>
  <c r="F3941" i="2" s="1"/>
  <c r="E3941" i="2"/>
  <c r="G3941" i="2"/>
  <c r="D3942" i="2"/>
  <c r="F3943" i="2" s="1"/>
  <c r="E3942" i="2"/>
  <c r="F3942" i="2"/>
  <c r="G3942" i="2"/>
  <c r="H3942" i="2"/>
  <c r="D3943" i="2"/>
  <c r="E3943" i="2"/>
  <c r="G3943" i="2"/>
  <c r="H3943" i="2"/>
  <c r="D3944" i="2"/>
  <c r="H3945" i="2" s="1"/>
  <c r="E3944" i="2"/>
  <c r="F3944" i="2"/>
  <c r="G3944" i="2"/>
  <c r="D3945" i="2"/>
  <c r="E3945" i="2"/>
  <c r="F3945" i="2"/>
  <c r="G3945" i="2"/>
  <c r="D3946" i="2"/>
  <c r="F3946" i="2" s="1"/>
  <c r="E3946" i="2"/>
  <c r="G3946" i="2"/>
  <c r="D3947" i="2"/>
  <c r="H3948" i="2" s="1"/>
  <c r="E3947" i="2"/>
  <c r="G3947" i="2"/>
  <c r="D3948" i="2"/>
  <c r="E3948" i="2"/>
  <c r="G3948" i="2"/>
  <c r="D3949" i="2"/>
  <c r="F3949" i="2" s="1"/>
  <c r="E3949" i="2"/>
  <c r="G3949" i="2"/>
  <c r="D3950" i="2"/>
  <c r="F3951" i="2" s="1"/>
  <c r="E3950" i="2"/>
  <c r="F3950" i="2"/>
  <c r="G3950" i="2"/>
  <c r="H3950" i="2"/>
  <c r="D3951" i="2"/>
  <c r="E3951" i="2"/>
  <c r="G3951" i="2"/>
  <c r="H3951" i="2"/>
  <c r="D3952" i="2"/>
  <c r="H3953" i="2" s="1"/>
  <c r="E3952" i="2"/>
  <c r="F3952" i="2"/>
  <c r="G3952" i="2"/>
  <c r="D3953" i="2"/>
  <c r="E3953" i="2"/>
  <c r="F3953" i="2"/>
  <c r="G3953" i="2"/>
  <c r="D3954" i="2"/>
  <c r="F3954" i="2" s="1"/>
  <c r="E3954" i="2"/>
  <c r="G3954" i="2"/>
  <c r="D3955" i="2"/>
  <c r="H3956" i="2" s="1"/>
  <c r="E3955" i="2"/>
  <c r="G3955" i="2"/>
  <c r="D3956" i="2"/>
  <c r="E3956" i="2"/>
  <c r="G3956" i="2"/>
  <c r="D3957" i="2"/>
  <c r="F3957" i="2" s="1"/>
  <c r="E3957" i="2"/>
  <c r="G3957" i="2"/>
  <c r="D3958" i="2"/>
  <c r="F3959" i="2" s="1"/>
  <c r="E3958" i="2"/>
  <c r="F3958" i="2"/>
  <c r="G3958" i="2"/>
  <c r="H3958" i="2"/>
  <c r="D3959" i="2"/>
  <c r="E3959" i="2"/>
  <c r="G3959" i="2"/>
  <c r="H3959" i="2"/>
  <c r="D3960" i="2"/>
  <c r="H3961" i="2" s="1"/>
  <c r="E3960" i="2"/>
  <c r="F3960" i="2"/>
  <c r="G3960" i="2"/>
  <c r="D3961" i="2"/>
  <c r="E3961" i="2"/>
  <c r="F3961" i="2"/>
  <c r="G3961" i="2"/>
  <c r="D3962" i="2"/>
  <c r="F3962" i="2" s="1"/>
  <c r="E3962" i="2"/>
  <c r="G3962" i="2"/>
  <c r="D3963" i="2"/>
  <c r="H3964" i="2" s="1"/>
  <c r="E3963" i="2"/>
  <c r="G3963" i="2"/>
  <c r="D3964" i="2"/>
  <c r="E3964" i="2"/>
  <c r="G3964" i="2"/>
  <c r="D3965" i="2"/>
  <c r="F3965" i="2" s="1"/>
  <c r="E3965" i="2"/>
  <c r="G3965" i="2"/>
  <c r="D3966" i="2"/>
  <c r="F3967" i="2" s="1"/>
  <c r="E3966" i="2"/>
  <c r="F3966" i="2"/>
  <c r="G3966" i="2"/>
  <c r="H3966" i="2"/>
  <c r="D3967" i="2"/>
  <c r="E3967" i="2"/>
  <c r="G3967" i="2"/>
  <c r="H3967" i="2"/>
  <c r="D3968" i="2"/>
  <c r="H3969" i="2" s="1"/>
  <c r="E3968" i="2"/>
  <c r="F3968" i="2"/>
  <c r="G3968" i="2"/>
  <c r="D3969" i="2"/>
  <c r="E3969" i="2"/>
  <c r="F3969" i="2"/>
  <c r="G3969" i="2"/>
  <c r="D3970" i="2"/>
  <c r="F3970" i="2" s="1"/>
  <c r="E3970" i="2"/>
  <c r="G3970" i="2"/>
  <c r="D3971" i="2"/>
  <c r="H3972" i="2" s="1"/>
  <c r="E3971" i="2"/>
  <c r="G3971" i="2"/>
  <c r="D3972" i="2"/>
  <c r="E3972" i="2"/>
  <c r="G3972" i="2"/>
  <c r="D3973" i="2"/>
  <c r="F3973" i="2" s="1"/>
  <c r="E3973" i="2"/>
  <c r="G3973" i="2"/>
  <c r="D3974" i="2"/>
  <c r="F3975" i="2" s="1"/>
  <c r="E3974" i="2"/>
  <c r="F3974" i="2"/>
  <c r="G3974" i="2"/>
  <c r="H3974" i="2"/>
  <c r="D3975" i="2"/>
  <c r="E3975" i="2"/>
  <c r="G3975" i="2"/>
  <c r="H3975" i="2"/>
  <c r="D3976" i="2"/>
  <c r="H3977" i="2" s="1"/>
  <c r="E3976" i="2"/>
  <c r="F3976" i="2"/>
  <c r="G3976" i="2"/>
  <c r="D3977" i="2"/>
  <c r="E3977" i="2"/>
  <c r="F3977" i="2"/>
  <c r="G3977" i="2"/>
  <c r="D3978" i="2"/>
  <c r="F3978" i="2" s="1"/>
  <c r="E3978" i="2"/>
  <c r="G3978" i="2"/>
  <c r="D3979" i="2"/>
  <c r="H3980" i="2" s="1"/>
  <c r="E3979" i="2"/>
  <c r="G3979" i="2"/>
  <c r="D3980" i="2"/>
  <c r="E3980" i="2"/>
  <c r="G3980" i="2"/>
  <c r="D3981" i="2"/>
  <c r="F3981" i="2" s="1"/>
  <c r="E3981" i="2"/>
  <c r="G3981" i="2"/>
  <c r="D3982" i="2"/>
  <c r="F3983" i="2" s="1"/>
  <c r="E3982" i="2"/>
  <c r="F3982" i="2"/>
  <c r="G3982" i="2"/>
  <c r="H3982" i="2"/>
  <c r="D3983" i="2"/>
  <c r="E3983" i="2"/>
  <c r="G3983" i="2"/>
  <c r="H3983" i="2"/>
  <c r="D3984" i="2"/>
  <c r="H3985" i="2" s="1"/>
  <c r="E3984" i="2"/>
  <c r="F3984" i="2"/>
  <c r="G3984" i="2"/>
  <c r="D3985" i="2"/>
  <c r="E3985" i="2"/>
  <c r="F3985" i="2"/>
  <c r="G3985" i="2"/>
  <c r="D3986" i="2"/>
  <c r="F3986" i="2" s="1"/>
  <c r="E3986" i="2"/>
  <c r="G3986" i="2"/>
  <c r="D3987" i="2"/>
  <c r="H3988" i="2" s="1"/>
  <c r="E3987" i="2"/>
  <c r="G3987" i="2"/>
  <c r="D3988" i="2"/>
  <c r="E3988" i="2"/>
  <c r="G3988" i="2"/>
  <c r="D3989" i="2"/>
  <c r="F3989" i="2" s="1"/>
  <c r="E3989" i="2"/>
  <c r="G3989" i="2"/>
  <c r="D3990" i="2"/>
  <c r="F3991" i="2" s="1"/>
  <c r="E3990" i="2"/>
  <c r="F3990" i="2"/>
  <c r="G3990" i="2"/>
  <c r="H3990" i="2"/>
  <c r="D3991" i="2"/>
  <c r="E3991" i="2"/>
  <c r="G3991" i="2"/>
  <c r="H3991" i="2"/>
  <c r="D3992" i="2"/>
  <c r="H3993" i="2" s="1"/>
  <c r="E3992" i="2"/>
  <c r="F3992" i="2"/>
  <c r="G3992" i="2"/>
  <c r="D3993" i="2"/>
  <c r="E3993" i="2"/>
  <c r="F3993" i="2"/>
  <c r="G3993" i="2"/>
  <c r="D3994" i="2"/>
  <c r="F3994" i="2" s="1"/>
  <c r="E3994" i="2"/>
  <c r="G3994" i="2"/>
  <c r="D3995" i="2"/>
  <c r="H3996" i="2" s="1"/>
  <c r="E3995" i="2"/>
  <c r="G3995" i="2"/>
  <c r="D3996" i="2"/>
  <c r="E3996" i="2"/>
  <c r="G3996" i="2"/>
  <c r="D3997" i="2"/>
  <c r="F3997" i="2" s="1"/>
  <c r="E3997" i="2"/>
  <c r="G3997" i="2"/>
  <c r="D3998" i="2"/>
  <c r="F3999" i="2" s="1"/>
  <c r="E3998" i="2"/>
  <c r="F3998" i="2"/>
  <c r="G3998" i="2"/>
  <c r="H3998" i="2"/>
  <c r="D3999" i="2"/>
  <c r="E3999" i="2"/>
  <c r="G3999" i="2"/>
  <c r="H3999" i="2"/>
  <c r="D4000" i="2"/>
  <c r="H4001" i="2" s="1"/>
  <c r="E4000" i="2"/>
  <c r="F4000" i="2"/>
  <c r="G4000" i="2"/>
  <c r="D4001" i="2"/>
  <c r="E4001" i="2"/>
  <c r="F4001" i="2"/>
  <c r="G4001" i="2"/>
  <c r="D4002" i="2"/>
  <c r="F4002" i="2" s="1"/>
  <c r="E4002" i="2"/>
  <c r="G4002" i="2"/>
  <c r="D4003" i="2"/>
  <c r="H4004" i="2" s="1"/>
  <c r="E4003" i="2"/>
  <c r="G4003" i="2"/>
  <c r="D4004" i="2"/>
  <c r="E4004" i="2"/>
  <c r="G4004" i="2"/>
  <c r="D4005" i="2"/>
  <c r="F4005" i="2" s="1"/>
  <c r="E4005" i="2"/>
  <c r="G4005" i="2"/>
  <c r="D4006" i="2"/>
  <c r="F4007" i="2" s="1"/>
  <c r="E4006" i="2"/>
  <c r="F4006" i="2"/>
  <c r="G4006" i="2"/>
  <c r="H4006" i="2"/>
  <c r="D4007" i="2"/>
  <c r="E4007" i="2"/>
  <c r="G4007" i="2"/>
  <c r="H4007" i="2"/>
  <c r="D4008" i="2"/>
  <c r="H4009" i="2" s="1"/>
  <c r="E4008" i="2"/>
  <c r="F4008" i="2"/>
  <c r="G4008" i="2"/>
  <c r="D4009" i="2"/>
  <c r="E4009" i="2"/>
  <c r="F4009" i="2"/>
  <c r="G4009" i="2"/>
  <c r="D4010" i="2"/>
  <c r="F4010" i="2" s="1"/>
  <c r="E4010" i="2"/>
  <c r="G4010" i="2"/>
  <c r="D4011" i="2"/>
  <c r="H4012" i="2" s="1"/>
  <c r="E4011" i="2"/>
  <c r="G4011" i="2"/>
  <c r="D4012" i="2"/>
  <c r="E4012" i="2"/>
  <c r="G4012" i="2"/>
  <c r="D4013" i="2"/>
  <c r="F4013" i="2" s="1"/>
  <c r="E4013" i="2"/>
  <c r="G4013" i="2"/>
  <c r="D4014" i="2"/>
  <c r="F4015" i="2" s="1"/>
  <c r="E4014" i="2"/>
  <c r="F4014" i="2"/>
  <c r="G4014" i="2"/>
  <c r="H4014" i="2"/>
  <c r="D4015" i="2"/>
  <c r="E4015" i="2"/>
  <c r="G4015" i="2"/>
  <c r="H4015" i="2"/>
  <c r="D4016" i="2"/>
  <c r="H4017" i="2" s="1"/>
  <c r="E4016" i="2"/>
  <c r="F4016" i="2"/>
  <c r="G4016" i="2"/>
  <c r="D4017" i="2"/>
  <c r="E4017" i="2"/>
  <c r="F4017" i="2"/>
  <c r="G4017" i="2"/>
  <c r="D4018" i="2"/>
  <c r="E4018" i="2"/>
  <c r="G4018" i="2"/>
  <c r="D4019" i="2"/>
  <c r="H4020" i="2" s="1"/>
  <c r="E4019" i="2"/>
  <c r="G4019" i="2"/>
  <c r="D4020" i="2"/>
  <c r="E4020" i="2"/>
  <c r="G4020" i="2"/>
  <c r="D4021" i="2"/>
  <c r="F4021" i="2" s="1"/>
  <c r="E4021" i="2"/>
  <c r="G4021" i="2"/>
  <c r="D4022" i="2"/>
  <c r="F4023" i="2" s="1"/>
  <c r="E4022" i="2"/>
  <c r="F4022" i="2"/>
  <c r="G4022" i="2"/>
  <c r="H4022" i="2"/>
  <c r="D4023" i="2"/>
  <c r="E4023" i="2"/>
  <c r="G4023" i="2"/>
  <c r="H4023" i="2"/>
  <c r="D4024" i="2"/>
  <c r="H4025" i="2" s="1"/>
  <c r="E4024" i="2"/>
  <c r="F4024" i="2"/>
  <c r="G4024" i="2"/>
  <c r="D4025" i="2"/>
  <c r="E4025" i="2"/>
  <c r="F4025" i="2"/>
  <c r="G4025" i="2"/>
  <c r="D4026" i="2"/>
  <c r="E4026" i="2"/>
  <c r="G4026" i="2"/>
  <c r="D4027" i="2"/>
  <c r="E4027" i="2"/>
  <c r="G4027" i="2"/>
  <c r="D4028" i="2"/>
  <c r="E4028" i="2"/>
  <c r="G4028" i="2"/>
  <c r="D4029" i="2"/>
  <c r="F4029" i="2" s="1"/>
  <c r="E4029" i="2"/>
  <c r="G4029" i="2"/>
  <c r="D4030" i="2"/>
  <c r="F4031" i="2" s="1"/>
  <c r="E4030" i="2"/>
  <c r="F4030" i="2"/>
  <c r="G4030" i="2"/>
  <c r="H4030" i="2"/>
  <c r="D4031" i="2"/>
  <c r="E4031" i="2"/>
  <c r="G4031" i="2"/>
  <c r="H4031" i="2"/>
  <c r="D4032" i="2"/>
  <c r="H4033" i="2" s="1"/>
  <c r="E4032" i="2"/>
  <c r="F4032" i="2"/>
  <c r="G4032" i="2"/>
  <c r="D4033" i="2"/>
  <c r="E4033" i="2"/>
  <c r="F4033" i="2"/>
  <c r="G4033" i="2"/>
  <c r="D4034" i="2"/>
  <c r="E4034" i="2"/>
  <c r="G4034" i="2"/>
  <c r="D4035" i="2"/>
  <c r="E4035" i="2"/>
  <c r="G4035" i="2"/>
  <c r="D4036" i="2"/>
  <c r="E4036" i="2"/>
  <c r="G4036" i="2"/>
  <c r="D4037" i="2"/>
  <c r="F4037" i="2" s="1"/>
  <c r="E4037" i="2"/>
  <c r="G4037" i="2"/>
  <c r="D4038" i="2"/>
  <c r="F4039" i="2" s="1"/>
  <c r="E4038" i="2"/>
  <c r="F4038" i="2"/>
  <c r="G4038" i="2"/>
  <c r="H4038" i="2"/>
  <c r="D4039" i="2"/>
  <c r="E4039" i="2"/>
  <c r="G4039" i="2"/>
  <c r="H4039" i="2"/>
  <c r="D4040" i="2"/>
  <c r="H4041" i="2" s="1"/>
  <c r="E4040" i="2"/>
  <c r="F4040" i="2"/>
  <c r="G4040" i="2"/>
  <c r="D4041" i="2"/>
  <c r="E4041" i="2"/>
  <c r="F4041" i="2"/>
  <c r="G4041" i="2"/>
  <c r="D4042" i="2"/>
  <c r="E4042" i="2"/>
  <c r="G4042" i="2"/>
  <c r="D4043" i="2"/>
  <c r="E4043" i="2"/>
  <c r="G4043" i="2"/>
  <c r="D4044" i="2"/>
  <c r="E4044" i="2"/>
  <c r="G4044" i="2"/>
  <c r="D4045" i="2"/>
  <c r="F4045" i="2" s="1"/>
  <c r="E4045" i="2"/>
  <c r="G4045" i="2"/>
  <c r="D4046" i="2"/>
  <c r="F4047" i="2" s="1"/>
  <c r="E4046" i="2"/>
  <c r="F4046" i="2"/>
  <c r="G4046" i="2"/>
  <c r="H4046" i="2"/>
  <c r="D4047" i="2"/>
  <c r="E4047" i="2"/>
  <c r="G4047" i="2"/>
  <c r="H4047" i="2"/>
  <c r="D4048" i="2"/>
  <c r="H4049" i="2" s="1"/>
  <c r="E4048" i="2"/>
  <c r="F4048" i="2"/>
  <c r="G4048" i="2"/>
  <c r="D4049" i="2"/>
  <c r="E4049" i="2"/>
  <c r="F4049" i="2"/>
  <c r="G4049" i="2"/>
  <c r="D4050" i="2"/>
  <c r="E4050" i="2"/>
  <c r="G4050" i="2"/>
  <c r="D4051" i="2"/>
  <c r="E4051" i="2"/>
  <c r="G4051" i="2"/>
  <c r="D4052" i="2"/>
  <c r="E4052" i="2"/>
  <c r="G4052" i="2"/>
  <c r="D4053" i="2"/>
  <c r="F4053" i="2" s="1"/>
  <c r="E4053" i="2"/>
  <c r="G4053" i="2"/>
  <c r="D4054" i="2"/>
  <c r="F4055" i="2" s="1"/>
  <c r="E4054" i="2"/>
  <c r="F4054" i="2"/>
  <c r="G4054" i="2"/>
  <c r="H4054" i="2"/>
  <c r="D4055" i="2"/>
  <c r="E4055" i="2"/>
  <c r="G4055" i="2"/>
  <c r="H4055" i="2"/>
  <c r="D4056" i="2"/>
  <c r="H4057" i="2" s="1"/>
  <c r="E4056" i="2"/>
  <c r="F4056" i="2"/>
  <c r="G4056" i="2"/>
  <c r="D4057" i="2"/>
  <c r="E4057" i="2"/>
  <c r="F4057" i="2"/>
  <c r="G4057" i="2"/>
  <c r="D4058" i="2"/>
  <c r="E4058" i="2"/>
  <c r="G4058" i="2"/>
  <c r="D4059" i="2"/>
  <c r="E4059" i="2"/>
  <c r="G4059" i="2"/>
  <c r="D4060" i="2"/>
  <c r="E4060" i="2"/>
  <c r="G4060" i="2"/>
  <c r="D4061" i="2"/>
  <c r="F4061" i="2" s="1"/>
  <c r="E4061" i="2"/>
  <c r="G4061" i="2"/>
  <c r="D4062" i="2"/>
  <c r="F4063" i="2" s="1"/>
  <c r="E4062" i="2"/>
  <c r="F4062" i="2"/>
  <c r="G4062" i="2"/>
  <c r="H4062" i="2"/>
  <c r="D4063" i="2"/>
  <c r="E4063" i="2"/>
  <c r="G4063" i="2"/>
  <c r="H4063" i="2"/>
  <c r="D4064" i="2"/>
  <c r="H4065" i="2" s="1"/>
  <c r="E4064" i="2"/>
  <c r="F4064" i="2"/>
  <c r="G4064" i="2"/>
  <c r="D4065" i="2"/>
  <c r="E4065" i="2"/>
  <c r="F4065" i="2"/>
  <c r="G4065" i="2"/>
  <c r="D4066" i="2"/>
  <c r="E4066" i="2"/>
  <c r="G4066" i="2"/>
  <c r="D4067" i="2"/>
  <c r="E4067" i="2"/>
  <c r="G4067" i="2"/>
  <c r="D4068" i="2"/>
  <c r="E4068" i="2"/>
  <c r="G4068" i="2"/>
  <c r="D4069" i="2"/>
  <c r="F4069" i="2" s="1"/>
  <c r="E4069" i="2"/>
  <c r="G4069" i="2"/>
  <c r="D4070" i="2"/>
  <c r="F4071" i="2" s="1"/>
  <c r="E4070" i="2"/>
  <c r="F4070" i="2"/>
  <c r="G4070" i="2"/>
  <c r="H4070" i="2"/>
  <c r="D4071" i="2"/>
  <c r="E4071" i="2"/>
  <c r="G4071" i="2"/>
  <c r="H4071" i="2"/>
  <c r="D4072" i="2"/>
  <c r="H4073" i="2" s="1"/>
  <c r="E4072" i="2"/>
  <c r="F4072" i="2"/>
  <c r="G4072" i="2"/>
  <c r="D4073" i="2"/>
  <c r="E4073" i="2"/>
  <c r="F4073" i="2"/>
  <c r="G4073" i="2"/>
  <c r="D4074" i="2"/>
  <c r="E4074" i="2"/>
  <c r="G4074" i="2"/>
  <c r="D4075" i="2"/>
  <c r="E4075" i="2"/>
  <c r="G4075" i="2"/>
  <c r="D4076" i="2"/>
  <c r="E4076" i="2"/>
  <c r="G4076" i="2"/>
  <c r="D4077" i="2"/>
  <c r="F4077" i="2" s="1"/>
  <c r="E4077" i="2"/>
  <c r="G4077" i="2"/>
  <c r="D4078" i="2"/>
  <c r="F4079" i="2" s="1"/>
  <c r="E4078" i="2"/>
  <c r="F4078" i="2"/>
  <c r="G4078" i="2"/>
  <c r="H4078" i="2"/>
  <c r="D4079" i="2"/>
  <c r="E4079" i="2"/>
  <c r="G4079" i="2"/>
  <c r="H4079" i="2"/>
  <c r="D4080" i="2"/>
  <c r="H4081" i="2" s="1"/>
  <c r="E4080" i="2"/>
  <c r="F4080" i="2"/>
  <c r="G4080" i="2"/>
  <c r="D4081" i="2"/>
  <c r="E4081" i="2"/>
  <c r="F4081" i="2"/>
  <c r="G4081" i="2"/>
  <c r="D4082" i="2"/>
  <c r="E4082" i="2"/>
  <c r="G4082" i="2"/>
  <c r="D4083" i="2"/>
  <c r="E4083" i="2"/>
  <c r="G4083" i="2"/>
  <c r="D4084" i="2"/>
  <c r="E4084" i="2"/>
  <c r="G4084" i="2"/>
  <c r="D4085" i="2"/>
  <c r="F4085" i="2" s="1"/>
  <c r="E4085" i="2"/>
  <c r="G4085" i="2"/>
  <c r="D4086" i="2"/>
  <c r="F4087" i="2" s="1"/>
  <c r="E4086" i="2"/>
  <c r="F4086" i="2"/>
  <c r="G4086" i="2"/>
  <c r="H4086" i="2"/>
  <c r="D4087" i="2"/>
  <c r="E4087" i="2"/>
  <c r="G4087" i="2"/>
  <c r="H4087" i="2"/>
  <c r="D4088" i="2"/>
  <c r="H4089" i="2" s="1"/>
  <c r="E4088" i="2"/>
  <c r="F4088" i="2"/>
  <c r="G4088" i="2"/>
  <c r="D4089" i="2"/>
  <c r="E4089" i="2"/>
  <c r="F4089" i="2"/>
  <c r="G4089" i="2"/>
  <c r="D4090" i="2"/>
  <c r="E4090" i="2"/>
  <c r="G4090" i="2"/>
  <c r="D4091" i="2"/>
  <c r="E4091" i="2"/>
  <c r="G4091" i="2"/>
  <c r="D4092" i="2"/>
  <c r="E4092" i="2"/>
  <c r="G4092" i="2"/>
  <c r="D4093" i="2"/>
  <c r="F4093" i="2" s="1"/>
  <c r="E4093" i="2"/>
  <c r="G4093" i="2"/>
  <c r="D4094" i="2"/>
  <c r="F4095" i="2" s="1"/>
  <c r="E4094" i="2"/>
  <c r="F4094" i="2"/>
  <c r="G4094" i="2"/>
  <c r="H4094" i="2"/>
  <c r="D4095" i="2"/>
  <c r="E4095" i="2"/>
  <c r="G4095" i="2"/>
  <c r="H4095" i="2"/>
  <c r="D4096" i="2"/>
  <c r="F4097" i="2" s="1"/>
  <c r="E4096" i="2"/>
  <c r="G4096" i="2"/>
  <c r="D4097" i="2"/>
  <c r="E4097" i="2"/>
  <c r="G4097" i="2"/>
  <c r="D4098" i="2"/>
  <c r="E4098" i="2"/>
  <c r="G4098" i="2"/>
  <c r="D4099" i="2"/>
  <c r="E4099" i="2"/>
  <c r="G4099" i="2"/>
  <c r="D4100" i="2"/>
  <c r="E4100" i="2"/>
  <c r="G4100" i="2"/>
  <c r="H4100" i="2"/>
  <c r="D4101" i="2"/>
  <c r="F4101" i="2" s="1"/>
  <c r="E4101" i="2"/>
  <c r="G4101" i="2"/>
  <c r="D4102" i="2"/>
  <c r="F4103" i="2" s="1"/>
  <c r="E4102" i="2"/>
  <c r="F4102" i="2"/>
  <c r="G4102" i="2"/>
  <c r="H4102" i="2"/>
  <c r="D4103" i="2"/>
  <c r="E4103" i="2"/>
  <c r="G4103" i="2"/>
  <c r="H4103" i="2"/>
  <c r="D4104" i="2"/>
  <c r="E4104" i="2"/>
  <c r="F4104" i="2"/>
  <c r="G4104" i="2"/>
  <c r="D4105" i="2"/>
  <c r="E4105" i="2"/>
  <c r="G4105" i="2"/>
  <c r="D4106" i="2"/>
  <c r="E4106" i="2"/>
  <c r="G4106" i="2"/>
  <c r="D4107" i="2"/>
  <c r="H4108" i="2" s="1"/>
  <c r="E4107" i="2"/>
  <c r="G4107" i="2"/>
  <c r="D4108" i="2"/>
  <c r="E4108" i="2"/>
  <c r="G4108" i="2"/>
  <c r="D4109" i="2"/>
  <c r="F4109" i="2" s="1"/>
  <c r="E4109" i="2"/>
  <c r="G4109" i="2"/>
  <c r="D4110" i="2"/>
  <c r="F4111" i="2" s="1"/>
  <c r="E4110" i="2"/>
  <c r="F4110" i="2"/>
  <c r="G4110" i="2"/>
  <c r="H4110" i="2"/>
  <c r="D4111" i="2"/>
  <c r="E4111" i="2"/>
  <c r="G4111" i="2"/>
  <c r="H4111" i="2"/>
  <c r="D4112" i="2"/>
  <c r="E4112" i="2"/>
  <c r="F4112" i="2"/>
  <c r="G4112" i="2"/>
  <c r="D4113" i="2"/>
  <c r="E4113" i="2"/>
  <c r="F4113" i="2"/>
  <c r="G4113" i="2"/>
  <c r="D4114" i="2"/>
  <c r="E4114" i="2"/>
  <c r="G4114" i="2"/>
  <c r="D4115" i="2"/>
  <c r="E4115" i="2"/>
  <c r="G4115" i="2"/>
  <c r="D4116" i="2"/>
  <c r="E4116" i="2"/>
  <c r="G4116" i="2"/>
  <c r="H4116" i="2"/>
  <c r="D4117" i="2"/>
  <c r="F4117" i="2" s="1"/>
  <c r="E4117" i="2"/>
  <c r="G4117" i="2"/>
  <c r="D4118" i="2"/>
  <c r="F4119" i="2" s="1"/>
  <c r="E4118" i="2"/>
  <c r="F4118" i="2"/>
  <c r="G4118" i="2"/>
  <c r="H4118" i="2"/>
  <c r="D4119" i="2"/>
  <c r="E4119" i="2"/>
  <c r="G4119" i="2"/>
  <c r="H4119" i="2"/>
  <c r="D4120" i="2"/>
  <c r="F4120" i="2" s="1"/>
  <c r="E4120" i="2"/>
  <c r="G4120" i="2"/>
  <c r="D4121" i="2"/>
  <c r="E4121" i="2"/>
  <c r="F4121" i="2"/>
  <c r="G4121" i="2"/>
  <c r="D4122" i="2"/>
  <c r="E4122" i="2"/>
  <c r="G4122" i="2"/>
  <c r="D4123" i="2"/>
  <c r="E4123" i="2"/>
  <c r="G4123" i="2"/>
  <c r="D4124" i="2"/>
  <c r="E4124" i="2"/>
  <c r="G4124" i="2"/>
  <c r="D4125" i="2"/>
  <c r="F4125" i="2" s="1"/>
  <c r="E4125" i="2"/>
  <c r="G4125" i="2"/>
  <c r="D4126" i="2"/>
  <c r="F4127" i="2" s="1"/>
  <c r="E4126" i="2"/>
  <c r="F4126" i="2"/>
  <c r="G4126" i="2"/>
  <c r="H4126" i="2"/>
  <c r="D4127" i="2"/>
  <c r="E4127" i="2"/>
  <c r="G4127" i="2"/>
  <c r="H4127" i="2"/>
  <c r="D4128" i="2"/>
  <c r="F4129" i="2" s="1"/>
  <c r="E4128" i="2"/>
  <c r="G4128" i="2"/>
  <c r="D4129" i="2"/>
  <c r="E4129" i="2"/>
  <c r="G4129" i="2"/>
  <c r="D4130" i="2"/>
  <c r="E4130" i="2"/>
  <c r="G4130" i="2"/>
  <c r="D4131" i="2"/>
  <c r="E4131" i="2"/>
  <c r="G4131" i="2"/>
  <c r="D4132" i="2"/>
  <c r="E4132" i="2"/>
  <c r="G4132" i="2"/>
  <c r="H4132" i="2"/>
  <c r="D4133" i="2"/>
  <c r="F4133" i="2" s="1"/>
  <c r="E4133" i="2"/>
  <c r="G4133" i="2"/>
  <c r="D4134" i="2"/>
  <c r="F4135" i="2" s="1"/>
  <c r="E4134" i="2"/>
  <c r="F4134" i="2"/>
  <c r="G4134" i="2"/>
  <c r="H4134" i="2"/>
  <c r="D4135" i="2"/>
  <c r="E4135" i="2"/>
  <c r="G4135" i="2"/>
  <c r="H4135" i="2"/>
  <c r="D4136" i="2"/>
  <c r="E4136" i="2"/>
  <c r="F4136" i="2"/>
  <c r="G4136" i="2"/>
  <c r="D4137" i="2"/>
  <c r="E4137" i="2"/>
  <c r="G4137" i="2"/>
  <c r="D4138" i="2"/>
  <c r="E4138" i="2"/>
  <c r="G4138" i="2"/>
  <c r="D4139" i="2"/>
  <c r="H4140" i="2" s="1"/>
  <c r="E4139" i="2"/>
  <c r="G4139" i="2"/>
  <c r="D4140" i="2"/>
  <c r="E4140" i="2"/>
  <c r="G4140" i="2"/>
  <c r="D4141" i="2"/>
  <c r="F4141" i="2" s="1"/>
  <c r="E4141" i="2"/>
  <c r="G4141" i="2"/>
  <c r="D4142" i="2"/>
  <c r="F4143" i="2" s="1"/>
  <c r="E4142" i="2"/>
  <c r="F4142" i="2"/>
  <c r="G4142" i="2"/>
  <c r="H4142" i="2"/>
  <c r="D4143" i="2"/>
  <c r="E4143" i="2"/>
  <c r="G4143" i="2"/>
  <c r="H4143" i="2"/>
  <c r="D4144" i="2"/>
  <c r="E4144" i="2"/>
  <c r="F4144" i="2"/>
  <c r="G4144" i="2"/>
  <c r="D4145" i="2"/>
  <c r="E4145" i="2"/>
  <c r="F4145" i="2"/>
  <c r="G4145" i="2"/>
  <c r="D4146" i="2"/>
  <c r="E4146" i="2"/>
  <c r="G4146" i="2"/>
  <c r="D4147" i="2"/>
  <c r="E4147" i="2"/>
  <c r="G4147" i="2"/>
  <c r="D4148" i="2"/>
  <c r="E4148" i="2"/>
  <c r="G4148" i="2"/>
  <c r="H4148" i="2"/>
  <c r="D4149" i="2"/>
  <c r="F4149" i="2" s="1"/>
  <c r="E4149" i="2"/>
  <c r="G4149" i="2"/>
  <c r="D4150" i="2"/>
  <c r="F4151" i="2" s="1"/>
  <c r="E4150" i="2"/>
  <c r="F4150" i="2"/>
  <c r="G4150" i="2"/>
  <c r="H4150" i="2"/>
  <c r="D4151" i="2"/>
  <c r="E4151" i="2"/>
  <c r="G4151" i="2"/>
  <c r="H4151" i="2"/>
  <c r="D4152" i="2"/>
  <c r="F4152" i="2" s="1"/>
  <c r="E4152" i="2"/>
  <c r="G4152" i="2"/>
  <c r="D4153" i="2"/>
  <c r="E4153" i="2"/>
  <c r="F4153" i="2"/>
  <c r="G4153" i="2"/>
  <c r="D4154" i="2"/>
  <c r="E4154" i="2"/>
  <c r="G4154" i="2"/>
  <c r="D4155" i="2"/>
  <c r="E4155" i="2"/>
  <c r="G4155" i="2"/>
  <c r="D4156" i="2"/>
  <c r="E4156" i="2"/>
  <c r="G4156" i="2"/>
  <c r="D4157" i="2"/>
  <c r="F4157" i="2" s="1"/>
  <c r="E4157" i="2"/>
  <c r="G4157" i="2"/>
  <c r="D4158" i="2"/>
  <c r="F4159" i="2" s="1"/>
  <c r="E4158" i="2"/>
  <c r="F4158" i="2"/>
  <c r="G4158" i="2"/>
  <c r="H4158" i="2"/>
  <c r="D4159" i="2"/>
  <c r="E4159" i="2"/>
  <c r="G4159" i="2"/>
  <c r="H4159" i="2"/>
  <c r="D4160" i="2"/>
  <c r="E4160" i="2"/>
  <c r="G4160" i="2"/>
  <c r="D4161" i="2"/>
  <c r="E4161" i="2"/>
  <c r="G4161" i="2"/>
  <c r="D4162" i="2"/>
  <c r="E4162" i="2"/>
  <c r="G4162" i="2"/>
  <c r="D4163" i="2"/>
  <c r="E4163" i="2"/>
  <c r="G4163" i="2"/>
  <c r="D4164" i="2"/>
  <c r="E4164" i="2"/>
  <c r="G4164" i="2"/>
  <c r="H4164" i="2"/>
  <c r="D4165" i="2"/>
  <c r="F4165" i="2" s="1"/>
  <c r="E4165" i="2"/>
  <c r="G4165" i="2"/>
  <c r="D4166" i="2"/>
  <c r="F4167" i="2" s="1"/>
  <c r="E4166" i="2"/>
  <c r="F4166" i="2"/>
  <c r="G4166" i="2"/>
  <c r="H4166" i="2"/>
  <c r="D4167" i="2"/>
  <c r="E4167" i="2"/>
  <c r="G4167" i="2"/>
  <c r="H4167" i="2"/>
  <c r="D4168" i="2"/>
  <c r="E4168" i="2"/>
  <c r="F4168" i="2"/>
  <c r="G4168" i="2"/>
  <c r="D4169" i="2"/>
  <c r="E4169" i="2"/>
  <c r="G4169" i="2"/>
  <c r="D4170" i="2"/>
  <c r="E4170" i="2"/>
  <c r="G4170" i="2"/>
  <c r="D4171" i="2"/>
  <c r="H4172" i="2" s="1"/>
  <c r="E4171" i="2"/>
  <c r="G4171" i="2"/>
  <c r="D4172" i="2"/>
  <c r="E4172" i="2"/>
  <c r="G4172" i="2"/>
  <c r="D4173" i="2"/>
  <c r="F4173" i="2" s="1"/>
  <c r="E4173" i="2"/>
  <c r="G4173" i="2"/>
  <c r="D4174" i="2"/>
  <c r="F4175" i="2" s="1"/>
  <c r="E4174" i="2"/>
  <c r="F4174" i="2"/>
  <c r="G4174" i="2"/>
  <c r="H4174" i="2"/>
  <c r="D4175" i="2"/>
  <c r="E4175" i="2"/>
  <c r="G4175" i="2"/>
  <c r="H4175" i="2"/>
  <c r="D4176" i="2"/>
  <c r="E4176" i="2"/>
  <c r="F4176" i="2"/>
  <c r="G4176" i="2"/>
  <c r="D4177" i="2"/>
  <c r="E4177" i="2"/>
  <c r="F4177" i="2"/>
  <c r="G4177" i="2"/>
  <c r="D4178" i="2"/>
  <c r="E4178" i="2"/>
  <c r="G4178" i="2"/>
  <c r="D4179" i="2"/>
  <c r="E4179" i="2"/>
  <c r="G4179" i="2"/>
  <c r="D4180" i="2"/>
  <c r="E4180" i="2"/>
  <c r="G4180" i="2"/>
  <c r="H4180" i="2"/>
  <c r="D4181" i="2"/>
  <c r="F4181" i="2" s="1"/>
  <c r="E4181" i="2"/>
  <c r="G4181" i="2"/>
  <c r="D4182" i="2"/>
  <c r="F4183" i="2" s="1"/>
  <c r="E4182" i="2"/>
  <c r="F4182" i="2"/>
  <c r="G4182" i="2"/>
  <c r="H4182" i="2"/>
  <c r="D4183" i="2"/>
  <c r="E4183" i="2"/>
  <c r="G4183" i="2"/>
  <c r="H4183" i="2"/>
  <c r="D4184" i="2"/>
  <c r="H4184" i="2" s="1"/>
  <c r="E4184" i="2"/>
  <c r="G4184" i="2"/>
  <c r="D4185" i="2"/>
  <c r="E4185" i="2"/>
  <c r="F4185" i="2"/>
  <c r="G4185" i="2"/>
  <c r="H4185" i="2"/>
  <c r="D4186" i="2"/>
  <c r="F4186" i="2" s="1"/>
  <c r="E4186" i="2"/>
  <c r="G4186" i="2"/>
  <c r="D4187" i="2"/>
  <c r="H4187" i="2" s="1"/>
  <c r="E4187" i="2"/>
  <c r="F4187" i="2"/>
  <c r="G4187" i="2"/>
  <c r="D4188" i="2"/>
  <c r="E4188" i="2"/>
  <c r="F4188" i="2"/>
  <c r="G4188" i="2"/>
  <c r="H4188" i="2"/>
  <c r="D4189" i="2"/>
  <c r="F4189" i="2" s="1"/>
  <c r="E4189" i="2"/>
  <c r="G4189" i="2"/>
  <c r="D4190" i="2"/>
  <c r="E4190" i="2"/>
  <c r="G4190" i="2"/>
  <c r="D4191" i="2"/>
  <c r="E4191" i="2"/>
  <c r="F4191" i="2"/>
  <c r="G4191" i="2"/>
  <c r="H4191" i="2"/>
  <c r="D4192" i="2"/>
  <c r="H4192" i="2" s="1"/>
  <c r="E4192" i="2"/>
  <c r="F4192" i="2"/>
  <c r="G4192" i="2"/>
  <c r="D4193" i="2"/>
  <c r="F4193" i="2" s="1"/>
  <c r="E4193" i="2"/>
  <c r="G4193" i="2"/>
  <c r="D4194" i="2"/>
  <c r="F4194" i="2" s="1"/>
  <c r="E4194" i="2"/>
  <c r="G4194" i="2"/>
  <c r="D4195" i="2"/>
  <c r="E4195" i="2"/>
  <c r="F4195" i="2"/>
  <c r="G4195" i="2"/>
  <c r="D4196" i="2"/>
  <c r="E4196" i="2"/>
  <c r="F4196" i="2"/>
  <c r="G4196" i="2"/>
  <c r="H4196" i="2"/>
  <c r="D4197" i="2"/>
  <c r="F4197" i="2" s="1"/>
  <c r="E4197" i="2"/>
  <c r="G4197" i="2"/>
  <c r="H4197" i="2"/>
  <c r="D4198" i="2"/>
  <c r="F4198" i="2" s="1"/>
  <c r="E4198" i="2"/>
  <c r="G4198" i="2"/>
  <c r="D4199" i="2"/>
  <c r="E4199" i="2"/>
  <c r="G4199" i="2"/>
  <c r="H4199" i="2"/>
  <c r="D4200" i="2"/>
  <c r="H4200" i="2" s="1"/>
  <c r="E4200" i="2"/>
  <c r="G4200" i="2"/>
  <c r="D4201" i="2"/>
  <c r="E4201" i="2"/>
  <c r="F4201" i="2"/>
  <c r="G4201" i="2"/>
  <c r="H4201" i="2"/>
  <c r="D4202" i="2"/>
  <c r="F4202" i="2" s="1"/>
  <c r="E4202" i="2"/>
  <c r="G4202" i="2"/>
  <c r="D4203" i="2"/>
  <c r="H4203" i="2" s="1"/>
  <c r="E4203" i="2"/>
  <c r="F4203" i="2"/>
  <c r="G4203" i="2"/>
  <c r="D4204" i="2"/>
  <c r="E4204" i="2"/>
  <c r="F4204" i="2"/>
  <c r="G4204" i="2"/>
  <c r="H4204" i="2"/>
  <c r="D4205" i="2"/>
  <c r="F4205" i="2" s="1"/>
  <c r="E4205" i="2"/>
  <c r="G4205" i="2"/>
  <c r="D4206" i="2"/>
  <c r="E4206" i="2"/>
  <c r="G4206" i="2"/>
  <c r="D4207" i="2"/>
  <c r="E4207" i="2"/>
  <c r="F4207" i="2"/>
  <c r="G4207" i="2"/>
  <c r="H4207" i="2"/>
  <c r="D4208" i="2"/>
  <c r="H4208" i="2" s="1"/>
  <c r="E4208" i="2"/>
  <c r="F4208" i="2"/>
  <c r="G4208" i="2"/>
  <c r="D4209" i="2"/>
  <c r="F4209" i="2" s="1"/>
  <c r="E4209" i="2"/>
  <c r="G4209" i="2"/>
  <c r="D4210" i="2"/>
  <c r="F4210" i="2" s="1"/>
  <c r="E4210" i="2"/>
  <c r="G4210" i="2"/>
  <c r="D4211" i="2"/>
  <c r="E4211" i="2"/>
  <c r="F4211" i="2"/>
  <c r="G4211" i="2"/>
  <c r="D4212" i="2"/>
  <c r="E4212" i="2"/>
  <c r="F4212" i="2"/>
  <c r="G4212" i="2"/>
  <c r="H4212" i="2"/>
  <c r="D4213" i="2"/>
  <c r="F4213" i="2" s="1"/>
  <c r="E4213" i="2"/>
  <c r="G4213" i="2"/>
  <c r="H4213" i="2"/>
  <c r="D4214" i="2"/>
  <c r="F4214" i="2" s="1"/>
  <c r="E4214" i="2"/>
  <c r="G4214" i="2"/>
  <c r="D4215" i="2"/>
  <c r="E4215" i="2"/>
  <c r="G4215" i="2"/>
  <c r="H4215" i="2"/>
  <c r="D4216" i="2"/>
  <c r="H4216" i="2" s="1"/>
  <c r="E4216" i="2"/>
  <c r="G4216" i="2"/>
  <c r="D4217" i="2"/>
  <c r="E4217" i="2"/>
  <c r="F4217" i="2"/>
  <c r="G4217" i="2"/>
  <c r="H4217" i="2"/>
  <c r="D4218" i="2"/>
  <c r="F4218" i="2" s="1"/>
  <c r="E4218" i="2"/>
  <c r="G4218" i="2"/>
  <c r="D4219" i="2"/>
  <c r="H4219" i="2" s="1"/>
  <c r="E4219" i="2"/>
  <c r="F4219" i="2"/>
  <c r="G4219" i="2"/>
  <c r="D4220" i="2"/>
  <c r="E4220" i="2"/>
  <c r="G4220" i="2"/>
  <c r="H4220" i="2"/>
  <c r="D4221" i="2"/>
  <c r="F4221" i="2" s="1"/>
  <c r="E4221" i="2"/>
  <c r="G4221" i="2"/>
  <c r="D4222" i="2"/>
  <c r="E4222" i="2"/>
  <c r="G4222" i="2"/>
  <c r="D4223" i="2"/>
  <c r="E4223" i="2"/>
  <c r="F4223" i="2"/>
  <c r="G4223" i="2"/>
  <c r="H4223" i="2"/>
  <c r="D4224" i="2"/>
  <c r="H4224" i="2" s="1"/>
  <c r="E4224" i="2"/>
  <c r="F4224" i="2"/>
  <c r="G4224" i="2"/>
  <c r="D4225" i="2"/>
  <c r="F4225" i="2" s="1"/>
  <c r="E4225" i="2"/>
  <c r="G4225" i="2"/>
  <c r="D4226" i="2"/>
  <c r="F4226" i="2" s="1"/>
  <c r="E4226" i="2"/>
  <c r="G4226" i="2"/>
  <c r="D4227" i="2"/>
  <c r="E4227" i="2"/>
  <c r="G4227" i="2"/>
  <c r="D4228" i="2"/>
  <c r="E4228" i="2"/>
  <c r="F4228" i="2"/>
  <c r="G4228" i="2"/>
  <c r="H4228" i="2"/>
  <c r="D4229" i="2"/>
  <c r="F4229" i="2" s="1"/>
  <c r="E4229" i="2"/>
  <c r="G4229" i="2"/>
  <c r="H4229" i="2"/>
  <c r="D4230" i="2"/>
  <c r="F4230" i="2" s="1"/>
  <c r="E4230" i="2"/>
  <c r="G4230" i="2"/>
  <c r="D4231" i="2"/>
  <c r="E4231" i="2"/>
  <c r="G4231" i="2"/>
  <c r="H4231" i="2"/>
  <c r="D4232" i="2"/>
  <c r="F4232" i="2" s="1"/>
  <c r="E4232" i="2"/>
  <c r="G4232" i="2"/>
  <c r="D4233" i="2"/>
  <c r="H4233" i="2" s="1"/>
  <c r="E4233" i="2"/>
  <c r="F4233" i="2"/>
  <c r="G4233" i="2"/>
  <c r="D4234" i="2"/>
  <c r="E4234" i="2"/>
  <c r="G4234" i="2"/>
  <c r="H4234" i="2"/>
  <c r="D4235" i="2"/>
  <c r="H4236" i="2" s="1"/>
  <c r="E4235" i="2"/>
  <c r="G4235" i="2"/>
  <c r="D4236" i="2"/>
  <c r="E4236" i="2"/>
  <c r="G4236" i="2"/>
  <c r="D4237" i="2"/>
  <c r="E4237" i="2"/>
  <c r="F4237" i="2"/>
  <c r="G4237" i="2"/>
  <c r="H4237" i="2"/>
  <c r="D4238" i="2"/>
  <c r="F4238" i="2" s="1"/>
  <c r="E4238" i="2"/>
  <c r="G4238" i="2"/>
  <c r="D4239" i="2"/>
  <c r="E4239" i="2"/>
  <c r="G4239" i="2"/>
  <c r="H4239" i="2"/>
  <c r="D4240" i="2"/>
  <c r="F4240" i="2" s="1"/>
  <c r="E4240" i="2"/>
  <c r="G4240" i="2"/>
  <c r="D4241" i="2"/>
  <c r="H4241" i="2" s="1"/>
  <c r="E4241" i="2"/>
  <c r="F4241" i="2"/>
  <c r="G4241" i="2"/>
  <c r="D4242" i="2"/>
  <c r="E4242" i="2"/>
  <c r="G4242" i="2"/>
  <c r="H4242" i="2"/>
  <c r="D4243" i="2"/>
  <c r="H4244" i="2" s="1"/>
  <c r="E4243" i="2"/>
  <c r="G4243" i="2"/>
  <c r="D4244" i="2"/>
  <c r="E4244" i="2"/>
  <c r="G4244" i="2"/>
  <c r="D4245" i="2"/>
  <c r="E4245" i="2"/>
  <c r="F4245" i="2"/>
  <c r="G4245" i="2"/>
  <c r="H4245" i="2"/>
  <c r="D4246" i="2"/>
  <c r="F4246" i="2" s="1"/>
  <c r="E4246" i="2"/>
  <c r="G4246" i="2"/>
  <c r="D4247" i="2"/>
  <c r="E4247" i="2"/>
  <c r="G4247" i="2"/>
  <c r="H4247" i="2"/>
  <c r="D4248" i="2"/>
  <c r="F4248" i="2" s="1"/>
  <c r="E4248" i="2"/>
  <c r="G4248" i="2"/>
  <c r="D4249" i="2"/>
  <c r="H4249" i="2" s="1"/>
  <c r="E4249" i="2"/>
  <c r="F4249" i="2"/>
  <c r="G4249" i="2"/>
  <c r="D4250" i="2"/>
  <c r="E4250" i="2"/>
  <c r="G4250" i="2"/>
  <c r="H4250" i="2"/>
  <c r="D4251" i="2"/>
  <c r="H4252" i="2" s="1"/>
  <c r="E4251" i="2"/>
  <c r="G4251" i="2"/>
  <c r="D4252" i="2"/>
  <c r="E4252" i="2"/>
  <c r="G4252" i="2"/>
  <c r="D4253" i="2"/>
  <c r="E4253" i="2"/>
  <c r="F4253" i="2"/>
  <c r="G4253" i="2"/>
  <c r="H4253" i="2"/>
  <c r="D4254" i="2"/>
  <c r="F4254" i="2" s="1"/>
  <c r="E4254" i="2"/>
  <c r="G4254" i="2"/>
  <c r="D4255" i="2"/>
  <c r="E4255" i="2"/>
  <c r="G4255" i="2"/>
  <c r="H4255" i="2"/>
  <c r="D4256" i="2"/>
  <c r="F4256" i="2" s="1"/>
  <c r="E4256" i="2"/>
  <c r="G4256" i="2"/>
  <c r="D4257" i="2"/>
  <c r="H4257" i="2" s="1"/>
  <c r="E4257" i="2"/>
  <c r="F4257" i="2"/>
  <c r="G4257" i="2"/>
  <c r="D4258" i="2"/>
  <c r="E4258" i="2"/>
  <c r="G4258" i="2"/>
  <c r="H4258" i="2"/>
  <c r="D4259" i="2"/>
  <c r="H4260" i="2" s="1"/>
  <c r="E4259" i="2"/>
  <c r="G4259" i="2"/>
  <c r="D4260" i="2"/>
  <c r="E4260" i="2"/>
  <c r="G4260" i="2"/>
  <c r="D4261" i="2"/>
  <c r="E4261" i="2"/>
  <c r="F4261" i="2"/>
  <c r="G4261" i="2"/>
  <c r="H4261" i="2"/>
  <c r="D4262" i="2"/>
  <c r="F4262" i="2" s="1"/>
  <c r="E4262" i="2"/>
  <c r="G4262" i="2"/>
  <c r="D4263" i="2"/>
  <c r="E4263" i="2"/>
  <c r="G4263" i="2"/>
  <c r="H4263" i="2"/>
  <c r="D4264" i="2"/>
  <c r="F4264" i="2" s="1"/>
  <c r="E4264" i="2"/>
  <c r="G4264" i="2"/>
  <c r="D4265" i="2"/>
  <c r="H4265" i="2" s="1"/>
  <c r="E4265" i="2"/>
  <c r="F4265" i="2"/>
  <c r="G4265" i="2"/>
  <c r="D4266" i="2"/>
  <c r="E4266" i="2"/>
  <c r="G4266" i="2"/>
  <c r="H4266" i="2"/>
  <c r="D4267" i="2"/>
  <c r="H4268" i="2" s="1"/>
  <c r="E4267" i="2"/>
  <c r="G4267" i="2"/>
  <c r="D4268" i="2"/>
  <c r="E4268" i="2"/>
  <c r="G4268" i="2"/>
  <c r="D4269" i="2"/>
  <c r="E4269" i="2"/>
  <c r="F4269" i="2"/>
  <c r="G4269" i="2"/>
  <c r="H4269" i="2"/>
  <c r="D4270" i="2"/>
  <c r="F4270" i="2" s="1"/>
  <c r="E4270" i="2"/>
  <c r="G4270" i="2"/>
  <c r="D4271" i="2"/>
  <c r="E4271" i="2"/>
  <c r="G4271" i="2"/>
  <c r="H4271" i="2"/>
  <c r="D4272" i="2"/>
  <c r="F4272" i="2" s="1"/>
  <c r="E4272" i="2"/>
  <c r="G4272" i="2"/>
  <c r="D4273" i="2"/>
  <c r="H4273" i="2" s="1"/>
  <c r="E4273" i="2"/>
  <c r="F4273" i="2"/>
  <c r="G4273" i="2"/>
  <c r="D4274" i="2"/>
  <c r="E4274" i="2"/>
  <c r="G4274" i="2"/>
  <c r="H4274" i="2"/>
  <c r="D4275" i="2"/>
  <c r="H4276" i="2" s="1"/>
  <c r="E4275" i="2"/>
  <c r="G4275" i="2"/>
  <c r="D4276" i="2"/>
  <c r="E4276" i="2"/>
  <c r="G4276" i="2"/>
  <c r="D4277" i="2"/>
  <c r="E4277" i="2"/>
  <c r="F4277" i="2"/>
  <c r="G4277" i="2"/>
  <c r="H4277" i="2"/>
  <c r="D4278" i="2"/>
  <c r="F4278" i="2" s="1"/>
  <c r="E4278" i="2"/>
  <c r="G4278" i="2"/>
  <c r="D4279" i="2"/>
  <c r="E4279" i="2"/>
  <c r="G4279" i="2"/>
  <c r="H4279" i="2"/>
  <c r="D4280" i="2"/>
  <c r="F4280" i="2" s="1"/>
  <c r="E4280" i="2"/>
  <c r="G4280" i="2"/>
  <c r="D4281" i="2"/>
  <c r="H4281" i="2" s="1"/>
  <c r="E4281" i="2"/>
  <c r="F4281" i="2"/>
  <c r="G4281" i="2"/>
  <c r="D4282" i="2"/>
  <c r="E4282" i="2"/>
  <c r="G4282" i="2"/>
  <c r="H4282" i="2"/>
  <c r="D4283" i="2"/>
  <c r="H4284" i="2" s="1"/>
  <c r="E4283" i="2"/>
  <c r="G4283" i="2"/>
  <c r="D4284" i="2"/>
  <c r="E4284" i="2"/>
  <c r="G4284" i="2"/>
  <c r="D4285" i="2"/>
  <c r="E4285" i="2"/>
  <c r="F4285" i="2"/>
  <c r="G4285" i="2"/>
  <c r="H4285" i="2"/>
  <c r="D4286" i="2"/>
  <c r="F4286" i="2" s="1"/>
  <c r="E4286" i="2"/>
  <c r="G4286" i="2"/>
  <c r="D4287" i="2"/>
  <c r="E4287" i="2"/>
  <c r="G4287" i="2"/>
  <c r="H4287" i="2"/>
  <c r="D4288" i="2"/>
  <c r="F4288" i="2" s="1"/>
  <c r="E4288" i="2"/>
  <c r="G4288" i="2"/>
  <c r="D4289" i="2"/>
  <c r="H4289" i="2" s="1"/>
  <c r="E4289" i="2"/>
  <c r="F4289" i="2"/>
  <c r="G4289" i="2"/>
  <c r="D4290" i="2"/>
  <c r="E4290" i="2"/>
  <c r="G4290" i="2"/>
  <c r="H4290" i="2"/>
  <c r="D4291" i="2"/>
  <c r="H4292" i="2" s="1"/>
  <c r="E4291" i="2"/>
  <c r="G4291" i="2"/>
  <c r="D4292" i="2"/>
  <c r="E4292" i="2"/>
  <c r="G4292" i="2"/>
  <c r="D4293" i="2"/>
  <c r="E4293" i="2"/>
  <c r="F4293" i="2"/>
  <c r="G4293" i="2"/>
  <c r="H4293" i="2"/>
  <c r="D4294" i="2"/>
  <c r="F4294" i="2" s="1"/>
  <c r="E4294" i="2"/>
  <c r="G4294" i="2"/>
  <c r="D4295" i="2"/>
  <c r="E4295" i="2"/>
  <c r="G4295" i="2"/>
  <c r="H4295" i="2"/>
  <c r="D4296" i="2"/>
  <c r="F4296" i="2" s="1"/>
  <c r="E4296" i="2"/>
  <c r="G4296" i="2"/>
  <c r="D4297" i="2"/>
  <c r="H4297" i="2" s="1"/>
  <c r="E4297" i="2"/>
  <c r="F4297" i="2"/>
  <c r="G4297" i="2"/>
  <c r="D4298" i="2"/>
  <c r="E4298" i="2"/>
  <c r="G4298" i="2"/>
  <c r="H4298" i="2"/>
  <c r="D4299" i="2"/>
  <c r="H4300" i="2" s="1"/>
  <c r="E4299" i="2"/>
  <c r="G4299" i="2"/>
  <c r="D4300" i="2"/>
  <c r="E4300" i="2"/>
  <c r="G4300" i="2"/>
  <c r="D4301" i="2"/>
  <c r="E4301" i="2"/>
  <c r="F4301" i="2"/>
  <c r="G4301" i="2"/>
  <c r="H4301" i="2"/>
  <c r="D4302" i="2"/>
  <c r="F4302" i="2" s="1"/>
  <c r="E4302" i="2"/>
  <c r="G4302" i="2"/>
  <c r="D4303" i="2"/>
  <c r="E4303" i="2"/>
  <c r="G4303" i="2"/>
  <c r="H4303" i="2"/>
  <c r="D4304" i="2"/>
  <c r="F4304" i="2" s="1"/>
  <c r="E4304" i="2"/>
  <c r="G4304" i="2"/>
  <c r="D4305" i="2"/>
  <c r="H4305" i="2" s="1"/>
  <c r="E4305" i="2"/>
  <c r="F4305" i="2"/>
  <c r="G4305" i="2"/>
  <c r="D4306" i="2"/>
  <c r="F4306" i="2" s="1"/>
  <c r="E4306" i="2"/>
  <c r="G4306" i="2"/>
  <c r="H4306" i="2"/>
  <c r="D4307" i="2"/>
  <c r="H4308" i="2" s="1"/>
  <c r="E4307" i="2"/>
  <c r="G4307" i="2"/>
  <c r="D4308" i="2"/>
  <c r="E4308" i="2"/>
  <c r="G4308" i="2"/>
  <c r="D4309" i="2"/>
  <c r="E4309" i="2"/>
  <c r="F4309" i="2"/>
  <c r="G4309" i="2"/>
  <c r="H4309" i="2"/>
  <c r="D4310" i="2"/>
  <c r="F4310" i="2" s="1"/>
  <c r="E4310" i="2"/>
  <c r="G4310" i="2"/>
  <c r="D4311" i="2"/>
  <c r="E4311" i="2"/>
  <c r="G4311" i="2"/>
  <c r="H4311" i="2"/>
  <c r="D4312" i="2"/>
  <c r="F4312" i="2" s="1"/>
  <c r="E4312" i="2"/>
  <c r="G4312" i="2"/>
  <c r="D4313" i="2"/>
  <c r="H4313" i="2" s="1"/>
  <c r="E4313" i="2"/>
  <c r="F4313" i="2"/>
  <c r="G4313" i="2"/>
  <c r="D4314" i="2"/>
  <c r="F4314" i="2" s="1"/>
  <c r="E4314" i="2"/>
  <c r="G4314" i="2"/>
  <c r="H4314" i="2"/>
  <c r="D4315" i="2"/>
  <c r="H4316" i="2" s="1"/>
  <c r="E4315" i="2"/>
  <c r="G4315" i="2"/>
  <c r="D4316" i="2"/>
  <c r="E4316" i="2"/>
  <c r="G4316" i="2"/>
  <c r="D4317" i="2"/>
  <c r="E4317" i="2"/>
  <c r="F4317" i="2"/>
  <c r="G4317" i="2"/>
  <c r="H4317" i="2"/>
  <c r="D4318" i="2"/>
  <c r="F4318" i="2" s="1"/>
  <c r="E4318" i="2"/>
  <c r="G4318" i="2"/>
  <c r="D4319" i="2"/>
  <c r="E4319" i="2"/>
  <c r="G4319" i="2"/>
  <c r="H4319" i="2"/>
  <c r="D4320" i="2"/>
  <c r="F4320" i="2" s="1"/>
  <c r="E4320" i="2"/>
  <c r="G4320" i="2"/>
  <c r="D4321" i="2"/>
  <c r="H4321" i="2" s="1"/>
  <c r="E4321" i="2"/>
  <c r="F4321" i="2"/>
  <c r="G4321" i="2"/>
  <c r="D4322" i="2"/>
  <c r="F4322" i="2" s="1"/>
  <c r="E4322" i="2"/>
  <c r="G4322" i="2"/>
  <c r="H4322" i="2"/>
  <c r="D4323" i="2"/>
  <c r="H4324" i="2" s="1"/>
  <c r="E4323" i="2"/>
  <c r="G4323" i="2"/>
  <c r="D4324" i="2"/>
  <c r="E4324" i="2"/>
  <c r="G4324" i="2"/>
  <c r="D4325" i="2"/>
  <c r="E4325" i="2"/>
  <c r="F4325" i="2"/>
  <c r="G4325" i="2"/>
  <c r="H4325" i="2"/>
  <c r="D4326" i="2"/>
  <c r="F4326" i="2" s="1"/>
  <c r="E4326" i="2"/>
  <c r="G4326" i="2"/>
  <c r="D4327" i="2"/>
  <c r="E4327" i="2"/>
  <c r="G4327" i="2"/>
  <c r="H4327" i="2"/>
  <c r="D4328" i="2"/>
  <c r="F4328" i="2" s="1"/>
  <c r="E4328" i="2"/>
  <c r="G4328" i="2"/>
  <c r="D4329" i="2"/>
  <c r="H4329" i="2" s="1"/>
  <c r="E4329" i="2"/>
  <c r="F4329" i="2"/>
  <c r="G4329" i="2"/>
  <c r="D4330" i="2"/>
  <c r="F4330" i="2" s="1"/>
  <c r="E4330" i="2"/>
  <c r="G4330" i="2"/>
  <c r="H4330" i="2"/>
  <c r="D4331" i="2"/>
  <c r="H4332" i="2" s="1"/>
  <c r="E4331" i="2"/>
  <c r="G4331" i="2"/>
  <c r="D4332" i="2"/>
  <c r="E4332" i="2"/>
  <c r="G4332" i="2"/>
  <c r="D4333" i="2"/>
  <c r="E4333" i="2"/>
  <c r="F4333" i="2"/>
  <c r="G4333" i="2"/>
  <c r="H4333" i="2"/>
  <c r="D4334" i="2"/>
  <c r="F4334" i="2" s="1"/>
  <c r="E4334" i="2"/>
  <c r="G4334" i="2"/>
  <c r="D4335" i="2"/>
  <c r="E4335" i="2"/>
  <c r="G4335" i="2"/>
  <c r="H4335" i="2"/>
  <c r="D4336" i="2"/>
  <c r="F4336" i="2" s="1"/>
  <c r="E4336" i="2"/>
  <c r="G4336" i="2"/>
  <c r="D4337" i="2"/>
  <c r="H4337" i="2" s="1"/>
  <c r="E4337" i="2"/>
  <c r="F4337" i="2"/>
  <c r="G4337" i="2"/>
  <c r="D4338" i="2"/>
  <c r="F4338" i="2" s="1"/>
  <c r="E4338" i="2"/>
  <c r="G4338" i="2"/>
  <c r="H4338" i="2"/>
  <c r="D4339" i="2"/>
  <c r="H4340" i="2" s="1"/>
  <c r="E4339" i="2"/>
  <c r="G4339" i="2"/>
  <c r="D4340" i="2"/>
  <c r="E4340" i="2"/>
  <c r="G4340" i="2"/>
  <c r="D4341" i="2"/>
  <c r="E4341" i="2"/>
  <c r="F4341" i="2"/>
  <c r="G4341" i="2"/>
  <c r="H4341" i="2"/>
  <c r="D4342" i="2"/>
  <c r="F4342" i="2" s="1"/>
  <c r="E4342" i="2"/>
  <c r="G4342" i="2"/>
  <c r="D4343" i="2"/>
  <c r="E4343" i="2"/>
  <c r="G4343" i="2"/>
  <c r="H4343" i="2"/>
  <c r="D4344" i="2"/>
  <c r="F4344" i="2" s="1"/>
  <c r="E4344" i="2"/>
  <c r="G4344" i="2"/>
  <c r="D4345" i="2"/>
  <c r="H4345" i="2" s="1"/>
  <c r="E4345" i="2"/>
  <c r="F4345" i="2"/>
  <c r="G4345" i="2"/>
  <c r="D4346" i="2"/>
  <c r="F4346" i="2" s="1"/>
  <c r="E4346" i="2"/>
  <c r="G4346" i="2"/>
  <c r="H4346" i="2"/>
  <c r="D4347" i="2"/>
  <c r="H4348" i="2" s="1"/>
  <c r="E4347" i="2"/>
  <c r="G4347" i="2"/>
  <c r="D4348" i="2"/>
  <c r="E4348" i="2"/>
  <c r="G4348" i="2"/>
  <c r="D4349" i="2"/>
  <c r="E4349" i="2"/>
  <c r="F4349" i="2"/>
  <c r="G4349" i="2"/>
  <c r="H4349" i="2"/>
  <c r="D4350" i="2"/>
  <c r="F4350" i="2" s="1"/>
  <c r="E4350" i="2"/>
  <c r="G4350" i="2"/>
  <c r="D4351" i="2"/>
  <c r="E4351" i="2"/>
  <c r="G4351" i="2"/>
  <c r="H4351" i="2"/>
  <c r="D4352" i="2"/>
  <c r="F4352" i="2" s="1"/>
  <c r="E4352" i="2"/>
  <c r="G4352" i="2"/>
  <c r="D4353" i="2"/>
  <c r="H4353" i="2" s="1"/>
  <c r="E4353" i="2"/>
  <c r="F4353" i="2"/>
  <c r="G4353" i="2"/>
  <c r="D4354" i="2"/>
  <c r="F4354" i="2" s="1"/>
  <c r="E4354" i="2"/>
  <c r="G4354" i="2"/>
  <c r="H4354" i="2"/>
  <c r="D4355" i="2"/>
  <c r="H4356" i="2" s="1"/>
  <c r="E4355" i="2"/>
  <c r="G4355" i="2"/>
  <c r="D4356" i="2"/>
  <c r="E4356" i="2"/>
  <c r="G4356" i="2"/>
  <c r="D4357" i="2"/>
  <c r="E4357" i="2"/>
  <c r="F4357" i="2"/>
  <c r="G4357" i="2"/>
  <c r="H4357" i="2"/>
  <c r="D4358" i="2"/>
  <c r="F4358" i="2" s="1"/>
  <c r="E4358" i="2"/>
  <c r="G4358" i="2"/>
  <c r="D4359" i="2"/>
  <c r="E4359" i="2"/>
  <c r="G4359" i="2"/>
  <c r="H4359" i="2"/>
  <c r="D4360" i="2"/>
  <c r="F4360" i="2" s="1"/>
  <c r="E4360" i="2"/>
  <c r="G4360" i="2"/>
  <c r="D4361" i="2"/>
  <c r="H4361" i="2" s="1"/>
  <c r="E4361" i="2"/>
  <c r="F4361" i="2"/>
  <c r="G4361" i="2"/>
  <c r="D4362" i="2"/>
  <c r="F4362" i="2" s="1"/>
  <c r="E4362" i="2"/>
  <c r="G4362" i="2"/>
  <c r="H4362" i="2"/>
  <c r="D4363" i="2"/>
  <c r="H4364" i="2" s="1"/>
  <c r="E4363" i="2"/>
  <c r="G4363" i="2"/>
  <c r="D4364" i="2"/>
  <c r="E4364" i="2"/>
  <c r="G4364" i="2"/>
  <c r="D4365" i="2"/>
  <c r="E4365" i="2"/>
  <c r="F4365" i="2"/>
  <c r="G4365" i="2"/>
  <c r="H4365" i="2"/>
  <c r="D4366" i="2"/>
  <c r="F4366" i="2" s="1"/>
  <c r="E4366" i="2"/>
  <c r="G4366" i="2"/>
  <c r="D4367" i="2"/>
  <c r="E4367" i="2"/>
  <c r="G4367" i="2"/>
  <c r="H4367" i="2"/>
  <c r="D4368" i="2"/>
  <c r="F4368" i="2" s="1"/>
  <c r="E4368" i="2"/>
  <c r="G4368" i="2"/>
  <c r="D4369" i="2"/>
  <c r="H4369" i="2" s="1"/>
  <c r="E4369" i="2"/>
  <c r="F4369" i="2"/>
  <c r="G4369" i="2"/>
  <c r="D4370" i="2"/>
  <c r="F4370" i="2" s="1"/>
  <c r="E4370" i="2"/>
  <c r="G4370" i="2"/>
  <c r="H4370" i="2"/>
  <c r="D4371" i="2"/>
  <c r="H4372" i="2" s="1"/>
  <c r="E4371" i="2"/>
  <c r="G4371" i="2"/>
  <c r="D4372" i="2"/>
  <c r="E4372" i="2"/>
  <c r="G4372" i="2"/>
  <c r="D4373" i="2"/>
  <c r="E4373" i="2"/>
  <c r="F4373" i="2"/>
  <c r="G4373" i="2"/>
  <c r="H4373" i="2"/>
  <c r="D4374" i="2"/>
  <c r="F4374" i="2" s="1"/>
  <c r="E4374" i="2"/>
  <c r="G4374" i="2"/>
  <c r="D4375" i="2"/>
  <c r="E4375" i="2"/>
  <c r="G4375" i="2"/>
  <c r="H4375" i="2"/>
  <c r="D4376" i="2"/>
  <c r="F4376" i="2" s="1"/>
  <c r="E4376" i="2"/>
  <c r="G4376" i="2"/>
  <c r="D4377" i="2"/>
  <c r="H4377" i="2" s="1"/>
  <c r="E4377" i="2"/>
  <c r="F4377" i="2"/>
  <c r="G4377" i="2"/>
  <c r="D4378" i="2"/>
  <c r="F4378" i="2" s="1"/>
  <c r="E4378" i="2"/>
  <c r="G4378" i="2"/>
  <c r="H4378" i="2"/>
  <c r="D4379" i="2"/>
  <c r="H4380" i="2" s="1"/>
  <c r="E4379" i="2"/>
  <c r="G4379" i="2"/>
  <c r="D4380" i="2"/>
  <c r="E4380" i="2"/>
  <c r="G4380" i="2"/>
  <c r="D4381" i="2"/>
  <c r="E4381" i="2"/>
  <c r="F4381" i="2"/>
  <c r="G4381" i="2"/>
  <c r="H4381" i="2"/>
  <c r="D4382" i="2"/>
  <c r="F4382" i="2" s="1"/>
  <c r="E4382" i="2"/>
  <c r="G4382" i="2"/>
  <c r="D4383" i="2"/>
  <c r="E4383" i="2"/>
  <c r="G4383" i="2"/>
  <c r="H4383" i="2"/>
  <c r="D4384" i="2"/>
  <c r="F4384" i="2" s="1"/>
  <c r="E4384" i="2"/>
  <c r="G4384" i="2"/>
  <c r="D4385" i="2"/>
  <c r="H4385" i="2" s="1"/>
  <c r="E4385" i="2"/>
  <c r="F4385" i="2"/>
  <c r="G4385" i="2"/>
  <c r="D4386" i="2"/>
  <c r="F4386" i="2" s="1"/>
  <c r="E4386" i="2"/>
  <c r="G4386" i="2"/>
  <c r="H4386" i="2"/>
  <c r="D4387" i="2"/>
  <c r="H4388" i="2" s="1"/>
  <c r="E4387" i="2"/>
  <c r="G4387" i="2"/>
  <c r="D4388" i="2"/>
  <c r="E4388" i="2"/>
  <c r="G4388" i="2"/>
  <c r="D4389" i="2"/>
  <c r="E4389" i="2"/>
  <c r="F4389" i="2"/>
  <c r="G4389" i="2"/>
  <c r="H4389" i="2"/>
  <c r="D4390" i="2"/>
  <c r="F4390" i="2" s="1"/>
  <c r="E4390" i="2"/>
  <c r="G4390" i="2"/>
  <c r="D4391" i="2"/>
  <c r="E4391" i="2"/>
  <c r="G4391" i="2"/>
  <c r="H4391" i="2"/>
  <c r="D4392" i="2"/>
  <c r="F4392" i="2" s="1"/>
  <c r="E4392" i="2"/>
  <c r="G4392" i="2"/>
  <c r="D4393" i="2"/>
  <c r="H4393" i="2" s="1"/>
  <c r="E4393" i="2"/>
  <c r="F4393" i="2"/>
  <c r="G4393" i="2"/>
  <c r="D4394" i="2"/>
  <c r="F4394" i="2" s="1"/>
  <c r="E4394" i="2"/>
  <c r="G4394" i="2"/>
  <c r="H4394" i="2"/>
  <c r="D4395" i="2"/>
  <c r="H4396" i="2" s="1"/>
  <c r="E4395" i="2"/>
  <c r="G4395" i="2"/>
  <c r="D4396" i="2"/>
  <c r="E4396" i="2"/>
  <c r="G4396" i="2"/>
  <c r="D4397" i="2"/>
  <c r="E4397" i="2"/>
  <c r="F4397" i="2"/>
  <c r="G4397" i="2"/>
  <c r="H4397" i="2"/>
  <c r="D4398" i="2"/>
  <c r="F4398" i="2" s="1"/>
  <c r="E4398" i="2"/>
  <c r="G4398" i="2"/>
  <c r="D4399" i="2"/>
  <c r="E4399" i="2"/>
  <c r="G4399" i="2"/>
  <c r="H4399" i="2"/>
  <c r="D4400" i="2"/>
  <c r="F4400" i="2" s="1"/>
  <c r="E4400" i="2"/>
  <c r="G4400" i="2"/>
  <c r="D4401" i="2"/>
  <c r="H4401" i="2" s="1"/>
  <c r="E4401" i="2"/>
  <c r="F4401" i="2"/>
  <c r="G4401" i="2"/>
  <c r="D4402" i="2"/>
  <c r="F4402" i="2" s="1"/>
  <c r="E4402" i="2"/>
  <c r="G4402" i="2"/>
  <c r="H4402" i="2"/>
  <c r="D4403" i="2"/>
  <c r="H4404" i="2" s="1"/>
  <c r="E4403" i="2"/>
  <c r="G4403" i="2"/>
  <c r="D4404" i="2"/>
  <c r="E4404" i="2"/>
  <c r="G4404" i="2"/>
  <c r="D4405" i="2"/>
  <c r="E4405" i="2"/>
  <c r="F4405" i="2"/>
  <c r="G4405" i="2"/>
  <c r="H4405" i="2"/>
  <c r="D4406" i="2"/>
  <c r="F4406" i="2" s="1"/>
  <c r="E4406" i="2"/>
  <c r="G4406" i="2"/>
  <c r="D4407" i="2"/>
  <c r="E4407" i="2"/>
  <c r="G4407" i="2"/>
  <c r="H4407" i="2"/>
  <c r="D4408" i="2"/>
  <c r="F4408" i="2" s="1"/>
  <c r="E4408" i="2"/>
  <c r="G4408" i="2"/>
  <c r="D4409" i="2"/>
  <c r="H4409" i="2" s="1"/>
  <c r="E4409" i="2"/>
  <c r="F4409" i="2"/>
  <c r="G4409" i="2"/>
  <c r="D4410" i="2"/>
  <c r="F4410" i="2" s="1"/>
  <c r="E4410" i="2"/>
  <c r="G4410" i="2"/>
  <c r="H4410" i="2"/>
  <c r="D4411" i="2"/>
  <c r="H4412" i="2" s="1"/>
  <c r="E4411" i="2"/>
  <c r="G4411" i="2"/>
  <c r="D4412" i="2"/>
  <c r="E4412" i="2"/>
  <c r="G4412" i="2"/>
  <c r="D4413" i="2"/>
  <c r="E4413" i="2"/>
  <c r="F4413" i="2"/>
  <c r="G4413" i="2"/>
  <c r="H4413" i="2"/>
  <c r="D4414" i="2"/>
  <c r="F4414" i="2" s="1"/>
  <c r="E4414" i="2"/>
  <c r="G4414" i="2"/>
  <c r="D4415" i="2"/>
  <c r="E4415" i="2"/>
  <c r="G4415" i="2"/>
  <c r="H4415" i="2"/>
  <c r="D4416" i="2"/>
  <c r="F4416" i="2" s="1"/>
  <c r="E4416" i="2"/>
  <c r="G4416" i="2"/>
  <c r="D4417" i="2"/>
  <c r="H4417" i="2" s="1"/>
  <c r="E4417" i="2"/>
  <c r="F4417" i="2"/>
  <c r="G4417" i="2"/>
  <c r="D4418" i="2"/>
  <c r="F4418" i="2" s="1"/>
  <c r="E4418" i="2"/>
  <c r="G4418" i="2"/>
  <c r="H4418" i="2"/>
  <c r="D4419" i="2"/>
  <c r="H4420" i="2" s="1"/>
  <c r="E4419" i="2"/>
  <c r="G4419" i="2"/>
  <c r="D4420" i="2"/>
  <c r="E4420" i="2"/>
  <c r="G4420" i="2"/>
  <c r="D4421" i="2"/>
  <c r="E4421" i="2"/>
  <c r="F4421" i="2"/>
  <c r="G4421" i="2"/>
  <c r="H4421" i="2"/>
  <c r="D4422" i="2"/>
  <c r="F4422" i="2" s="1"/>
  <c r="E4422" i="2"/>
  <c r="G4422" i="2"/>
  <c r="D4423" i="2"/>
  <c r="E4423" i="2"/>
  <c r="G4423" i="2"/>
  <c r="H4423" i="2"/>
  <c r="D4424" i="2"/>
  <c r="F4424" i="2" s="1"/>
  <c r="E4424" i="2"/>
  <c r="G4424" i="2"/>
  <c r="D4425" i="2"/>
  <c r="H4425" i="2" s="1"/>
  <c r="E4425" i="2"/>
  <c r="F4425" i="2"/>
  <c r="G4425" i="2"/>
  <c r="D4426" i="2"/>
  <c r="F4426" i="2" s="1"/>
  <c r="E4426" i="2"/>
  <c r="G4426" i="2"/>
  <c r="H4426" i="2"/>
  <c r="D4427" i="2"/>
  <c r="H4428" i="2" s="1"/>
  <c r="E4427" i="2"/>
  <c r="G4427" i="2"/>
  <c r="D4428" i="2"/>
  <c r="E4428" i="2"/>
  <c r="G4428" i="2"/>
  <c r="D4429" i="2"/>
  <c r="E4429" i="2"/>
  <c r="F4429" i="2"/>
  <c r="G4429" i="2"/>
  <c r="H4429" i="2"/>
  <c r="D4430" i="2"/>
  <c r="F4430" i="2" s="1"/>
  <c r="E4430" i="2"/>
  <c r="G4430" i="2"/>
  <c r="D4431" i="2"/>
  <c r="E4431" i="2"/>
  <c r="G4431" i="2"/>
  <c r="H4431" i="2"/>
  <c r="D4432" i="2"/>
  <c r="F4432" i="2" s="1"/>
  <c r="E4432" i="2"/>
  <c r="G4432" i="2"/>
  <c r="D4433" i="2"/>
  <c r="H4433" i="2" s="1"/>
  <c r="E4433" i="2"/>
  <c r="F4433" i="2"/>
  <c r="G4433" i="2"/>
  <c r="D4434" i="2"/>
  <c r="F4434" i="2" s="1"/>
  <c r="E4434" i="2"/>
  <c r="G4434" i="2"/>
  <c r="H4434" i="2"/>
  <c r="D4435" i="2"/>
  <c r="H4436" i="2" s="1"/>
  <c r="E4435" i="2"/>
  <c r="G4435" i="2"/>
  <c r="D4436" i="2"/>
  <c r="E4436" i="2"/>
  <c r="G4436" i="2"/>
  <c r="D4437" i="2"/>
  <c r="E4437" i="2"/>
  <c r="F4437" i="2"/>
  <c r="G4437" i="2"/>
  <c r="H4437" i="2"/>
  <c r="D4438" i="2"/>
  <c r="F4438" i="2" s="1"/>
  <c r="E4438" i="2"/>
  <c r="G4438" i="2"/>
  <c r="D4439" i="2"/>
  <c r="E4439" i="2"/>
  <c r="G4439" i="2"/>
  <c r="H4439" i="2"/>
  <c r="D4440" i="2"/>
  <c r="F4440" i="2" s="1"/>
  <c r="E4440" i="2"/>
  <c r="G4440" i="2"/>
  <c r="D4441" i="2"/>
  <c r="H4441" i="2" s="1"/>
  <c r="E4441" i="2"/>
  <c r="F4441" i="2"/>
  <c r="G4441" i="2"/>
  <c r="D4442" i="2"/>
  <c r="F4442" i="2" s="1"/>
  <c r="E4442" i="2"/>
  <c r="G4442" i="2"/>
  <c r="H4442" i="2"/>
  <c r="D4443" i="2"/>
  <c r="H4444" i="2" s="1"/>
  <c r="E4443" i="2"/>
  <c r="G4443" i="2"/>
  <c r="D4444" i="2"/>
  <c r="E4444" i="2"/>
  <c r="G4444" i="2"/>
  <c r="D4445" i="2"/>
  <c r="E4445" i="2"/>
  <c r="F4445" i="2"/>
  <c r="G4445" i="2"/>
  <c r="H4445" i="2"/>
  <c r="D4446" i="2"/>
  <c r="F4446" i="2" s="1"/>
  <c r="E4446" i="2"/>
  <c r="G4446" i="2"/>
  <c r="D4447" i="2"/>
  <c r="E4447" i="2"/>
  <c r="G4447" i="2"/>
  <c r="H4447" i="2"/>
  <c r="D4448" i="2"/>
  <c r="F4448" i="2" s="1"/>
  <c r="E4448" i="2"/>
  <c r="G4448" i="2"/>
  <c r="D4449" i="2"/>
  <c r="H4449" i="2" s="1"/>
  <c r="E4449" i="2"/>
  <c r="F4449" i="2"/>
  <c r="G4449" i="2"/>
  <c r="D4450" i="2"/>
  <c r="F4450" i="2" s="1"/>
  <c r="E4450" i="2"/>
  <c r="G4450" i="2"/>
  <c r="H4450" i="2"/>
  <c r="D4451" i="2"/>
  <c r="H4452" i="2" s="1"/>
  <c r="E4451" i="2"/>
  <c r="G4451" i="2"/>
  <c r="D4452" i="2"/>
  <c r="E4452" i="2"/>
  <c r="G4452" i="2"/>
  <c r="D4453" i="2"/>
  <c r="E4453" i="2"/>
  <c r="F4453" i="2"/>
  <c r="G4453" i="2"/>
  <c r="H4453" i="2"/>
  <c r="D4454" i="2"/>
  <c r="F4454" i="2" s="1"/>
  <c r="E4454" i="2"/>
  <c r="G4454" i="2"/>
  <c r="D4455" i="2"/>
  <c r="E4455" i="2"/>
  <c r="G4455" i="2"/>
  <c r="H4455" i="2"/>
  <c r="D4456" i="2"/>
  <c r="F4456" i="2" s="1"/>
  <c r="E4456" i="2"/>
  <c r="G4456" i="2"/>
  <c r="D4457" i="2"/>
  <c r="H4457" i="2" s="1"/>
  <c r="E4457" i="2"/>
  <c r="F4457" i="2"/>
  <c r="G4457" i="2"/>
  <c r="D4458" i="2"/>
  <c r="F4458" i="2" s="1"/>
  <c r="E4458" i="2"/>
  <c r="G4458" i="2"/>
  <c r="H4458" i="2"/>
  <c r="D4459" i="2"/>
  <c r="H4460" i="2" s="1"/>
  <c r="E4459" i="2"/>
  <c r="G4459" i="2"/>
  <c r="D4460" i="2"/>
  <c r="E4460" i="2"/>
  <c r="G4460" i="2"/>
  <c r="D4461" i="2"/>
  <c r="E4461" i="2"/>
  <c r="F4461" i="2"/>
  <c r="G4461" i="2"/>
  <c r="H4461" i="2"/>
  <c r="D4462" i="2"/>
  <c r="F4462" i="2" s="1"/>
  <c r="E4462" i="2"/>
  <c r="G4462" i="2"/>
  <c r="D4463" i="2"/>
  <c r="E4463" i="2"/>
  <c r="G4463" i="2"/>
  <c r="H4463" i="2"/>
  <c r="D4464" i="2"/>
  <c r="F4464" i="2" s="1"/>
  <c r="E4464" i="2"/>
  <c r="G4464" i="2"/>
  <c r="D4465" i="2"/>
  <c r="H4465" i="2" s="1"/>
  <c r="E4465" i="2"/>
  <c r="F4465" i="2"/>
  <c r="G4465" i="2"/>
  <c r="D4466" i="2"/>
  <c r="F4466" i="2" s="1"/>
  <c r="E4466" i="2"/>
  <c r="G4466" i="2"/>
  <c r="H4466" i="2"/>
  <c r="D4467" i="2"/>
  <c r="H4468" i="2" s="1"/>
  <c r="E4467" i="2"/>
  <c r="G4467" i="2"/>
  <c r="D4468" i="2"/>
  <c r="E4468" i="2"/>
  <c r="G4468" i="2"/>
  <c r="D4469" i="2"/>
  <c r="E4469" i="2"/>
  <c r="F4469" i="2"/>
  <c r="G4469" i="2"/>
  <c r="H4469" i="2"/>
  <c r="D4470" i="2"/>
  <c r="F4470" i="2" s="1"/>
  <c r="E4470" i="2"/>
  <c r="G4470" i="2"/>
  <c r="D4471" i="2"/>
  <c r="E4471" i="2"/>
  <c r="G4471" i="2"/>
  <c r="H4471" i="2"/>
  <c r="D4472" i="2"/>
  <c r="F4472" i="2" s="1"/>
  <c r="E4472" i="2"/>
  <c r="G4472" i="2"/>
  <c r="D4473" i="2"/>
  <c r="H4473" i="2" s="1"/>
  <c r="E4473" i="2"/>
  <c r="F4473" i="2"/>
  <c r="G4473" i="2"/>
  <c r="D4474" i="2"/>
  <c r="F4474" i="2" s="1"/>
  <c r="E4474" i="2"/>
  <c r="G4474" i="2"/>
  <c r="H4474" i="2"/>
  <c r="D4475" i="2"/>
  <c r="H4476" i="2" s="1"/>
  <c r="E4475" i="2"/>
  <c r="G4475" i="2"/>
  <c r="D4476" i="2"/>
  <c r="E4476" i="2"/>
  <c r="G4476" i="2"/>
  <c r="D4477" i="2"/>
  <c r="E4477" i="2"/>
  <c r="F4477" i="2"/>
  <c r="G4477" i="2"/>
  <c r="H4477" i="2"/>
  <c r="D4478" i="2"/>
  <c r="F4478" i="2" s="1"/>
  <c r="E4478" i="2"/>
  <c r="G4478" i="2"/>
  <c r="D4479" i="2"/>
  <c r="E4479" i="2"/>
  <c r="G4479" i="2"/>
  <c r="H4479" i="2"/>
  <c r="D4480" i="2"/>
  <c r="F4480" i="2" s="1"/>
  <c r="E4480" i="2"/>
  <c r="G4480" i="2"/>
  <c r="D4481" i="2"/>
  <c r="H4481" i="2" s="1"/>
  <c r="E4481" i="2"/>
  <c r="F4481" i="2"/>
  <c r="G4481" i="2"/>
  <c r="D4482" i="2"/>
  <c r="F4482" i="2" s="1"/>
  <c r="E4482" i="2"/>
  <c r="G4482" i="2"/>
  <c r="H4482" i="2"/>
  <c r="D4483" i="2"/>
  <c r="H4484" i="2" s="1"/>
  <c r="E4483" i="2"/>
  <c r="G4483" i="2"/>
  <c r="D4484" i="2"/>
  <c r="E4484" i="2"/>
  <c r="G4484" i="2"/>
  <c r="D4485" i="2"/>
  <c r="E4485" i="2"/>
  <c r="F4485" i="2"/>
  <c r="G4485" i="2"/>
  <c r="H4485" i="2"/>
  <c r="D4486" i="2"/>
  <c r="F4486" i="2" s="1"/>
  <c r="E4486" i="2"/>
  <c r="G4486" i="2"/>
  <c r="D4487" i="2"/>
  <c r="E4487" i="2"/>
  <c r="G4487" i="2"/>
  <c r="H4487" i="2"/>
  <c r="D4488" i="2"/>
  <c r="F4488" i="2" s="1"/>
  <c r="E4488" i="2"/>
  <c r="G4488" i="2"/>
  <c r="D4489" i="2"/>
  <c r="H4489" i="2" s="1"/>
  <c r="E4489" i="2"/>
  <c r="F4489" i="2"/>
  <c r="G4489" i="2"/>
  <c r="D4490" i="2"/>
  <c r="F4490" i="2" s="1"/>
  <c r="E4490" i="2"/>
  <c r="G4490" i="2"/>
  <c r="H4490" i="2"/>
  <c r="D4491" i="2"/>
  <c r="H4492" i="2" s="1"/>
  <c r="E4491" i="2"/>
  <c r="G4491" i="2"/>
  <c r="D4492" i="2"/>
  <c r="E4492" i="2"/>
  <c r="G4492" i="2"/>
  <c r="D4493" i="2"/>
  <c r="E4493" i="2"/>
  <c r="F4493" i="2"/>
  <c r="G4493" i="2"/>
  <c r="H4493" i="2"/>
  <c r="D4494" i="2"/>
  <c r="F4494" i="2" s="1"/>
  <c r="E4494" i="2"/>
  <c r="G4494" i="2"/>
  <c r="D4495" i="2"/>
  <c r="E4495" i="2"/>
  <c r="G4495" i="2"/>
  <c r="H4495" i="2"/>
  <c r="D4496" i="2"/>
  <c r="F4496" i="2" s="1"/>
  <c r="E4496" i="2"/>
  <c r="G4496" i="2"/>
  <c r="D4497" i="2"/>
  <c r="H4497" i="2" s="1"/>
  <c r="E4497" i="2"/>
  <c r="F4497" i="2"/>
  <c r="G4497" i="2"/>
  <c r="D4498" i="2"/>
  <c r="F4498" i="2" s="1"/>
  <c r="E4498" i="2"/>
  <c r="G4498" i="2"/>
  <c r="H4498" i="2"/>
  <c r="D4499" i="2"/>
  <c r="H4500" i="2" s="1"/>
  <c r="E4499" i="2"/>
  <c r="G4499" i="2"/>
  <c r="D4500" i="2"/>
  <c r="E4500" i="2"/>
  <c r="G4500" i="2"/>
  <c r="D4501" i="2"/>
  <c r="E4501" i="2"/>
  <c r="F4501" i="2"/>
  <c r="G4501" i="2"/>
  <c r="H4501" i="2"/>
  <c r="D4502" i="2"/>
  <c r="F4502" i="2" s="1"/>
  <c r="E4502" i="2"/>
  <c r="G4502" i="2"/>
  <c r="D4503" i="2"/>
  <c r="E4503" i="2"/>
  <c r="G4503" i="2"/>
  <c r="H4503" i="2"/>
  <c r="D4504" i="2"/>
  <c r="F4504" i="2" s="1"/>
  <c r="E4504" i="2"/>
  <c r="G4504" i="2"/>
  <c r="D4505" i="2"/>
  <c r="H4505" i="2" s="1"/>
  <c r="E4505" i="2"/>
  <c r="F4505" i="2"/>
  <c r="G4505" i="2"/>
  <c r="D4506" i="2"/>
  <c r="F4506" i="2" s="1"/>
  <c r="E4506" i="2"/>
  <c r="G4506" i="2"/>
  <c r="H4506" i="2"/>
  <c r="D4507" i="2"/>
  <c r="H4508" i="2" s="1"/>
  <c r="E4507" i="2"/>
  <c r="G4507" i="2"/>
  <c r="D4508" i="2"/>
  <c r="E4508" i="2"/>
  <c r="G4508" i="2"/>
  <c r="D4509" i="2"/>
  <c r="E4509" i="2"/>
  <c r="F4509" i="2"/>
  <c r="G4509" i="2"/>
  <c r="H4509" i="2"/>
  <c r="D4510" i="2"/>
  <c r="F4510" i="2" s="1"/>
  <c r="E4510" i="2"/>
  <c r="G4510" i="2"/>
  <c r="D4511" i="2"/>
  <c r="E4511" i="2"/>
  <c r="G4511" i="2"/>
  <c r="H4511" i="2"/>
  <c r="D4512" i="2"/>
  <c r="F4512" i="2" s="1"/>
  <c r="E4512" i="2"/>
  <c r="G4512" i="2"/>
  <c r="D4513" i="2"/>
  <c r="H4513" i="2" s="1"/>
  <c r="E4513" i="2"/>
  <c r="F4513" i="2"/>
  <c r="G4513" i="2"/>
  <c r="D4514" i="2"/>
  <c r="F4514" i="2" s="1"/>
  <c r="E4514" i="2"/>
  <c r="G4514" i="2"/>
  <c r="H4514" i="2"/>
  <c r="D4515" i="2"/>
  <c r="H4516" i="2" s="1"/>
  <c r="E4515" i="2"/>
  <c r="G4515" i="2"/>
  <c r="D4516" i="2"/>
  <c r="E4516" i="2"/>
  <c r="G4516" i="2"/>
  <c r="D4517" i="2"/>
  <c r="E4517" i="2"/>
  <c r="F4517" i="2"/>
  <c r="G4517" i="2"/>
  <c r="H4517" i="2"/>
  <c r="D4518" i="2"/>
  <c r="F4518" i="2" s="1"/>
  <c r="E4518" i="2"/>
  <c r="G4518" i="2"/>
  <c r="D4519" i="2"/>
  <c r="E4519" i="2"/>
  <c r="G4519" i="2"/>
  <c r="H4519" i="2"/>
  <c r="D4520" i="2"/>
  <c r="F4520" i="2" s="1"/>
  <c r="E4520" i="2"/>
  <c r="G4520" i="2"/>
  <c r="D4521" i="2"/>
  <c r="H4521" i="2" s="1"/>
  <c r="E4521" i="2"/>
  <c r="F4521" i="2"/>
  <c r="G4521" i="2"/>
  <c r="D4522" i="2"/>
  <c r="F4522" i="2" s="1"/>
  <c r="E4522" i="2"/>
  <c r="G4522" i="2"/>
  <c r="H4522" i="2"/>
  <c r="D4523" i="2"/>
  <c r="H4524" i="2" s="1"/>
  <c r="E4523" i="2"/>
  <c r="G4523" i="2"/>
  <c r="D4524" i="2"/>
  <c r="E4524" i="2"/>
  <c r="G4524" i="2"/>
  <c r="D4525" i="2"/>
  <c r="E4525" i="2"/>
  <c r="F4525" i="2"/>
  <c r="G4525" i="2"/>
  <c r="H4525" i="2"/>
  <c r="D4526" i="2"/>
  <c r="F4526" i="2" s="1"/>
  <c r="E4526" i="2"/>
  <c r="G4526" i="2"/>
  <c r="D4527" i="2"/>
  <c r="E4527" i="2"/>
  <c r="G4527" i="2"/>
  <c r="H4527" i="2"/>
  <c r="D4528" i="2"/>
  <c r="F4528" i="2" s="1"/>
  <c r="E4528" i="2"/>
  <c r="G4528" i="2"/>
  <c r="D4529" i="2"/>
  <c r="H4529" i="2" s="1"/>
  <c r="E4529" i="2"/>
  <c r="F4529" i="2"/>
  <c r="G4529" i="2"/>
  <c r="D4530" i="2"/>
  <c r="F4530" i="2" s="1"/>
  <c r="E4530" i="2"/>
  <c r="G4530" i="2"/>
  <c r="H4530" i="2"/>
  <c r="D4531" i="2"/>
  <c r="H4532" i="2" s="1"/>
  <c r="E4531" i="2"/>
  <c r="G4531" i="2"/>
  <c r="D4532" i="2"/>
  <c r="E4532" i="2"/>
  <c r="G4532" i="2"/>
  <c r="D4533" i="2"/>
  <c r="E4533" i="2"/>
  <c r="F4533" i="2"/>
  <c r="G4533" i="2"/>
  <c r="H4533" i="2"/>
  <c r="D4534" i="2"/>
  <c r="F4534" i="2" s="1"/>
  <c r="E4534" i="2"/>
  <c r="G4534" i="2"/>
  <c r="D4535" i="2"/>
  <c r="E4535" i="2"/>
  <c r="G4535" i="2"/>
  <c r="H4535" i="2"/>
  <c r="D4536" i="2"/>
  <c r="F4536" i="2" s="1"/>
  <c r="E4536" i="2"/>
  <c r="G4536" i="2"/>
  <c r="D4537" i="2"/>
  <c r="H4537" i="2" s="1"/>
  <c r="E4537" i="2"/>
  <c r="F4537" i="2"/>
  <c r="G4537" i="2"/>
  <c r="D4538" i="2"/>
  <c r="F4538" i="2" s="1"/>
  <c r="E4538" i="2"/>
  <c r="G4538" i="2"/>
  <c r="H4538" i="2"/>
  <c r="D4539" i="2"/>
  <c r="H4540" i="2" s="1"/>
  <c r="E4539" i="2"/>
  <c r="G4539" i="2"/>
  <c r="D4540" i="2"/>
  <c r="E4540" i="2"/>
  <c r="G4540" i="2"/>
  <c r="D4541" i="2"/>
  <c r="E4541" i="2"/>
  <c r="F4541" i="2"/>
  <c r="G4541" i="2"/>
  <c r="H4541" i="2"/>
  <c r="D4542" i="2"/>
  <c r="F4542" i="2" s="1"/>
  <c r="E4542" i="2"/>
  <c r="G4542" i="2"/>
  <c r="D4543" i="2"/>
  <c r="E4543" i="2"/>
  <c r="G4543" i="2"/>
  <c r="H4543" i="2"/>
  <c r="D4544" i="2"/>
  <c r="F4544" i="2" s="1"/>
  <c r="E4544" i="2"/>
  <c r="G4544" i="2"/>
  <c r="D4545" i="2"/>
  <c r="H4545" i="2" s="1"/>
  <c r="E4545" i="2"/>
  <c r="F4545" i="2"/>
  <c r="G4545" i="2"/>
  <c r="D4546" i="2"/>
  <c r="F4546" i="2" s="1"/>
  <c r="E4546" i="2"/>
  <c r="G4546" i="2"/>
  <c r="H4546" i="2"/>
  <c r="D4547" i="2"/>
  <c r="H4548" i="2" s="1"/>
  <c r="E4547" i="2"/>
  <c r="G4547" i="2"/>
  <c r="D4548" i="2"/>
  <c r="E4548" i="2"/>
  <c r="G4548" i="2"/>
  <c r="D4549" i="2"/>
  <c r="E4549" i="2"/>
  <c r="F4549" i="2"/>
  <c r="G4549" i="2"/>
  <c r="H4549" i="2"/>
  <c r="D4550" i="2"/>
  <c r="F4550" i="2" s="1"/>
  <c r="E4550" i="2"/>
  <c r="G4550" i="2"/>
  <c r="D4551" i="2"/>
  <c r="E4551" i="2"/>
  <c r="G4551" i="2"/>
  <c r="H4551" i="2"/>
  <c r="D4552" i="2"/>
  <c r="F4552" i="2" s="1"/>
  <c r="E4552" i="2"/>
  <c r="G4552" i="2"/>
  <c r="D4553" i="2"/>
  <c r="H4553" i="2" s="1"/>
  <c r="E4553" i="2"/>
  <c r="F4553" i="2"/>
  <c r="G4553" i="2"/>
  <c r="D4554" i="2"/>
  <c r="F4554" i="2" s="1"/>
  <c r="E4554" i="2"/>
  <c r="G4554" i="2"/>
  <c r="H4554" i="2"/>
  <c r="D4555" i="2"/>
  <c r="H4556" i="2" s="1"/>
  <c r="E4555" i="2"/>
  <c r="G4555" i="2"/>
  <c r="D4556" i="2"/>
  <c r="E4556" i="2"/>
  <c r="G4556" i="2"/>
  <c r="D4557" i="2"/>
  <c r="F4557" i="2" s="1"/>
  <c r="E4557" i="2"/>
  <c r="G4557" i="2"/>
  <c r="H4557" i="2"/>
  <c r="D4558" i="2"/>
  <c r="F4558" i="2" s="1"/>
  <c r="E4558" i="2"/>
  <c r="G4558" i="2"/>
  <c r="D4559" i="2"/>
  <c r="E4559" i="2"/>
  <c r="G4559" i="2"/>
  <c r="H4559" i="2"/>
  <c r="D4560" i="2"/>
  <c r="F4560" i="2" s="1"/>
  <c r="E4560" i="2"/>
  <c r="G4560" i="2"/>
  <c r="D4561" i="2"/>
  <c r="H4561" i="2" s="1"/>
  <c r="E4561" i="2"/>
  <c r="F4561" i="2"/>
  <c r="G4561" i="2"/>
  <c r="D4562" i="2"/>
  <c r="F4562" i="2" s="1"/>
  <c r="E4562" i="2"/>
  <c r="G4562" i="2"/>
  <c r="H4562" i="2"/>
  <c r="D4563" i="2"/>
  <c r="H4564" i="2" s="1"/>
  <c r="E4563" i="2"/>
  <c r="G4563" i="2"/>
  <c r="D4564" i="2"/>
  <c r="E4564" i="2"/>
  <c r="G4564" i="2"/>
  <c r="D4565" i="2"/>
  <c r="F4565" i="2" s="1"/>
  <c r="E4565" i="2"/>
  <c r="G4565" i="2"/>
  <c r="D4566" i="2"/>
  <c r="F4566" i="2" s="1"/>
  <c r="E4566" i="2"/>
  <c r="G4566" i="2"/>
  <c r="D4567" i="2"/>
  <c r="E4567" i="2"/>
  <c r="G4567" i="2"/>
  <c r="H4567" i="2"/>
  <c r="D4568" i="2"/>
  <c r="F4568" i="2" s="1"/>
  <c r="E4568" i="2"/>
  <c r="G4568" i="2"/>
  <c r="D4569" i="2"/>
  <c r="E4569" i="2"/>
  <c r="F4569" i="2"/>
  <c r="G4569" i="2"/>
  <c r="H4569" i="2"/>
  <c r="D4570" i="2"/>
  <c r="F4570" i="2" s="1"/>
  <c r="E4570" i="2"/>
  <c r="G4570" i="2"/>
  <c r="H4570" i="2"/>
  <c r="D4571" i="2"/>
  <c r="H4572" i="2" s="1"/>
  <c r="E4571" i="2"/>
  <c r="G4571" i="2"/>
  <c r="D4572" i="2"/>
  <c r="E4572" i="2"/>
  <c r="G4572" i="2"/>
  <c r="D4573" i="2"/>
  <c r="F4573" i="2" s="1"/>
  <c r="E4573" i="2"/>
  <c r="G4573" i="2"/>
  <c r="D4574" i="2"/>
  <c r="F4574" i="2" s="1"/>
  <c r="E4574" i="2"/>
  <c r="G4574" i="2"/>
  <c r="D4575" i="2"/>
  <c r="E4575" i="2"/>
  <c r="G4575" i="2"/>
  <c r="H4575" i="2"/>
  <c r="D4576" i="2"/>
  <c r="F4576" i="2" s="1"/>
  <c r="E4576" i="2"/>
  <c r="G4576" i="2"/>
  <c r="D4577" i="2"/>
  <c r="E4577" i="2"/>
  <c r="F4577" i="2"/>
  <c r="G4577" i="2"/>
  <c r="H4577" i="2"/>
  <c r="D4578" i="2"/>
  <c r="F4578" i="2" s="1"/>
  <c r="E4578" i="2"/>
  <c r="G4578" i="2"/>
  <c r="H4578" i="2"/>
  <c r="D4579" i="2"/>
  <c r="H4580" i="2" s="1"/>
  <c r="E4579" i="2"/>
  <c r="G4579" i="2"/>
  <c r="D4580" i="2"/>
  <c r="E4580" i="2"/>
  <c r="G4580" i="2"/>
  <c r="D4581" i="2"/>
  <c r="F4581" i="2" s="1"/>
  <c r="E4581" i="2"/>
  <c r="G4581" i="2"/>
  <c r="D4582" i="2"/>
  <c r="F4582" i="2" s="1"/>
  <c r="E4582" i="2"/>
  <c r="G4582" i="2"/>
  <c r="D4583" i="2"/>
  <c r="E4583" i="2"/>
  <c r="G4583" i="2"/>
  <c r="H4583" i="2"/>
  <c r="D4584" i="2"/>
  <c r="F4584" i="2" s="1"/>
  <c r="E4584" i="2"/>
  <c r="G4584" i="2"/>
  <c r="D4585" i="2"/>
  <c r="E4585" i="2"/>
  <c r="F4585" i="2"/>
  <c r="G4585" i="2"/>
  <c r="H4585" i="2"/>
  <c r="D4586" i="2"/>
  <c r="F4586" i="2" s="1"/>
  <c r="E4586" i="2"/>
  <c r="G4586" i="2"/>
  <c r="H4586" i="2"/>
  <c r="D4587" i="2"/>
  <c r="H4588" i="2" s="1"/>
  <c r="E4587" i="2"/>
  <c r="G4587" i="2"/>
  <c r="D4588" i="2"/>
  <c r="E4588" i="2"/>
  <c r="G4588" i="2"/>
  <c r="D4589" i="2"/>
  <c r="F4589" i="2" s="1"/>
  <c r="E4589" i="2"/>
  <c r="G4589" i="2"/>
  <c r="D4590" i="2"/>
  <c r="F4590" i="2" s="1"/>
  <c r="E4590" i="2"/>
  <c r="G4590" i="2"/>
  <c r="D4591" i="2"/>
  <c r="E4591" i="2"/>
  <c r="G4591" i="2"/>
  <c r="H4591" i="2"/>
  <c r="D4592" i="2"/>
  <c r="F4592" i="2" s="1"/>
  <c r="E4592" i="2"/>
  <c r="G4592" i="2"/>
  <c r="D4593" i="2"/>
  <c r="E4593" i="2"/>
  <c r="F4593" i="2"/>
  <c r="G4593" i="2"/>
  <c r="H4593" i="2"/>
  <c r="D4594" i="2"/>
  <c r="F4594" i="2" s="1"/>
  <c r="E4594" i="2"/>
  <c r="G4594" i="2"/>
  <c r="H4594" i="2"/>
  <c r="D4595" i="2"/>
  <c r="H4596" i="2" s="1"/>
  <c r="E4595" i="2"/>
  <c r="G4595" i="2"/>
  <c r="D4596" i="2"/>
  <c r="E4596" i="2"/>
  <c r="G4596" i="2"/>
  <c r="D4597" i="2"/>
  <c r="F4597" i="2" s="1"/>
  <c r="E4597" i="2"/>
  <c r="G4597" i="2"/>
  <c r="D4598" i="2"/>
  <c r="F4598" i="2" s="1"/>
  <c r="E4598" i="2"/>
  <c r="G4598" i="2"/>
  <c r="D4599" i="2"/>
  <c r="E4599" i="2"/>
  <c r="G4599" i="2"/>
  <c r="H4599" i="2"/>
  <c r="D4600" i="2"/>
  <c r="F4600" i="2" s="1"/>
  <c r="E4600" i="2"/>
  <c r="G4600" i="2"/>
  <c r="D4601" i="2"/>
  <c r="E4601" i="2"/>
  <c r="F4601" i="2"/>
  <c r="G4601" i="2"/>
  <c r="H4601" i="2"/>
  <c r="D4602" i="2"/>
  <c r="F4602" i="2" s="1"/>
  <c r="E4602" i="2"/>
  <c r="G4602" i="2"/>
  <c r="H4602" i="2"/>
  <c r="D4603" i="2"/>
  <c r="H4604" i="2" s="1"/>
  <c r="E4603" i="2"/>
  <c r="G4603" i="2"/>
  <c r="D4604" i="2"/>
  <c r="E4604" i="2"/>
  <c r="G4604" i="2"/>
  <c r="D4605" i="2"/>
  <c r="F4605" i="2" s="1"/>
  <c r="E4605" i="2"/>
  <c r="G4605" i="2"/>
  <c r="D4606" i="2"/>
  <c r="F4606" i="2" s="1"/>
  <c r="E4606" i="2"/>
  <c r="G4606" i="2"/>
  <c r="D4607" i="2"/>
  <c r="E4607" i="2"/>
  <c r="G4607" i="2"/>
  <c r="H4607" i="2"/>
  <c r="D4608" i="2"/>
  <c r="F4608" i="2" s="1"/>
  <c r="E4608" i="2"/>
  <c r="G4608" i="2"/>
  <c r="D4609" i="2"/>
  <c r="E4609" i="2"/>
  <c r="F4609" i="2"/>
  <c r="G4609" i="2"/>
  <c r="H4609" i="2"/>
  <c r="D4610" i="2"/>
  <c r="F4610" i="2" s="1"/>
  <c r="E4610" i="2"/>
  <c r="G4610" i="2"/>
  <c r="H4610" i="2"/>
  <c r="D4611" i="2"/>
  <c r="H4612" i="2" s="1"/>
  <c r="E4611" i="2"/>
  <c r="G4611" i="2"/>
  <c r="D4612" i="2"/>
  <c r="E4612" i="2"/>
  <c r="G4612" i="2"/>
  <c r="D4613" i="2"/>
  <c r="F4613" i="2" s="1"/>
  <c r="E4613" i="2"/>
  <c r="G4613" i="2"/>
  <c r="D4614" i="2"/>
  <c r="F4614" i="2" s="1"/>
  <c r="E4614" i="2"/>
  <c r="G4614" i="2"/>
  <c r="D4615" i="2"/>
  <c r="E4615" i="2"/>
  <c r="G4615" i="2"/>
  <c r="H4615" i="2"/>
  <c r="D4616" i="2"/>
  <c r="F4616" i="2" s="1"/>
  <c r="E4616" i="2"/>
  <c r="G4616" i="2"/>
  <c r="D4617" i="2"/>
  <c r="E4617" i="2"/>
  <c r="F4617" i="2"/>
  <c r="G4617" i="2"/>
  <c r="H4617" i="2"/>
  <c r="D4618" i="2"/>
  <c r="F4618" i="2" s="1"/>
  <c r="E4618" i="2"/>
  <c r="G4618" i="2"/>
  <c r="H4618" i="2"/>
  <c r="D4619" i="2"/>
  <c r="H4620" i="2" s="1"/>
  <c r="E4619" i="2"/>
  <c r="G4619" i="2"/>
  <c r="D4620" i="2"/>
  <c r="E4620" i="2"/>
  <c r="G4620" i="2"/>
  <c r="D4621" i="2"/>
  <c r="F4621" i="2" s="1"/>
  <c r="E4621" i="2"/>
  <c r="G4621" i="2"/>
  <c r="D4622" i="2"/>
  <c r="F4622" i="2" s="1"/>
  <c r="E4622" i="2"/>
  <c r="G4622" i="2"/>
  <c r="D4623" i="2"/>
  <c r="E4623" i="2"/>
  <c r="G4623" i="2"/>
  <c r="H4623" i="2"/>
  <c r="D4624" i="2"/>
  <c r="F4624" i="2" s="1"/>
  <c r="E4624" i="2"/>
  <c r="G4624" i="2"/>
  <c r="D4625" i="2"/>
  <c r="E4625" i="2"/>
  <c r="F4625" i="2"/>
  <c r="G4625" i="2"/>
  <c r="H4625" i="2"/>
  <c r="D4626" i="2"/>
  <c r="F4626" i="2" s="1"/>
  <c r="E4626" i="2"/>
  <c r="G4626" i="2"/>
  <c r="H4626" i="2"/>
  <c r="D4627" i="2"/>
  <c r="H4628" i="2" s="1"/>
  <c r="E4627" i="2"/>
  <c r="G4627" i="2"/>
  <c r="D4628" i="2"/>
  <c r="E4628" i="2"/>
  <c r="G4628" i="2"/>
  <c r="D4629" i="2"/>
  <c r="F4629" i="2" s="1"/>
  <c r="E4629" i="2"/>
  <c r="G4629" i="2"/>
  <c r="D4630" i="2"/>
  <c r="F4630" i="2" s="1"/>
  <c r="E4630" i="2"/>
  <c r="G4630" i="2"/>
  <c r="D4631" i="2"/>
  <c r="E4631" i="2"/>
  <c r="G4631" i="2"/>
  <c r="H4631" i="2"/>
  <c r="D4632" i="2"/>
  <c r="F4632" i="2" s="1"/>
  <c r="E4632" i="2"/>
  <c r="G4632" i="2"/>
  <c r="D4633" i="2"/>
  <c r="E4633" i="2"/>
  <c r="F4633" i="2"/>
  <c r="G4633" i="2"/>
  <c r="H4633" i="2"/>
  <c r="D4634" i="2"/>
  <c r="F4634" i="2" s="1"/>
  <c r="E4634" i="2"/>
  <c r="G4634" i="2"/>
  <c r="H4634" i="2"/>
  <c r="D4635" i="2"/>
  <c r="H4636" i="2" s="1"/>
  <c r="E4635" i="2"/>
  <c r="G4635" i="2"/>
  <c r="D4636" i="2"/>
  <c r="E4636" i="2"/>
  <c r="G4636" i="2"/>
  <c r="D4637" i="2"/>
  <c r="F4637" i="2" s="1"/>
  <c r="E4637" i="2"/>
  <c r="G4637" i="2"/>
  <c r="D4638" i="2"/>
  <c r="F4638" i="2" s="1"/>
  <c r="E4638" i="2"/>
  <c r="G4638" i="2"/>
  <c r="D4639" i="2"/>
  <c r="E4639" i="2"/>
  <c r="G4639" i="2"/>
  <c r="H4639" i="2"/>
  <c r="D4640" i="2"/>
  <c r="F4640" i="2" s="1"/>
  <c r="E4640" i="2"/>
  <c r="G4640" i="2"/>
  <c r="D4641" i="2"/>
  <c r="E4641" i="2"/>
  <c r="F4641" i="2"/>
  <c r="G4641" i="2"/>
  <c r="H4641" i="2"/>
  <c r="D4642" i="2"/>
  <c r="F4642" i="2" s="1"/>
  <c r="E4642" i="2"/>
  <c r="G4642" i="2"/>
  <c r="H4642" i="2"/>
  <c r="D4643" i="2"/>
  <c r="H4644" i="2" s="1"/>
  <c r="E4643" i="2"/>
  <c r="G4643" i="2"/>
  <c r="D4644" i="2"/>
  <c r="E4644" i="2"/>
  <c r="G4644" i="2"/>
  <c r="D4645" i="2"/>
  <c r="F4645" i="2" s="1"/>
  <c r="E4645" i="2"/>
  <c r="G4645" i="2"/>
  <c r="D4646" i="2"/>
  <c r="F4646" i="2" s="1"/>
  <c r="E4646" i="2"/>
  <c r="G4646" i="2"/>
  <c r="D4647" i="2"/>
  <c r="E4647" i="2"/>
  <c r="G4647" i="2"/>
  <c r="H4647" i="2"/>
  <c r="D4648" i="2"/>
  <c r="F4648" i="2" s="1"/>
  <c r="E4648" i="2"/>
  <c r="G4648" i="2"/>
  <c r="D4649" i="2"/>
  <c r="E4649" i="2"/>
  <c r="F4649" i="2"/>
  <c r="G4649" i="2"/>
  <c r="H4649" i="2"/>
  <c r="D4650" i="2"/>
  <c r="F4650" i="2" s="1"/>
  <c r="E4650" i="2"/>
  <c r="G4650" i="2"/>
  <c r="H4650" i="2"/>
  <c r="D4651" i="2"/>
  <c r="H4652" i="2" s="1"/>
  <c r="E4651" i="2"/>
  <c r="G4651" i="2"/>
  <c r="D4652" i="2"/>
  <c r="E4652" i="2"/>
  <c r="G4652" i="2"/>
  <c r="D4653" i="2"/>
  <c r="F4653" i="2" s="1"/>
  <c r="E4653" i="2"/>
  <c r="G4653" i="2"/>
  <c r="D4654" i="2"/>
  <c r="F4654" i="2" s="1"/>
  <c r="E4654" i="2"/>
  <c r="G4654" i="2"/>
  <c r="D4655" i="2"/>
  <c r="E4655" i="2"/>
  <c r="G4655" i="2"/>
  <c r="H4655" i="2"/>
  <c r="D4656" i="2"/>
  <c r="F4656" i="2" s="1"/>
  <c r="E4656" i="2"/>
  <c r="G4656" i="2"/>
  <c r="D4657" i="2"/>
  <c r="E4657" i="2"/>
  <c r="F4657" i="2"/>
  <c r="G4657" i="2"/>
  <c r="H4657" i="2"/>
  <c r="D4658" i="2"/>
  <c r="F4658" i="2" s="1"/>
  <c r="E4658" i="2"/>
  <c r="G4658" i="2"/>
  <c r="H4658" i="2"/>
  <c r="D4659" i="2"/>
  <c r="H4660" i="2" s="1"/>
  <c r="E4659" i="2"/>
  <c r="G4659" i="2"/>
  <c r="D4660" i="2"/>
  <c r="E4660" i="2"/>
  <c r="G4660" i="2"/>
  <c r="D4661" i="2"/>
  <c r="F4661" i="2" s="1"/>
  <c r="E4661" i="2"/>
  <c r="G4661" i="2"/>
  <c r="D4662" i="2"/>
  <c r="F4662" i="2" s="1"/>
  <c r="E4662" i="2"/>
  <c r="G4662" i="2"/>
  <c r="D4663" i="2"/>
  <c r="E4663" i="2"/>
  <c r="G4663" i="2"/>
  <c r="H4663" i="2"/>
  <c r="D4664" i="2"/>
  <c r="F4664" i="2" s="1"/>
  <c r="E4664" i="2"/>
  <c r="G4664" i="2"/>
  <c r="D4665" i="2"/>
  <c r="E4665" i="2"/>
  <c r="F4665" i="2"/>
  <c r="G4665" i="2"/>
  <c r="H4665" i="2"/>
  <c r="D4666" i="2"/>
  <c r="F4666" i="2" s="1"/>
  <c r="E4666" i="2"/>
  <c r="G4666" i="2"/>
  <c r="H4666" i="2"/>
  <c r="D4667" i="2"/>
  <c r="H4668" i="2" s="1"/>
  <c r="E4667" i="2"/>
  <c r="G4667" i="2"/>
  <c r="D4668" i="2"/>
  <c r="E4668" i="2"/>
  <c r="G4668" i="2"/>
  <c r="D4669" i="2"/>
  <c r="F4669" i="2" s="1"/>
  <c r="E4669" i="2"/>
  <c r="G4669" i="2"/>
  <c r="D4670" i="2"/>
  <c r="F4670" i="2" s="1"/>
  <c r="E4670" i="2"/>
  <c r="G4670" i="2"/>
  <c r="D4671" i="2"/>
  <c r="E4671" i="2"/>
  <c r="G4671" i="2"/>
  <c r="H4671" i="2"/>
  <c r="D4672" i="2"/>
  <c r="F4672" i="2" s="1"/>
  <c r="E4672" i="2"/>
  <c r="G4672" i="2"/>
  <c r="D4673" i="2"/>
  <c r="E4673" i="2"/>
  <c r="F4673" i="2"/>
  <c r="G4673" i="2"/>
  <c r="H4673" i="2"/>
  <c r="D4674" i="2"/>
  <c r="F4674" i="2" s="1"/>
  <c r="E4674" i="2"/>
  <c r="G4674" i="2"/>
  <c r="H4674" i="2"/>
  <c r="D4675" i="2"/>
  <c r="H4676" i="2" s="1"/>
  <c r="E4675" i="2"/>
  <c r="G4675" i="2"/>
  <c r="D4676" i="2"/>
  <c r="E4676" i="2"/>
  <c r="G4676" i="2"/>
  <c r="D4677" i="2"/>
  <c r="F4677" i="2" s="1"/>
  <c r="E4677" i="2"/>
  <c r="G4677" i="2"/>
  <c r="D4678" i="2"/>
  <c r="F4678" i="2" s="1"/>
  <c r="E4678" i="2"/>
  <c r="G4678" i="2"/>
  <c r="D4679" i="2"/>
  <c r="E4679" i="2"/>
  <c r="G4679" i="2"/>
  <c r="H4679" i="2"/>
  <c r="D4680" i="2"/>
  <c r="F4680" i="2" s="1"/>
  <c r="E4680" i="2"/>
  <c r="G4680" i="2"/>
  <c r="D4681" i="2"/>
  <c r="E4681" i="2"/>
  <c r="F4681" i="2"/>
  <c r="G4681" i="2"/>
  <c r="H4681" i="2"/>
  <c r="D4682" i="2"/>
  <c r="F4682" i="2" s="1"/>
  <c r="E4682" i="2"/>
  <c r="G4682" i="2"/>
  <c r="H4682" i="2"/>
  <c r="D4683" i="2"/>
  <c r="H4684" i="2" s="1"/>
  <c r="E4683" i="2"/>
  <c r="G4683" i="2"/>
  <c r="D4684" i="2"/>
  <c r="E4684" i="2"/>
  <c r="G4684" i="2"/>
  <c r="D4685" i="2"/>
  <c r="F4685" i="2" s="1"/>
  <c r="E4685" i="2"/>
  <c r="G4685" i="2"/>
  <c r="D4686" i="2"/>
  <c r="F4686" i="2" s="1"/>
  <c r="E4686" i="2"/>
  <c r="G4686" i="2"/>
  <c r="D4687" i="2"/>
  <c r="E4687" i="2"/>
  <c r="G4687" i="2"/>
  <c r="H4687" i="2"/>
  <c r="D4688" i="2"/>
  <c r="F4688" i="2" s="1"/>
  <c r="E4688" i="2"/>
  <c r="G4688" i="2"/>
  <c r="D4689" i="2"/>
  <c r="E4689" i="2"/>
  <c r="F4689" i="2"/>
  <c r="G4689" i="2"/>
  <c r="H4689" i="2"/>
  <c r="D4690" i="2"/>
  <c r="F4690" i="2" s="1"/>
  <c r="E4690" i="2"/>
  <c r="G4690" i="2"/>
  <c r="H4690" i="2"/>
  <c r="D4691" i="2"/>
  <c r="H4692" i="2" s="1"/>
  <c r="E4691" i="2"/>
  <c r="G4691" i="2"/>
  <c r="D4692" i="2"/>
  <c r="E4692" i="2"/>
  <c r="G4692" i="2"/>
  <c r="D4693" i="2"/>
  <c r="F4693" i="2" s="1"/>
  <c r="E4693" i="2"/>
  <c r="G4693" i="2"/>
  <c r="D4694" i="2"/>
  <c r="F4694" i="2" s="1"/>
  <c r="E4694" i="2"/>
  <c r="G4694" i="2"/>
  <c r="D4695" i="2"/>
  <c r="E4695" i="2"/>
  <c r="G4695" i="2"/>
  <c r="H4695" i="2"/>
  <c r="D4696" i="2"/>
  <c r="F4696" i="2" s="1"/>
  <c r="E4696" i="2"/>
  <c r="G4696" i="2"/>
  <c r="D4697" i="2"/>
  <c r="E4697" i="2"/>
  <c r="F4697" i="2"/>
  <c r="G4697" i="2"/>
  <c r="H4697" i="2"/>
  <c r="D4698" i="2"/>
  <c r="F4698" i="2" s="1"/>
  <c r="E4698" i="2"/>
  <c r="G4698" i="2"/>
  <c r="H4698" i="2"/>
  <c r="D4699" i="2"/>
  <c r="H4700" i="2" s="1"/>
  <c r="E4699" i="2"/>
  <c r="G4699" i="2"/>
  <c r="D4700" i="2"/>
  <c r="E4700" i="2"/>
  <c r="G4700" i="2"/>
  <c r="D4701" i="2"/>
  <c r="F4701" i="2" s="1"/>
  <c r="E4701" i="2"/>
  <c r="G4701" i="2"/>
  <c r="D4702" i="2"/>
  <c r="F4702" i="2" s="1"/>
  <c r="E4702" i="2"/>
  <c r="G4702" i="2"/>
  <c r="D4703" i="2"/>
  <c r="E4703" i="2"/>
  <c r="G4703" i="2"/>
  <c r="H4703" i="2"/>
  <c r="D4704" i="2"/>
  <c r="F4704" i="2" s="1"/>
  <c r="E4704" i="2"/>
  <c r="G4704" i="2"/>
  <c r="D4705" i="2"/>
  <c r="E4705" i="2"/>
  <c r="F4705" i="2"/>
  <c r="G4705" i="2"/>
  <c r="H4705" i="2"/>
  <c r="D4706" i="2"/>
  <c r="F4706" i="2" s="1"/>
  <c r="E4706" i="2"/>
  <c r="G4706" i="2"/>
  <c r="H4706" i="2"/>
  <c r="D4707" i="2"/>
  <c r="H4708" i="2" s="1"/>
  <c r="E4707" i="2"/>
  <c r="G4707" i="2"/>
  <c r="D4708" i="2"/>
  <c r="E4708" i="2"/>
  <c r="G4708" i="2"/>
  <c r="D4709" i="2"/>
  <c r="F4709" i="2" s="1"/>
  <c r="E4709" i="2"/>
  <c r="G4709" i="2"/>
  <c r="D4710" i="2"/>
  <c r="F4710" i="2" s="1"/>
  <c r="E4710" i="2"/>
  <c r="G4710" i="2"/>
  <c r="D4711" i="2"/>
  <c r="E4711" i="2"/>
  <c r="G4711" i="2"/>
  <c r="H4711" i="2"/>
  <c r="D4712" i="2"/>
  <c r="F4712" i="2" s="1"/>
  <c r="E4712" i="2"/>
  <c r="G4712" i="2"/>
  <c r="D4713" i="2"/>
  <c r="E4713" i="2"/>
  <c r="F4713" i="2"/>
  <c r="G4713" i="2"/>
  <c r="H4713" i="2"/>
  <c r="D4714" i="2"/>
  <c r="F4714" i="2" s="1"/>
  <c r="E4714" i="2"/>
  <c r="G4714" i="2"/>
  <c r="H4714" i="2"/>
  <c r="D4715" i="2"/>
  <c r="H4716" i="2" s="1"/>
  <c r="E4715" i="2"/>
  <c r="G4715" i="2"/>
  <c r="D4716" i="2"/>
  <c r="E4716" i="2"/>
  <c r="G4716" i="2"/>
  <c r="D4717" i="2"/>
  <c r="F4717" i="2" s="1"/>
  <c r="E4717" i="2"/>
  <c r="G4717" i="2"/>
  <c r="D4718" i="2"/>
  <c r="F4718" i="2" s="1"/>
  <c r="E4718" i="2"/>
  <c r="G4718" i="2"/>
  <c r="D4719" i="2"/>
  <c r="E4719" i="2"/>
  <c r="G4719" i="2"/>
  <c r="H4719" i="2"/>
  <c r="D4720" i="2"/>
  <c r="F4720" i="2" s="1"/>
  <c r="E4720" i="2"/>
  <c r="G4720" i="2"/>
  <c r="D4721" i="2"/>
  <c r="E4721" i="2"/>
  <c r="F4721" i="2"/>
  <c r="G4721" i="2"/>
  <c r="H4721" i="2"/>
  <c r="D4722" i="2"/>
  <c r="F4722" i="2" s="1"/>
  <c r="E4722" i="2"/>
  <c r="G4722" i="2"/>
  <c r="H4722" i="2"/>
  <c r="D4723" i="2"/>
  <c r="H4724" i="2" s="1"/>
  <c r="E4723" i="2"/>
  <c r="G4723" i="2"/>
  <c r="D4724" i="2"/>
  <c r="E4724" i="2"/>
  <c r="G4724" i="2"/>
  <c r="H2" i="2"/>
  <c r="G2" i="2"/>
  <c r="F2" i="2"/>
  <c r="E2" i="2"/>
  <c r="D2" i="2"/>
  <c r="B8" i="11"/>
  <c r="B5" i="11"/>
  <c r="B4" i="11"/>
  <c r="B3" i="11"/>
  <c r="B2" i="11"/>
  <c r="A8" i="11" s="1"/>
  <c r="C22" i="9"/>
  <c r="D22" i="9"/>
  <c r="C23" i="9"/>
  <c r="D23" i="9"/>
  <c r="C24" i="9"/>
  <c r="D24" i="9"/>
  <c r="D36" i="9"/>
  <c r="D35" i="9"/>
  <c r="D34" i="9"/>
  <c r="D32" i="9"/>
  <c r="D31" i="9"/>
  <c r="D30" i="9"/>
  <c r="D26" i="9"/>
  <c r="D28" i="9"/>
  <c r="D27" i="9"/>
  <c r="C36" i="9"/>
  <c r="C35" i="9"/>
  <c r="C34" i="9"/>
  <c r="C32" i="9"/>
  <c r="C31" i="9"/>
  <c r="C30" i="9"/>
  <c r="C28" i="9"/>
  <c r="C27" i="9"/>
  <c r="C26" i="9"/>
  <c r="H17" i="9"/>
  <c r="H16" i="9"/>
  <c r="H15" i="9"/>
  <c r="H3" i="9"/>
  <c r="H13" i="9"/>
  <c r="H12" i="9"/>
  <c r="H11" i="9"/>
  <c r="H9" i="9"/>
  <c r="H8" i="9"/>
  <c r="H7" i="9"/>
  <c r="H5" i="9"/>
  <c r="H4" i="9"/>
  <c r="G17" i="9"/>
  <c r="G16" i="9"/>
  <c r="G15" i="9"/>
  <c r="G13" i="9"/>
  <c r="G12" i="9"/>
  <c r="G11" i="9"/>
  <c r="G9" i="9"/>
  <c r="G8" i="9"/>
  <c r="G7" i="9"/>
  <c r="G5" i="9"/>
  <c r="G4" i="9"/>
  <c r="G3" i="9"/>
  <c r="F17" i="9"/>
  <c r="F16" i="9"/>
  <c r="F15" i="9"/>
  <c r="F13" i="9"/>
  <c r="F12" i="9"/>
  <c r="F11" i="9"/>
  <c r="F7" i="9"/>
  <c r="F9" i="9"/>
  <c r="F8" i="9"/>
  <c r="F3" i="9"/>
  <c r="F5" i="9"/>
  <c r="F4" i="9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J17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2" i="6"/>
  <c r="J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  <c r="I2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3" i="6"/>
  <c r="H2" i="6"/>
  <c r="F4676" i="2" l="1"/>
  <c r="F4652" i="2"/>
  <c r="F4612" i="2"/>
  <c r="F4596" i="2"/>
  <c r="F4476" i="2"/>
  <c r="F4468" i="2"/>
  <c r="F4452" i="2"/>
  <c r="F4436" i="2"/>
  <c r="F4420" i="2"/>
  <c r="H4161" i="2"/>
  <c r="H4160" i="2"/>
  <c r="H4717" i="2"/>
  <c r="H4693" i="2"/>
  <c r="H4669" i="2"/>
  <c r="F4663" i="2"/>
  <c r="F4655" i="2"/>
  <c r="H4653" i="2"/>
  <c r="F4647" i="2"/>
  <c r="H4645" i="2"/>
  <c r="H4621" i="2"/>
  <c r="H4597" i="2"/>
  <c r="H4581" i="2"/>
  <c r="F4559" i="2"/>
  <c r="F4519" i="2"/>
  <c r="F4511" i="2"/>
  <c r="F4487" i="2"/>
  <c r="F4479" i="2"/>
  <c r="F4455" i="2"/>
  <c r="F4439" i="2"/>
  <c r="F4415" i="2"/>
  <c r="F4407" i="2"/>
  <c r="F4399" i="2"/>
  <c r="F4391" i="2"/>
  <c r="F4383" i="2"/>
  <c r="F4375" i="2"/>
  <c r="F4367" i="2"/>
  <c r="F4359" i="2"/>
  <c r="F4351" i="2"/>
  <c r="F4343" i="2"/>
  <c r="F4335" i="2"/>
  <c r="F4327" i="2"/>
  <c r="F4319" i="2"/>
  <c r="F4311" i="2"/>
  <c r="F4303" i="2"/>
  <c r="F4295" i="2"/>
  <c r="F4287" i="2"/>
  <c r="F4279" i="2"/>
  <c r="F4271" i="2"/>
  <c r="F4263" i="2"/>
  <c r="F4255" i="2"/>
  <c r="F4247" i="2"/>
  <c r="F4239" i="2"/>
  <c r="F4231" i="2"/>
  <c r="F4215" i="2"/>
  <c r="F4199" i="2"/>
  <c r="F4179" i="2"/>
  <c r="H4179" i="2"/>
  <c r="F4180" i="2"/>
  <c r="F4147" i="2"/>
  <c r="H4147" i="2"/>
  <c r="F4148" i="2"/>
  <c r="F4115" i="2"/>
  <c r="H4115" i="2"/>
  <c r="F4116" i="2"/>
  <c r="H4044" i="2"/>
  <c r="F4043" i="2"/>
  <c r="H4043" i="2"/>
  <c r="F4044" i="2"/>
  <c r="F4034" i="2"/>
  <c r="H4034" i="2"/>
  <c r="H4060" i="2"/>
  <c r="F4059" i="2"/>
  <c r="H4059" i="2"/>
  <c r="F4060" i="2"/>
  <c r="F4532" i="2"/>
  <c r="F4412" i="2"/>
  <c r="F4388" i="2"/>
  <c r="F4356" i="2"/>
  <c r="F4348" i="2"/>
  <c r="F4332" i="2"/>
  <c r="H4206" i="2"/>
  <c r="F4162" i="2"/>
  <c r="H4162" i="2"/>
  <c r="F4130" i="2"/>
  <c r="H4130" i="2"/>
  <c r="F4098" i="2"/>
  <c r="H4098" i="2"/>
  <c r="H4084" i="2"/>
  <c r="F4083" i="2"/>
  <c r="H4083" i="2"/>
  <c r="F4084" i="2"/>
  <c r="F4719" i="2"/>
  <c r="F4711" i="2"/>
  <c r="H4709" i="2"/>
  <c r="F4703" i="2"/>
  <c r="H4701" i="2"/>
  <c r="F4695" i="2"/>
  <c r="F4687" i="2"/>
  <c r="H4685" i="2"/>
  <c r="F4679" i="2"/>
  <c r="H4677" i="2"/>
  <c r="F4671" i="2"/>
  <c r="H4661" i="2"/>
  <c r="F4639" i="2"/>
  <c r="H4637" i="2"/>
  <c r="F4631" i="2"/>
  <c r="H4629" i="2"/>
  <c r="F4623" i="2"/>
  <c r="F4615" i="2"/>
  <c r="H4613" i="2"/>
  <c r="F4607" i="2"/>
  <c r="H4605" i="2"/>
  <c r="F4599" i="2"/>
  <c r="F4591" i="2"/>
  <c r="H4589" i="2"/>
  <c r="F4583" i="2"/>
  <c r="F4575" i="2"/>
  <c r="H4573" i="2"/>
  <c r="F4567" i="2"/>
  <c r="H4565" i="2"/>
  <c r="F4551" i="2"/>
  <c r="F4543" i="2"/>
  <c r="F4535" i="2"/>
  <c r="F4527" i="2"/>
  <c r="F4503" i="2"/>
  <c r="F4495" i="2"/>
  <c r="F4471" i="2"/>
  <c r="F4463" i="2"/>
  <c r="F4447" i="2"/>
  <c r="F4431" i="2"/>
  <c r="F4423" i="2"/>
  <c r="H4720" i="2"/>
  <c r="H4712" i="2"/>
  <c r="H4704" i="2"/>
  <c r="H4696" i="2"/>
  <c r="H4688" i="2"/>
  <c r="H4680" i="2"/>
  <c r="H4672" i="2"/>
  <c r="H4664" i="2"/>
  <c r="H4656" i="2"/>
  <c r="H4648" i="2"/>
  <c r="H4640" i="2"/>
  <c r="H4632" i="2"/>
  <c r="H4624" i="2"/>
  <c r="H4616" i="2"/>
  <c r="H4608" i="2"/>
  <c r="H4600" i="2"/>
  <c r="H4592" i="2"/>
  <c r="H4584" i="2"/>
  <c r="H4576" i="2"/>
  <c r="H4568" i="2"/>
  <c r="H4560" i="2"/>
  <c r="H4552" i="2"/>
  <c r="H4544" i="2"/>
  <c r="H4536" i="2"/>
  <c r="H4528" i="2"/>
  <c r="H4520" i="2"/>
  <c r="H4512" i="2"/>
  <c r="H4504" i="2"/>
  <c r="H4496" i="2"/>
  <c r="H4488" i="2"/>
  <c r="H4480" i="2"/>
  <c r="H4472" i="2"/>
  <c r="H4464" i="2"/>
  <c r="H4456" i="2"/>
  <c r="H4448" i="2"/>
  <c r="H4440" i="2"/>
  <c r="H4432" i="2"/>
  <c r="H4424" i="2"/>
  <c r="H4416" i="2"/>
  <c r="H4408" i="2"/>
  <c r="H4400" i="2"/>
  <c r="H4392" i="2"/>
  <c r="H4384" i="2"/>
  <c r="H4376" i="2"/>
  <c r="H4368" i="2"/>
  <c r="H4360" i="2"/>
  <c r="H4352" i="2"/>
  <c r="H4344" i="2"/>
  <c r="H4336" i="2"/>
  <c r="H4328" i="2"/>
  <c r="H4320" i="2"/>
  <c r="H4312" i="2"/>
  <c r="H4304" i="2"/>
  <c r="F4298" i="2"/>
  <c r="H4296" i="2"/>
  <c r="F4290" i="2"/>
  <c r="H4288" i="2"/>
  <c r="F4282" i="2"/>
  <c r="H4280" i="2"/>
  <c r="F4274" i="2"/>
  <c r="H4272" i="2"/>
  <c r="F4266" i="2"/>
  <c r="H4264" i="2"/>
  <c r="F4258" i="2"/>
  <c r="H4256" i="2"/>
  <c r="F4250" i="2"/>
  <c r="H4248" i="2"/>
  <c r="F4242" i="2"/>
  <c r="H4240" i="2"/>
  <c r="F4234" i="2"/>
  <c r="H4232" i="2"/>
  <c r="H4225" i="2"/>
  <c r="F4222" i="2"/>
  <c r="H4218" i="2"/>
  <c r="H4209" i="2"/>
  <c r="F4206" i="2"/>
  <c r="H4202" i="2"/>
  <c r="H4193" i="2"/>
  <c r="F4190" i="2"/>
  <c r="H4186" i="2"/>
  <c r="F4170" i="2"/>
  <c r="H4170" i="2"/>
  <c r="H4169" i="2"/>
  <c r="H4168" i="2"/>
  <c r="F4161" i="2"/>
  <c r="F4138" i="2"/>
  <c r="H4138" i="2"/>
  <c r="H4137" i="2"/>
  <c r="H4136" i="2"/>
  <c r="F4106" i="2"/>
  <c r="H4106" i="2"/>
  <c r="H4105" i="2"/>
  <c r="H4104" i="2"/>
  <c r="H4068" i="2"/>
  <c r="F4067" i="2"/>
  <c r="H4067" i="2"/>
  <c r="F4068" i="2"/>
  <c r="F4058" i="2"/>
  <c r="H4058" i="2"/>
  <c r="F4644" i="2"/>
  <c r="F4628" i="2"/>
  <c r="F4604" i="2"/>
  <c r="F4508" i="2"/>
  <c r="F4492" i="2"/>
  <c r="F4340" i="2"/>
  <c r="F4276" i="2"/>
  <c r="H4129" i="2"/>
  <c r="H4128" i="2"/>
  <c r="F4074" i="2"/>
  <c r="H4074" i="2"/>
  <c r="H4707" i="2"/>
  <c r="H4691" i="2"/>
  <c r="H4683" i="2"/>
  <c r="H4667" i="2"/>
  <c r="H4651" i="2"/>
  <c r="H4627" i="2"/>
  <c r="H4619" i="2"/>
  <c r="H4611" i="2"/>
  <c r="H4603" i="2"/>
  <c r="H4587" i="2"/>
  <c r="H4563" i="2"/>
  <c r="H4555" i="2"/>
  <c r="H4547" i="2"/>
  <c r="H4539" i="2"/>
  <c r="H4531" i="2"/>
  <c r="H4515" i="2"/>
  <c r="H4491" i="2"/>
  <c r="H4467" i="2"/>
  <c r="H4451" i="2"/>
  <c r="H4411" i="2"/>
  <c r="H4403" i="2"/>
  <c r="H4395" i="2"/>
  <c r="H4387" i="2"/>
  <c r="H4379" i="2"/>
  <c r="H4371" i="2"/>
  <c r="H4363" i="2"/>
  <c r="H4355" i="2"/>
  <c r="H4347" i="2"/>
  <c r="H4339" i="2"/>
  <c r="H4331" i="2"/>
  <c r="H4323" i="2"/>
  <c r="H4315" i="2"/>
  <c r="H4307" i="2"/>
  <c r="H4299" i="2"/>
  <c r="H4291" i="2"/>
  <c r="H4283" i="2"/>
  <c r="H4275" i="2"/>
  <c r="H4267" i="2"/>
  <c r="H4259" i="2"/>
  <c r="H4251" i="2"/>
  <c r="H4243" i="2"/>
  <c r="H4235" i="2"/>
  <c r="F4227" i="2"/>
  <c r="F4220" i="2"/>
  <c r="F4155" i="2"/>
  <c r="H4155" i="2"/>
  <c r="F4156" i="2"/>
  <c r="F4123" i="2"/>
  <c r="H4123" i="2"/>
  <c r="F4124" i="2"/>
  <c r="F4091" i="2"/>
  <c r="H4091" i="2"/>
  <c r="F4092" i="2"/>
  <c r="F4082" i="2"/>
  <c r="H4082" i="2"/>
  <c r="H4028" i="2"/>
  <c r="F4027" i="2"/>
  <c r="H4027" i="2"/>
  <c r="F4028" i="2"/>
  <c r="F4018" i="2"/>
  <c r="H4018" i="2"/>
  <c r="F4107" i="2"/>
  <c r="H4107" i="2"/>
  <c r="F4108" i="2"/>
  <c r="F4724" i="2"/>
  <c r="F4692" i="2"/>
  <c r="F4636" i="2"/>
  <c r="F4620" i="2"/>
  <c r="F4580" i="2"/>
  <c r="F4444" i="2"/>
  <c r="F4428" i="2"/>
  <c r="F4404" i="2"/>
  <c r="F4396" i="2"/>
  <c r="F4380" i="2"/>
  <c r="F4372" i="2"/>
  <c r="F4364" i="2"/>
  <c r="F4324" i="2"/>
  <c r="F4316" i="2"/>
  <c r="F4308" i="2"/>
  <c r="F4300" i="2"/>
  <c r="F4292" i="2"/>
  <c r="F4284" i="2"/>
  <c r="F4268" i="2"/>
  <c r="F4260" i="2"/>
  <c r="F4252" i="2"/>
  <c r="F4244" i="2"/>
  <c r="F4236" i="2"/>
  <c r="H4222" i="2"/>
  <c r="H4190" i="2"/>
  <c r="H4097" i="2"/>
  <c r="H4096" i="2"/>
  <c r="H4723" i="2"/>
  <c r="H4715" i="2"/>
  <c r="H4699" i="2"/>
  <c r="H4675" i="2"/>
  <c r="H4659" i="2"/>
  <c r="H4643" i="2"/>
  <c r="H4635" i="2"/>
  <c r="H4595" i="2"/>
  <c r="H4579" i="2"/>
  <c r="H4571" i="2"/>
  <c r="H4523" i="2"/>
  <c r="H4507" i="2"/>
  <c r="H4499" i="2"/>
  <c r="H4483" i="2"/>
  <c r="H4475" i="2"/>
  <c r="H4459" i="2"/>
  <c r="H4443" i="2"/>
  <c r="H4435" i="2"/>
  <c r="H4427" i="2"/>
  <c r="H4419" i="2"/>
  <c r="H4718" i="2"/>
  <c r="H4710" i="2"/>
  <c r="H4702" i="2"/>
  <c r="H4694" i="2"/>
  <c r="H4686" i="2"/>
  <c r="H4678" i="2"/>
  <c r="H4670" i="2"/>
  <c r="H4662" i="2"/>
  <c r="H4654" i="2"/>
  <c r="H4646" i="2"/>
  <c r="H4638" i="2"/>
  <c r="H4630" i="2"/>
  <c r="H4622" i="2"/>
  <c r="H4614" i="2"/>
  <c r="H4606" i="2"/>
  <c r="H4598" i="2"/>
  <c r="H4590" i="2"/>
  <c r="H4582" i="2"/>
  <c r="H4574" i="2"/>
  <c r="H4566" i="2"/>
  <c r="H4558" i="2"/>
  <c r="H4550" i="2"/>
  <c r="H4542" i="2"/>
  <c r="H4534" i="2"/>
  <c r="H4526" i="2"/>
  <c r="H4518" i="2"/>
  <c r="H4510" i="2"/>
  <c r="H4502" i="2"/>
  <c r="H4494" i="2"/>
  <c r="H4486" i="2"/>
  <c r="H4478" i="2"/>
  <c r="H4470" i="2"/>
  <c r="H4462" i="2"/>
  <c r="H4454" i="2"/>
  <c r="H4446" i="2"/>
  <c r="H4438" i="2"/>
  <c r="H4430" i="2"/>
  <c r="H4422" i="2"/>
  <c r="H4414" i="2"/>
  <c r="H4406" i="2"/>
  <c r="H4398" i="2"/>
  <c r="H4390" i="2"/>
  <c r="H4382" i="2"/>
  <c r="H4374" i="2"/>
  <c r="H4366" i="2"/>
  <c r="H4358" i="2"/>
  <c r="H4350" i="2"/>
  <c r="H4342" i="2"/>
  <c r="H4334" i="2"/>
  <c r="H4326" i="2"/>
  <c r="H4318" i="2"/>
  <c r="H4310" i="2"/>
  <c r="H4302" i="2"/>
  <c r="H4294" i="2"/>
  <c r="H4286" i="2"/>
  <c r="H4278" i="2"/>
  <c r="H4270" i="2"/>
  <c r="H4262" i="2"/>
  <c r="H4254" i="2"/>
  <c r="H4246" i="2"/>
  <c r="H4238" i="2"/>
  <c r="H4230" i="2"/>
  <c r="F4216" i="2"/>
  <c r="H4214" i="2"/>
  <c r="F4200" i="2"/>
  <c r="H4198" i="2"/>
  <c r="F4184" i="2"/>
  <c r="F4178" i="2"/>
  <c r="H4178" i="2"/>
  <c r="H4177" i="2"/>
  <c r="H4176" i="2"/>
  <c r="F4169" i="2"/>
  <c r="F4146" i="2"/>
  <c r="H4146" i="2"/>
  <c r="H4145" i="2"/>
  <c r="H4144" i="2"/>
  <c r="F4137" i="2"/>
  <c r="F4114" i="2"/>
  <c r="H4114" i="2"/>
  <c r="H4113" i="2"/>
  <c r="H4112" i="2"/>
  <c r="F4105" i="2"/>
  <c r="H4052" i="2"/>
  <c r="F4051" i="2"/>
  <c r="H4051" i="2"/>
  <c r="F4052" i="2"/>
  <c r="F4042" i="2"/>
  <c r="H4042" i="2"/>
  <c r="F4171" i="2"/>
  <c r="H4171" i="2"/>
  <c r="F4172" i="2"/>
  <c r="F4139" i="2"/>
  <c r="H4139" i="2"/>
  <c r="F4140" i="2"/>
  <c r="F4050" i="2"/>
  <c r="H4050" i="2"/>
  <c r="F4716" i="2"/>
  <c r="F4588" i="2"/>
  <c r="F4572" i="2"/>
  <c r="F4556" i="2"/>
  <c r="F4540" i="2"/>
  <c r="F4516" i="2"/>
  <c r="F4500" i="2"/>
  <c r="F4460" i="2"/>
  <c r="F4715" i="2"/>
  <c r="F4699" i="2"/>
  <c r="F4691" i="2"/>
  <c r="F4683" i="2"/>
  <c r="F4675" i="2"/>
  <c r="F4667" i="2"/>
  <c r="F4659" i="2"/>
  <c r="F4651" i="2"/>
  <c r="F4643" i="2"/>
  <c r="F4635" i="2"/>
  <c r="F4627" i="2"/>
  <c r="F4619" i="2"/>
  <c r="F4611" i="2"/>
  <c r="F4603" i="2"/>
  <c r="F4595" i="2"/>
  <c r="F4587" i="2"/>
  <c r="F4579" i="2"/>
  <c r="F4571" i="2"/>
  <c r="F4563" i="2"/>
  <c r="F4555" i="2"/>
  <c r="F4547" i="2"/>
  <c r="F4539" i="2"/>
  <c r="F4531" i="2"/>
  <c r="F4523" i="2"/>
  <c r="F4515" i="2"/>
  <c r="F4507" i="2"/>
  <c r="F4499" i="2"/>
  <c r="F4491" i="2"/>
  <c r="F4483" i="2"/>
  <c r="F4475" i="2"/>
  <c r="F4467" i="2"/>
  <c r="F4459" i="2"/>
  <c r="F4451" i="2"/>
  <c r="F4443" i="2"/>
  <c r="F4435" i="2"/>
  <c r="F4427" i="2"/>
  <c r="F4419" i="2"/>
  <c r="F4411" i="2"/>
  <c r="F4403" i="2"/>
  <c r="F4395" i="2"/>
  <c r="F4387" i="2"/>
  <c r="F4379" i="2"/>
  <c r="F4371" i="2"/>
  <c r="F4363" i="2"/>
  <c r="F4355" i="2"/>
  <c r="F4347" i="2"/>
  <c r="F4339" i="2"/>
  <c r="F4331" i="2"/>
  <c r="F4323" i="2"/>
  <c r="F4315" i="2"/>
  <c r="F4307" i="2"/>
  <c r="F4299" i="2"/>
  <c r="F4291" i="2"/>
  <c r="F4283" i="2"/>
  <c r="F4275" i="2"/>
  <c r="F4267" i="2"/>
  <c r="F4259" i="2"/>
  <c r="F4251" i="2"/>
  <c r="F4243" i="2"/>
  <c r="F4235" i="2"/>
  <c r="H4227" i="2"/>
  <c r="H4221" i="2"/>
  <c r="H4211" i="2"/>
  <c r="H4205" i="2"/>
  <c r="H4195" i="2"/>
  <c r="H4189" i="2"/>
  <c r="F4163" i="2"/>
  <c r="H4163" i="2"/>
  <c r="F4164" i="2"/>
  <c r="H4156" i="2"/>
  <c r="F4131" i="2"/>
  <c r="H4131" i="2"/>
  <c r="F4132" i="2"/>
  <c r="H4124" i="2"/>
  <c r="F4099" i="2"/>
  <c r="H4099" i="2"/>
  <c r="F4100" i="2"/>
  <c r="H4092" i="2"/>
  <c r="H4076" i="2"/>
  <c r="F4075" i="2"/>
  <c r="H4075" i="2"/>
  <c r="F4076" i="2"/>
  <c r="F4066" i="2"/>
  <c r="H4066" i="2"/>
  <c r="F4708" i="2"/>
  <c r="F4700" i="2"/>
  <c r="F4684" i="2"/>
  <c r="F4668" i="2"/>
  <c r="F4660" i="2"/>
  <c r="F4564" i="2"/>
  <c r="F4548" i="2"/>
  <c r="F4524" i="2"/>
  <c r="F4484" i="2"/>
  <c r="F4723" i="2"/>
  <c r="F4707" i="2"/>
  <c r="H4226" i="2"/>
  <c r="H4210" i="2"/>
  <c r="H4194" i="2"/>
  <c r="F4160" i="2"/>
  <c r="F4154" i="2"/>
  <c r="H4154" i="2"/>
  <c r="H4153" i="2"/>
  <c r="H4152" i="2"/>
  <c r="F4128" i="2"/>
  <c r="F4122" i="2"/>
  <c r="H4122" i="2"/>
  <c r="H4121" i="2"/>
  <c r="H4120" i="2"/>
  <c r="F4096" i="2"/>
  <c r="F4090" i="2"/>
  <c r="H4090" i="2"/>
  <c r="H4036" i="2"/>
  <c r="F4035" i="2"/>
  <c r="H4035" i="2"/>
  <c r="F4036" i="2"/>
  <c r="F4026" i="2"/>
  <c r="H4026" i="2"/>
  <c r="F3610" i="2"/>
  <c r="F3608" i="2"/>
  <c r="H3608" i="2"/>
  <c r="F3594" i="2"/>
  <c r="F3592" i="2"/>
  <c r="H3592" i="2"/>
  <c r="F3578" i="2"/>
  <c r="F3576" i="2"/>
  <c r="H3576" i="2"/>
  <c r="F3554" i="2"/>
  <c r="F3552" i="2"/>
  <c r="H3552" i="2"/>
  <c r="F3546" i="2"/>
  <c r="F3544" i="2"/>
  <c r="H3544" i="2"/>
  <c r="F3536" i="2"/>
  <c r="H3536" i="2"/>
  <c r="F3528" i="2"/>
  <c r="H3528" i="2"/>
  <c r="F3520" i="2"/>
  <c r="H3520" i="2"/>
  <c r="F3512" i="2"/>
  <c r="H3512" i="2"/>
  <c r="F3504" i="2"/>
  <c r="H3504" i="2"/>
  <c r="H3497" i="2"/>
  <c r="H3457" i="2"/>
  <c r="F3456" i="2"/>
  <c r="H3456" i="2"/>
  <c r="F3443" i="2"/>
  <c r="H3443" i="2"/>
  <c r="F3444" i="2"/>
  <c r="H3361" i="2"/>
  <c r="F3361" i="2"/>
  <c r="F3362" i="2"/>
  <c r="F4020" i="2"/>
  <c r="F4012" i="2"/>
  <c r="H4010" i="2"/>
  <c r="F4004" i="2"/>
  <c r="H4002" i="2"/>
  <c r="F3996" i="2"/>
  <c r="H3994" i="2"/>
  <c r="F3988" i="2"/>
  <c r="H3986" i="2"/>
  <c r="F3980" i="2"/>
  <c r="H3978" i="2"/>
  <c r="F3972" i="2"/>
  <c r="H3970" i="2"/>
  <c r="F3964" i="2"/>
  <c r="H3962" i="2"/>
  <c r="F3956" i="2"/>
  <c r="H3954" i="2"/>
  <c r="F3948" i="2"/>
  <c r="H3946" i="2"/>
  <c r="F3940" i="2"/>
  <c r="H3938" i="2"/>
  <c r="F3932" i="2"/>
  <c r="H3930" i="2"/>
  <c r="F3924" i="2"/>
  <c r="H3922" i="2"/>
  <c r="F3916" i="2"/>
  <c r="H3914" i="2"/>
  <c r="F3908" i="2"/>
  <c r="H3906" i="2"/>
  <c r="F3900" i="2"/>
  <c r="H3898" i="2"/>
  <c r="F3892" i="2"/>
  <c r="H3890" i="2"/>
  <c r="F3884" i="2"/>
  <c r="H3882" i="2"/>
  <c r="F3876" i="2"/>
  <c r="H3874" i="2"/>
  <c r="F3868" i="2"/>
  <c r="H3866" i="2"/>
  <c r="F3860" i="2"/>
  <c r="H3858" i="2"/>
  <c r="F3852" i="2"/>
  <c r="H3850" i="2"/>
  <c r="F3844" i="2"/>
  <c r="H3842" i="2"/>
  <c r="F3836" i="2"/>
  <c r="H3834" i="2"/>
  <c r="F3828" i="2"/>
  <c r="H3826" i="2"/>
  <c r="F3820" i="2"/>
  <c r="H3818" i="2"/>
  <c r="F3812" i="2"/>
  <c r="H3810" i="2"/>
  <c r="F3804" i="2"/>
  <c r="H3802" i="2"/>
  <c r="F3796" i="2"/>
  <c r="H3794" i="2"/>
  <c r="F3788" i="2"/>
  <c r="H3786" i="2"/>
  <c r="F3780" i="2"/>
  <c r="H3778" i="2"/>
  <c r="F3772" i="2"/>
  <c r="H3770" i="2"/>
  <c r="F3764" i="2"/>
  <c r="H3762" i="2"/>
  <c r="F3756" i="2"/>
  <c r="H3754" i="2"/>
  <c r="F3748" i="2"/>
  <c r="H3746" i="2"/>
  <c r="F3740" i="2"/>
  <c r="H3738" i="2"/>
  <c r="F3732" i="2"/>
  <c r="H3730" i="2"/>
  <c r="F3724" i="2"/>
  <c r="H3722" i="2"/>
  <c r="F3716" i="2"/>
  <c r="H3714" i="2"/>
  <c r="F3708" i="2"/>
  <c r="H3706" i="2"/>
  <c r="F3700" i="2"/>
  <c r="H3698" i="2"/>
  <c r="F3692" i="2"/>
  <c r="H3690" i="2"/>
  <c r="F3684" i="2"/>
  <c r="H3682" i="2"/>
  <c r="F3676" i="2"/>
  <c r="H3674" i="2"/>
  <c r="F3668" i="2"/>
  <c r="H3666" i="2"/>
  <c r="F3660" i="2"/>
  <c r="H3658" i="2"/>
  <c r="F3652" i="2"/>
  <c r="H3650" i="2"/>
  <c r="F3644" i="2"/>
  <c r="H3642" i="2"/>
  <c r="F3636" i="2"/>
  <c r="H3634" i="2"/>
  <c r="F3628" i="2"/>
  <c r="H3626" i="2"/>
  <c r="F3620" i="2"/>
  <c r="H3609" i="2"/>
  <c r="H3607" i="2"/>
  <c r="H3606" i="2"/>
  <c r="F3604" i="2"/>
  <c r="H3593" i="2"/>
  <c r="H3591" i="2"/>
  <c r="H3590" i="2"/>
  <c r="F3588" i="2"/>
  <c r="H3577" i="2"/>
  <c r="H3575" i="2"/>
  <c r="H3574" i="2"/>
  <c r="F3572" i="2"/>
  <c r="F3559" i="2"/>
  <c r="H3553" i="2"/>
  <c r="H3550" i="2"/>
  <c r="H3545" i="2"/>
  <c r="H3542" i="2"/>
  <c r="H3537" i="2"/>
  <c r="H3534" i="2"/>
  <c r="H3529" i="2"/>
  <c r="H3481" i="2"/>
  <c r="F3480" i="2"/>
  <c r="H3480" i="2"/>
  <c r="F3467" i="2"/>
  <c r="H3467" i="2"/>
  <c r="F3468" i="2"/>
  <c r="H3425" i="2"/>
  <c r="F3425" i="2"/>
  <c r="F3426" i="2"/>
  <c r="F3410" i="2"/>
  <c r="H3410" i="2"/>
  <c r="F3403" i="2"/>
  <c r="H3403" i="2"/>
  <c r="F3404" i="2"/>
  <c r="H3384" i="2"/>
  <c r="F3383" i="2"/>
  <c r="H3383" i="2"/>
  <c r="F3384" i="2"/>
  <c r="H4181" i="2"/>
  <c r="H4173" i="2"/>
  <c r="H4165" i="2"/>
  <c r="H4157" i="2"/>
  <c r="H4149" i="2"/>
  <c r="H4141" i="2"/>
  <c r="H4133" i="2"/>
  <c r="H4125" i="2"/>
  <c r="H4117" i="2"/>
  <c r="H4109" i="2"/>
  <c r="H4101" i="2"/>
  <c r="H4093" i="2"/>
  <c r="H4085" i="2"/>
  <c r="H4077" i="2"/>
  <c r="H4069" i="2"/>
  <c r="H4061" i="2"/>
  <c r="H4053" i="2"/>
  <c r="H4045" i="2"/>
  <c r="H4037" i="2"/>
  <c r="H4029" i="2"/>
  <c r="H4021" i="2"/>
  <c r="H4013" i="2"/>
  <c r="H4005" i="2"/>
  <c r="H3997" i="2"/>
  <c r="H3989" i="2"/>
  <c r="H3981" i="2"/>
  <c r="H3973" i="2"/>
  <c r="H3965" i="2"/>
  <c r="H3957" i="2"/>
  <c r="H3949" i="2"/>
  <c r="H3941" i="2"/>
  <c r="H3933" i="2"/>
  <c r="H3925" i="2"/>
  <c r="H3917" i="2"/>
  <c r="H3909" i="2"/>
  <c r="H3901" i="2"/>
  <c r="H3893" i="2"/>
  <c r="H3885" i="2"/>
  <c r="H3877" i="2"/>
  <c r="H3869" i="2"/>
  <c r="H3861" i="2"/>
  <c r="H3853" i="2"/>
  <c r="H3845" i="2"/>
  <c r="H3837" i="2"/>
  <c r="H3829" i="2"/>
  <c r="H3821" i="2"/>
  <c r="H3813" i="2"/>
  <c r="H3805" i="2"/>
  <c r="H3797" i="2"/>
  <c r="H3789" i="2"/>
  <c r="H3781" i="2"/>
  <c r="H3773" i="2"/>
  <c r="H3765" i="2"/>
  <c r="H3757" i="2"/>
  <c r="H3749" i="2"/>
  <c r="H3741" i="2"/>
  <c r="H3733" i="2"/>
  <c r="H3725" i="2"/>
  <c r="H3717" i="2"/>
  <c r="H3709" i="2"/>
  <c r="H3701" i="2"/>
  <c r="H3693" i="2"/>
  <c r="H3685" i="2"/>
  <c r="H3677" i="2"/>
  <c r="H3669" i="2"/>
  <c r="H3661" i="2"/>
  <c r="H3653" i="2"/>
  <c r="H3645" i="2"/>
  <c r="H3637" i="2"/>
  <c r="H3629" i="2"/>
  <c r="H3621" i="2"/>
  <c r="H3605" i="2"/>
  <c r="H3589" i="2"/>
  <c r="H3573" i="2"/>
  <c r="H3549" i="2"/>
  <c r="H3541" i="2"/>
  <c r="H3533" i="2"/>
  <c r="H3525" i="2"/>
  <c r="F3491" i="2"/>
  <c r="H3491" i="2"/>
  <c r="F3492" i="2"/>
  <c r="H3441" i="2"/>
  <c r="F3440" i="2"/>
  <c r="H3440" i="2"/>
  <c r="H3362" i="2"/>
  <c r="H4088" i="2"/>
  <c r="H4080" i="2"/>
  <c r="H4072" i="2"/>
  <c r="H4064" i="2"/>
  <c r="H4056" i="2"/>
  <c r="H4048" i="2"/>
  <c r="H4040" i="2"/>
  <c r="H4032" i="2"/>
  <c r="H4024" i="2"/>
  <c r="H4016" i="2"/>
  <c r="H4008" i="2"/>
  <c r="H4000" i="2"/>
  <c r="H3992" i="2"/>
  <c r="H3984" i="2"/>
  <c r="H3976" i="2"/>
  <c r="H3968" i="2"/>
  <c r="H3960" i="2"/>
  <c r="H3952" i="2"/>
  <c r="H3944" i="2"/>
  <c r="H3936" i="2"/>
  <c r="H3928" i="2"/>
  <c r="H3920" i="2"/>
  <c r="H3912" i="2"/>
  <c r="H3904" i="2"/>
  <c r="H3896" i="2"/>
  <c r="H3888" i="2"/>
  <c r="H3880" i="2"/>
  <c r="H3872" i="2"/>
  <c r="H3864" i="2"/>
  <c r="H3856" i="2"/>
  <c r="H3848" i="2"/>
  <c r="H3840" i="2"/>
  <c r="H3832" i="2"/>
  <c r="H3824" i="2"/>
  <c r="H3816" i="2"/>
  <c r="H3808" i="2"/>
  <c r="H3800" i="2"/>
  <c r="H3792" i="2"/>
  <c r="H3784" i="2"/>
  <c r="H3776" i="2"/>
  <c r="H3768" i="2"/>
  <c r="H3760" i="2"/>
  <c r="H3752" i="2"/>
  <c r="H3744" i="2"/>
  <c r="H3736" i="2"/>
  <c r="H3728" i="2"/>
  <c r="H3720" i="2"/>
  <c r="H3712" i="2"/>
  <c r="H3704" i="2"/>
  <c r="H3696" i="2"/>
  <c r="H3688" i="2"/>
  <c r="H3680" i="2"/>
  <c r="H3672" i="2"/>
  <c r="H3664" i="2"/>
  <c r="H3656" i="2"/>
  <c r="H3648" i="2"/>
  <c r="H3640" i="2"/>
  <c r="H3632" i="2"/>
  <c r="H3624" i="2"/>
  <c r="F3614" i="2"/>
  <c r="F3598" i="2"/>
  <c r="F3582" i="2"/>
  <c r="F3566" i="2"/>
  <c r="F3551" i="2"/>
  <c r="F3545" i="2"/>
  <c r="F3537" i="2"/>
  <c r="F3529" i="2"/>
  <c r="F3521" i="2"/>
  <c r="F3513" i="2"/>
  <c r="F3505" i="2"/>
  <c r="H3468" i="2"/>
  <c r="H3465" i="2"/>
  <c r="F3464" i="2"/>
  <c r="H3464" i="2"/>
  <c r="F3457" i="2"/>
  <c r="F3451" i="2"/>
  <c r="H3451" i="2"/>
  <c r="F3452" i="2"/>
  <c r="H3426" i="2"/>
  <c r="H3411" i="2"/>
  <c r="H3404" i="2"/>
  <c r="F3398" i="2"/>
  <c r="H3398" i="2"/>
  <c r="F3399" i="2"/>
  <c r="H4019" i="2"/>
  <c r="H4011" i="2"/>
  <c r="H4003" i="2"/>
  <c r="H3995" i="2"/>
  <c r="H3987" i="2"/>
  <c r="H3979" i="2"/>
  <c r="H3971" i="2"/>
  <c r="H3963" i="2"/>
  <c r="H3955" i="2"/>
  <c r="H3947" i="2"/>
  <c r="H3939" i="2"/>
  <c r="H3931" i="2"/>
  <c r="H3923" i="2"/>
  <c r="H3915" i="2"/>
  <c r="H3907" i="2"/>
  <c r="H3899" i="2"/>
  <c r="H3891" i="2"/>
  <c r="H3883" i="2"/>
  <c r="H3875" i="2"/>
  <c r="H3867" i="2"/>
  <c r="H3859" i="2"/>
  <c r="H3851" i="2"/>
  <c r="H3843" i="2"/>
  <c r="H3835" i="2"/>
  <c r="H3827" i="2"/>
  <c r="H3819" i="2"/>
  <c r="H3811" i="2"/>
  <c r="H3803" i="2"/>
  <c r="H3795" i="2"/>
  <c r="H3787" i="2"/>
  <c r="H3779" i="2"/>
  <c r="H3771" i="2"/>
  <c r="H3763" i="2"/>
  <c r="H3755" i="2"/>
  <c r="H3747" i="2"/>
  <c r="H3739" i="2"/>
  <c r="H3731" i="2"/>
  <c r="H3723" i="2"/>
  <c r="H3715" i="2"/>
  <c r="H3707" i="2"/>
  <c r="H3699" i="2"/>
  <c r="H3691" i="2"/>
  <c r="H3683" i="2"/>
  <c r="H3675" i="2"/>
  <c r="H3667" i="2"/>
  <c r="H3659" i="2"/>
  <c r="H3651" i="2"/>
  <c r="H3643" i="2"/>
  <c r="H3635" i="2"/>
  <c r="H3627" i="2"/>
  <c r="H3619" i="2"/>
  <c r="F3618" i="2"/>
  <c r="F3616" i="2"/>
  <c r="H3616" i="2"/>
  <c r="H3603" i="2"/>
  <c r="F3602" i="2"/>
  <c r="F3600" i="2"/>
  <c r="H3600" i="2"/>
  <c r="H3587" i="2"/>
  <c r="F3586" i="2"/>
  <c r="F3584" i="2"/>
  <c r="H3584" i="2"/>
  <c r="H3571" i="2"/>
  <c r="F3570" i="2"/>
  <c r="F3568" i="2"/>
  <c r="H3568" i="2"/>
  <c r="F3564" i="2"/>
  <c r="F3501" i="2"/>
  <c r="H3501" i="2"/>
  <c r="H3499" i="2"/>
  <c r="F3500" i="2"/>
  <c r="H3492" i="2"/>
  <c r="H3489" i="2"/>
  <c r="F3488" i="2"/>
  <c r="H3488" i="2"/>
  <c r="F3481" i="2"/>
  <c r="F3475" i="2"/>
  <c r="H3475" i="2"/>
  <c r="F3476" i="2"/>
  <c r="F3420" i="2"/>
  <c r="H3420" i="2"/>
  <c r="F3421" i="2"/>
  <c r="F3378" i="2"/>
  <c r="H3378" i="2"/>
  <c r="F3558" i="2"/>
  <c r="H3547" i="2"/>
  <c r="F3548" i="2"/>
  <c r="H3539" i="2"/>
  <c r="F3540" i="2"/>
  <c r="H3531" i="2"/>
  <c r="F3532" i="2"/>
  <c r="H3523" i="2"/>
  <c r="F3524" i="2"/>
  <c r="H3515" i="2"/>
  <c r="F3516" i="2"/>
  <c r="H3507" i="2"/>
  <c r="F3508" i="2"/>
  <c r="H3500" i="2"/>
  <c r="H3452" i="2"/>
  <c r="H3449" i="2"/>
  <c r="F3448" i="2"/>
  <c r="H3448" i="2"/>
  <c r="F3441" i="2"/>
  <c r="F3435" i="2"/>
  <c r="H3435" i="2"/>
  <c r="F3436" i="2"/>
  <c r="H3399" i="2"/>
  <c r="H3393" i="2"/>
  <c r="F3393" i="2"/>
  <c r="F3394" i="2"/>
  <c r="F4019" i="2"/>
  <c r="F4011" i="2"/>
  <c r="F4003" i="2"/>
  <c r="F3995" i="2"/>
  <c r="F3987" i="2"/>
  <c r="F3979" i="2"/>
  <c r="F3971" i="2"/>
  <c r="F3963" i="2"/>
  <c r="F3955" i="2"/>
  <c r="F3947" i="2"/>
  <c r="F3939" i="2"/>
  <c r="F3931" i="2"/>
  <c r="F3923" i="2"/>
  <c r="F3915" i="2"/>
  <c r="F3907" i="2"/>
  <c r="F3899" i="2"/>
  <c r="F3891" i="2"/>
  <c r="F3883" i="2"/>
  <c r="F3875" i="2"/>
  <c r="F3867" i="2"/>
  <c r="F3859" i="2"/>
  <c r="F3851" i="2"/>
  <c r="F3843" i="2"/>
  <c r="F3835" i="2"/>
  <c r="F3827" i="2"/>
  <c r="F3819" i="2"/>
  <c r="F3811" i="2"/>
  <c r="F3803" i="2"/>
  <c r="F3795" i="2"/>
  <c r="F3787" i="2"/>
  <c r="F3779" i="2"/>
  <c r="F3771" i="2"/>
  <c r="F3763" i="2"/>
  <c r="F3755" i="2"/>
  <c r="F3747" i="2"/>
  <c r="F3739" i="2"/>
  <c r="F3731" i="2"/>
  <c r="F3723" i="2"/>
  <c r="F3715" i="2"/>
  <c r="F3707" i="2"/>
  <c r="F3699" i="2"/>
  <c r="F3691" i="2"/>
  <c r="F3683" i="2"/>
  <c r="F3675" i="2"/>
  <c r="F3667" i="2"/>
  <c r="F3659" i="2"/>
  <c r="F3651" i="2"/>
  <c r="F3643" i="2"/>
  <c r="F3635" i="2"/>
  <c r="F3627" i="2"/>
  <c r="F3619" i="2"/>
  <c r="F3560" i="2"/>
  <c r="H3560" i="2"/>
  <c r="H3548" i="2"/>
  <c r="H3540" i="2"/>
  <c r="H3473" i="2"/>
  <c r="F3472" i="2"/>
  <c r="H3472" i="2"/>
  <c r="F3459" i="2"/>
  <c r="H3459" i="2"/>
  <c r="F3460" i="2"/>
  <c r="H3416" i="2"/>
  <c r="F3415" i="2"/>
  <c r="H3415" i="2"/>
  <c r="F3615" i="2"/>
  <c r="F3599" i="2"/>
  <c r="F3583" i="2"/>
  <c r="F3567" i="2"/>
  <c r="F3496" i="2"/>
  <c r="H3496" i="2"/>
  <c r="F3483" i="2"/>
  <c r="H3483" i="2"/>
  <c r="F3484" i="2"/>
  <c r="F3430" i="2"/>
  <c r="H3430" i="2"/>
  <c r="F3431" i="2"/>
  <c r="F3408" i="2"/>
  <c r="H3408" i="2"/>
  <c r="F3409" i="2"/>
  <c r="F3098" i="2"/>
  <c r="H3098" i="2"/>
  <c r="H3096" i="2"/>
  <c r="F3096" i="2"/>
  <c r="H3032" i="2"/>
  <c r="F3032" i="2"/>
  <c r="F3033" i="2"/>
  <c r="F3026" i="2"/>
  <c r="H3026" i="2"/>
  <c r="F3017" i="2"/>
  <c r="H3017" i="2"/>
  <c r="H3000" i="2"/>
  <c r="F3000" i="2"/>
  <c r="F3001" i="2"/>
  <c r="F2921" i="2"/>
  <c r="H2921" i="2"/>
  <c r="H2904" i="2"/>
  <c r="F2904" i="2"/>
  <c r="F2905" i="2"/>
  <c r="F2765" i="2"/>
  <c r="H2765" i="2"/>
  <c r="F2602" i="2"/>
  <c r="H2602" i="2"/>
  <c r="H2539" i="2"/>
  <c r="F2540" i="2"/>
  <c r="H2540" i="2"/>
  <c r="F2539" i="2"/>
  <c r="F2347" i="2"/>
  <c r="H2347" i="2"/>
  <c r="F2283" i="2"/>
  <c r="H2283" i="2"/>
  <c r="H1829" i="2"/>
  <c r="F1830" i="2"/>
  <c r="F1829" i="2"/>
  <c r="H1830" i="2"/>
  <c r="F3352" i="2"/>
  <c r="F3320" i="2"/>
  <c r="F3288" i="2"/>
  <c r="F3256" i="2"/>
  <c r="F3222" i="2"/>
  <c r="F3180" i="2"/>
  <c r="F3136" i="2"/>
  <c r="H3097" i="2"/>
  <c r="F3086" i="2"/>
  <c r="H3086" i="2"/>
  <c r="H3064" i="2"/>
  <c r="F3064" i="2"/>
  <c r="F3065" i="2"/>
  <c r="F3054" i="2"/>
  <c r="H3054" i="2"/>
  <c r="F3034" i="2"/>
  <c r="H3034" i="2"/>
  <c r="H3027" i="2"/>
  <c r="F3021" i="2"/>
  <c r="H3021" i="2"/>
  <c r="H3020" i="2"/>
  <c r="H3019" i="2"/>
  <c r="F3002" i="2"/>
  <c r="H3002" i="2"/>
  <c r="H2863" i="2"/>
  <c r="F2862" i="2"/>
  <c r="H2862" i="2"/>
  <c r="H2831" i="2"/>
  <c r="F2830" i="2"/>
  <c r="H2830" i="2"/>
  <c r="H2752" i="2"/>
  <c r="F2752" i="2"/>
  <c r="F2753" i="2"/>
  <c r="H3433" i="2"/>
  <c r="H3429" i="2"/>
  <c r="H3401" i="2"/>
  <c r="H3397" i="2"/>
  <c r="F3389" i="2"/>
  <c r="F3377" i="2"/>
  <c r="H3369" i="2"/>
  <c r="F3367" i="2"/>
  <c r="H3365" i="2"/>
  <c r="F3357" i="2"/>
  <c r="F3345" i="2"/>
  <c r="H3337" i="2"/>
  <c r="F3335" i="2"/>
  <c r="H3333" i="2"/>
  <c r="F3330" i="2"/>
  <c r="F3325" i="2"/>
  <c r="F3313" i="2"/>
  <c r="H3305" i="2"/>
  <c r="F3303" i="2"/>
  <c r="F3298" i="2"/>
  <c r="F3293" i="2"/>
  <c r="F3281" i="2"/>
  <c r="H3273" i="2"/>
  <c r="F3271" i="2"/>
  <c r="F3266" i="2"/>
  <c r="F3261" i="2"/>
  <c r="F3249" i="2"/>
  <c r="F3239" i="2"/>
  <c r="F3234" i="2"/>
  <c r="H3227" i="2"/>
  <c r="F3199" i="2"/>
  <c r="F3192" i="2"/>
  <c r="F3187" i="2"/>
  <c r="F3150" i="2"/>
  <c r="F3143" i="2"/>
  <c r="F3132" i="2"/>
  <c r="F3131" i="2"/>
  <c r="F3123" i="2"/>
  <c r="F3113" i="2"/>
  <c r="H3113" i="2"/>
  <c r="F3108" i="2"/>
  <c r="H3108" i="2"/>
  <c r="H3107" i="2"/>
  <c r="H3099" i="2"/>
  <c r="F3095" i="2"/>
  <c r="F3066" i="2"/>
  <c r="H3066" i="2"/>
  <c r="H3033" i="2"/>
  <c r="H3018" i="2"/>
  <c r="H3001" i="2"/>
  <c r="F2997" i="2"/>
  <c r="H2997" i="2"/>
  <c r="H2959" i="2"/>
  <c r="F2958" i="2"/>
  <c r="H2958" i="2"/>
  <c r="H2922" i="2"/>
  <c r="H2905" i="2"/>
  <c r="H2800" i="2"/>
  <c r="F2800" i="2"/>
  <c r="F2801" i="2"/>
  <c r="F2666" i="2"/>
  <c r="H2666" i="2"/>
  <c r="F2613" i="2"/>
  <c r="H2613" i="2"/>
  <c r="F2614" i="2"/>
  <c r="H2614" i="2"/>
  <c r="H2475" i="2"/>
  <c r="F2476" i="2"/>
  <c r="H2476" i="2"/>
  <c r="F2475" i="2"/>
  <c r="H3493" i="2"/>
  <c r="H3485" i="2"/>
  <c r="H3477" i="2"/>
  <c r="H3469" i="2"/>
  <c r="H3461" i="2"/>
  <c r="H3453" i="2"/>
  <c r="H3445" i="2"/>
  <c r="H3437" i="2"/>
  <c r="H3432" i="2"/>
  <c r="H3422" i="2"/>
  <c r="H3412" i="2"/>
  <c r="F3411" i="2"/>
  <c r="H3400" i="2"/>
  <c r="H3390" i="2"/>
  <c r="H3380" i="2"/>
  <c r="F3379" i="2"/>
  <c r="F3372" i="2"/>
  <c r="H3368" i="2"/>
  <c r="H3358" i="2"/>
  <c r="H3348" i="2"/>
  <c r="F3347" i="2"/>
  <c r="F3340" i="2"/>
  <c r="H3336" i="2"/>
  <c r="H3326" i="2"/>
  <c r="H3316" i="2"/>
  <c r="F3315" i="2"/>
  <c r="F3308" i="2"/>
  <c r="H3304" i="2"/>
  <c r="F3296" i="2"/>
  <c r="H3294" i="2"/>
  <c r="H3284" i="2"/>
  <c r="F3283" i="2"/>
  <c r="F3276" i="2"/>
  <c r="H3272" i="2"/>
  <c r="F3264" i="2"/>
  <c r="H3262" i="2"/>
  <c r="H3252" i="2"/>
  <c r="F3251" i="2"/>
  <c r="F3244" i="2"/>
  <c r="H3240" i="2"/>
  <c r="F3232" i="2"/>
  <c r="H3230" i="2"/>
  <c r="F3215" i="2"/>
  <c r="H3209" i="2"/>
  <c r="F3206" i="2"/>
  <c r="F3194" i="2"/>
  <c r="F3190" i="2"/>
  <c r="F3185" i="2"/>
  <c r="H3174" i="2"/>
  <c r="F3169" i="2"/>
  <c r="F3164" i="2"/>
  <c r="H3158" i="2"/>
  <c r="H3153" i="2"/>
  <c r="H3152" i="2"/>
  <c r="F3148" i="2"/>
  <c r="H3136" i="2"/>
  <c r="H3132" i="2"/>
  <c r="F3126" i="2"/>
  <c r="F3097" i="2"/>
  <c r="F3090" i="2"/>
  <c r="H3087" i="2"/>
  <c r="H3065" i="2"/>
  <c r="F3058" i="2"/>
  <c r="H3058" i="2"/>
  <c r="H3055" i="2"/>
  <c r="H3035" i="2"/>
  <c r="F3031" i="2"/>
  <c r="H3031" i="2"/>
  <c r="F3027" i="2"/>
  <c r="F3020" i="2"/>
  <c r="H3003" i="2"/>
  <c r="F2975" i="2"/>
  <c r="H2975" i="2"/>
  <c r="F2953" i="2"/>
  <c r="H2953" i="2"/>
  <c r="H2936" i="2"/>
  <c r="F2936" i="2"/>
  <c r="F2937" i="2"/>
  <c r="F2857" i="2"/>
  <c r="H2857" i="2"/>
  <c r="F2825" i="2"/>
  <c r="H2825" i="2"/>
  <c r="H2753" i="2"/>
  <c r="H3427" i="2"/>
  <c r="H3409" i="2"/>
  <c r="H3405" i="2"/>
  <c r="H3395" i="2"/>
  <c r="H3377" i="2"/>
  <c r="H3373" i="2"/>
  <c r="H3363" i="2"/>
  <c r="H3351" i="2"/>
  <c r="H3346" i="2"/>
  <c r="H3345" i="2"/>
  <c r="H3341" i="2"/>
  <c r="H3331" i="2"/>
  <c r="H3319" i="2"/>
  <c r="H3314" i="2"/>
  <c r="H3313" i="2"/>
  <c r="H3309" i="2"/>
  <c r="H3299" i="2"/>
  <c r="H3287" i="2"/>
  <c r="H3282" i="2"/>
  <c r="H3281" i="2"/>
  <c r="H3277" i="2"/>
  <c r="H3267" i="2"/>
  <c r="H3255" i="2"/>
  <c r="H3250" i="2"/>
  <c r="H3249" i="2"/>
  <c r="H3245" i="2"/>
  <c r="H3235" i="2"/>
  <c r="H3221" i="2"/>
  <c r="H3214" i="2"/>
  <c r="H3207" i="2"/>
  <c r="F3204" i="2"/>
  <c r="H3195" i="2"/>
  <c r="H3193" i="2"/>
  <c r="H3192" i="2"/>
  <c r="F3181" i="2"/>
  <c r="H3179" i="2"/>
  <c r="F3178" i="2"/>
  <c r="F3155" i="2"/>
  <c r="H3151" i="2"/>
  <c r="F3139" i="2"/>
  <c r="H3135" i="2"/>
  <c r="F3116" i="2"/>
  <c r="H3114" i="2"/>
  <c r="H3110" i="2"/>
  <c r="F3104" i="2"/>
  <c r="H3095" i="2"/>
  <c r="F3083" i="2"/>
  <c r="H3059" i="2"/>
  <c r="F3051" i="2"/>
  <c r="F3044" i="2"/>
  <c r="H3044" i="2"/>
  <c r="H3043" i="2"/>
  <c r="F2927" i="2"/>
  <c r="H2895" i="2"/>
  <c r="F2894" i="2"/>
  <c r="H2894" i="2"/>
  <c r="H2840" i="2"/>
  <c r="F2840" i="2"/>
  <c r="F2841" i="2"/>
  <c r="H2801" i="2"/>
  <c r="F2793" i="2"/>
  <c r="H2793" i="2"/>
  <c r="F2699" i="2"/>
  <c r="F2677" i="2"/>
  <c r="H2677" i="2"/>
  <c r="F2678" i="2"/>
  <c r="H2678" i="2"/>
  <c r="F2422" i="2"/>
  <c r="H2422" i="2"/>
  <c r="H2423" i="2"/>
  <c r="F3419" i="2"/>
  <c r="F3412" i="2"/>
  <c r="H3388" i="2"/>
  <c r="F3387" i="2"/>
  <c r="F3380" i="2"/>
  <c r="H3376" i="2"/>
  <c r="H3366" i="2"/>
  <c r="H3356" i="2"/>
  <c r="F3355" i="2"/>
  <c r="F3348" i="2"/>
  <c r="H3344" i="2"/>
  <c r="H3334" i="2"/>
  <c r="H3324" i="2"/>
  <c r="F3323" i="2"/>
  <c r="F3316" i="2"/>
  <c r="H3312" i="2"/>
  <c r="H3302" i="2"/>
  <c r="H3292" i="2"/>
  <c r="F3291" i="2"/>
  <c r="F3284" i="2"/>
  <c r="H3280" i="2"/>
  <c r="H3270" i="2"/>
  <c r="H3260" i="2"/>
  <c r="F3259" i="2"/>
  <c r="F3252" i="2"/>
  <c r="H3248" i="2"/>
  <c r="H3238" i="2"/>
  <c r="F3227" i="2"/>
  <c r="F3216" i="2"/>
  <c r="F3200" i="2"/>
  <c r="H3198" i="2"/>
  <c r="H3186" i="2"/>
  <c r="F3183" i="2"/>
  <c r="H3177" i="2"/>
  <c r="F3174" i="2"/>
  <c r="F3162" i="2"/>
  <c r="F3144" i="2"/>
  <c r="H3142" i="2"/>
  <c r="F3137" i="2"/>
  <c r="F3130" i="2"/>
  <c r="H3130" i="2"/>
  <c r="H3128" i="2"/>
  <c r="F3128" i="2"/>
  <c r="H3126" i="2"/>
  <c r="H3122" i="2"/>
  <c r="F3100" i="2"/>
  <c r="F3099" i="2"/>
  <c r="F3091" i="2"/>
  <c r="F3089" i="2"/>
  <c r="F3081" i="2"/>
  <c r="H3081" i="2"/>
  <c r="F3076" i="2"/>
  <c r="H3076" i="2"/>
  <c r="H3075" i="2"/>
  <c r="F3049" i="2"/>
  <c r="H3049" i="2"/>
  <c r="H3046" i="2"/>
  <c r="F3045" i="2"/>
  <c r="F3030" i="2"/>
  <c r="F3007" i="2"/>
  <c r="H3007" i="2"/>
  <c r="F2998" i="2"/>
  <c r="F2990" i="2"/>
  <c r="H2990" i="2"/>
  <c r="H2954" i="2"/>
  <c r="H2937" i="2"/>
  <c r="F2889" i="2"/>
  <c r="H2889" i="2"/>
  <c r="H2872" i="2"/>
  <c r="F2872" i="2"/>
  <c r="F2873" i="2"/>
  <c r="H2858" i="2"/>
  <c r="H2826" i="2"/>
  <c r="H2816" i="2"/>
  <c r="F2816" i="2"/>
  <c r="F2817" i="2"/>
  <c r="F2634" i="2"/>
  <c r="H2634" i="2"/>
  <c r="F2603" i="2"/>
  <c r="F2581" i="2"/>
  <c r="H2581" i="2"/>
  <c r="F2582" i="2"/>
  <c r="H2582" i="2"/>
  <c r="H3417" i="2"/>
  <c r="H3385" i="2"/>
  <c r="H3371" i="2"/>
  <c r="H3353" i="2"/>
  <c r="F3351" i="2"/>
  <c r="H3339" i="2"/>
  <c r="F3329" i="2"/>
  <c r="H3321" i="2"/>
  <c r="F3319" i="2"/>
  <c r="H3307" i="2"/>
  <c r="F3297" i="2"/>
  <c r="H3289" i="2"/>
  <c r="F3287" i="2"/>
  <c r="H3275" i="2"/>
  <c r="F3265" i="2"/>
  <c r="H3257" i="2"/>
  <c r="F3255" i="2"/>
  <c r="H3243" i="2"/>
  <c r="F3233" i="2"/>
  <c r="H3226" i="2"/>
  <c r="H3223" i="2"/>
  <c r="F3221" i="2"/>
  <c r="F3218" i="2"/>
  <c r="H3205" i="2"/>
  <c r="F3191" i="2"/>
  <c r="F3179" i="2"/>
  <c r="H3163" i="2"/>
  <c r="H3160" i="2"/>
  <c r="F3149" i="2"/>
  <c r="F3146" i="2"/>
  <c r="F3118" i="2"/>
  <c r="H3118" i="2"/>
  <c r="F3094" i="2"/>
  <c r="F3087" i="2"/>
  <c r="F3059" i="2"/>
  <c r="F3055" i="2"/>
  <c r="F3022" i="2"/>
  <c r="H3022" i="2"/>
  <c r="F2985" i="2"/>
  <c r="H2985" i="2"/>
  <c r="F2976" i="2"/>
  <c r="H2968" i="2"/>
  <c r="F2968" i="2"/>
  <c r="F2969" i="2"/>
  <c r="F2863" i="2"/>
  <c r="H2841" i="2"/>
  <c r="F2831" i="2"/>
  <c r="H2794" i="2"/>
  <c r="H2435" i="2"/>
  <c r="F2436" i="2"/>
  <c r="H2436" i="2"/>
  <c r="F2435" i="2"/>
  <c r="H3210" i="2"/>
  <c r="F3184" i="2"/>
  <c r="F3168" i="2"/>
  <c r="H3131" i="2"/>
  <c r="F3127" i="2"/>
  <c r="H3082" i="2"/>
  <c r="F3068" i="2"/>
  <c r="H3068" i="2"/>
  <c r="F3067" i="2"/>
  <c r="H3050" i="2"/>
  <c r="F3019" i="2"/>
  <c r="H2998" i="2"/>
  <c r="H2988" i="2"/>
  <c r="F2987" i="2"/>
  <c r="H2987" i="2"/>
  <c r="F2959" i="2"/>
  <c r="H2927" i="2"/>
  <c r="F2926" i="2"/>
  <c r="H2926" i="2"/>
  <c r="F2809" i="2"/>
  <c r="H2809" i="2"/>
  <c r="H2784" i="2"/>
  <c r="F2784" i="2"/>
  <c r="F2785" i="2"/>
  <c r="F2698" i="2"/>
  <c r="H2698" i="2"/>
  <c r="F2667" i="2"/>
  <c r="F2645" i="2"/>
  <c r="H2645" i="2"/>
  <c r="F2646" i="2"/>
  <c r="H2646" i="2"/>
  <c r="H2518" i="2"/>
  <c r="F2517" i="2"/>
  <c r="H2517" i="2"/>
  <c r="F2518" i="2"/>
  <c r="F3202" i="2"/>
  <c r="F3170" i="2"/>
  <c r="F3138" i="2"/>
  <c r="F3106" i="2"/>
  <c r="F3074" i="2"/>
  <c r="F3042" i="2"/>
  <c r="F3035" i="2"/>
  <c r="F3013" i="2"/>
  <c r="H3011" i="2"/>
  <c r="F3010" i="2"/>
  <c r="F3003" i="2"/>
  <c r="H2999" i="2"/>
  <c r="H2989" i="2"/>
  <c r="F2981" i="2"/>
  <c r="H2979" i="2"/>
  <c r="F2978" i="2"/>
  <c r="F2971" i="2"/>
  <c r="H2967" i="2"/>
  <c r="H2957" i="2"/>
  <c r="F2949" i="2"/>
  <c r="H2947" i="2"/>
  <c r="F2946" i="2"/>
  <c r="F2939" i="2"/>
  <c r="H2935" i="2"/>
  <c r="H2925" i="2"/>
  <c r="F2917" i="2"/>
  <c r="H2915" i="2"/>
  <c r="F2914" i="2"/>
  <c r="F2907" i="2"/>
  <c r="H2903" i="2"/>
  <c r="H2893" i="2"/>
  <c r="F2885" i="2"/>
  <c r="H2883" i="2"/>
  <c r="F2882" i="2"/>
  <c r="F2875" i="2"/>
  <c r="H2871" i="2"/>
  <c r="F2853" i="2"/>
  <c r="H2851" i="2"/>
  <c r="F2850" i="2"/>
  <c r="F2843" i="2"/>
  <c r="H2815" i="2"/>
  <c r="F2812" i="2"/>
  <c r="H2799" i="2"/>
  <c r="F2796" i="2"/>
  <c r="F2774" i="2"/>
  <c r="F2772" i="2"/>
  <c r="H2766" i="2"/>
  <c r="H2763" i="2"/>
  <c r="F2738" i="2"/>
  <c r="H2738" i="2"/>
  <c r="F2730" i="2"/>
  <c r="H2730" i="2"/>
  <c r="F2722" i="2"/>
  <c r="H2722" i="2"/>
  <c r="F2714" i="2"/>
  <c r="H2714" i="2"/>
  <c r="F2706" i="2"/>
  <c r="H2706" i="2"/>
  <c r="H2683" i="2"/>
  <c r="F2684" i="2"/>
  <c r="H2684" i="2"/>
  <c r="H2651" i="2"/>
  <c r="F2652" i="2"/>
  <c r="H2652" i="2"/>
  <c r="H2619" i="2"/>
  <c r="F2620" i="2"/>
  <c r="H2620" i="2"/>
  <c r="H2587" i="2"/>
  <c r="F2588" i="2"/>
  <c r="H2588" i="2"/>
  <c r="H2563" i="2"/>
  <c r="F2564" i="2"/>
  <c r="H2564" i="2"/>
  <c r="H2542" i="2"/>
  <c r="F2541" i="2"/>
  <c r="H2541" i="2"/>
  <c r="F2542" i="2"/>
  <c r="H2499" i="2"/>
  <c r="F2500" i="2"/>
  <c r="H2500" i="2"/>
  <c r="H2478" i="2"/>
  <c r="F2477" i="2"/>
  <c r="H2477" i="2"/>
  <c r="F2478" i="2"/>
  <c r="H2437" i="2"/>
  <c r="F2437" i="2"/>
  <c r="F2390" i="2"/>
  <c r="F2323" i="2"/>
  <c r="H2323" i="2"/>
  <c r="H2190" i="2"/>
  <c r="F2190" i="2"/>
  <c r="H2191" i="2"/>
  <c r="F2016" i="2"/>
  <c r="H2016" i="2"/>
  <c r="H2017" i="2"/>
  <c r="F2017" i="2"/>
  <c r="H3040" i="2"/>
  <c r="H3036" i="2"/>
  <c r="H3008" i="2"/>
  <c r="H3004" i="2"/>
  <c r="H2994" i="2"/>
  <c r="H2976" i="2"/>
  <c r="H2972" i="2"/>
  <c r="H2962" i="2"/>
  <c r="H2944" i="2"/>
  <c r="H2940" i="2"/>
  <c r="H2930" i="2"/>
  <c r="H2912" i="2"/>
  <c r="H2908" i="2"/>
  <c r="H2898" i="2"/>
  <c r="H2880" i="2"/>
  <c r="H2876" i="2"/>
  <c r="H2866" i="2"/>
  <c r="H2848" i="2"/>
  <c r="H2844" i="2"/>
  <c r="H2834" i="2"/>
  <c r="H2762" i="2"/>
  <c r="F2757" i="2"/>
  <c r="H2757" i="2"/>
  <c r="F2685" i="2"/>
  <c r="H2685" i="2"/>
  <c r="F2686" i="2"/>
  <c r="F2674" i="2"/>
  <c r="H2674" i="2"/>
  <c r="F2653" i="2"/>
  <c r="H2653" i="2"/>
  <c r="F2654" i="2"/>
  <c r="F2642" i="2"/>
  <c r="H2642" i="2"/>
  <c r="F2621" i="2"/>
  <c r="H2621" i="2"/>
  <c r="F2622" i="2"/>
  <c r="F2610" i="2"/>
  <c r="H2610" i="2"/>
  <c r="F2589" i="2"/>
  <c r="H2589" i="2"/>
  <c r="F2590" i="2"/>
  <c r="H2566" i="2"/>
  <c r="F2565" i="2"/>
  <c r="H2565" i="2"/>
  <c r="F2566" i="2"/>
  <c r="H2523" i="2"/>
  <c r="F2524" i="2"/>
  <c r="H2524" i="2"/>
  <c r="H2502" i="2"/>
  <c r="F2501" i="2"/>
  <c r="H2501" i="2"/>
  <c r="F2502" i="2"/>
  <c r="H2460" i="2"/>
  <c r="F2459" i="2"/>
  <c r="H2459" i="2"/>
  <c r="F2460" i="2"/>
  <c r="H2445" i="2"/>
  <c r="F2446" i="2"/>
  <c r="F2430" i="2"/>
  <c r="F2389" i="2"/>
  <c r="H2388" i="2"/>
  <c r="F2363" i="2"/>
  <c r="H2363" i="2"/>
  <c r="F2299" i="2"/>
  <c r="H2299" i="2"/>
  <c r="H2206" i="2"/>
  <c r="H2207" i="2"/>
  <c r="F1851" i="2"/>
  <c r="H1851" i="2"/>
  <c r="H1852" i="2"/>
  <c r="F3018" i="2"/>
  <c r="F3011" i="2"/>
  <c r="F2986" i="2"/>
  <c r="F2979" i="2"/>
  <c r="H2965" i="2"/>
  <c r="H2955" i="2"/>
  <c r="F2954" i="2"/>
  <c r="F2947" i="2"/>
  <c r="H2943" i="2"/>
  <c r="H2933" i="2"/>
  <c r="H2923" i="2"/>
  <c r="F2922" i="2"/>
  <c r="F2915" i="2"/>
  <c r="H2911" i="2"/>
  <c r="H2901" i="2"/>
  <c r="H2891" i="2"/>
  <c r="F2890" i="2"/>
  <c r="F2883" i="2"/>
  <c r="H2879" i="2"/>
  <c r="H2869" i="2"/>
  <c r="H2859" i="2"/>
  <c r="F2858" i="2"/>
  <c r="H2847" i="2"/>
  <c r="H2837" i="2"/>
  <c r="H2827" i="2"/>
  <c r="F2826" i="2"/>
  <c r="H2819" i="2"/>
  <c r="F2810" i="2"/>
  <c r="H2803" i="2"/>
  <c r="F2794" i="2"/>
  <c r="H2787" i="2"/>
  <c r="F2779" i="2"/>
  <c r="F2766" i="2"/>
  <c r="H2758" i="2"/>
  <c r="H2755" i="2"/>
  <c r="F2747" i="2"/>
  <c r="H2691" i="2"/>
  <c r="F2692" i="2"/>
  <c r="H2692" i="2"/>
  <c r="H2659" i="2"/>
  <c r="F2660" i="2"/>
  <c r="H2660" i="2"/>
  <c r="H2627" i="2"/>
  <c r="F2628" i="2"/>
  <c r="H2628" i="2"/>
  <c r="H2595" i="2"/>
  <c r="F2596" i="2"/>
  <c r="H2596" i="2"/>
  <c r="H2547" i="2"/>
  <c r="F2548" i="2"/>
  <c r="H2548" i="2"/>
  <c r="H2526" i="2"/>
  <c r="F2525" i="2"/>
  <c r="H2525" i="2"/>
  <c r="F2526" i="2"/>
  <c r="H2483" i="2"/>
  <c r="F2484" i="2"/>
  <c r="H2484" i="2"/>
  <c r="H2446" i="2"/>
  <c r="F2394" i="2"/>
  <c r="H2394" i="2"/>
  <c r="F2339" i="2"/>
  <c r="H2339" i="2"/>
  <c r="F2275" i="2"/>
  <c r="H2275" i="2"/>
  <c r="F2259" i="2"/>
  <c r="H2259" i="2"/>
  <c r="H2260" i="2"/>
  <c r="H2209" i="2"/>
  <c r="F2208" i="2"/>
  <c r="H2208" i="2"/>
  <c r="F2209" i="2"/>
  <c r="H2193" i="2"/>
  <c r="F2192" i="2"/>
  <c r="H2192" i="2"/>
  <c r="F2193" i="2"/>
  <c r="F1746" i="2"/>
  <c r="H1746" i="2"/>
  <c r="F1747" i="2"/>
  <c r="H3012" i="2"/>
  <c r="H2980" i="2"/>
  <c r="H2970" i="2"/>
  <c r="H2948" i="2"/>
  <c r="H2938" i="2"/>
  <c r="H2916" i="2"/>
  <c r="H2906" i="2"/>
  <c r="H2884" i="2"/>
  <c r="H2874" i="2"/>
  <c r="H2852" i="2"/>
  <c r="H2842" i="2"/>
  <c r="H2818" i="2"/>
  <c r="H2802" i="2"/>
  <c r="F2790" i="2"/>
  <c r="H2786" i="2"/>
  <c r="F2781" i="2"/>
  <c r="H2781" i="2"/>
  <c r="F2777" i="2"/>
  <c r="H2754" i="2"/>
  <c r="F2749" i="2"/>
  <c r="H2749" i="2"/>
  <c r="F2745" i="2"/>
  <c r="F2737" i="2"/>
  <c r="F2693" i="2"/>
  <c r="H2693" i="2"/>
  <c r="F2694" i="2"/>
  <c r="F2682" i="2"/>
  <c r="H2682" i="2"/>
  <c r="F2661" i="2"/>
  <c r="H2661" i="2"/>
  <c r="F2662" i="2"/>
  <c r="F2650" i="2"/>
  <c r="H2650" i="2"/>
  <c r="F2629" i="2"/>
  <c r="H2629" i="2"/>
  <c r="F2630" i="2"/>
  <c r="F2618" i="2"/>
  <c r="H2618" i="2"/>
  <c r="F2597" i="2"/>
  <c r="H2597" i="2"/>
  <c r="F2598" i="2"/>
  <c r="F2586" i="2"/>
  <c r="H2586" i="2"/>
  <c r="H2571" i="2"/>
  <c r="F2572" i="2"/>
  <c r="H2572" i="2"/>
  <c r="H2550" i="2"/>
  <c r="F2549" i="2"/>
  <c r="H2549" i="2"/>
  <c r="F2550" i="2"/>
  <c r="H2507" i="2"/>
  <c r="F2508" i="2"/>
  <c r="H2508" i="2"/>
  <c r="H2486" i="2"/>
  <c r="F2485" i="2"/>
  <c r="H2485" i="2"/>
  <c r="F2486" i="2"/>
  <c r="F2315" i="2"/>
  <c r="H2315" i="2"/>
  <c r="F2243" i="2"/>
  <c r="H2243" i="2"/>
  <c r="H2244" i="2"/>
  <c r="F1952" i="2"/>
  <c r="H1952" i="2"/>
  <c r="H1953" i="2"/>
  <c r="F1953" i="2"/>
  <c r="H1866" i="2"/>
  <c r="F1866" i="2"/>
  <c r="H1867" i="2"/>
  <c r="F2955" i="2"/>
  <c r="F2923" i="2"/>
  <c r="F2891" i="2"/>
  <c r="F2859" i="2"/>
  <c r="F2827" i="2"/>
  <c r="F2820" i="2"/>
  <c r="F2811" i="2"/>
  <c r="F2795" i="2"/>
  <c r="F2771" i="2"/>
  <c r="F2758" i="2"/>
  <c r="H2699" i="2"/>
  <c r="F2700" i="2"/>
  <c r="H2700" i="2"/>
  <c r="H2667" i="2"/>
  <c r="F2668" i="2"/>
  <c r="H2668" i="2"/>
  <c r="H2635" i="2"/>
  <c r="F2636" i="2"/>
  <c r="H2636" i="2"/>
  <c r="H2603" i="2"/>
  <c r="F2604" i="2"/>
  <c r="H2604" i="2"/>
  <c r="H2574" i="2"/>
  <c r="F2573" i="2"/>
  <c r="H2573" i="2"/>
  <c r="F2574" i="2"/>
  <c r="H2531" i="2"/>
  <c r="F2532" i="2"/>
  <c r="H2532" i="2"/>
  <c r="H2510" i="2"/>
  <c r="F2509" i="2"/>
  <c r="H2509" i="2"/>
  <c r="F2510" i="2"/>
  <c r="H2467" i="2"/>
  <c r="F2468" i="2"/>
  <c r="H2468" i="2"/>
  <c r="F2454" i="2"/>
  <c r="H2454" i="2"/>
  <c r="H2428" i="2"/>
  <c r="F2427" i="2"/>
  <c r="H2427" i="2"/>
  <c r="F2428" i="2"/>
  <c r="H2413" i="2"/>
  <c r="F2414" i="2"/>
  <c r="F2397" i="2"/>
  <c r="F2396" i="2"/>
  <c r="H2396" i="2"/>
  <c r="F2355" i="2"/>
  <c r="H2355" i="2"/>
  <c r="F2291" i="2"/>
  <c r="H2291" i="2"/>
  <c r="H2166" i="2"/>
  <c r="F2166" i="2"/>
  <c r="H2167" i="2"/>
  <c r="H2118" i="2"/>
  <c r="F2118" i="2"/>
  <c r="H2102" i="2"/>
  <c r="F2102" i="2"/>
  <c r="H2103" i="2"/>
  <c r="H2054" i="2"/>
  <c r="F2054" i="2"/>
  <c r="F1792" i="2"/>
  <c r="H1792" i="2"/>
  <c r="H1793" i="2"/>
  <c r="F1793" i="2"/>
  <c r="H3120" i="2"/>
  <c r="H3088" i="2"/>
  <c r="H3056" i="2"/>
  <c r="H3024" i="2"/>
  <c r="H2992" i="2"/>
  <c r="H2960" i="2"/>
  <c r="H2928" i="2"/>
  <c r="H2896" i="2"/>
  <c r="H2864" i="2"/>
  <c r="H2832" i="2"/>
  <c r="F2773" i="2"/>
  <c r="H2773" i="2"/>
  <c r="F2741" i="2"/>
  <c r="H2741" i="2"/>
  <c r="H2739" i="2"/>
  <c r="F2740" i="2"/>
  <c r="F2733" i="2"/>
  <c r="H2733" i="2"/>
  <c r="H2731" i="2"/>
  <c r="F2732" i="2"/>
  <c r="F2725" i="2"/>
  <c r="H2725" i="2"/>
  <c r="H2723" i="2"/>
  <c r="F2724" i="2"/>
  <c r="F2717" i="2"/>
  <c r="H2717" i="2"/>
  <c r="H2715" i="2"/>
  <c r="F2716" i="2"/>
  <c r="F2709" i="2"/>
  <c r="H2709" i="2"/>
  <c r="H2707" i="2"/>
  <c r="F2708" i="2"/>
  <c r="F2701" i="2"/>
  <c r="H2701" i="2"/>
  <c r="H2694" i="2"/>
  <c r="F2690" i="2"/>
  <c r="H2690" i="2"/>
  <c r="F2669" i="2"/>
  <c r="H2669" i="2"/>
  <c r="F2670" i="2"/>
  <c r="H2662" i="2"/>
  <c r="F2658" i="2"/>
  <c r="H2658" i="2"/>
  <c r="F2637" i="2"/>
  <c r="H2637" i="2"/>
  <c r="F2638" i="2"/>
  <c r="H2630" i="2"/>
  <c r="F2626" i="2"/>
  <c r="H2626" i="2"/>
  <c r="F2605" i="2"/>
  <c r="H2605" i="2"/>
  <c r="F2606" i="2"/>
  <c r="H2598" i="2"/>
  <c r="F2594" i="2"/>
  <c r="H2594" i="2"/>
  <c r="H2555" i="2"/>
  <c r="F2556" i="2"/>
  <c r="H2556" i="2"/>
  <c r="H2534" i="2"/>
  <c r="F2533" i="2"/>
  <c r="H2533" i="2"/>
  <c r="F2534" i="2"/>
  <c r="H2491" i="2"/>
  <c r="F2492" i="2"/>
  <c r="H2492" i="2"/>
  <c r="H2470" i="2"/>
  <c r="F2469" i="2"/>
  <c r="H2469" i="2"/>
  <c r="F2470" i="2"/>
  <c r="H2414" i="2"/>
  <c r="F2331" i="2"/>
  <c r="H2331" i="2"/>
  <c r="F2179" i="2"/>
  <c r="H2179" i="2"/>
  <c r="F2180" i="2"/>
  <c r="H2180" i="2"/>
  <c r="F2131" i="2"/>
  <c r="H2131" i="2"/>
  <c r="H2132" i="2"/>
  <c r="F2132" i="2"/>
  <c r="F2115" i="2"/>
  <c r="H2115" i="2"/>
  <c r="H2116" i="2"/>
  <c r="F2116" i="2"/>
  <c r="F2067" i="2"/>
  <c r="H2067" i="2"/>
  <c r="H2068" i="2"/>
  <c r="F2068" i="2"/>
  <c r="H2675" i="2"/>
  <c r="F2676" i="2"/>
  <c r="H2676" i="2"/>
  <c r="H2643" i="2"/>
  <c r="F2644" i="2"/>
  <c r="H2644" i="2"/>
  <c r="H2611" i="2"/>
  <c r="F2612" i="2"/>
  <c r="H2612" i="2"/>
  <c r="H2579" i="2"/>
  <c r="F2580" i="2"/>
  <c r="H2580" i="2"/>
  <c r="H2558" i="2"/>
  <c r="F2557" i="2"/>
  <c r="H2557" i="2"/>
  <c r="F2558" i="2"/>
  <c r="H2515" i="2"/>
  <c r="F2516" i="2"/>
  <c r="H2516" i="2"/>
  <c r="H2494" i="2"/>
  <c r="F2493" i="2"/>
  <c r="H2493" i="2"/>
  <c r="F2494" i="2"/>
  <c r="H2455" i="2"/>
  <c r="F2398" i="2"/>
  <c r="H2398" i="2"/>
  <c r="F2307" i="2"/>
  <c r="H2307" i="2"/>
  <c r="F2267" i="2"/>
  <c r="H2267" i="2"/>
  <c r="H2268" i="2"/>
  <c r="F2251" i="2"/>
  <c r="H2251" i="2"/>
  <c r="H2252" i="2"/>
  <c r="F2227" i="2"/>
  <c r="H2227" i="2"/>
  <c r="F2228" i="2"/>
  <c r="H2228" i="2"/>
  <c r="F1888" i="2"/>
  <c r="H1888" i="2"/>
  <c r="H1889" i="2"/>
  <c r="F1889" i="2"/>
  <c r="F2440" i="2"/>
  <c r="F2408" i="2"/>
  <c r="F2371" i="2"/>
  <c r="H2371" i="2"/>
  <c r="F2361" i="2"/>
  <c r="F2353" i="2"/>
  <c r="F2345" i="2"/>
  <c r="F2337" i="2"/>
  <c r="F2329" i="2"/>
  <c r="F2321" i="2"/>
  <c r="F2313" i="2"/>
  <c r="F2305" i="2"/>
  <c r="F2297" i="2"/>
  <c r="F2289" i="2"/>
  <c r="F2281" i="2"/>
  <c r="F2235" i="2"/>
  <c r="H2235" i="2"/>
  <c r="F2214" i="2"/>
  <c r="H2201" i="2"/>
  <c r="F2200" i="2"/>
  <c r="H2200" i="2"/>
  <c r="F2155" i="2"/>
  <c r="H2155" i="2"/>
  <c r="H2156" i="2"/>
  <c r="H2142" i="2"/>
  <c r="F2142" i="2"/>
  <c r="F2091" i="2"/>
  <c r="H2091" i="2"/>
  <c r="H2092" i="2"/>
  <c r="H2078" i="2"/>
  <c r="F2078" i="2"/>
  <c r="H2031" i="2"/>
  <c r="F2031" i="2"/>
  <c r="H2009" i="2"/>
  <c r="F2009" i="2"/>
  <c r="H1967" i="2"/>
  <c r="F1967" i="2"/>
  <c r="H1945" i="2"/>
  <c r="F1945" i="2"/>
  <c r="H1903" i="2"/>
  <c r="F1903" i="2"/>
  <c r="H1881" i="2"/>
  <c r="F1881" i="2"/>
  <c r="F1844" i="2"/>
  <c r="H1844" i="2"/>
  <c r="F1845" i="2"/>
  <c r="H1807" i="2"/>
  <c r="F1807" i="2"/>
  <c r="H1785" i="2"/>
  <c r="F1785" i="2"/>
  <c r="H1770" i="2"/>
  <c r="F1770" i="2"/>
  <c r="F1755" i="2"/>
  <c r="H1755" i="2"/>
  <c r="H1722" i="2"/>
  <c r="F1723" i="2"/>
  <c r="F1722" i="2"/>
  <c r="F1679" i="2"/>
  <c r="H1678" i="2"/>
  <c r="F1678" i="2"/>
  <c r="F1489" i="2"/>
  <c r="H1489" i="2"/>
  <c r="F1490" i="2"/>
  <c r="H1490" i="2"/>
  <c r="H1365" i="2"/>
  <c r="F1364" i="2"/>
  <c r="H1364" i="2"/>
  <c r="F1365" i="2"/>
  <c r="F2051" i="2"/>
  <c r="H2051" i="2"/>
  <c r="H2052" i="2"/>
  <c r="H1989" i="2"/>
  <c r="F1990" i="2"/>
  <c r="F1989" i="2"/>
  <c r="H1925" i="2"/>
  <c r="F1926" i="2"/>
  <c r="F1925" i="2"/>
  <c r="F1824" i="2"/>
  <c r="H1824" i="2"/>
  <c r="H1825" i="2"/>
  <c r="H1748" i="2"/>
  <c r="F1748" i="2"/>
  <c r="H1680" i="2"/>
  <c r="F1680" i="2"/>
  <c r="F1681" i="2"/>
  <c r="F1499" i="2"/>
  <c r="H1499" i="2"/>
  <c r="H1498" i="2"/>
  <c r="F1498" i="2"/>
  <c r="H2578" i="2"/>
  <c r="H2570" i="2"/>
  <c r="H2562" i="2"/>
  <c r="H2554" i="2"/>
  <c r="H2546" i="2"/>
  <c r="H2538" i="2"/>
  <c r="H2530" i="2"/>
  <c r="H2522" i="2"/>
  <c r="H2514" i="2"/>
  <c r="H2506" i="2"/>
  <c r="H2498" i="2"/>
  <c r="H2490" i="2"/>
  <c r="H2482" i="2"/>
  <c r="H2474" i="2"/>
  <c r="H2466" i="2"/>
  <c r="H2456" i="2"/>
  <c r="F2455" i="2"/>
  <c r="F2448" i="2"/>
  <c r="H2444" i="2"/>
  <c r="H2434" i="2"/>
  <c r="H2424" i="2"/>
  <c r="F2423" i="2"/>
  <c r="F2416" i="2"/>
  <c r="H2412" i="2"/>
  <c r="F2404" i="2"/>
  <c r="H2400" i="2"/>
  <c r="F2399" i="2"/>
  <c r="H2397" i="2"/>
  <c r="F2395" i="2"/>
  <c r="H2395" i="2"/>
  <c r="H2368" i="2"/>
  <c r="F2367" i="2"/>
  <c r="H2364" i="2"/>
  <c r="F2359" i="2"/>
  <c r="H2356" i="2"/>
  <c r="F2351" i="2"/>
  <c r="H2348" i="2"/>
  <c r="F2343" i="2"/>
  <c r="H2340" i="2"/>
  <c r="F2335" i="2"/>
  <c r="H2332" i="2"/>
  <c r="F2327" i="2"/>
  <c r="H2324" i="2"/>
  <c r="F2319" i="2"/>
  <c r="H2316" i="2"/>
  <c r="F2311" i="2"/>
  <c r="H2308" i="2"/>
  <c r="F2303" i="2"/>
  <c r="H2300" i="2"/>
  <c r="F2295" i="2"/>
  <c r="H2292" i="2"/>
  <c r="F2287" i="2"/>
  <c r="H2284" i="2"/>
  <c r="F2279" i="2"/>
  <c r="H2276" i="2"/>
  <c r="H2217" i="2"/>
  <c r="F2216" i="2"/>
  <c r="H2216" i="2"/>
  <c r="F2187" i="2"/>
  <c r="H2187" i="2"/>
  <c r="F2139" i="2"/>
  <c r="H2139" i="2"/>
  <c r="H2140" i="2"/>
  <c r="H2126" i="2"/>
  <c r="F2126" i="2"/>
  <c r="F2075" i="2"/>
  <c r="H2075" i="2"/>
  <c r="H2076" i="2"/>
  <c r="H2062" i="2"/>
  <c r="F2062" i="2"/>
  <c r="H2026" i="2"/>
  <c r="F2026" i="2"/>
  <c r="F2011" i="2"/>
  <c r="H2011" i="2"/>
  <c r="F2004" i="2"/>
  <c r="H2004" i="2"/>
  <c r="F2005" i="2"/>
  <c r="H1962" i="2"/>
  <c r="F1962" i="2"/>
  <c r="F1947" i="2"/>
  <c r="H1947" i="2"/>
  <c r="F1940" i="2"/>
  <c r="H1940" i="2"/>
  <c r="F1941" i="2"/>
  <c r="H1898" i="2"/>
  <c r="F1898" i="2"/>
  <c r="F1883" i="2"/>
  <c r="H1883" i="2"/>
  <c r="H1861" i="2"/>
  <c r="F1862" i="2"/>
  <c r="F1861" i="2"/>
  <c r="H1839" i="2"/>
  <c r="F1839" i="2"/>
  <c r="H1817" i="2"/>
  <c r="F1817" i="2"/>
  <c r="H1802" i="2"/>
  <c r="F1802" i="2"/>
  <c r="F1787" i="2"/>
  <c r="H1787" i="2"/>
  <c r="H1724" i="2"/>
  <c r="F1724" i="2"/>
  <c r="F1709" i="2"/>
  <c r="H1709" i="2"/>
  <c r="F1710" i="2"/>
  <c r="F1693" i="2"/>
  <c r="H1693" i="2"/>
  <c r="H1532" i="2"/>
  <c r="H1533" i="2"/>
  <c r="F1532" i="2"/>
  <c r="F1406" i="2"/>
  <c r="H1406" i="2"/>
  <c r="F1407" i="2"/>
  <c r="H2453" i="2"/>
  <c r="H2439" i="2"/>
  <c r="H2421" i="2"/>
  <c r="H2407" i="2"/>
  <c r="F2385" i="2"/>
  <c r="F2372" i="2"/>
  <c r="F2236" i="2"/>
  <c r="H2225" i="2"/>
  <c r="F2224" i="2"/>
  <c r="H2224" i="2"/>
  <c r="H2215" i="2"/>
  <c r="F2201" i="2"/>
  <c r="F2195" i="2"/>
  <c r="H2195" i="2"/>
  <c r="F2191" i="2"/>
  <c r="H2188" i="2"/>
  <c r="F2163" i="2"/>
  <c r="H2163" i="2"/>
  <c r="H2164" i="2"/>
  <c r="F2156" i="2"/>
  <c r="H2150" i="2"/>
  <c r="F2150" i="2"/>
  <c r="F2099" i="2"/>
  <c r="H2099" i="2"/>
  <c r="H2100" i="2"/>
  <c r="F2092" i="2"/>
  <c r="H2086" i="2"/>
  <c r="F2086" i="2"/>
  <c r="F1984" i="2"/>
  <c r="H1984" i="2"/>
  <c r="H1985" i="2"/>
  <c r="F1920" i="2"/>
  <c r="H1920" i="2"/>
  <c r="H1921" i="2"/>
  <c r="F1876" i="2"/>
  <c r="H1876" i="2"/>
  <c r="F1877" i="2"/>
  <c r="H1765" i="2"/>
  <c r="F1766" i="2"/>
  <c r="F1765" i="2"/>
  <c r="H1737" i="2"/>
  <c r="F1738" i="2"/>
  <c r="F1737" i="2"/>
  <c r="H1715" i="2"/>
  <c r="F1715" i="2"/>
  <c r="F2463" i="2"/>
  <c r="F2456" i="2"/>
  <c r="F2431" i="2"/>
  <c r="F2424" i="2"/>
  <c r="F2400" i="2"/>
  <c r="H2392" i="2"/>
  <c r="F2391" i="2"/>
  <c r="H2389" i="2"/>
  <c r="F2387" i="2"/>
  <c r="H2387" i="2"/>
  <c r="F2368" i="2"/>
  <c r="F2366" i="2"/>
  <c r="F2364" i="2"/>
  <c r="F2358" i="2"/>
  <c r="F2356" i="2"/>
  <c r="F2350" i="2"/>
  <c r="F2348" i="2"/>
  <c r="F2342" i="2"/>
  <c r="F2340" i="2"/>
  <c r="F2334" i="2"/>
  <c r="F2332" i="2"/>
  <c r="F2326" i="2"/>
  <c r="F2324" i="2"/>
  <c r="F2318" i="2"/>
  <c r="F2316" i="2"/>
  <c r="F2310" i="2"/>
  <c r="F2308" i="2"/>
  <c r="F2302" i="2"/>
  <c r="F2300" i="2"/>
  <c r="F2294" i="2"/>
  <c r="F2292" i="2"/>
  <c r="F2286" i="2"/>
  <c r="F2284" i="2"/>
  <c r="F2278" i="2"/>
  <c r="F2276" i="2"/>
  <c r="F2270" i="2"/>
  <c r="F2268" i="2"/>
  <c r="F2262" i="2"/>
  <c r="F2260" i="2"/>
  <c r="F2254" i="2"/>
  <c r="F2252" i="2"/>
  <c r="F2246" i="2"/>
  <c r="F2244" i="2"/>
  <c r="H2233" i="2"/>
  <c r="F2232" i="2"/>
  <c r="H2232" i="2"/>
  <c r="H2223" i="2"/>
  <c r="F2203" i="2"/>
  <c r="H2203" i="2"/>
  <c r="F2199" i="2"/>
  <c r="H2196" i="2"/>
  <c r="F2182" i="2"/>
  <c r="H2174" i="2"/>
  <c r="F2174" i="2"/>
  <c r="H2127" i="2"/>
  <c r="F2123" i="2"/>
  <c r="H2123" i="2"/>
  <c r="H2124" i="2"/>
  <c r="F2119" i="2"/>
  <c r="H2110" i="2"/>
  <c r="F2110" i="2"/>
  <c r="H2063" i="2"/>
  <c r="F2059" i="2"/>
  <c r="H2059" i="2"/>
  <c r="H2060" i="2"/>
  <c r="F2055" i="2"/>
  <c r="F2052" i="2"/>
  <c r="H2046" i="2"/>
  <c r="F2046" i="2"/>
  <c r="H2041" i="2"/>
  <c r="F2041" i="2"/>
  <c r="H2027" i="2"/>
  <c r="H2012" i="2"/>
  <c r="H2005" i="2"/>
  <c r="H1999" i="2"/>
  <c r="F1999" i="2"/>
  <c r="H1977" i="2"/>
  <c r="F1977" i="2"/>
  <c r="H1963" i="2"/>
  <c r="H1948" i="2"/>
  <c r="H1941" i="2"/>
  <c r="H1935" i="2"/>
  <c r="F1935" i="2"/>
  <c r="H1913" i="2"/>
  <c r="F1913" i="2"/>
  <c r="H1899" i="2"/>
  <c r="H1884" i="2"/>
  <c r="F1867" i="2"/>
  <c r="H1862" i="2"/>
  <c r="F1856" i="2"/>
  <c r="H1856" i="2"/>
  <c r="H1857" i="2"/>
  <c r="H1840" i="2"/>
  <c r="H1834" i="2"/>
  <c r="F1834" i="2"/>
  <c r="F1825" i="2"/>
  <c r="F1819" i="2"/>
  <c r="H1819" i="2"/>
  <c r="H1803" i="2"/>
  <c r="H1788" i="2"/>
  <c r="F1780" i="2"/>
  <c r="H1780" i="2"/>
  <c r="F1781" i="2"/>
  <c r="F1726" i="2"/>
  <c r="H1726" i="2"/>
  <c r="F1727" i="2"/>
  <c r="F1717" i="2"/>
  <c r="H1717" i="2"/>
  <c r="F1718" i="2"/>
  <c r="H1694" i="2"/>
  <c r="F1534" i="2"/>
  <c r="H1534" i="2"/>
  <c r="F1535" i="2"/>
  <c r="H1271" i="2"/>
  <c r="F1271" i="2"/>
  <c r="H1272" i="2"/>
  <c r="H2461" i="2"/>
  <c r="H2447" i="2"/>
  <c r="H2429" i="2"/>
  <c r="H2415" i="2"/>
  <c r="H2403" i="2"/>
  <c r="H2241" i="2"/>
  <c r="F2240" i="2"/>
  <c r="H2240" i="2"/>
  <c r="F2217" i="2"/>
  <c r="F2211" i="2"/>
  <c r="H2211" i="2"/>
  <c r="F2207" i="2"/>
  <c r="F2188" i="2"/>
  <c r="H2177" i="2"/>
  <c r="F2176" i="2"/>
  <c r="H2176" i="2"/>
  <c r="H2151" i="2"/>
  <c r="F2147" i="2"/>
  <c r="H2147" i="2"/>
  <c r="H2148" i="2"/>
  <c r="F2143" i="2"/>
  <c r="F2140" i="2"/>
  <c r="H2134" i="2"/>
  <c r="F2134" i="2"/>
  <c r="H2087" i="2"/>
  <c r="F2083" i="2"/>
  <c r="H2083" i="2"/>
  <c r="H2084" i="2"/>
  <c r="F2079" i="2"/>
  <c r="F2076" i="2"/>
  <c r="H2070" i="2"/>
  <c r="F2070" i="2"/>
  <c r="F2032" i="2"/>
  <c r="H2021" i="2"/>
  <c r="F2022" i="2"/>
  <c r="F2021" i="2"/>
  <c r="F2010" i="2"/>
  <c r="F1968" i="2"/>
  <c r="H1957" i="2"/>
  <c r="F1958" i="2"/>
  <c r="F1957" i="2"/>
  <c r="F1946" i="2"/>
  <c r="F1904" i="2"/>
  <c r="H1893" i="2"/>
  <c r="F1894" i="2"/>
  <c r="F1893" i="2"/>
  <c r="F1882" i="2"/>
  <c r="H1877" i="2"/>
  <c r="H1871" i="2"/>
  <c r="F1871" i="2"/>
  <c r="H1849" i="2"/>
  <c r="F1849" i="2"/>
  <c r="F1808" i="2"/>
  <c r="H1797" i="2"/>
  <c r="F1798" i="2"/>
  <c r="F1797" i="2"/>
  <c r="F1786" i="2"/>
  <c r="F1771" i="2"/>
  <c r="H1766" i="2"/>
  <c r="F1760" i="2"/>
  <c r="H1760" i="2"/>
  <c r="H1761" i="2"/>
  <c r="H1738" i="2"/>
  <c r="H1716" i="2"/>
  <c r="H1702" i="2"/>
  <c r="F1703" i="2"/>
  <c r="F1702" i="2"/>
  <c r="H1511" i="2"/>
  <c r="F1511" i="2"/>
  <c r="F1512" i="2"/>
  <c r="H1512" i="2"/>
  <c r="F2379" i="2"/>
  <c r="H2379" i="2"/>
  <c r="H2361" i="2"/>
  <c r="F2360" i="2"/>
  <c r="H2353" i="2"/>
  <c r="F2352" i="2"/>
  <c r="H2345" i="2"/>
  <c r="F2344" i="2"/>
  <c r="H2337" i="2"/>
  <c r="F2336" i="2"/>
  <c r="H2329" i="2"/>
  <c r="F2328" i="2"/>
  <c r="H2321" i="2"/>
  <c r="F2320" i="2"/>
  <c r="H2313" i="2"/>
  <c r="F2312" i="2"/>
  <c r="H2305" i="2"/>
  <c r="F2304" i="2"/>
  <c r="H2297" i="2"/>
  <c r="F2296" i="2"/>
  <c r="H2289" i="2"/>
  <c r="F2288" i="2"/>
  <c r="H2281" i="2"/>
  <c r="F2280" i="2"/>
  <c r="H2273" i="2"/>
  <c r="F2272" i="2"/>
  <c r="H2265" i="2"/>
  <c r="F2264" i="2"/>
  <c r="H2257" i="2"/>
  <c r="F2256" i="2"/>
  <c r="H2249" i="2"/>
  <c r="F2248" i="2"/>
  <c r="F2225" i="2"/>
  <c r="F2219" i="2"/>
  <c r="H2219" i="2"/>
  <c r="F2215" i="2"/>
  <c r="F2198" i="2"/>
  <c r="F2196" i="2"/>
  <c r="H2185" i="2"/>
  <c r="F2184" i="2"/>
  <c r="H2184" i="2"/>
  <c r="F2171" i="2"/>
  <c r="H2171" i="2"/>
  <c r="H2172" i="2"/>
  <c r="F2167" i="2"/>
  <c r="F2164" i="2"/>
  <c r="H2158" i="2"/>
  <c r="F2158" i="2"/>
  <c r="F2107" i="2"/>
  <c r="H2107" i="2"/>
  <c r="H2108" i="2"/>
  <c r="F2103" i="2"/>
  <c r="F2100" i="2"/>
  <c r="H2094" i="2"/>
  <c r="F2094" i="2"/>
  <c r="F2043" i="2"/>
  <c r="H2043" i="2"/>
  <c r="H2044" i="2"/>
  <c r="F2036" i="2"/>
  <c r="H2036" i="2"/>
  <c r="F2037" i="2"/>
  <c r="H1994" i="2"/>
  <c r="F1994" i="2"/>
  <c r="F1985" i="2"/>
  <c r="F1979" i="2"/>
  <c r="H1979" i="2"/>
  <c r="F1972" i="2"/>
  <c r="H1972" i="2"/>
  <c r="F1973" i="2"/>
  <c r="H1930" i="2"/>
  <c r="F1930" i="2"/>
  <c r="F1921" i="2"/>
  <c r="F1915" i="2"/>
  <c r="H1915" i="2"/>
  <c r="F1908" i="2"/>
  <c r="H1908" i="2"/>
  <c r="F1909" i="2"/>
  <c r="F1812" i="2"/>
  <c r="H1812" i="2"/>
  <c r="F1813" i="2"/>
  <c r="H1775" i="2"/>
  <c r="F1775" i="2"/>
  <c r="H1753" i="2"/>
  <c r="F1753" i="2"/>
  <c r="F1704" i="2"/>
  <c r="H1704" i="2"/>
  <c r="F1689" i="2"/>
  <c r="H1689" i="2"/>
  <c r="F1672" i="2"/>
  <c r="H1672" i="2"/>
  <c r="F1673" i="2"/>
  <c r="F1545" i="2"/>
  <c r="H1545" i="2"/>
  <c r="F1546" i="2"/>
  <c r="H1546" i="2"/>
  <c r="F1618" i="2"/>
  <c r="H1618" i="2"/>
  <c r="F1586" i="2"/>
  <c r="H1586" i="2"/>
  <c r="H1541" i="2"/>
  <c r="F1541" i="2"/>
  <c r="F1542" i="2"/>
  <c r="F1518" i="2"/>
  <c r="H1518" i="2"/>
  <c r="H1516" i="2"/>
  <c r="F1517" i="2"/>
  <c r="H1485" i="2"/>
  <c r="F1485" i="2"/>
  <c r="F1486" i="2"/>
  <c r="F1403" i="2"/>
  <c r="H1403" i="2"/>
  <c r="H1402" i="2"/>
  <c r="H1333" i="2"/>
  <c r="F1332" i="2"/>
  <c r="H1332" i="2"/>
  <c r="F1333" i="2"/>
  <c r="F1293" i="2"/>
  <c r="H1293" i="2"/>
  <c r="F1294" i="2"/>
  <c r="H1294" i="2"/>
  <c r="F1092" i="2"/>
  <c r="H1092" i="2"/>
  <c r="F1093" i="2"/>
  <c r="F1063" i="2"/>
  <c r="H1063" i="2"/>
  <c r="F1064" i="2"/>
  <c r="H1064" i="2"/>
  <c r="F1047" i="2"/>
  <c r="H1047" i="2"/>
  <c r="F1048" i="2"/>
  <c r="H1048" i="2"/>
  <c r="F235" i="2"/>
  <c r="H235" i="2"/>
  <c r="F236" i="2"/>
  <c r="F168" i="2"/>
  <c r="H168" i="2"/>
  <c r="F167" i="2"/>
  <c r="H167" i="2"/>
  <c r="F158" i="2"/>
  <c r="H158" i="2"/>
  <c r="F115" i="2"/>
  <c r="H115" i="2"/>
  <c r="F91" i="2"/>
  <c r="H91" i="2"/>
  <c r="F1630" i="2"/>
  <c r="H1630" i="2"/>
  <c r="H1626" i="2"/>
  <c r="F1620" i="2"/>
  <c r="H1620" i="2"/>
  <c r="F1598" i="2"/>
  <c r="H1598" i="2"/>
  <c r="H1594" i="2"/>
  <c r="F1588" i="2"/>
  <c r="H1588" i="2"/>
  <c r="F1566" i="2"/>
  <c r="H1566" i="2"/>
  <c r="H1543" i="2"/>
  <c r="F1543" i="2"/>
  <c r="F1544" i="2"/>
  <c r="H1517" i="2"/>
  <c r="H1509" i="2"/>
  <c r="F1509" i="2"/>
  <c r="F1510" i="2"/>
  <c r="F1500" i="2"/>
  <c r="H1487" i="2"/>
  <c r="F1487" i="2"/>
  <c r="F1488" i="2"/>
  <c r="F1478" i="2"/>
  <c r="H1478" i="2"/>
  <c r="H1404" i="2"/>
  <c r="H1405" i="2"/>
  <c r="F1390" i="2"/>
  <c r="H1390" i="2"/>
  <c r="H1362" i="2"/>
  <c r="F1363" i="2"/>
  <c r="F1362" i="2"/>
  <c r="F1188" i="2"/>
  <c r="H1188" i="2"/>
  <c r="F1189" i="2"/>
  <c r="H1154" i="2"/>
  <c r="F1155" i="2"/>
  <c r="F1154" i="2"/>
  <c r="H2034" i="2"/>
  <c r="H2030" i="2"/>
  <c r="H2020" i="2"/>
  <c r="H2002" i="2"/>
  <c r="H1998" i="2"/>
  <c r="H1988" i="2"/>
  <c r="H1970" i="2"/>
  <c r="H1966" i="2"/>
  <c r="H1956" i="2"/>
  <c r="H1938" i="2"/>
  <c r="H1934" i="2"/>
  <c r="H1924" i="2"/>
  <c r="H1906" i="2"/>
  <c r="H1902" i="2"/>
  <c r="H1892" i="2"/>
  <c r="H1874" i="2"/>
  <c r="H1870" i="2"/>
  <c r="H1860" i="2"/>
  <c r="H1842" i="2"/>
  <c r="H1838" i="2"/>
  <c r="H1828" i="2"/>
  <c r="H1810" i="2"/>
  <c r="H1806" i="2"/>
  <c r="H1796" i="2"/>
  <c r="H1778" i="2"/>
  <c r="H1774" i="2"/>
  <c r="H1764" i="2"/>
  <c r="H1736" i="2"/>
  <c r="H1731" i="2"/>
  <c r="F1731" i="2"/>
  <c r="H1721" i="2"/>
  <c r="H1710" i="2"/>
  <c r="F1705" i="2"/>
  <c r="F1692" i="2"/>
  <c r="H1673" i="2"/>
  <c r="F1660" i="2"/>
  <c r="F1653" i="2"/>
  <c r="F1654" i="2"/>
  <c r="F1645" i="2"/>
  <c r="H1645" i="2"/>
  <c r="H1621" i="2"/>
  <c r="F1619" i="2"/>
  <c r="H1589" i="2"/>
  <c r="F1587" i="2"/>
  <c r="H1536" i="2"/>
  <c r="F1536" i="2"/>
  <c r="F1519" i="2"/>
  <c r="F1513" i="2"/>
  <c r="H1513" i="2"/>
  <c r="F1502" i="2"/>
  <c r="H1502" i="2"/>
  <c r="H1488" i="2"/>
  <c r="H1480" i="2"/>
  <c r="F1480" i="2"/>
  <c r="F1467" i="2"/>
  <c r="H1467" i="2"/>
  <c r="H1466" i="2"/>
  <c r="F1417" i="2"/>
  <c r="H1417" i="2"/>
  <c r="F1418" i="2"/>
  <c r="H1394" i="2"/>
  <c r="F1395" i="2"/>
  <c r="F1394" i="2"/>
  <c r="H1363" i="2"/>
  <c r="H1276" i="2"/>
  <c r="F1276" i="2"/>
  <c r="F1232" i="2"/>
  <c r="H1232" i="2"/>
  <c r="F1196" i="2"/>
  <c r="H1196" i="2"/>
  <c r="F1156" i="2"/>
  <c r="H1156" i="2"/>
  <c r="F1157" i="2"/>
  <c r="F1127" i="2"/>
  <c r="H1127" i="2"/>
  <c r="F1128" i="2"/>
  <c r="H1128" i="2"/>
  <c r="H970" i="2"/>
  <c r="F971" i="2"/>
  <c r="H971" i="2"/>
  <c r="F970" i="2"/>
  <c r="H2168" i="2"/>
  <c r="H2160" i="2"/>
  <c r="H2152" i="2"/>
  <c r="H2144" i="2"/>
  <c r="H2136" i="2"/>
  <c r="H2128" i="2"/>
  <c r="H2120" i="2"/>
  <c r="H2112" i="2"/>
  <c r="H2104" i="2"/>
  <c r="H2096" i="2"/>
  <c r="H2088" i="2"/>
  <c r="H2080" i="2"/>
  <c r="H2072" i="2"/>
  <c r="H2064" i="2"/>
  <c r="H2056" i="2"/>
  <c r="H2048" i="2"/>
  <c r="H2033" i="2"/>
  <c r="H2023" i="2"/>
  <c r="H2013" i="2"/>
  <c r="F2012" i="2"/>
  <c r="H2001" i="2"/>
  <c r="H1991" i="2"/>
  <c r="H1981" i="2"/>
  <c r="F1980" i="2"/>
  <c r="H1969" i="2"/>
  <c r="H1959" i="2"/>
  <c r="H1949" i="2"/>
  <c r="F1948" i="2"/>
  <c r="H1937" i="2"/>
  <c r="H1927" i="2"/>
  <c r="H1917" i="2"/>
  <c r="F1916" i="2"/>
  <c r="H1905" i="2"/>
  <c r="H1895" i="2"/>
  <c r="H1885" i="2"/>
  <c r="F1884" i="2"/>
  <c r="H1873" i="2"/>
  <c r="H1863" i="2"/>
  <c r="H1853" i="2"/>
  <c r="F1852" i="2"/>
  <c r="H1841" i="2"/>
  <c r="H1831" i="2"/>
  <c r="H1821" i="2"/>
  <c r="F1820" i="2"/>
  <c r="H1809" i="2"/>
  <c r="H1799" i="2"/>
  <c r="H1789" i="2"/>
  <c r="F1788" i="2"/>
  <c r="H1777" i="2"/>
  <c r="H1767" i="2"/>
  <c r="H1757" i="2"/>
  <c r="F1756" i="2"/>
  <c r="H1732" i="2"/>
  <c r="H1730" i="2"/>
  <c r="F1685" i="2"/>
  <c r="H1683" i="2"/>
  <c r="F1642" i="2"/>
  <c r="H1642" i="2"/>
  <c r="H1635" i="2"/>
  <c r="F1635" i="2"/>
  <c r="H1633" i="2"/>
  <c r="F1634" i="2"/>
  <c r="F1625" i="2"/>
  <c r="H1625" i="2"/>
  <c r="F1613" i="2"/>
  <c r="H1613" i="2"/>
  <c r="F1614" i="2"/>
  <c r="H1611" i="2"/>
  <c r="F1612" i="2"/>
  <c r="H1603" i="2"/>
  <c r="F1603" i="2"/>
  <c r="H1601" i="2"/>
  <c r="F1602" i="2"/>
  <c r="F1593" i="2"/>
  <c r="H1593" i="2"/>
  <c r="F1581" i="2"/>
  <c r="H1581" i="2"/>
  <c r="F1582" i="2"/>
  <c r="H1579" i="2"/>
  <c r="F1580" i="2"/>
  <c r="H1571" i="2"/>
  <c r="F1571" i="2"/>
  <c r="H1569" i="2"/>
  <c r="F1570" i="2"/>
  <c r="F1553" i="2"/>
  <c r="H1553" i="2"/>
  <c r="F1554" i="2"/>
  <c r="H1554" i="2"/>
  <c r="H1539" i="2"/>
  <c r="F1538" i="2"/>
  <c r="H1538" i="2"/>
  <c r="H1504" i="2"/>
  <c r="F1504" i="2"/>
  <c r="H1483" i="2"/>
  <c r="F1482" i="2"/>
  <c r="H1482" i="2"/>
  <c r="F1470" i="2"/>
  <c r="H1470" i="2"/>
  <c r="H1438" i="2"/>
  <c r="F1439" i="2"/>
  <c r="H1397" i="2"/>
  <c r="F1396" i="2"/>
  <c r="H1396" i="2"/>
  <c r="F1397" i="2"/>
  <c r="H1308" i="2"/>
  <c r="F1308" i="2"/>
  <c r="F1278" i="2"/>
  <c r="H1278" i="2"/>
  <c r="F1279" i="2"/>
  <c r="H1234" i="2"/>
  <c r="F1234" i="2"/>
  <c r="F1235" i="2"/>
  <c r="F1204" i="2"/>
  <c r="H1204" i="2"/>
  <c r="H1155" i="2"/>
  <c r="F983" i="2"/>
  <c r="H983" i="2"/>
  <c r="F984" i="2"/>
  <c r="H984" i="2"/>
  <c r="H2042" i="2"/>
  <c r="H2038" i="2"/>
  <c r="H2028" i="2"/>
  <c r="H2010" i="2"/>
  <c r="H2006" i="2"/>
  <c r="H1996" i="2"/>
  <c r="H1978" i="2"/>
  <c r="H1974" i="2"/>
  <c r="H1964" i="2"/>
  <c r="H1946" i="2"/>
  <c r="H1942" i="2"/>
  <c r="H1932" i="2"/>
  <c r="H1914" i="2"/>
  <c r="H1910" i="2"/>
  <c r="H1900" i="2"/>
  <c r="H1882" i="2"/>
  <c r="H1868" i="2"/>
  <c r="H1850" i="2"/>
  <c r="H1836" i="2"/>
  <c r="H1818" i="2"/>
  <c r="H1804" i="2"/>
  <c r="H1786" i="2"/>
  <c r="H1772" i="2"/>
  <c r="H1754" i="2"/>
  <c r="F1749" i="2"/>
  <c r="F1716" i="2"/>
  <c r="F1694" i="2"/>
  <c r="H1690" i="2"/>
  <c r="H1684" i="2"/>
  <c r="H1682" i="2"/>
  <c r="F1677" i="2"/>
  <c r="H1677" i="2"/>
  <c r="F1662" i="2"/>
  <c r="H1662" i="2"/>
  <c r="H1658" i="2"/>
  <c r="H1636" i="2"/>
  <c r="H1634" i="2"/>
  <c r="H1612" i="2"/>
  <c r="H1604" i="2"/>
  <c r="H1602" i="2"/>
  <c r="H1580" i="2"/>
  <c r="H1572" i="2"/>
  <c r="H1570" i="2"/>
  <c r="F1521" i="2"/>
  <c r="H1521" i="2"/>
  <c r="F1522" i="2"/>
  <c r="H1522" i="2"/>
  <c r="H1507" i="2"/>
  <c r="F1506" i="2"/>
  <c r="H1506" i="2"/>
  <c r="H1469" i="2"/>
  <c r="H1355" i="2"/>
  <c r="F1354" i="2"/>
  <c r="H1354" i="2"/>
  <c r="F1355" i="2"/>
  <c r="F1345" i="2"/>
  <c r="H1345" i="2"/>
  <c r="F1346" i="2"/>
  <c r="H1340" i="2"/>
  <c r="H1341" i="2"/>
  <c r="F1310" i="2"/>
  <c r="H1310" i="2"/>
  <c r="F1311" i="2"/>
  <c r="H1277" i="2"/>
  <c r="H1233" i="2"/>
  <c r="F999" i="2"/>
  <c r="H999" i="2"/>
  <c r="F1000" i="2"/>
  <c r="H1000" i="2"/>
  <c r="F2168" i="2"/>
  <c r="F2160" i="2"/>
  <c r="F2152" i="2"/>
  <c r="F2144" i="2"/>
  <c r="F2136" i="2"/>
  <c r="F2128" i="2"/>
  <c r="F2120" i="2"/>
  <c r="F2112" i="2"/>
  <c r="F2104" i="2"/>
  <c r="F2096" i="2"/>
  <c r="F2088" i="2"/>
  <c r="F2080" i="2"/>
  <c r="F2072" i="2"/>
  <c r="F2064" i="2"/>
  <c r="F2056" i="2"/>
  <c r="F2048" i="2"/>
  <c r="F2023" i="2"/>
  <c r="F2013" i="2"/>
  <c r="F1991" i="2"/>
  <c r="F1981" i="2"/>
  <c r="F1959" i="2"/>
  <c r="F1949" i="2"/>
  <c r="F1927" i="2"/>
  <c r="F1917" i="2"/>
  <c r="F1895" i="2"/>
  <c r="F1885" i="2"/>
  <c r="F1863" i="2"/>
  <c r="F1853" i="2"/>
  <c r="F1831" i="2"/>
  <c r="F1821" i="2"/>
  <c r="F1799" i="2"/>
  <c r="F1789" i="2"/>
  <c r="F1767" i="2"/>
  <c r="F1757" i="2"/>
  <c r="H1747" i="2"/>
  <c r="F1739" i="2"/>
  <c r="F1725" i="2"/>
  <c r="H1699" i="2"/>
  <c r="F1699" i="2"/>
  <c r="F1686" i="2"/>
  <c r="F1665" i="2"/>
  <c r="H1663" i="2"/>
  <c r="H1661" i="2"/>
  <c r="H1657" i="2"/>
  <c r="F1650" i="2"/>
  <c r="H1650" i="2"/>
  <c r="F1646" i="2"/>
  <c r="F1644" i="2"/>
  <c r="H1614" i="2"/>
  <c r="H1582" i="2"/>
  <c r="F1516" i="2"/>
  <c r="F1514" i="2"/>
  <c r="H1505" i="2"/>
  <c r="F1503" i="2"/>
  <c r="H1475" i="2"/>
  <c r="F1474" i="2"/>
  <c r="H1474" i="2"/>
  <c r="H1461" i="2"/>
  <c r="H1460" i="2"/>
  <c r="F1461" i="2"/>
  <c r="F1430" i="2"/>
  <c r="F1402" i="2"/>
  <c r="F1384" i="2"/>
  <c r="H1384" i="2"/>
  <c r="F1377" i="2"/>
  <c r="H1377" i="2"/>
  <c r="F1378" i="2"/>
  <c r="H1378" i="2"/>
  <c r="F1342" i="2"/>
  <c r="H1342" i="2"/>
  <c r="F1343" i="2"/>
  <c r="H1309" i="2"/>
  <c r="H1235" i="2"/>
  <c r="H2018" i="2"/>
  <c r="H1986" i="2"/>
  <c r="H1954" i="2"/>
  <c r="H1922" i="2"/>
  <c r="H1890" i="2"/>
  <c r="H1858" i="2"/>
  <c r="H1826" i="2"/>
  <c r="H1794" i="2"/>
  <c r="H1762" i="2"/>
  <c r="F1750" i="2"/>
  <c r="F1741" i="2"/>
  <c r="H1741" i="2"/>
  <c r="F1695" i="2"/>
  <c r="F1691" i="2"/>
  <c r="H1667" i="2"/>
  <c r="F1667" i="2"/>
  <c r="F1659" i="2"/>
  <c r="F1640" i="2"/>
  <c r="H1640" i="2"/>
  <c r="F1636" i="2"/>
  <c r="F1628" i="2"/>
  <c r="F1626" i="2"/>
  <c r="F1608" i="2"/>
  <c r="H1608" i="2"/>
  <c r="F1604" i="2"/>
  <c r="F1596" i="2"/>
  <c r="F1594" i="2"/>
  <c r="F1576" i="2"/>
  <c r="H1576" i="2"/>
  <c r="F1572" i="2"/>
  <c r="F1550" i="2"/>
  <c r="H1550" i="2"/>
  <c r="H1548" i="2"/>
  <c r="F1549" i="2"/>
  <c r="F1539" i="2"/>
  <c r="H1494" i="2"/>
  <c r="F1495" i="2"/>
  <c r="F1483" i="2"/>
  <c r="F1476" i="2"/>
  <c r="H1476" i="2"/>
  <c r="F1471" i="2"/>
  <c r="F1462" i="2"/>
  <c r="H1462" i="2"/>
  <c r="F1449" i="2"/>
  <c r="H1449" i="2"/>
  <c r="F1404" i="2"/>
  <c r="H1387" i="2"/>
  <c r="F1386" i="2"/>
  <c r="H1386" i="2"/>
  <c r="F1387" i="2"/>
  <c r="H1346" i="2"/>
  <c r="H1330" i="2"/>
  <c r="F1331" i="2"/>
  <c r="F1330" i="2"/>
  <c r="F1261" i="2"/>
  <c r="H1261" i="2"/>
  <c r="F1262" i="2"/>
  <c r="H791" i="2"/>
  <c r="F792" i="2"/>
  <c r="F791" i="2"/>
  <c r="H792" i="2"/>
  <c r="H586" i="2"/>
  <c r="F587" i="2"/>
  <c r="F586" i="2"/>
  <c r="H587" i="2"/>
  <c r="H1034" i="2"/>
  <c r="F1035" i="2"/>
  <c r="H1035" i="2"/>
  <c r="F972" i="2"/>
  <c r="H972" i="2"/>
  <c r="F973" i="2"/>
  <c r="H954" i="2"/>
  <c r="F955" i="2"/>
  <c r="F954" i="2"/>
  <c r="F1621" i="2"/>
  <c r="H1610" i="2"/>
  <c r="F1589" i="2"/>
  <c r="H1578" i="2"/>
  <c r="H1551" i="2"/>
  <c r="H1547" i="2"/>
  <c r="H1519" i="2"/>
  <c r="H1515" i="2"/>
  <c r="H1493" i="2"/>
  <c r="F1479" i="2"/>
  <c r="F1477" i="2"/>
  <c r="H1477" i="2"/>
  <c r="F1448" i="2"/>
  <c r="H1448" i="2"/>
  <c r="F1443" i="2"/>
  <c r="H1443" i="2"/>
  <c r="F1435" i="2"/>
  <c r="H1435" i="2"/>
  <c r="F1374" i="2"/>
  <c r="H1374" i="2"/>
  <c r="F1325" i="2"/>
  <c r="H1325" i="2"/>
  <c r="H1303" i="2"/>
  <c r="F1303" i="2"/>
  <c r="F1273" i="2"/>
  <c r="H1273" i="2"/>
  <c r="F1212" i="2"/>
  <c r="H1212" i="2"/>
  <c r="F1111" i="2"/>
  <c r="H1111" i="2"/>
  <c r="F1112" i="2"/>
  <c r="H1098" i="2"/>
  <c r="F1099" i="2"/>
  <c r="H1099" i="2"/>
  <c r="F1036" i="2"/>
  <c r="H1036" i="2"/>
  <c r="F1037" i="2"/>
  <c r="H1018" i="2"/>
  <c r="F1019" i="2"/>
  <c r="F1018" i="2"/>
  <c r="F956" i="2"/>
  <c r="H956" i="2"/>
  <c r="F957" i="2"/>
  <c r="F918" i="2"/>
  <c r="H918" i="2"/>
  <c r="F917" i="2"/>
  <c r="H917" i="2"/>
  <c r="H823" i="2"/>
  <c r="F824" i="2"/>
  <c r="H824" i="2"/>
  <c r="F823" i="2"/>
  <c r="H1619" i="2"/>
  <c r="H1587" i="2"/>
  <c r="F1537" i="2"/>
  <c r="F1505" i="2"/>
  <c r="F1481" i="2"/>
  <c r="H1463" i="2"/>
  <c r="F1463" i="2"/>
  <c r="F1416" i="2"/>
  <c r="H1416" i="2"/>
  <c r="F1411" i="2"/>
  <c r="H1411" i="2"/>
  <c r="H1399" i="2"/>
  <c r="F1399" i="2"/>
  <c r="F1391" i="2"/>
  <c r="F1389" i="2"/>
  <c r="H1389" i="2"/>
  <c r="F1357" i="2"/>
  <c r="H1357" i="2"/>
  <c r="H1335" i="2"/>
  <c r="F1335" i="2"/>
  <c r="H1326" i="2"/>
  <c r="F1305" i="2"/>
  <c r="H1305" i="2"/>
  <c r="F1277" i="2"/>
  <c r="H1274" i="2"/>
  <c r="F1256" i="2"/>
  <c r="H1256" i="2"/>
  <c r="F1239" i="2"/>
  <c r="H1239" i="2"/>
  <c r="F1220" i="2"/>
  <c r="H1220" i="2"/>
  <c r="H1162" i="2"/>
  <c r="F1163" i="2"/>
  <c r="H1163" i="2"/>
  <c r="F1100" i="2"/>
  <c r="H1100" i="2"/>
  <c r="F1101" i="2"/>
  <c r="H1082" i="2"/>
  <c r="F1083" i="2"/>
  <c r="F1082" i="2"/>
  <c r="F1020" i="2"/>
  <c r="H1020" i="2"/>
  <c r="F1021" i="2"/>
  <c r="H955" i="2"/>
  <c r="F928" i="2"/>
  <c r="H928" i="2"/>
  <c r="F929" i="2"/>
  <c r="H929" i="2"/>
  <c r="F828" i="2"/>
  <c r="H828" i="2"/>
  <c r="H829" i="2"/>
  <c r="F1661" i="2"/>
  <c r="F1629" i="2"/>
  <c r="F1622" i="2"/>
  <c r="F1597" i="2"/>
  <c r="F1590" i="2"/>
  <c r="F1565" i="2"/>
  <c r="F1552" i="2"/>
  <c r="F1533" i="2"/>
  <c r="F1520" i="2"/>
  <c r="F1501" i="2"/>
  <c r="F1497" i="2"/>
  <c r="H1497" i="2"/>
  <c r="H1495" i="2"/>
  <c r="F1469" i="2"/>
  <c r="F1465" i="2"/>
  <c r="H1465" i="2"/>
  <c r="F1451" i="2"/>
  <c r="H1431" i="2"/>
  <c r="F1431" i="2"/>
  <c r="F1401" i="2"/>
  <c r="H1401" i="2"/>
  <c r="F1385" i="2"/>
  <c r="H1367" i="2"/>
  <c r="F1367" i="2"/>
  <c r="H1358" i="2"/>
  <c r="F1337" i="2"/>
  <c r="H1337" i="2"/>
  <c r="F1309" i="2"/>
  <c r="H1306" i="2"/>
  <c r="H1304" i="2"/>
  <c r="F1288" i="2"/>
  <c r="H1288" i="2"/>
  <c r="H1259" i="2"/>
  <c r="F1258" i="2"/>
  <c r="H1258" i="2"/>
  <c r="H1245" i="2"/>
  <c r="F1245" i="2"/>
  <c r="F1246" i="2"/>
  <c r="F1164" i="2"/>
  <c r="H1164" i="2"/>
  <c r="F1165" i="2"/>
  <c r="H1146" i="2"/>
  <c r="F1147" i="2"/>
  <c r="F1146" i="2"/>
  <c r="H1112" i="2"/>
  <c r="F1084" i="2"/>
  <c r="H1084" i="2"/>
  <c r="F1085" i="2"/>
  <c r="H1019" i="2"/>
  <c r="F991" i="2"/>
  <c r="H991" i="2"/>
  <c r="F992" i="2"/>
  <c r="H962" i="2"/>
  <c r="F963" i="2"/>
  <c r="F962" i="2"/>
  <c r="H1723" i="2"/>
  <c r="H1691" i="2"/>
  <c r="H1659" i="2"/>
  <c r="H1627" i="2"/>
  <c r="H1595" i="2"/>
  <c r="H1496" i="2"/>
  <c r="H1464" i="2"/>
  <c r="F1457" i="2"/>
  <c r="H1457" i="2"/>
  <c r="F1455" i="2"/>
  <c r="F1453" i="2"/>
  <c r="H1453" i="2"/>
  <c r="F1447" i="2"/>
  <c r="F1445" i="2"/>
  <c r="F1441" i="2"/>
  <c r="H1441" i="2"/>
  <c r="F1437" i="2"/>
  <c r="F1433" i="2"/>
  <c r="H1433" i="2"/>
  <c r="F1419" i="2"/>
  <c r="F1405" i="2"/>
  <c r="H1400" i="2"/>
  <c r="F1375" i="2"/>
  <c r="F1369" i="2"/>
  <c r="H1369" i="2"/>
  <c r="F1341" i="2"/>
  <c r="H1338" i="2"/>
  <c r="H1336" i="2"/>
  <c r="F1326" i="2"/>
  <c r="F1320" i="2"/>
  <c r="H1320" i="2"/>
  <c r="H1291" i="2"/>
  <c r="F1290" i="2"/>
  <c r="H1290" i="2"/>
  <c r="F1281" i="2"/>
  <c r="H1281" i="2"/>
  <c r="F1282" i="2"/>
  <c r="F1274" i="2"/>
  <c r="H1269" i="2"/>
  <c r="F1268" i="2"/>
  <c r="H1268" i="2"/>
  <c r="H1266" i="2"/>
  <c r="F1267" i="2"/>
  <c r="H1257" i="2"/>
  <c r="F1247" i="2"/>
  <c r="H1247" i="2"/>
  <c r="F1228" i="2"/>
  <c r="H1228" i="2"/>
  <c r="H1226" i="2"/>
  <c r="F1227" i="2"/>
  <c r="F1197" i="2"/>
  <c r="F1172" i="2"/>
  <c r="H1172" i="2"/>
  <c r="F1173" i="2"/>
  <c r="F1148" i="2"/>
  <c r="H1148" i="2"/>
  <c r="F1149" i="2"/>
  <c r="H1083" i="2"/>
  <c r="F1055" i="2"/>
  <c r="H1055" i="2"/>
  <c r="F1056" i="2"/>
  <c r="H1026" i="2"/>
  <c r="F1027" i="2"/>
  <c r="F1026" i="2"/>
  <c r="F964" i="2"/>
  <c r="H964" i="2"/>
  <c r="F965" i="2"/>
  <c r="H867" i="2"/>
  <c r="F867" i="2"/>
  <c r="H868" i="2"/>
  <c r="F860" i="2"/>
  <c r="H860" i="2"/>
  <c r="H861" i="2"/>
  <c r="F1733" i="2"/>
  <c r="F1701" i="2"/>
  <c r="F1669" i="2"/>
  <c r="F1637" i="2"/>
  <c r="F1605" i="2"/>
  <c r="F1573" i="2"/>
  <c r="H1562" i="2"/>
  <c r="F1561" i="2"/>
  <c r="H1559" i="2"/>
  <c r="H1530" i="2"/>
  <c r="F1529" i="2"/>
  <c r="H1527" i="2"/>
  <c r="H1458" i="2"/>
  <c r="H1442" i="2"/>
  <c r="H1434" i="2"/>
  <c r="H1432" i="2"/>
  <c r="H1428" i="2"/>
  <c r="F1425" i="2"/>
  <c r="H1425" i="2"/>
  <c r="F1423" i="2"/>
  <c r="F1421" i="2"/>
  <c r="H1421" i="2"/>
  <c r="F1415" i="2"/>
  <c r="F1413" i="2"/>
  <c r="F1409" i="2"/>
  <c r="H1409" i="2"/>
  <c r="F1373" i="2"/>
  <c r="H1370" i="2"/>
  <c r="H1368" i="2"/>
  <c r="F1358" i="2"/>
  <c r="F1352" i="2"/>
  <c r="H1352" i="2"/>
  <c r="H1323" i="2"/>
  <c r="F1322" i="2"/>
  <c r="H1322" i="2"/>
  <c r="F1313" i="2"/>
  <c r="H1313" i="2"/>
  <c r="F1314" i="2"/>
  <c r="F1306" i="2"/>
  <c r="H1301" i="2"/>
  <c r="F1300" i="2"/>
  <c r="H1300" i="2"/>
  <c r="H1298" i="2"/>
  <c r="F1299" i="2"/>
  <c r="H1289" i="2"/>
  <c r="F1272" i="2"/>
  <c r="H1267" i="2"/>
  <c r="H1246" i="2"/>
  <c r="H1227" i="2"/>
  <c r="F1205" i="2"/>
  <c r="F1180" i="2"/>
  <c r="H1180" i="2"/>
  <c r="F1181" i="2"/>
  <c r="H1147" i="2"/>
  <c r="F1119" i="2"/>
  <c r="H1119" i="2"/>
  <c r="F1120" i="2"/>
  <c r="H1090" i="2"/>
  <c r="F1091" i="2"/>
  <c r="F1090" i="2"/>
  <c r="F1028" i="2"/>
  <c r="H1028" i="2"/>
  <c r="F1029" i="2"/>
  <c r="H992" i="2"/>
  <c r="H963" i="2"/>
  <c r="F939" i="2"/>
  <c r="H939" i="2"/>
  <c r="F940" i="2"/>
  <c r="F932" i="2"/>
  <c r="H932" i="2"/>
  <c r="H904" i="2"/>
  <c r="F904" i="2"/>
  <c r="H882" i="2"/>
  <c r="F883" i="2"/>
  <c r="H883" i="2"/>
  <c r="F869" i="2"/>
  <c r="H869" i="2"/>
  <c r="F870" i="2"/>
  <c r="F825" i="2"/>
  <c r="H825" i="2"/>
  <c r="F826" i="2"/>
  <c r="F793" i="2"/>
  <c r="H793" i="2"/>
  <c r="F794" i="2"/>
  <c r="H1535" i="2"/>
  <c r="H1503" i="2"/>
  <c r="H1472" i="2"/>
  <c r="H1471" i="2"/>
  <c r="H1445" i="2"/>
  <c r="H1440" i="2"/>
  <c r="H1439" i="2"/>
  <c r="H1413" i="2"/>
  <c r="H1408" i="2"/>
  <c r="H1407" i="2"/>
  <c r="H1393" i="2"/>
  <c r="H1381" i="2"/>
  <c r="H1376" i="2"/>
  <c r="H1375" i="2"/>
  <c r="H1371" i="2"/>
  <c r="H1361" i="2"/>
  <c r="H1349" i="2"/>
  <c r="H1344" i="2"/>
  <c r="H1343" i="2"/>
  <c r="H1339" i="2"/>
  <c r="H1329" i="2"/>
  <c r="H1317" i="2"/>
  <c r="H1312" i="2"/>
  <c r="H1311" i="2"/>
  <c r="H1307" i="2"/>
  <c r="H1297" i="2"/>
  <c r="H1285" i="2"/>
  <c r="H1280" i="2"/>
  <c r="H1279" i="2"/>
  <c r="H1275" i="2"/>
  <c r="H1265" i="2"/>
  <c r="F1255" i="2"/>
  <c r="H1253" i="2"/>
  <c r="H1240" i="2"/>
  <c r="H1237" i="2"/>
  <c r="F1135" i="2"/>
  <c r="H1135" i="2"/>
  <c r="H1133" i="2"/>
  <c r="F1108" i="2"/>
  <c r="H1108" i="2"/>
  <c r="H1106" i="2"/>
  <c r="F1107" i="2"/>
  <c r="F1071" i="2"/>
  <c r="H1071" i="2"/>
  <c r="H1069" i="2"/>
  <c r="F1044" i="2"/>
  <c r="H1044" i="2"/>
  <c r="H1042" i="2"/>
  <c r="F1043" i="2"/>
  <c r="F1007" i="2"/>
  <c r="H1007" i="2"/>
  <c r="H1005" i="2"/>
  <c r="F980" i="2"/>
  <c r="H980" i="2"/>
  <c r="H978" i="2"/>
  <c r="F979" i="2"/>
  <c r="H949" i="2"/>
  <c r="F949" i="2"/>
  <c r="F950" i="2"/>
  <c r="H947" i="2"/>
  <c r="H933" i="2"/>
  <c r="F920" i="2"/>
  <c r="F919" i="2"/>
  <c r="H919" i="2"/>
  <c r="H905" i="2"/>
  <c r="F884" i="2"/>
  <c r="H884" i="2"/>
  <c r="F885" i="2"/>
  <c r="H885" i="2"/>
  <c r="F632" i="2"/>
  <c r="H632" i="2"/>
  <c r="F633" i="2"/>
  <c r="F628" i="2"/>
  <c r="H628" i="2"/>
  <c r="H629" i="2"/>
  <c r="F1353" i="2"/>
  <c r="F1321" i="2"/>
  <c r="F1289" i="2"/>
  <c r="F1257" i="2"/>
  <c r="F1233" i="2"/>
  <c r="F1231" i="2"/>
  <c r="H1231" i="2"/>
  <c r="F1143" i="2"/>
  <c r="H1143" i="2"/>
  <c r="F1116" i="2"/>
  <c r="H1116" i="2"/>
  <c r="H1114" i="2"/>
  <c r="F1115" i="2"/>
  <c r="F1079" i="2"/>
  <c r="H1079" i="2"/>
  <c r="F1052" i="2"/>
  <c r="H1052" i="2"/>
  <c r="H1050" i="2"/>
  <c r="F1051" i="2"/>
  <c r="F1015" i="2"/>
  <c r="H1015" i="2"/>
  <c r="F988" i="2"/>
  <c r="H988" i="2"/>
  <c r="H986" i="2"/>
  <c r="F987" i="2"/>
  <c r="F951" i="2"/>
  <c r="H951" i="2"/>
  <c r="F921" i="2"/>
  <c r="H921" i="2"/>
  <c r="H870" i="2"/>
  <c r="H845" i="2"/>
  <c r="F846" i="2"/>
  <c r="F845" i="2"/>
  <c r="H813" i="2"/>
  <c r="F814" i="2"/>
  <c r="F813" i="2"/>
  <c r="H1479" i="2"/>
  <c r="H1447" i="2"/>
  <c r="H1415" i="2"/>
  <c r="H1383" i="2"/>
  <c r="H1379" i="2"/>
  <c r="H1351" i="2"/>
  <c r="H1347" i="2"/>
  <c r="H1319" i="2"/>
  <c r="H1315" i="2"/>
  <c r="H1287" i="2"/>
  <c r="H1283" i="2"/>
  <c r="H1229" i="2"/>
  <c r="F1151" i="2"/>
  <c r="H1151" i="2"/>
  <c r="H1149" i="2"/>
  <c r="H1144" i="2"/>
  <c r="F1124" i="2"/>
  <c r="H1124" i="2"/>
  <c r="H1122" i="2"/>
  <c r="F1123" i="2"/>
  <c r="H1115" i="2"/>
  <c r="F1087" i="2"/>
  <c r="H1087" i="2"/>
  <c r="H1085" i="2"/>
  <c r="H1080" i="2"/>
  <c r="F1060" i="2"/>
  <c r="H1060" i="2"/>
  <c r="H1058" i="2"/>
  <c r="F1059" i="2"/>
  <c r="H1051" i="2"/>
  <c r="F1023" i="2"/>
  <c r="H1023" i="2"/>
  <c r="H1021" i="2"/>
  <c r="H1016" i="2"/>
  <c r="F996" i="2"/>
  <c r="H996" i="2"/>
  <c r="H994" i="2"/>
  <c r="F995" i="2"/>
  <c r="H987" i="2"/>
  <c r="F959" i="2"/>
  <c r="H959" i="2"/>
  <c r="H957" i="2"/>
  <c r="H952" i="2"/>
  <c r="F933" i="2"/>
  <c r="F905" i="2"/>
  <c r="F878" i="2"/>
  <c r="F877" i="2"/>
  <c r="H877" i="2"/>
  <c r="H848" i="2"/>
  <c r="F847" i="2"/>
  <c r="H847" i="2"/>
  <c r="F848" i="2"/>
  <c r="H816" i="2"/>
  <c r="F815" i="2"/>
  <c r="H815" i="2"/>
  <c r="F816" i="2"/>
  <c r="F760" i="2"/>
  <c r="H760" i="2"/>
  <c r="F761" i="2"/>
  <c r="F756" i="2"/>
  <c r="H756" i="2"/>
  <c r="H757" i="2"/>
  <c r="F1251" i="2"/>
  <c r="F1223" i="2"/>
  <c r="H1223" i="2"/>
  <c r="F1159" i="2"/>
  <c r="H1159" i="2"/>
  <c r="H1157" i="2"/>
  <c r="F1132" i="2"/>
  <c r="H1132" i="2"/>
  <c r="H1130" i="2"/>
  <c r="F1131" i="2"/>
  <c r="F1095" i="2"/>
  <c r="H1095" i="2"/>
  <c r="H1093" i="2"/>
  <c r="F1068" i="2"/>
  <c r="H1068" i="2"/>
  <c r="H1066" i="2"/>
  <c r="F1067" i="2"/>
  <c r="F1031" i="2"/>
  <c r="H1031" i="2"/>
  <c r="H1029" i="2"/>
  <c r="F1004" i="2"/>
  <c r="H1004" i="2"/>
  <c r="H1002" i="2"/>
  <c r="F1003" i="2"/>
  <c r="F967" i="2"/>
  <c r="H967" i="2"/>
  <c r="H965" i="2"/>
  <c r="F946" i="2"/>
  <c r="H946" i="2"/>
  <c r="H944" i="2"/>
  <c r="F945" i="2"/>
  <c r="H935" i="2"/>
  <c r="F936" i="2"/>
  <c r="F913" i="2"/>
  <c r="H913" i="2"/>
  <c r="H846" i="2"/>
  <c r="H814" i="2"/>
  <c r="F657" i="2"/>
  <c r="H657" i="2"/>
  <c r="H1455" i="2"/>
  <c r="H1423" i="2"/>
  <c r="H1391" i="2"/>
  <c r="H1359" i="2"/>
  <c r="H1327" i="2"/>
  <c r="H1295" i="2"/>
  <c r="H1263" i="2"/>
  <c r="H1224" i="2"/>
  <c r="H1221" i="2"/>
  <c r="F1215" i="2"/>
  <c r="H1215" i="2"/>
  <c r="H1213" i="2"/>
  <c r="F1214" i="2"/>
  <c r="F1207" i="2"/>
  <c r="H1207" i="2"/>
  <c r="H1205" i="2"/>
  <c r="F1206" i="2"/>
  <c r="F1199" i="2"/>
  <c r="H1199" i="2"/>
  <c r="H1197" i="2"/>
  <c r="F1198" i="2"/>
  <c r="F1191" i="2"/>
  <c r="H1191" i="2"/>
  <c r="H1189" i="2"/>
  <c r="F1190" i="2"/>
  <c r="F1183" i="2"/>
  <c r="H1183" i="2"/>
  <c r="H1181" i="2"/>
  <c r="F1182" i="2"/>
  <c r="F1175" i="2"/>
  <c r="H1175" i="2"/>
  <c r="H1173" i="2"/>
  <c r="F1174" i="2"/>
  <c r="F1167" i="2"/>
  <c r="H1167" i="2"/>
  <c r="H1165" i="2"/>
  <c r="H1160" i="2"/>
  <c r="F1144" i="2"/>
  <c r="F1140" i="2"/>
  <c r="H1140" i="2"/>
  <c r="H1138" i="2"/>
  <c r="F1139" i="2"/>
  <c r="H1131" i="2"/>
  <c r="F1117" i="2"/>
  <c r="F1103" i="2"/>
  <c r="H1103" i="2"/>
  <c r="H1101" i="2"/>
  <c r="H1096" i="2"/>
  <c r="F1080" i="2"/>
  <c r="F1076" i="2"/>
  <c r="H1076" i="2"/>
  <c r="H1074" i="2"/>
  <c r="F1075" i="2"/>
  <c r="H1067" i="2"/>
  <c r="F1053" i="2"/>
  <c r="F1039" i="2"/>
  <c r="H1039" i="2"/>
  <c r="H1037" i="2"/>
  <c r="H1032" i="2"/>
  <c r="F1016" i="2"/>
  <c r="F1012" i="2"/>
  <c r="H1012" i="2"/>
  <c r="H1010" i="2"/>
  <c r="F1011" i="2"/>
  <c r="H1003" i="2"/>
  <c r="F989" i="2"/>
  <c r="F975" i="2"/>
  <c r="H975" i="2"/>
  <c r="H973" i="2"/>
  <c r="H968" i="2"/>
  <c r="F952" i="2"/>
  <c r="H945" i="2"/>
  <c r="F937" i="2"/>
  <c r="H937" i="2"/>
  <c r="F922" i="2"/>
  <c r="F896" i="2"/>
  <c r="H896" i="2"/>
  <c r="H897" i="2"/>
  <c r="H878" i="2"/>
  <c r="F776" i="2"/>
  <c r="H776" i="2"/>
  <c r="F777" i="2"/>
  <c r="H777" i="2"/>
  <c r="F696" i="2"/>
  <c r="H696" i="2"/>
  <c r="F697" i="2"/>
  <c r="F692" i="2"/>
  <c r="H692" i="2"/>
  <c r="H693" i="2"/>
  <c r="F721" i="2"/>
  <c r="H721" i="2"/>
  <c r="F679" i="2"/>
  <c r="H679" i="2"/>
  <c r="F467" i="2"/>
  <c r="F466" i="2"/>
  <c r="H466" i="2"/>
  <c r="H467" i="2"/>
  <c r="F743" i="2"/>
  <c r="H743" i="2"/>
  <c r="F615" i="2"/>
  <c r="H615" i="2"/>
  <c r="H613" i="2"/>
  <c r="F614" i="2"/>
  <c r="F588" i="2"/>
  <c r="H588" i="2"/>
  <c r="F589" i="2"/>
  <c r="H589" i="2"/>
  <c r="H922" i="2"/>
  <c r="F876" i="2"/>
  <c r="H876" i="2"/>
  <c r="H874" i="2"/>
  <c r="F874" i="2"/>
  <c r="F808" i="2"/>
  <c r="H808" i="2"/>
  <c r="F652" i="2"/>
  <c r="H652" i="2"/>
  <c r="F653" i="2"/>
  <c r="H614" i="2"/>
  <c r="F492" i="2"/>
  <c r="H492" i="2"/>
  <c r="F493" i="2"/>
  <c r="H493" i="2"/>
  <c r="F424" i="2"/>
  <c r="H424" i="2"/>
  <c r="H425" i="2"/>
  <c r="F1166" i="2"/>
  <c r="F1158" i="2"/>
  <c r="F1150" i="2"/>
  <c r="F1142" i="2"/>
  <c r="F1134" i="2"/>
  <c r="F1126" i="2"/>
  <c r="F1118" i="2"/>
  <c r="F1110" i="2"/>
  <c r="F1102" i="2"/>
  <c r="F1094" i="2"/>
  <c r="F1086" i="2"/>
  <c r="F1078" i="2"/>
  <c r="F1070" i="2"/>
  <c r="F1062" i="2"/>
  <c r="F1054" i="2"/>
  <c r="F1046" i="2"/>
  <c r="F1038" i="2"/>
  <c r="F1030" i="2"/>
  <c r="F1022" i="2"/>
  <c r="F1014" i="2"/>
  <c r="F1006" i="2"/>
  <c r="F998" i="2"/>
  <c r="F990" i="2"/>
  <c r="F982" i="2"/>
  <c r="F974" i="2"/>
  <c r="F966" i="2"/>
  <c r="F958" i="2"/>
  <c r="F948" i="2"/>
  <c r="H938" i="2"/>
  <c r="F938" i="2"/>
  <c r="H923" i="2"/>
  <c r="F916" i="2"/>
  <c r="H916" i="2"/>
  <c r="H914" i="2"/>
  <c r="F915" i="2"/>
  <c r="F912" i="2"/>
  <c r="H893" i="2"/>
  <c r="F857" i="2"/>
  <c r="H857" i="2"/>
  <c r="H855" i="2"/>
  <c r="F856" i="2"/>
  <c r="F840" i="2"/>
  <c r="H840" i="2"/>
  <c r="H809" i="2"/>
  <c r="H801" i="2"/>
  <c r="F802" i="2"/>
  <c r="H786" i="2"/>
  <c r="F786" i="2"/>
  <c r="F787" i="2"/>
  <c r="F716" i="2"/>
  <c r="H716" i="2"/>
  <c r="F717" i="2"/>
  <c r="H651" i="2"/>
  <c r="H616" i="2"/>
  <c r="H559" i="2"/>
  <c r="F560" i="2"/>
  <c r="H560" i="2"/>
  <c r="F438" i="2"/>
  <c r="H438" i="2"/>
  <c r="F439" i="2"/>
  <c r="H936" i="2"/>
  <c r="F925" i="2"/>
  <c r="H915" i="2"/>
  <c r="F901" i="2"/>
  <c r="F899" i="2"/>
  <c r="F897" i="2"/>
  <c r="F887" i="2"/>
  <c r="F879" i="2"/>
  <c r="H856" i="2"/>
  <c r="H841" i="2"/>
  <c r="H833" i="2"/>
  <c r="F834" i="2"/>
  <c r="H818" i="2"/>
  <c r="F818" i="2"/>
  <c r="F819" i="2"/>
  <c r="F803" i="2"/>
  <c r="H803" i="2"/>
  <c r="F788" i="2"/>
  <c r="H788" i="2"/>
  <c r="H715" i="2"/>
  <c r="F701" i="2"/>
  <c r="H701" i="2"/>
  <c r="F702" i="2"/>
  <c r="H702" i="2"/>
  <c r="H684" i="2"/>
  <c r="H674" i="2"/>
  <c r="F674" i="2"/>
  <c r="H672" i="2"/>
  <c r="F673" i="2"/>
  <c r="F658" i="2"/>
  <c r="H653" i="2"/>
  <c r="F637" i="2"/>
  <c r="H637" i="2"/>
  <c r="F638" i="2"/>
  <c r="H638" i="2"/>
  <c r="F574" i="2"/>
  <c r="H574" i="2"/>
  <c r="F575" i="2"/>
  <c r="F561" i="2"/>
  <c r="H561" i="2"/>
  <c r="F562" i="2"/>
  <c r="H562" i="2"/>
  <c r="F504" i="2"/>
  <c r="H504" i="2"/>
  <c r="H505" i="2"/>
  <c r="F943" i="2"/>
  <c r="F891" i="2"/>
  <c r="H891" i="2"/>
  <c r="F875" i="2"/>
  <c r="F873" i="2"/>
  <c r="H850" i="2"/>
  <c r="F850" i="2"/>
  <c r="F851" i="2"/>
  <c r="F835" i="2"/>
  <c r="H835" i="2"/>
  <c r="F820" i="2"/>
  <c r="H820" i="2"/>
  <c r="F809" i="2"/>
  <c r="H806" i="2"/>
  <c r="F805" i="2"/>
  <c r="H805" i="2"/>
  <c r="H787" i="2"/>
  <c r="F765" i="2"/>
  <c r="H765" i="2"/>
  <c r="F766" i="2"/>
  <c r="H766" i="2"/>
  <c r="H738" i="2"/>
  <c r="F738" i="2"/>
  <c r="H736" i="2"/>
  <c r="F737" i="2"/>
  <c r="F722" i="2"/>
  <c r="H717" i="2"/>
  <c r="F680" i="2"/>
  <c r="F643" i="2"/>
  <c r="H643" i="2"/>
  <c r="H941" i="2"/>
  <c r="F923" i="2"/>
  <c r="F908" i="2"/>
  <c r="H908" i="2"/>
  <c r="H906" i="2"/>
  <c r="F906" i="2"/>
  <c r="H894" i="2"/>
  <c r="F893" i="2"/>
  <c r="H865" i="2"/>
  <c r="F866" i="2"/>
  <c r="F858" i="2"/>
  <c r="F852" i="2"/>
  <c r="H852" i="2"/>
  <c r="F841" i="2"/>
  <c r="H838" i="2"/>
  <c r="F837" i="2"/>
  <c r="H837" i="2"/>
  <c r="H821" i="2"/>
  <c r="F796" i="2"/>
  <c r="H796" i="2"/>
  <c r="H784" i="2"/>
  <c r="F783" i="2"/>
  <c r="H783" i="2"/>
  <c r="H781" i="2"/>
  <c r="F782" i="2"/>
  <c r="F744" i="2"/>
  <c r="H739" i="2"/>
  <c r="H737" i="2"/>
  <c r="F707" i="2"/>
  <c r="H707" i="2"/>
  <c r="F651" i="2"/>
  <c r="F616" i="2"/>
  <c r="H455" i="2"/>
  <c r="F455" i="2"/>
  <c r="F456" i="2"/>
  <c r="H456" i="2"/>
  <c r="F43" i="2"/>
  <c r="H43" i="2"/>
  <c r="F457" i="2"/>
  <c r="H457" i="2"/>
  <c r="F458" i="2"/>
  <c r="F440" i="2"/>
  <c r="H440" i="2"/>
  <c r="F171" i="2"/>
  <c r="H171" i="2"/>
  <c r="F172" i="2"/>
  <c r="F51" i="2"/>
  <c r="H51" i="2"/>
  <c r="H549" i="2"/>
  <c r="F549" i="2"/>
  <c r="H507" i="2"/>
  <c r="H506" i="2"/>
  <c r="F507" i="2"/>
  <c r="H471" i="2"/>
  <c r="H472" i="2"/>
  <c r="H443" i="2"/>
  <c r="H442" i="2"/>
  <c r="F442" i="2"/>
  <c r="H301" i="2"/>
  <c r="F301" i="2"/>
  <c r="F294" i="2"/>
  <c r="H294" i="2"/>
  <c r="H295" i="2"/>
  <c r="H890" i="2"/>
  <c r="H886" i="2"/>
  <c r="H864" i="2"/>
  <c r="H859" i="2"/>
  <c r="H858" i="2"/>
  <c r="H854" i="2"/>
  <c r="H844" i="2"/>
  <c r="H832" i="2"/>
  <c r="H827" i="2"/>
  <c r="H826" i="2"/>
  <c r="H812" i="2"/>
  <c r="H800" i="2"/>
  <c r="H795" i="2"/>
  <c r="H794" i="2"/>
  <c r="H780" i="2"/>
  <c r="H771" i="2"/>
  <c r="H761" i="2"/>
  <c r="H755" i="2"/>
  <c r="H754" i="2"/>
  <c r="H744" i="2"/>
  <c r="H731" i="2"/>
  <c r="H730" i="2"/>
  <c r="H724" i="2"/>
  <c r="H720" i="2"/>
  <c r="H697" i="2"/>
  <c r="H691" i="2"/>
  <c r="H690" i="2"/>
  <c r="H680" i="2"/>
  <c r="H667" i="2"/>
  <c r="H666" i="2"/>
  <c r="H660" i="2"/>
  <c r="H656" i="2"/>
  <c r="H633" i="2"/>
  <c r="H627" i="2"/>
  <c r="H626" i="2"/>
  <c r="F618" i="2"/>
  <c r="F605" i="2"/>
  <c r="H605" i="2"/>
  <c r="H601" i="2"/>
  <c r="F593" i="2"/>
  <c r="H593" i="2"/>
  <c r="H591" i="2"/>
  <c r="F592" i="2"/>
  <c r="H577" i="2"/>
  <c r="H550" i="2"/>
  <c r="F536" i="2"/>
  <c r="H536" i="2"/>
  <c r="H537" i="2"/>
  <c r="F524" i="2"/>
  <c r="H524" i="2"/>
  <c r="F508" i="2"/>
  <c r="H508" i="2"/>
  <c r="H458" i="2"/>
  <c r="F444" i="2"/>
  <c r="H444" i="2"/>
  <c r="H441" i="2"/>
  <c r="F429" i="2"/>
  <c r="H429" i="2"/>
  <c r="H411" i="2"/>
  <c r="H410" i="2"/>
  <c r="F411" i="2"/>
  <c r="H399" i="2"/>
  <c r="F399" i="2"/>
  <c r="F400" i="2"/>
  <c r="F868" i="2"/>
  <c r="F861" i="2"/>
  <c r="F836" i="2"/>
  <c r="F829" i="2"/>
  <c r="F804" i="2"/>
  <c r="F797" i="2"/>
  <c r="F773" i="2"/>
  <c r="F746" i="2"/>
  <c r="F704" i="2"/>
  <c r="F682" i="2"/>
  <c r="F620" i="2"/>
  <c r="H620" i="2"/>
  <c r="H606" i="2"/>
  <c r="H604" i="2"/>
  <c r="H600" i="2"/>
  <c r="F595" i="2"/>
  <c r="H595" i="2"/>
  <c r="H581" i="2"/>
  <c r="F581" i="2"/>
  <c r="F510" i="2"/>
  <c r="H510" i="2"/>
  <c r="F497" i="2"/>
  <c r="H497" i="2"/>
  <c r="F498" i="2"/>
  <c r="H495" i="2"/>
  <c r="F496" i="2"/>
  <c r="F477" i="2"/>
  <c r="H477" i="2"/>
  <c r="F478" i="2"/>
  <c r="F412" i="2"/>
  <c r="H412" i="2"/>
  <c r="H413" i="2"/>
  <c r="F401" i="2"/>
  <c r="H401" i="2"/>
  <c r="H402" i="2"/>
  <c r="H388" i="2"/>
  <c r="F388" i="2"/>
  <c r="F389" i="2"/>
  <c r="F369" i="2"/>
  <c r="H369" i="2"/>
  <c r="H370" i="2"/>
  <c r="H341" i="2"/>
  <c r="F341" i="2"/>
  <c r="H342" i="2"/>
  <c r="H930" i="2"/>
  <c r="H898" i="2"/>
  <c r="H866" i="2"/>
  <c r="F842" i="2"/>
  <c r="H834" i="2"/>
  <c r="F810" i="2"/>
  <c r="H802" i="2"/>
  <c r="F778" i="2"/>
  <c r="F762" i="2"/>
  <c r="F751" i="2"/>
  <c r="F748" i="2"/>
  <c r="F742" i="2"/>
  <c r="F729" i="2"/>
  <c r="F709" i="2"/>
  <c r="F698" i="2"/>
  <c r="F687" i="2"/>
  <c r="F684" i="2"/>
  <c r="F678" i="2"/>
  <c r="F665" i="2"/>
  <c r="F645" i="2"/>
  <c r="F634" i="2"/>
  <c r="F597" i="2"/>
  <c r="H566" i="2"/>
  <c r="F567" i="2"/>
  <c r="F550" i="2"/>
  <c r="H539" i="2"/>
  <c r="H538" i="2"/>
  <c r="F539" i="2"/>
  <c r="F481" i="2"/>
  <c r="H481" i="2"/>
  <c r="F482" i="2"/>
  <c r="H462" i="2"/>
  <c r="F462" i="2"/>
  <c r="F463" i="2"/>
  <c r="F443" i="2"/>
  <c r="H416" i="2"/>
  <c r="F416" i="2"/>
  <c r="H375" i="2"/>
  <c r="F375" i="2"/>
  <c r="F757" i="2"/>
  <c r="F753" i="2"/>
  <c r="H753" i="2"/>
  <c r="F733" i="2"/>
  <c r="H733" i="2"/>
  <c r="F711" i="2"/>
  <c r="H711" i="2"/>
  <c r="F693" i="2"/>
  <c r="F689" i="2"/>
  <c r="H689" i="2"/>
  <c r="F669" i="2"/>
  <c r="H669" i="2"/>
  <c r="F647" i="2"/>
  <c r="H647" i="2"/>
  <c r="F629" i="2"/>
  <c r="F625" i="2"/>
  <c r="H625" i="2"/>
  <c r="H610" i="2"/>
  <c r="F610" i="2"/>
  <c r="H596" i="2"/>
  <c r="F568" i="2"/>
  <c r="H568" i="2"/>
  <c r="F556" i="2"/>
  <c r="H556" i="2"/>
  <c r="F540" i="2"/>
  <c r="H540" i="2"/>
  <c r="F418" i="2"/>
  <c r="H418" i="2"/>
  <c r="F390" i="2"/>
  <c r="H390" i="2"/>
  <c r="H722" i="2"/>
  <c r="H658" i="2"/>
  <c r="F619" i="2"/>
  <c r="H578" i="2"/>
  <c r="F572" i="2"/>
  <c r="H572" i="2"/>
  <c r="H571" i="2"/>
  <c r="H570" i="2"/>
  <c r="H557" i="2"/>
  <c r="F542" i="2"/>
  <c r="H542" i="2"/>
  <c r="F529" i="2"/>
  <c r="H529" i="2"/>
  <c r="F530" i="2"/>
  <c r="H527" i="2"/>
  <c r="F528" i="2"/>
  <c r="H517" i="2"/>
  <c r="F517" i="2"/>
  <c r="F511" i="2"/>
  <c r="H482" i="2"/>
  <c r="H453" i="2"/>
  <c r="F453" i="2"/>
  <c r="H419" i="2"/>
  <c r="H417" i="2"/>
  <c r="F381" i="2"/>
  <c r="H381" i="2"/>
  <c r="F382" i="2"/>
  <c r="H376" i="2"/>
  <c r="F358" i="2"/>
  <c r="H358" i="2"/>
  <c r="F334" i="2"/>
  <c r="H334" i="2"/>
  <c r="F270" i="2"/>
  <c r="H270" i="2"/>
  <c r="H271" i="2"/>
  <c r="F435" i="2"/>
  <c r="F434" i="2"/>
  <c r="H430" i="2"/>
  <c r="F425" i="2"/>
  <c r="H423" i="2"/>
  <c r="F423" i="2"/>
  <c r="H409" i="2"/>
  <c r="F398" i="2"/>
  <c r="F338" i="2"/>
  <c r="H338" i="2"/>
  <c r="H324" i="2"/>
  <c r="F324" i="2"/>
  <c r="H323" i="2"/>
  <c r="F320" i="2"/>
  <c r="F319" i="2"/>
  <c r="F304" i="2"/>
  <c r="F303" i="2"/>
  <c r="H303" i="2"/>
  <c r="F166" i="2"/>
  <c r="H166" i="2"/>
  <c r="H594" i="2"/>
  <c r="F573" i="2"/>
  <c r="F555" i="2"/>
  <c r="F541" i="2"/>
  <c r="F535" i="2"/>
  <c r="F523" i="2"/>
  <c r="F509" i="2"/>
  <c r="F503" i="2"/>
  <c r="F465" i="2"/>
  <c r="H465" i="2"/>
  <c r="F461" i="2"/>
  <c r="F445" i="2"/>
  <c r="H439" i="2"/>
  <c r="H435" i="2"/>
  <c r="H422" i="2"/>
  <c r="F407" i="2"/>
  <c r="F387" i="2"/>
  <c r="F376" i="2"/>
  <c r="F368" i="2"/>
  <c r="F366" i="2"/>
  <c r="H335" i="2"/>
  <c r="H308" i="2"/>
  <c r="F308" i="2"/>
  <c r="F307" i="2"/>
  <c r="H307" i="2"/>
  <c r="F278" i="2"/>
  <c r="H278" i="2"/>
  <c r="F206" i="2"/>
  <c r="H206" i="2"/>
  <c r="H207" i="2"/>
  <c r="F176" i="2"/>
  <c r="H176" i="2"/>
  <c r="F175" i="2"/>
  <c r="H175" i="2"/>
  <c r="F764" i="2"/>
  <c r="F732" i="2"/>
  <c r="F700" i="2"/>
  <c r="F668" i="2"/>
  <c r="F636" i="2"/>
  <c r="F604" i="2"/>
  <c r="F576" i="2"/>
  <c r="F514" i="2"/>
  <c r="F485" i="2"/>
  <c r="H463" i="2"/>
  <c r="F454" i="2"/>
  <c r="F450" i="2"/>
  <c r="F431" i="2"/>
  <c r="F426" i="2"/>
  <c r="F417" i="2"/>
  <c r="F403" i="2"/>
  <c r="F402" i="2"/>
  <c r="H398" i="2"/>
  <c r="F393" i="2"/>
  <c r="H391" i="2"/>
  <c r="F391" i="2"/>
  <c r="H389" i="2"/>
  <c r="H377" i="2"/>
  <c r="H359" i="2"/>
  <c r="F359" i="2"/>
  <c r="F355" i="2"/>
  <c r="F342" i="2"/>
  <c r="H339" i="2"/>
  <c r="H602" i="2"/>
  <c r="F569" i="2"/>
  <c r="H567" i="2"/>
  <c r="F537" i="2"/>
  <c r="H535" i="2"/>
  <c r="F505" i="2"/>
  <c r="H503" i="2"/>
  <c r="H475" i="2"/>
  <c r="H474" i="2"/>
  <c r="F472" i="2"/>
  <c r="F446" i="2"/>
  <c r="F433" i="2"/>
  <c r="H433" i="2"/>
  <c r="F413" i="2"/>
  <c r="H407" i="2"/>
  <c r="F371" i="2"/>
  <c r="F370" i="2"/>
  <c r="H366" i="2"/>
  <c r="H309" i="2"/>
  <c r="F309" i="2"/>
  <c r="H279" i="2"/>
  <c r="F248" i="2"/>
  <c r="F247" i="2"/>
  <c r="H247" i="2"/>
  <c r="F214" i="2"/>
  <c r="H214" i="2"/>
  <c r="F772" i="2"/>
  <c r="F740" i="2"/>
  <c r="F708" i="2"/>
  <c r="F676" i="2"/>
  <c r="F644" i="2"/>
  <c r="F612" i="2"/>
  <c r="H583" i="2"/>
  <c r="F583" i="2"/>
  <c r="F553" i="2"/>
  <c r="H551" i="2"/>
  <c r="F551" i="2"/>
  <c r="F521" i="2"/>
  <c r="H519" i="2"/>
  <c r="F519" i="2"/>
  <c r="F489" i="2"/>
  <c r="H487" i="2"/>
  <c r="F487" i="2"/>
  <c r="H485" i="2"/>
  <c r="H473" i="2"/>
  <c r="F464" i="2"/>
  <c r="H431" i="2"/>
  <c r="F422" i="2"/>
  <c r="H408" i="2"/>
  <c r="F394" i="2"/>
  <c r="F385" i="2"/>
  <c r="H371" i="2"/>
  <c r="F353" i="2"/>
  <c r="H300" i="2"/>
  <c r="F300" i="2"/>
  <c r="F299" i="2"/>
  <c r="H299" i="2"/>
  <c r="H252" i="2"/>
  <c r="F251" i="2"/>
  <c r="F252" i="2"/>
  <c r="H251" i="2"/>
  <c r="F473" i="2"/>
  <c r="F441" i="2"/>
  <c r="F409" i="2"/>
  <c r="H378" i="2"/>
  <c r="F377" i="2"/>
  <c r="F343" i="2"/>
  <c r="F339" i="2"/>
  <c r="F333" i="2"/>
  <c r="H316" i="2"/>
  <c r="F316" i="2"/>
  <c r="F312" i="2"/>
  <c r="F311" i="2"/>
  <c r="F286" i="2"/>
  <c r="H286" i="2"/>
  <c r="H260" i="2"/>
  <c r="F259" i="2"/>
  <c r="F260" i="2"/>
  <c r="F256" i="2"/>
  <c r="F255" i="2"/>
  <c r="F232" i="2"/>
  <c r="F231" i="2"/>
  <c r="H231" i="2"/>
  <c r="F222" i="2"/>
  <c r="H222" i="2"/>
  <c r="F195" i="2"/>
  <c r="F196" i="2"/>
  <c r="F192" i="2"/>
  <c r="H192" i="2"/>
  <c r="F191" i="2"/>
  <c r="F99" i="2"/>
  <c r="H99" i="2"/>
  <c r="F59" i="2"/>
  <c r="H59" i="2"/>
  <c r="F120" i="2"/>
  <c r="H120" i="2"/>
  <c r="F119" i="2"/>
  <c r="H119" i="2"/>
  <c r="F335" i="2"/>
  <c r="F336" i="2"/>
  <c r="H332" i="2"/>
  <c r="F332" i="2"/>
  <c r="F328" i="2"/>
  <c r="F327" i="2"/>
  <c r="F302" i="2"/>
  <c r="H302" i="2"/>
  <c r="H287" i="2"/>
  <c r="F285" i="2"/>
  <c r="F179" i="2"/>
  <c r="H179" i="2"/>
  <c r="F123" i="2"/>
  <c r="H123" i="2"/>
  <c r="F124" i="2"/>
  <c r="H575" i="2"/>
  <c r="H543" i="2"/>
  <c r="H511" i="2"/>
  <c r="H479" i="2"/>
  <c r="H447" i="2"/>
  <c r="H415" i="2"/>
  <c r="H383" i="2"/>
  <c r="H351" i="2"/>
  <c r="F346" i="2"/>
  <c r="F340" i="2"/>
  <c r="F310" i="2"/>
  <c r="H310" i="2"/>
  <c r="H304" i="2"/>
  <c r="F293" i="2"/>
  <c r="F240" i="2"/>
  <c r="F239" i="2"/>
  <c r="H239" i="2"/>
  <c r="F230" i="2"/>
  <c r="H230" i="2"/>
  <c r="H159" i="2"/>
  <c r="F361" i="2"/>
  <c r="H344" i="2"/>
  <c r="F318" i="2"/>
  <c r="H318" i="2"/>
  <c r="H315" i="2"/>
  <c r="H312" i="2"/>
  <c r="H256" i="2"/>
  <c r="F243" i="2"/>
  <c r="H243" i="2"/>
  <c r="F184" i="2"/>
  <c r="H184" i="2"/>
  <c r="F183" i="2"/>
  <c r="H183" i="2"/>
  <c r="F142" i="2"/>
  <c r="H142" i="2"/>
  <c r="F326" i="2"/>
  <c r="H326" i="2"/>
  <c r="H320" i="2"/>
  <c r="H311" i="2"/>
  <c r="F262" i="2"/>
  <c r="H262" i="2"/>
  <c r="H259" i="2"/>
  <c r="H255" i="2"/>
  <c r="H223" i="2"/>
  <c r="H195" i="2"/>
  <c r="H191" i="2"/>
  <c r="F187" i="2"/>
  <c r="H187" i="2"/>
  <c r="F188" i="2"/>
  <c r="F180" i="2"/>
  <c r="F150" i="2"/>
  <c r="H150" i="2"/>
  <c r="F131" i="2"/>
  <c r="F132" i="2"/>
  <c r="F128" i="2"/>
  <c r="H128" i="2"/>
  <c r="F127" i="2"/>
  <c r="F67" i="2"/>
  <c r="H67" i="2"/>
  <c r="F296" i="2"/>
  <c r="F295" i="2"/>
  <c r="F288" i="2"/>
  <c r="F287" i="2"/>
  <c r="F280" i="2"/>
  <c r="F279" i="2"/>
  <c r="F272" i="2"/>
  <c r="F271" i="2"/>
  <c r="F264" i="2"/>
  <c r="F263" i="2"/>
  <c r="F238" i="2"/>
  <c r="H238" i="2"/>
  <c r="H236" i="2"/>
  <c r="H232" i="2"/>
  <c r="H227" i="2"/>
  <c r="F200" i="2"/>
  <c r="H200" i="2"/>
  <c r="F199" i="2"/>
  <c r="F174" i="2"/>
  <c r="H174" i="2"/>
  <c r="H172" i="2"/>
  <c r="H163" i="2"/>
  <c r="F136" i="2"/>
  <c r="H136" i="2"/>
  <c r="F135" i="2"/>
  <c r="H116" i="2"/>
  <c r="F75" i="2"/>
  <c r="H75" i="2"/>
  <c r="F19" i="2"/>
  <c r="H19" i="2"/>
  <c r="F292" i="2"/>
  <c r="F284" i="2"/>
  <c r="F276" i="2"/>
  <c r="F268" i="2"/>
  <c r="F246" i="2"/>
  <c r="H246" i="2"/>
  <c r="H244" i="2"/>
  <c r="H240" i="2"/>
  <c r="F208" i="2"/>
  <c r="H208" i="2"/>
  <c r="F207" i="2"/>
  <c r="F182" i="2"/>
  <c r="H182" i="2"/>
  <c r="H180" i="2"/>
  <c r="F144" i="2"/>
  <c r="H144" i="2"/>
  <c r="F143" i="2"/>
  <c r="H92" i="2"/>
  <c r="H44" i="2"/>
  <c r="F254" i="2"/>
  <c r="H254" i="2"/>
  <c r="H248" i="2"/>
  <c r="F216" i="2"/>
  <c r="H216" i="2"/>
  <c r="F215" i="2"/>
  <c r="F190" i="2"/>
  <c r="H190" i="2"/>
  <c r="H188" i="2"/>
  <c r="F152" i="2"/>
  <c r="H152" i="2"/>
  <c r="F151" i="2"/>
  <c r="F140" i="2"/>
  <c r="F126" i="2"/>
  <c r="H126" i="2"/>
  <c r="H124" i="2"/>
  <c r="F83" i="2"/>
  <c r="H83" i="2"/>
  <c r="H52" i="2"/>
  <c r="F27" i="2"/>
  <c r="H27" i="2"/>
  <c r="F224" i="2"/>
  <c r="H224" i="2"/>
  <c r="F223" i="2"/>
  <c r="F198" i="2"/>
  <c r="H198" i="2"/>
  <c r="H196" i="2"/>
  <c r="F160" i="2"/>
  <c r="H160" i="2"/>
  <c r="F159" i="2"/>
  <c r="F134" i="2"/>
  <c r="H134" i="2"/>
  <c r="H132" i="2"/>
  <c r="F112" i="2"/>
  <c r="H112" i="2"/>
  <c r="F111" i="2"/>
  <c r="H100" i="2"/>
  <c r="H60" i="2"/>
  <c r="F35" i="2"/>
  <c r="H35" i="2"/>
  <c r="F116" i="2"/>
  <c r="H114" i="2"/>
  <c r="F108" i="2"/>
  <c r="H106" i="2"/>
  <c r="F100" i="2"/>
  <c r="H98" i="2"/>
  <c r="F92" i="2"/>
  <c r="H90" i="2"/>
  <c r="F84" i="2"/>
  <c r="H82" i="2"/>
  <c r="F76" i="2"/>
  <c r="F68" i="2"/>
  <c r="F60" i="2"/>
  <c r="F52" i="2"/>
  <c r="F44" i="2"/>
  <c r="F36" i="2"/>
  <c r="F28" i="2"/>
  <c r="F20" i="2"/>
  <c r="F12" i="2"/>
  <c r="F4" i="2"/>
  <c r="F103" i="2"/>
  <c r="H101" i="2"/>
  <c r="H93" i="2"/>
  <c r="H85" i="2"/>
  <c r="H77" i="2"/>
  <c r="H69" i="2"/>
  <c r="H61" i="2"/>
  <c r="H53" i="2"/>
  <c r="H45" i="2"/>
  <c r="H37" i="2"/>
  <c r="H29" i="2"/>
  <c r="F23" i="2"/>
  <c r="F15" i="2"/>
  <c r="H5" i="2"/>
  <c r="H104" i="2"/>
  <c r="F21" i="2"/>
  <c r="F13" i="2"/>
  <c r="H11" i="2"/>
  <c r="H3" i="2"/>
  <c r="H118" i="2"/>
  <c r="H6" i="2"/>
</calcChain>
</file>

<file path=xl/sharedStrings.xml><?xml version="1.0" encoding="utf-8"?>
<sst xmlns="http://schemas.openxmlformats.org/spreadsheetml/2006/main" count="10055" uniqueCount="57">
  <si>
    <t>Company</t>
  </si>
  <si>
    <t>Year</t>
  </si>
  <si>
    <t>Metric</t>
  </si>
  <si>
    <t>Value</t>
  </si>
  <si>
    <t>CNQ</t>
  </si>
  <si>
    <t>Total Revenue</t>
  </si>
  <si>
    <t>EBITDA</t>
  </si>
  <si>
    <t>EBIT</t>
  </si>
  <si>
    <t>Net Income</t>
  </si>
  <si>
    <t>Diluted EPS</t>
  </si>
  <si>
    <t>Pretax Income</t>
  </si>
  <si>
    <t>Tax Provision</t>
  </si>
  <si>
    <t>CVE</t>
  </si>
  <si>
    <t>SU</t>
  </si>
  <si>
    <t>IMO</t>
  </si>
  <si>
    <t>Free Cash Flow</t>
  </si>
  <si>
    <t>Operating Cash Flow</t>
  </si>
  <si>
    <t>Capital Expenditure</t>
  </si>
  <si>
    <t>Cash Dividends Paid</t>
  </si>
  <si>
    <t>Repurchase Of Capital Stock</t>
  </si>
  <si>
    <t>Total Debt</t>
  </si>
  <si>
    <t>Cash And Cash Equivalents</t>
  </si>
  <si>
    <t>Ordinary Shares Number</t>
  </si>
  <si>
    <t>Date</t>
  </si>
  <si>
    <t>Close</t>
  </si>
  <si>
    <t xml:space="preserve">Company </t>
  </si>
  <si>
    <t>Price</t>
  </si>
  <si>
    <t xml:space="preserve">Shares Outstanding </t>
  </si>
  <si>
    <t>Cash</t>
  </si>
  <si>
    <t>Market Cap</t>
  </si>
  <si>
    <t xml:space="preserve">Enterprise Value </t>
  </si>
  <si>
    <t>EV/EBITDA</t>
  </si>
  <si>
    <t xml:space="preserve">CNQ </t>
  </si>
  <si>
    <t>Peer Average EV/EBITDA (2022-2025)</t>
  </si>
  <si>
    <t>Peer Average (CVE, SU, IMO only)</t>
  </si>
  <si>
    <t>CNQ Average Total Debt (2022-2025)</t>
  </si>
  <si>
    <t>CNQ Average Cash (2022-2025)</t>
  </si>
  <si>
    <t>CNQ Average EBITDA (2022-2025)</t>
  </si>
  <si>
    <t>CNQ Average Shares Outstanding</t>
  </si>
  <si>
    <t>Implied Enterprise Value</t>
  </si>
  <si>
    <t>Implied Market Cap</t>
  </si>
  <si>
    <t>Implied Share Price</t>
  </si>
  <si>
    <t>Premium to peer-implied fair value</t>
  </si>
  <si>
    <t>Revenue</t>
  </si>
  <si>
    <t>Revenue Growth %</t>
  </si>
  <si>
    <t>EBITDA Growth %</t>
  </si>
  <si>
    <t>Price Growth %</t>
  </si>
  <si>
    <t>Indexed EBITDA</t>
  </si>
  <si>
    <t>Indexed Price</t>
  </si>
  <si>
    <t xml:space="preserve">Year </t>
  </si>
  <si>
    <t xml:space="preserve">Avg Oil Price </t>
  </si>
  <si>
    <t>Forcast of 2026</t>
  </si>
  <si>
    <t xml:space="preserve">Actual of 2026 </t>
  </si>
  <si>
    <t>Daily Stock Price Sensitivity &amp; Oil Beta (2022–2026)</t>
  </si>
  <si>
    <t>Stock Move per $1 Oil ($)</t>
  </si>
  <si>
    <t>Oil Beta (% Move / 1% Oil)</t>
  </si>
  <si>
    <t>R-Squared (R²)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</si>
</sst>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$&quot;#,##0.00"/>
    <numFmt numFmtId="170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indent="1"/>
    </xf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 applyAlignment="1">
      <alignment horizontal="left" indent="1"/>
    </xf>
    <xf numFmtId="0" fontId="2" fillId="0" borderId="1" xfId="0" applyFont="1" applyBorder="1"/>
    <xf numFmtId="165" fontId="0" fillId="0" borderId="1" xfId="0" applyNumberFormat="1" applyBorder="1"/>
    <xf numFmtId="0" fontId="4" fillId="0" borderId="1" xfId="0" applyFont="1" applyBorder="1"/>
    <xf numFmtId="4" fontId="0" fillId="0" borderId="1" xfId="0" applyNumberFormat="1" applyBorder="1"/>
    <xf numFmtId="0" fontId="3" fillId="2" borderId="1" xfId="0" applyFont="1" applyFill="1" applyBorder="1"/>
    <xf numFmtId="0" fontId="3" fillId="2" borderId="0" xfId="0" applyFont="1" applyFill="1"/>
    <xf numFmtId="10" fontId="0" fillId="0" borderId="1" xfId="0" applyNumberFormat="1" applyBorder="1"/>
    <xf numFmtId="0" fontId="3" fillId="0" borderId="0" xfId="0" applyFont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CNQ: Indexed EBITDA vs. Price (2022=100)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Price_vs_Fundamentals!$C$20</c:f>
              <c:strCache>
                <c:ptCount val="1"/>
                <c:pt idx="0">
                  <c:v>Indexed 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Price_vs_Fundamentals!$B$21:$B$24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Price_vs_Fundamentals!$C$21:$C$24</c:f>
              <c:numCache>
                <c:formatCode>General</c:formatCode>
                <c:ptCount val="4"/>
                <c:pt idx="0">
                  <c:v>100</c:v>
                </c:pt>
                <c:pt idx="1">
                  <c:v>79.481750816955866</c:v>
                </c:pt>
                <c:pt idx="2">
                  <c:v>70.93938417637041</c:v>
                </c:pt>
                <c:pt idx="3">
                  <c:v>100.73641091729183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0-8842-A0E3-8AD89F803E5B}"/>
            </c:ext>
          </c:extLst>
        </c:ser>
        <c:ser>
          <c:idx val="2"/>
          <c:order val="1"/>
          <c:tx>
            <c:strRef>
              <c:f>Price_vs_Fundamentals!$D$20</c:f>
              <c:strCache>
                <c:ptCount val="1"/>
                <c:pt idx="0">
                  <c:v>Indexed 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Price_vs_Fundamentals!$B$21:$B$24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Price_vs_Fundamentals!$D$21:$D$24</c:f>
              <c:numCache>
                <c:formatCode>General</c:formatCode>
                <c:ptCount val="4"/>
                <c:pt idx="0">
                  <c:v>100</c:v>
                </c:pt>
                <c:pt idx="1">
                  <c:v>121.06265777721414</c:v>
                </c:pt>
                <c:pt idx="2">
                  <c:v>129.66486356183009</c:v>
                </c:pt>
                <c:pt idx="3">
                  <c:v>143.18041870339295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0-8842-A0E3-8AD89F803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386991"/>
        <c:axId val="895223087"/>
      </c:lineChart>
      <c:catAx>
        <c:axId val="89538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23087"/>
        <c:crosses val="autoZero"/>
        <c:auto val="1"/>
        <c:lblAlgn val="ctr"/>
        <c:lblOffset val="100"/>
        <c:noMultiLvlLbl val="0"/>
      </c:catAx>
      <c:valAx>
        <c:axId val="89522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38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CVE: Indexed EBITDA vs. Price  (2022=100)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Price_vs_Fundamentals!$C$20</c:f>
              <c:strCache>
                <c:ptCount val="1"/>
                <c:pt idx="0">
                  <c:v>Indexed 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Price_vs_Fundamentals!$B$25:$B$28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Price_vs_Fundamentals!$C$25:$C$28</c:f>
              <c:numCache>
                <c:formatCode>General</c:formatCode>
                <c:ptCount val="4"/>
                <c:pt idx="0">
                  <c:v>100</c:v>
                </c:pt>
                <c:pt idx="1">
                  <c:v>73.175362115033053</c:v>
                </c:pt>
                <c:pt idx="2">
                  <c:v>67.437772465194769</c:v>
                </c:pt>
                <c:pt idx="3">
                  <c:v>72.633947405428216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9C-F34B-98E9-4759F67F92F5}"/>
            </c:ext>
          </c:extLst>
        </c:ser>
        <c:ser>
          <c:idx val="2"/>
          <c:order val="1"/>
          <c:tx>
            <c:strRef>
              <c:f>Price_vs_Fundamentals!$D$20</c:f>
              <c:strCache>
                <c:ptCount val="1"/>
                <c:pt idx="0">
                  <c:v>Indexed 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Price_vs_Fundamentals!$B$25:$B$28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Price_vs_Fundamentals!$D$25:$D$28</c:f>
              <c:numCache>
                <c:formatCode>General</c:formatCode>
                <c:ptCount val="4"/>
                <c:pt idx="0">
                  <c:v>100</c:v>
                </c:pt>
                <c:pt idx="1">
                  <c:v>85.930864586136821</c:v>
                </c:pt>
                <c:pt idx="2">
                  <c:v>87.763912846536144</c:v>
                </c:pt>
                <c:pt idx="3">
                  <c:v>97.002614113698399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C-F34B-98E9-4759F67F9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319279"/>
        <c:axId val="918143903"/>
      </c:lineChart>
      <c:catAx>
        <c:axId val="95431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43903"/>
        <c:crosses val="autoZero"/>
        <c:auto val="1"/>
        <c:lblAlgn val="ctr"/>
        <c:lblOffset val="100"/>
        <c:noMultiLvlLbl val="0"/>
      </c:catAx>
      <c:valAx>
        <c:axId val="9181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1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SU: Indexed</a:t>
            </a:r>
            <a:r>
              <a:rPr lang="en-US" baseline="0"/>
              <a:t> EBITDA vs. Price (2022=100)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Price_vs_Fundamentals!$C$20</c:f>
              <c:strCache>
                <c:ptCount val="1"/>
                <c:pt idx="0">
                  <c:v>Indexed 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Price_vs_Fundamentals!$B$29:$B$32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Price_vs_Fundamentals!$C$29:$C$32</c:f>
              <c:numCache>
                <c:formatCode>General</c:formatCode>
                <c:ptCount val="4"/>
                <c:pt idx="0">
                  <c:v>100</c:v>
                </c:pt>
                <c:pt idx="1">
                  <c:v>80.925118138858593</c:v>
                </c:pt>
                <c:pt idx="2">
                  <c:v>71.951108687749908</c:v>
                </c:pt>
                <c:pt idx="3">
                  <c:v>70.91512177390041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99-EB44-838F-3060665F6B26}"/>
            </c:ext>
          </c:extLst>
        </c:ser>
        <c:ser>
          <c:idx val="2"/>
          <c:order val="1"/>
          <c:tx>
            <c:strRef>
              <c:f>Price_vs_Fundamentals!$D$20</c:f>
              <c:strCache>
                <c:ptCount val="1"/>
                <c:pt idx="0">
                  <c:v>Indexed 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Price_vs_Fundamentals!$B$29:$B$32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Price_vs_Fundamentals!$D$29:$D$32</c:f>
              <c:numCache>
                <c:formatCode>General</c:formatCode>
                <c:ptCount val="4"/>
                <c:pt idx="0">
                  <c:v>100</c:v>
                </c:pt>
                <c:pt idx="1">
                  <c:v>103.72608965136936</c:v>
                </c:pt>
                <c:pt idx="2">
                  <c:v>126.14103731354909</c:v>
                </c:pt>
                <c:pt idx="3">
                  <c:v>123.8530944956042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99-EB44-838F-3060665F6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352639"/>
        <c:axId val="1021893951"/>
      </c:lineChart>
      <c:catAx>
        <c:axId val="102135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93951"/>
        <c:crosses val="autoZero"/>
        <c:auto val="1"/>
        <c:lblAlgn val="ctr"/>
        <c:lblOffset val="100"/>
        <c:noMultiLvlLbl val="0"/>
      </c:catAx>
      <c:valAx>
        <c:axId val="10218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5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IMO:</a:t>
            </a:r>
            <a:r>
              <a:rPr lang="en-US" baseline="0"/>
              <a:t> Indexed EBITDA vs. Price (2022=100)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Price_vs_Fundamentals!$C$20</c:f>
              <c:strCache>
                <c:ptCount val="1"/>
                <c:pt idx="0">
                  <c:v>Indexed 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Price_vs_Fundamentals!$B$33:$B$36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Price_vs_Fundamentals!$C$33:$C$36</c:f>
              <c:numCache>
                <c:formatCode>General</c:formatCode>
                <c:ptCount val="4"/>
                <c:pt idx="0">
                  <c:v>100</c:v>
                </c:pt>
                <c:pt idx="1">
                  <c:v>72.939428371645832</c:v>
                </c:pt>
                <c:pt idx="2">
                  <c:v>72.222707805261777</c:v>
                </c:pt>
                <c:pt idx="3">
                  <c:v>60.020977187308802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1-3646-BBDB-60E673ACB419}"/>
            </c:ext>
          </c:extLst>
        </c:ser>
        <c:ser>
          <c:idx val="2"/>
          <c:order val="1"/>
          <c:tx>
            <c:strRef>
              <c:f>Price_vs_Fundamentals!$D$20</c:f>
              <c:strCache>
                <c:ptCount val="1"/>
                <c:pt idx="0">
                  <c:v>Indexed 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Price_vs_Fundamentals!$B$33:$B$36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Price_vs_Fundamentals!$D$33:$D$36</c:f>
              <c:numCache>
                <c:formatCode>General</c:formatCode>
                <c:ptCount val="4"/>
                <c:pt idx="0">
                  <c:v>100</c:v>
                </c:pt>
                <c:pt idx="1">
                  <c:v>117.63729524589681</c:v>
                </c:pt>
                <c:pt idx="2">
                  <c:v>120.36966758803771</c:v>
                </c:pt>
                <c:pt idx="3">
                  <c:v>137.39883731115458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1-3646-BBDB-60E673ACB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248879"/>
        <c:axId val="1028246719"/>
      </c:lineChart>
      <c:catAx>
        <c:axId val="102824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46719"/>
        <c:crosses val="autoZero"/>
        <c:auto val="1"/>
        <c:lblAlgn val="ctr"/>
        <c:lblOffset val="100"/>
        <c:noMultiLvlLbl val="0"/>
      </c:catAx>
      <c:valAx>
        <c:axId val="102824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4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37</xdr:row>
      <xdr:rowOff>120650</xdr:rowOff>
    </xdr:from>
    <xdr:to>
      <xdr:col>2</xdr:col>
      <xdr:colOff>1549400</xdr:colOff>
      <xdr:row>52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3F0708-BE56-0CB3-9EE3-54F11056C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1555750</xdr:colOff>
      <xdr:row>37</xdr:row>
      <xdr:rowOff>120650</xdr:rowOff>
    </xdr:from>
    <xdr:to>
      <xdr:col>5</xdr:col>
      <xdr:colOff>1168400</xdr:colOff>
      <xdr:row>52</xdr:row>
      <xdr:rowOff>6350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8F9A17E-1E35-B72B-D448-C53844B33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52</xdr:row>
      <xdr:rowOff>19050</xdr:rowOff>
    </xdr:from>
    <xdr:to>
      <xdr:col>2</xdr:col>
      <xdr:colOff>1549400</xdr:colOff>
      <xdr:row>66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804E67B-07F9-BB24-8E74-947E4CCA8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1543050</xdr:colOff>
      <xdr:row>52</xdr:row>
      <xdr:rowOff>31750</xdr:rowOff>
    </xdr:from>
    <xdr:to>
      <xdr:col>5</xdr:col>
      <xdr:colOff>1206500</xdr:colOff>
      <xdr:row>66</xdr:row>
      <xdr:rowOff>107950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EDE9220-E526-F183-8D55-B7A1AD5BB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93B2-F6BB-234A-BA8F-EF5E1152867A}">
  <dimension ref="A1:J33"/>
  <sheetViews>
    <sheetView tabSelected="1" workbookViewId="0">
      <selection activeCell="G25" sqref="G25"/>
    </sheetView>
  </sheetViews>
  <sheetFormatPr baseColWidth="10" defaultRowHeight="15" x14ac:dyDescent="0.2"/>
  <cols>
    <col min="1" max="1" width="34.1640625" customWidth="1"/>
    <col min="2" max="2" width="26.6640625" customWidth="1"/>
    <col min="3" max="3" width="38.1640625" customWidth="1"/>
    <col min="4" max="4" width="21.5" customWidth="1"/>
    <col min="5" max="5" width="22.83203125" customWidth="1"/>
    <col min="6" max="6" width="20.6640625" customWidth="1"/>
    <col min="7" max="7" width="16.83203125" customWidth="1"/>
    <col min="8" max="8" width="22.83203125" customWidth="1"/>
    <col min="9" max="9" width="21.83203125" customWidth="1"/>
    <col min="10" max="10" width="14.33203125" customWidth="1"/>
  </cols>
  <sheetData>
    <row r="1" spans="1:10" x14ac:dyDescent="0.2">
      <c r="A1" s="4" t="s">
        <v>25</v>
      </c>
      <c r="B1" s="4" t="s">
        <v>1</v>
      </c>
      <c r="C1" s="4" t="s">
        <v>26</v>
      </c>
      <c r="D1" s="4" t="s">
        <v>27</v>
      </c>
      <c r="E1" s="4" t="s">
        <v>20</v>
      </c>
      <c r="F1" s="4" t="s">
        <v>28</v>
      </c>
      <c r="G1" s="4" t="s">
        <v>6</v>
      </c>
      <c r="H1" s="4" t="s">
        <v>29</v>
      </c>
      <c r="I1" s="4" t="s">
        <v>30</v>
      </c>
      <c r="J1" s="4" t="s">
        <v>31</v>
      </c>
    </row>
    <row r="2" spans="1:10" x14ac:dyDescent="0.2">
      <c r="A2" s="4" t="s">
        <v>32</v>
      </c>
      <c r="B2" s="5">
        <v>2022</v>
      </c>
      <c r="C2" s="6">
        <v>31.55422401428223</v>
      </c>
      <c r="D2" s="7">
        <v>2205272000</v>
      </c>
      <c r="E2" s="5">
        <v>11445000000</v>
      </c>
      <c r="F2" s="5">
        <v>920000000</v>
      </c>
      <c r="G2" s="5">
        <v>21727000000</v>
      </c>
      <c r="H2" s="8">
        <f>C2*D2</f>
        <v>69585646700.42421</v>
      </c>
      <c r="I2" s="8">
        <f>H2+E2-F2</f>
        <v>80110646700.42421</v>
      </c>
      <c r="J2" s="8">
        <f>I2/G2</f>
        <v>3.6871471763439136</v>
      </c>
    </row>
    <row r="3" spans="1:10" x14ac:dyDescent="0.2">
      <c r="A3" s="4" t="s">
        <v>32</v>
      </c>
      <c r="B3" s="5">
        <v>2023</v>
      </c>
      <c r="C3" s="6">
        <v>38.200382232666023</v>
      </c>
      <c r="D3" s="7">
        <v>2144816000</v>
      </c>
      <c r="E3" s="5">
        <v>10799000000</v>
      </c>
      <c r="F3" s="5">
        <v>877000000</v>
      </c>
      <c r="G3" s="5">
        <v>17269000000</v>
      </c>
      <c r="H3" s="8">
        <f>C3*D3</f>
        <v>81932791018.737808</v>
      </c>
      <c r="I3" s="8">
        <f>H3+E3-F3</f>
        <v>91854791018.737808</v>
      </c>
      <c r="J3" s="8">
        <f>I3/G3</f>
        <v>5.3190567501730159</v>
      </c>
    </row>
    <row r="4" spans="1:10" x14ac:dyDescent="0.2">
      <c r="A4" s="4" t="s">
        <v>32</v>
      </c>
      <c r="B4" s="5">
        <v>2024</v>
      </c>
      <c r="C4" s="6">
        <v>40.914741516113281</v>
      </c>
      <c r="D4" s="7">
        <v>2102996000</v>
      </c>
      <c r="E4" s="5">
        <v>18819000000</v>
      </c>
      <c r="F4" s="5">
        <v>131000000</v>
      </c>
      <c r="G4" s="5">
        <v>15413000000</v>
      </c>
      <c r="H4" s="8">
        <f t="shared" ref="H4:H17" si="0">C4*D4</f>
        <v>86043537749.420166</v>
      </c>
      <c r="I4" s="8">
        <f t="shared" ref="I4:I17" si="1">H4+E4-F4</f>
        <v>104731537749.42017</v>
      </c>
      <c r="J4" s="8">
        <f t="shared" ref="J4:J16" si="2">I4/G4</f>
        <v>6.7950131544423646</v>
      </c>
    </row>
    <row r="5" spans="1:10" x14ac:dyDescent="0.2">
      <c r="A5" s="4" t="s">
        <v>32</v>
      </c>
      <c r="B5" s="5">
        <v>2025</v>
      </c>
      <c r="C5" s="6">
        <v>45.179470062255859</v>
      </c>
      <c r="D5" s="7">
        <v>2081578000</v>
      </c>
      <c r="E5" s="5">
        <v>16617000000</v>
      </c>
      <c r="F5" s="5">
        <v>673000000</v>
      </c>
      <c r="G5" s="5">
        <v>21887000000</v>
      </c>
      <c r="H5" s="8">
        <f t="shared" si="0"/>
        <v>94044590933.250427</v>
      </c>
      <c r="I5" s="8">
        <f t="shared" si="1"/>
        <v>109988590933.25043</v>
      </c>
      <c r="J5" s="8">
        <f t="shared" si="2"/>
        <v>5.0252931389980553</v>
      </c>
    </row>
    <row r="6" spans="1:10" x14ac:dyDescent="0.2">
      <c r="A6" s="4" t="s">
        <v>12</v>
      </c>
      <c r="B6" s="5">
        <v>2022</v>
      </c>
      <c r="C6" s="6">
        <v>23.656223297119141</v>
      </c>
      <c r="D6" s="7">
        <v>1909190000</v>
      </c>
      <c r="E6" s="5">
        <v>11642000000</v>
      </c>
      <c r="F6" s="5">
        <v>4524000000</v>
      </c>
      <c r="G6" s="5">
        <v>14222000000</v>
      </c>
      <c r="H6" s="8">
        <f t="shared" si="0"/>
        <v>45164224956.626892</v>
      </c>
      <c r="I6" s="8">
        <f t="shared" si="1"/>
        <v>52282224956.626892</v>
      </c>
      <c r="J6" s="8">
        <f t="shared" si="2"/>
        <v>3.6761513821281739</v>
      </c>
    </row>
    <row r="7" spans="1:10" x14ac:dyDescent="0.2">
      <c r="A7" s="4" t="s">
        <v>12</v>
      </c>
      <c r="B7" s="5">
        <v>2023</v>
      </c>
      <c r="C7" s="6">
        <v>20.327997207641602</v>
      </c>
      <c r="D7" s="7">
        <v>1871868729</v>
      </c>
      <c r="E7" s="5">
        <v>9945000000</v>
      </c>
      <c r="F7" s="5">
        <v>2227000000</v>
      </c>
      <c r="G7" s="5">
        <v>10407000000</v>
      </c>
      <c r="H7" s="8">
        <f t="shared" si="0"/>
        <v>38051342296.183632</v>
      </c>
      <c r="I7" s="8">
        <f t="shared" si="1"/>
        <v>45769342296.183632</v>
      </c>
      <c r="J7" s="8">
        <f t="shared" si="2"/>
        <v>4.3979381470340764</v>
      </c>
    </row>
    <row r="8" spans="1:10" x14ac:dyDescent="0.2">
      <c r="A8" s="4" t="s">
        <v>12</v>
      </c>
      <c r="B8" s="5">
        <v>2024</v>
      </c>
      <c r="C8" s="6">
        <v>20.761627197265621</v>
      </c>
      <c r="D8" s="7">
        <v>1823038000</v>
      </c>
      <c r="E8" s="5">
        <v>10634000000</v>
      </c>
      <c r="F8" s="5">
        <v>3093000000</v>
      </c>
      <c r="G8" s="5">
        <v>9591000000</v>
      </c>
      <c r="H8" s="8">
        <f t="shared" si="0"/>
        <v>37849235322.448723</v>
      </c>
      <c r="I8" s="8">
        <f t="shared" si="1"/>
        <v>45390235322.448723</v>
      </c>
      <c r="J8" s="8">
        <f t="shared" si="2"/>
        <v>4.7325863124229715</v>
      </c>
    </row>
    <row r="9" spans="1:10" x14ac:dyDescent="0.2">
      <c r="A9" s="4" t="s">
        <v>12</v>
      </c>
      <c r="B9" s="5">
        <v>2025</v>
      </c>
      <c r="C9" s="6">
        <v>22.9471549987793</v>
      </c>
      <c r="D9" s="7">
        <v>1883400091</v>
      </c>
      <c r="E9" s="5">
        <v>14207000000</v>
      </c>
      <c r="F9" s="5">
        <v>2740000000</v>
      </c>
      <c r="G9" s="5">
        <v>10330000000</v>
      </c>
      <c r="H9" s="8">
        <f t="shared" si="0"/>
        <v>43218673812.892036</v>
      </c>
      <c r="I9" s="8">
        <f t="shared" si="1"/>
        <v>54685673812.892036</v>
      </c>
      <c r="J9" s="8">
        <f t="shared" si="2"/>
        <v>5.2938696817901292</v>
      </c>
    </row>
    <row r="10" spans="1:10" x14ac:dyDescent="0.2">
      <c r="A10" s="4" t="s">
        <v>13</v>
      </c>
      <c r="B10" s="5">
        <v>2022</v>
      </c>
      <c r="C10" s="6">
        <v>36.822818756103523</v>
      </c>
      <c r="D10" s="7">
        <v>1337470739</v>
      </c>
      <c r="E10" s="5">
        <v>15619000000</v>
      </c>
      <c r="F10" s="5">
        <v>1980000000</v>
      </c>
      <c r="G10" s="5">
        <v>22008000000</v>
      </c>
      <c r="H10" s="8">
        <f t="shared" si="0"/>
        <v>49249442613.788841</v>
      </c>
      <c r="I10" s="8">
        <f t="shared" si="1"/>
        <v>62888442613.788841</v>
      </c>
      <c r="J10" s="8">
        <f t="shared" si="2"/>
        <v>2.8575264728184679</v>
      </c>
    </row>
    <row r="11" spans="1:10" x14ac:dyDescent="0.2">
      <c r="A11" s="4" t="s">
        <v>13</v>
      </c>
      <c r="B11" s="5">
        <v>2023</v>
      </c>
      <c r="C11" s="6">
        <v>38.194869995117188</v>
      </c>
      <c r="D11" s="7">
        <v>1290099792</v>
      </c>
      <c r="E11" s="5">
        <v>15407000000</v>
      </c>
      <c r="F11" s="5">
        <v>1729000000</v>
      </c>
      <c r="G11" s="5">
        <v>17810000000</v>
      </c>
      <c r="H11" s="8">
        <f t="shared" si="0"/>
        <v>49275193836.167725</v>
      </c>
      <c r="I11" s="8">
        <f t="shared" si="1"/>
        <v>62953193836.167725</v>
      </c>
      <c r="J11" s="8">
        <f t="shared" si="2"/>
        <v>3.5347104905203666</v>
      </c>
    </row>
    <row r="12" spans="1:10" x14ac:dyDescent="0.2">
      <c r="A12" s="4" t="s">
        <v>13</v>
      </c>
      <c r="B12" s="5">
        <v>2024</v>
      </c>
      <c r="C12" s="6">
        <v>48.179405212402337</v>
      </c>
      <c r="D12" s="7">
        <v>1244331601</v>
      </c>
      <c r="E12" s="5">
        <v>14689000000</v>
      </c>
      <c r="F12" s="5">
        <v>3484000000</v>
      </c>
      <c r="G12" s="5">
        <v>15835000000</v>
      </c>
      <c r="H12" s="8">
        <f t="shared" si="0"/>
        <v>59951156423.176346</v>
      </c>
      <c r="I12" s="8">
        <f t="shared" si="1"/>
        <v>71156156423.176346</v>
      </c>
      <c r="J12" s="8">
        <f t="shared" si="2"/>
        <v>4.4936000267241143</v>
      </c>
    </row>
    <row r="13" spans="1:10" x14ac:dyDescent="0.2">
      <c r="A13" s="4" t="s">
        <v>13</v>
      </c>
      <c r="B13" s="5">
        <v>2025</v>
      </c>
      <c r="C13" s="6">
        <v>59.671684265136719</v>
      </c>
      <c r="D13" s="7">
        <v>1193519494</v>
      </c>
      <c r="E13" s="5">
        <v>14504000000</v>
      </c>
      <c r="F13" s="5">
        <v>3650000000</v>
      </c>
      <c r="G13" s="5">
        <v>15607000000</v>
      </c>
      <c r="H13" s="8">
        <f t="shared" si="0"/>
        <v>71219318410.253738</v>
      </c>
      <c r="I13" s="8">
        <f t="shared" si="1"/>
        <v>82073318410.253738</v>
      </c>
      <c r="J13" s="8">
        <f t="shared" si="2"/>
        <v>5.2587504587847596</v>
      </c>
    </row>
    <row r="14" spans="1:10" x14ac:dyDescent="0.2">
      <c r="A14" s="4" t="s">
        <v>14</v>
      </c>
      <c r="B14" s="5">
        <v>2022</v>
      </c>
      <c r="C14" s="6">
        <v>60.035564422607422</v>
      </c>
      <c r="D14" s="7">
        <v>584153000</v>
      </c>
      <c r="E14" s="5">
        <v>4306000000</v>
      </c>
      <c r="F14" s="5">
        <v>3749000000</v>
      </c>
      <c r="G14" s="5">
        <v>11441000000</v>
      </c>
      <c r="H14" s="8">
        <f t="shared" si="0"/>
        <v>35069955064.159393</v>
      </c>
      <c r="I14" s="8">
        <f t="shared" si="1"/>
        <v>35626955064.159393</v>
      </c>
      <c r="J14" s="8">
        <f t="shared" si="2"/>
        <v>3.1139721234297171</v>
      </c>
    </row>
    <row r="15" spans="1:10" x14ac:dyDescent="0.2">
      <c r="A15" s="4" t="s">
        <v>14</v>
      </c>
      <c r="B15" s="5">
        <v>2023</v>
      </c>
      <c r="C15" s="6">
        <v>70.624214172363281</v>
      </c>
      <c r="D15" s="7">
        <v>535836803</v>
      </c>
      <c r="E15" s="5">
        <v>4243000000</v>
      </c>
      <c r="F15" s="5">
        <v>864000000</v>
      </c>
      <c r="G15" s="5">
        <v>8345000000</v>
      </c>
      <c r="H15" s="8">
        <f t="shared" si="0"/>
        <v>37843053136.506432</v>
      </c>
      <c r="I15" s="8">
        <f t="shared" si="1"/>
        <v>41222053136.506432</v>
      </c>
      <c r="J15" s="8">
        <f t="shared" si="2"/>
        <v>4.9397307533261152</v>
      </c>
    </row>
    <row r="16" spans="1:10" x14ac:dyDescent="0.2">
      <c r="A16" s="4" t="s">
        <v>14</v>
      </c>
      <c r="B16" s="5">
        <v>2024</v>
      </c>
      <c r="C16" s="6">
        <v>85.0101318359375</v>
      </c>
      <c r="D16" s="7">
        <v>509044963</v>
      </c>
      <c r="E16" s="5">
        <v>4155000000</v>
      </c>
      <c r="F16" s="5">
        <v>979000000</v>
      </c>
      <c r="G16" s="5">
        <v>8263000000</v>
      </c>
      <c r="H16" s="8">
        <f t="shared" si="0"/>
        <v>43273979415.049927</v>
      </c>
      <c r="I16" s="8">
        <f t="shared" si="1"/>
        <v>46449979415.049927</v>
      </c>
      <c r="J16" s="8">
        <f t="shared" si="2"/>
        <v>5.6214425045443459</v>
      </c>
    </row>
    <row r="17" spans="1:10" x14ac:dyDescent="0.2">
      <c r="A17" s="4" t="s">
        <v>14</v>
      </c>
      <c r="B17" s="5">
        <v>2025</v>
      </c>
      <c r="C17" s="6">
        <v>116.8029327392578</v>
      </c>
      <c r="D17" s="7">
        <v>483592715</v>
      </c>
      <c r="E17" s="5">
        <v>4146000000</v>
      </c>
      <c r="F17" s="5">
        <v>1142000000</v>
      </c>
      <c r="G17" s="5">
        <v>6867000000</v>
      </c>
      <c r="H17" s="8">
        <f t="shared" si="0"/>
        <v>56485047363.340065</v>
      </c>
      <c r="I17" s="8">
        <f t="shared" si="1"/>
        <v>59489047363.340065</v>
      </c>
      <c r="J17" s="8">
        <f>I17/G17</f>
        <v>8.6630329639347696</v>
      </c>
    </row>
    <row r="18" spans="1:10" x14ac:dyDescent="0.2">
      <c r="C18" s="3"/>
    </row>
    <row r="20" spans="1:10" ht="16" x14ac:dyDescent="0.25">
      <c r="A20" s="9" t="s">
        <v>33</v>
      </c>
    </row>
    <row r="21" spans="1:10" x14ac:dyDescent="0.2">
      <c r="A21" s="4" t="s">
        <v>4</v>
      </c>
      <c r="B21" s="10">
        <f>AVERAGE(J2:J5)</f>
        <v>5.2066275549893373</v>
      </c>
    </row>
    <row r="22" spans="1:10" x14ac:dyDescent="0.2">
      <c r="A22" s="4" t="s">
        <v>12</v>
      </c>
      <c r="B22" s="10">
        <f>AVERAGE(J6:J9)</f>
        <v>4.5251363808438381</v>
      </c>
    </row>
    <row r="23" spans="1:10" x14ac:dyDescent="0.2">
      <c r="A23" s="4" t="s">
        <v>13</v>
      </c>
      <c r="B23" s="10">
        <f>AVERAGE(J10:J13)</f>
        <v>4.0361468622119272</v>
      </c>
    </row>
    <row r="24" spans="1:10" x14ac:dyDescent="0.2">
      <c r="A24" s="4" t="s">
        <v>14</v>
      </c>
      <c r="B24" s="10">
        <f>AVERAGE(J14:J17)</f>
        <v>5.5845445863087368</v>
      </c>
    </row>
    <row r="25" spans="1:10" x14ac:dyDescent="0.2">
      <c r="A25" s="4" t="s">
        <v>34</v>
      </c>
      <c r="B25" s="10">
        <f>AVERAGE(B22:B24)</f>
        <v>4.715275943121501</v>
      </c>
    </row>
    <row r="26" spans="1:10" x14ac:dyDescent="0.2">
      <c r="A26" s="4" t="s">
        <v>37</v>
      </c>
      <c r="B26" s="5">
        <f>AVERAGE(G2:G5)</f>
        <v>19074000000</v>
      </c>
    </row>
    <row r="27" spans="1:10" x14ac:dyDescent="0.2">
      <c r="A27" s="4" t="s">
        <v>35</v>
      </c>
      <c r="B27" s="5">
        <f>AVERAGE(E2:E5)</f>
        <v>14420000000</v>
      </c>
    </row>
    <row r="28" spans="1:10" x14ac:dyDescent="0.2">
      <c r="A28" s="4" t="s">
        <v>36</v>
      </c>
      <c r="B28" s="5">
        <f>AVERAGE(F2:F5)</f>
        <v>650250000</v>
      </c>
    </row>
    <row r="29" spans="1:10" x14ac:dyDescent="0.2">
      <c r="A29" s="4" t="s">
        <v>38</v>
      </c>
      <c r="B29" s="5">
        <f>AVERAGE(D2:D5)</f>
        <v>2133665500</v>
      </c>
    </row>
    <row r="30" spans="1:10" x14ac:dyDescent="0.2">
      <c r="A30" s="4" t="s">
        <v>39</v>
      </c>
      <c r="B30" s="5">
        <f>B25*B26</f>
        <v>89939173339.099503</v>
      </c>
    </row>
    <row r="31" spans="1:10" x14ac:dyDescent="0.2">
      <c r="A31" s="4" t="s">
        <v>40</v>
      </c>
      <c r="B31" s="5">
        <f>B30-B27+B28</f>
        <v>76169423339.099503</v>
      </c>
    </row>
    <row r="32" spans="1:10" x14ac:dyDescent="0.2">
      <c r="A32" s="4" t="s">
        <v>41</v>
      </c>
      <c r="B32" s="11">
        <f>B31/B29</f>
        <v>35.698858766334041</v>
      </c>
    </row>
    <row r="33" spans="1:2" x14ac:dyDescent="0.2">
      <c r="A33" s="4" t="s">
        <v>42</v>
      </c>
      <c r="B33" s="5">
        <f>((45.18-35.7)/35.7)*100</f>
        <v>26.554621848739483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0410-F878-E442-A8DB-1618D44E8613}">
  <dimension ref="A1:H39"/>
  <sheetViews>
    <sheetView workbookViewId="0">
      <selection activeCell="H51" sqref="H51"/>
    </sheetView>
  </sheetViews>
  <sheetFormatPr baseColWidth="10" defaultRowHeight="15" x14ac:dyDescent="0.2"/>
  <cols>
    <col min="1" max="1" width="21.33203125" customWidth="1"/>
    <col min="2" max="2" width="21" customWidth="1"/>
    <col min="3" max="3" width="23.6640625" customWidth="1"/>
    <col min="4" max="4" width="25.83203125" customWidth="1"/>
    <col min="5" max="5" width="19.83203125" customWidth="1"/>
    <col min="6" max="6" width="18.5" customWidth="1"/>
    <col min="7" max="7" width="17.83203125" customWidth="1"/>
    <col min="8" max="8" width="16.1640625" customWidth="1"/>
  </cols>
  <sheetData>
    <row r="1" spans="1:8" x14ac:dyDescent="0.2">
      <c r="A1" s="4" t="s">
        <v>25</v>
      </c>
      <c r="B1" s="4" t="s">
        <v>1</v>
      </c>
      <c r="C1" s="4" t="s">
        <v>43</v>
      </c>
      <c r="D1" t="s">
        <v>6</v>
      </c>
      <c r="E1" s="4" t="s">
        <v>26</v>
      </c>
      <c r="F1" s="4" t="s">
        <v>44</v>
      </c>
      <c r="G1" s="4" t="s">
        <v>45</v>
      </c>
      <c r="H1" s="4" t="s">
        <v>46</v>
      </c>
    </row>
    <row r="2" spans="1:8" x14ac:dyDescent="0.2">
      <c r="A2" s="4" t="s">
        <v>32</v>
      </c>
      <c r="B2" s="5">
        <v>2022</v>
      </c>
      <c r="C2" s="5">
        <v>49530000000</v>
      </c>
      <c r="D2" s="5">
        <v>21727000000</v>
      </c>
      <c r="E2" s="6">
        <v>31.55422401428223</v>
      </c>
      <c r="F2" s="13"/>
      <c r="G2" s="13"/>
      <c r="H2" s="13"/>
    </row>
    <row r="3" spans="1:8" x14ac:dyDescent="0.2">
      <c r="A3" s="4" t="s">
        <v>32</v>
      </c>
      <c r="B3" s="5">
        <v>2023</v>
      </c>
      <c r="C3" s="5">
        <v>40835000000</v>
      </c>
      <c r="D3" s="5">
        <v>17269000000</v>
      </c>
      <c r="E3" s="6">
        <v>38.200382232666023</v>
      </c>
      <c r="F3" s="13">
        <f t="shared" ref="F3:H5" si="0">(C3-C2)/C2</f>
        <v>-0.17555017161316375</v>
      </c>
      <c r="G3" s="13">
        <f t="shared" si="0"/>
        <v>-0.20518249183044138</v>
      </c>
      <c r="H3" s="13">
        <f t="shared" si="0"/>
        <v>0.21062657777214155</v>
      </c>
    </row>
    <row r="4" spans="1:8" x14ac:dyDescent="0.2">
      <c r="A4" s="4" t="s">
        <v>32</v>
      </c>
      <c r="B4" s="5">
        <v>2024</v>
      </c>
      <c r="C4" s="5">
        <v>41509000000</v>
      </c>
      <c r="D4" s="5">
        <v>15413000000</v>
      </c>
      <c r="E4" s="6">
        <v>40.914741516113281</v>
      </c>
      <c r="F4" s="13">
        <f t="shared" si="0"/>
        <v>1.6505448757193585E-2</v>
      </c>
      <c r="G4" s="13">
        <f t="shared" si="0"/>
        <v>-0.10747582373038392</v>
      </c>
      <c r="H4" s="13">
        <f t="shared" si="0"/>
        <v>7.1055814753763061E-2</v>
      </c>
    </row>
    <row r="5" spans="1:8" x14ac:dyDescent="0.2">
      <c r="A5" s="4" t="s">
        <v>32</v>
      </c>
      <c r="B5" s="5">
        <v>2025</v>
      </c>
      <c r="C5" s="5">
        <v>44167000000</v>
      </c>
      <c r="D5" s="5">
        <v>21887000000</v>
      </c>
      <c r="E5" s="6">
        <v>45.179470062255859</v>
      </c>
      <c r="F5" s="13">
        <f t="shared" si="0"/>
        <v>6.4034305813197134E-2</v>
      </c>
      <c r="G5" s="13">
        <f t="shared" si="0"/>
        <v>0.42003503535976122</v>
      </c>
      <c r="H5" s="13">
        <f t="shared" si="0"/>
        <v>0.10423452252443091</v>
      </c>
    </row>
    <row r="6" spans="1:8" x14ac:dyDescent="0.2">
      <c r="A6" s="4" t="s">
        <v>12</v>
      </c>
      <c r="B6" s="5">
        <v>2022</v>
      </c>
      <c r="C6" s="5">
        <v>71765000000</v>
      </c>
      <c r="D6" s="5">
        <v>14222000000</v>
      </c>
      <c r="E6" s="6">
        <v>23.656223297119141</v>
      </c>
      <c r="F6" s="13"/>
      <c r="G6" s="13"/>
      <c r="H6" s="13"/>
    </row>
    <row r="7" spans="1:8" x14ac:dyDescent="0.2">
      <c r="A7" s="4" t="s">
        <v>12</v>
      </c>
      <c r="B7" s="5">
        <v>2023</v>
      </c>
      <c r="C7" s="5">
        <v>55474000000</v>
      </c>
      <c r="D7" s="5">
        <v>10407000000</v>
      </c>
      <c r="E7" s="6">
        <v>20.327997207641602</v>
      </c>
      <c r="F7" s="13">
        <f t="shared" ref="F7:H9" si="1">(C7-C6)/C6</f>
        <v>-0.2270048073573469</v>
      </c>
      <c r="G7" s="13">
        <f t="shared" si="1"/>
        <v>-0.26824637884966951</v>
      </c>
      <c r="H7" s="13">
        <f t="shared" si="1"/>
        <v>-0.14069135413863171</v>
      </c>
    </row>
    <row r="8" spans="1:8" x14ac:dyDescent="0.2">
      <c r="A8" s="4" t="s">
        <v>12</v>
      </c>
      <c r="B8" s="5">
        <v>2024</v>
      </c>
      <c r="C8" s="5">
        <v>57726000000</v>
      </c>
      <c r="D8" s="5">
        <v>9591000000</v>
      </c>
      <c r="E8" s="6">
        <v>20.761627197265621</v>
      </c>
      <c r="F8" s="13">
        <f t="shared" si="1"/>
        <v>4.0595594332480084E-2</v>
      </c>
      <c r="G8" s="13">
        <f t="shared" si="1"/>
        <v>-7.8408763332372441E-2</v>
      </c>
      <c r="H8" s="13">
        <f t="shared" si="1"/>
        <v>2.1331663183277682E-2</v>
      </c>
    </row>
    <row r="9" spans="1:8" x14ac:dyDescent="0.2">
      <c r="A9" s="4" t="s">
        <v>12</v>
      </c>
      <c r="B9" s="5">
        <v>2025</v>
      </c>
      <c r="C9" s="5">
        <v>52751000000</v>
      </c>
      <c r="D9" s="5">
        <v>10330000000</v>
      </c>
      <c r="E9" s="6">
        <v>22.9471549987793</v>
      </c>
      <c r="F9" s="13">
        <f t="shared" si="1"/>
        <v>-8.6183002459896754E-2</v>
      </c>
      <c r="G9" s="13">
        <f t="shared" si="1"/>
        <v>7.7051402356375767E-2</v>
      </c>
      <c r="H9" s="13">
        <f t="shared" si="1"/>
        <v>0.10526765463747083</v>
      </c>
    </row>
    <row r="10" spans="1:8" x14ac:dyDescent="0.2">
      <c r="A10" s="4" t="s">
        <v>13</v>
      </c>
      <c r="B10" s="5">
        <v>2022</v>
      </c>
      <c r="C10" s="5">
        <v>62907000000</v>
      </c>
      <c r="D10" s="5">
        <v>22008000000</v>
      </c>
      <c r="E10" s="6">
        <v>36.822818756103523</v>
      </c>
      <c r="F10" s="13"/>
      <c r="G10" s="13"/>
      <c r="H10" s="13"/>
    </row>
    <row r="11" spans="1:8" x14ac:dyDescent="0.2">
      <c r="A11" s="4" t="s">
        <v>13</v>
      </c>
      <c r="B11" s="5">
        <v>2023</v>
      </c>
      <c r="C11" s="5">
        <v>52206000000</v>
      </c>
      <c r="D11" s="5">
        <v>17810000000</v>
      </c>
      <c r="E11" s="6">
        <v>38.194869995117188</v>
      </c>
      <c r="F11" s="13">
        <f t="shared" ref="F11:H13" si="2">(C11-C10)/C10</f>
        <v>-0.17010825504315896</v>
      </c>
      <c r="G11" s="13">
        <f t="shared" si="2"/>
        <v>-0.19074881861141404</v>
      </c>
      <c r="H11" s="13">
        <f t="shared" si="2"/>
        <v>3.7260896513693485E-2</v>
      </c>
    </row>
    <row r="12" spans="1:8" x14ac:dyDescent="0.2">
      <c r="A12" s="4" t="s">
        <v>13</v>
      </c>
      <c r="B12" s="5">
        <v>2024</v>
      </c>
      <c r="C12" s="5">
        <v>54881000000</v>
      </c>
      <c r="D12" s="5">
        <v>15835000000</v>
      </c>
      <c r="E12" s="6">
        <v>48.179405212402337</v>
      </c>
      <c r="F12" s="13">
        <f t="shared" si="2"/>
        <v>5.1239321150825579E-2</v>
      </c>
      <c r="G12" s="13">
        <f t="shared" si="2"/>
        <v>-0.11089275687815833</v>
      </c>
      <c r="H12" s="13">
        <f t="shared" si="2"/>
        <v>0.26141037313549087</v>
      </c>
    </row>
    <row r="13" spans="1:8" x14ac:dyDescent="0.2">
      <c r="A13" s="4" t="s">
        <v>13</v>
      </c>
      <c r="B13" s="5">
        <v>2025</v>
      </c>
      <c r="C13" s="5">
        <v>52377000000</v>
      </c>
      <c r="D13" s="5">
        <v>15607000000</v>
      </c>
      <c r="E13" s="6">
        <v>59.671684265136719</v>
      </c>
      <c r="F13" s="13">
        <f t="shared" si="2"/>
        <v>-4.5625990780051383E-2</v>
      </c>
      <c r="G13" s="13">
        <f t="shared" si="2"/>
        <v>-1.4398484370066309E-2</v>
      </c>
      <c r="H13" s="13">
        <f t="shared" si="2"/>
        <v>0.23853094495604193</v>
      </c>
    </row>
    <row r="14" spans="1:8" x14ac:dyDescent="0.2">
      <c r="A14" s="4" t="s">
        <v>14</v>
      </c>
      <c r="B14" s="5">
        <v>2022</v>
      </c>
      <c r="C14" s="5">
        <v>57234000000</v>
      </c>
      <c r="D14" s="5">
        <v>11441000000</v>
      </c>
      <c r="E14" s="6">
        <v>60.035564422607422</v>
      </c>
      <c r="F14" s="13"/>
      <c r="G14" s="13"/>
      <c r="H14" s="13"/>
    </row>
    <row r="15" spans="1:8" x14ac:dyDescent="0.2">
      <c r="A15" s="4" t="s">
        <v>14</v>
      </c>
      <c r="B15" s="5">
        <v>2023</v>
      </c>
      <c r="C15" s="5">
        <v>48300000000</v>
      </c>
      <c r="D15" s="5">
        <v>8345000000</v>
      </c>
      <c r="E15" s="6">
        <v>70.624214172363281</v>
      </c>
      <c r="F15" s="13">
        <f t="shared" ref="F15:H17" si="3">(C15-C14)/C14</f>
        <v>-0.15609602683719467</v>
      </c>
      <c r="G15" s="13">
        <f t="shared" si="3"/>
        <v>-0.27060571628354163</v>
      </c>
      <c r="H15" s="13">
        <f t="shared" si="3"/>
        <v>0.17637295245896817</v>
      </c>
    </row>
    <row r="16" spans="1:8" x14ac:dyDescent="0.2">
      <c r="A16" s="4" t="s">
        <v>14</v>
      </c>
      <c r="B16" s="5">
        <v>2024</v>
      </c>
      <c r="C16" s="5">
        <v>48824000000</v>
      </c>
      <c r="D16" s="5">
        <v>8263000000</v>
      </c>
      <c r="E16" s="6">
        <v>85.0101318359375</v>
      </c>
      <c r="F16" s="13">
        <f t="shared" si="3"/>
        <v>1.0848861283643893E-2</v>
      </c>
      <c r="G16" s="13">
        <f t="shared" si="3"/>
        <v>-9.8262432594367882E-3</v>
      </c>
      <c r="H16" s="13">
        <f t="shared" si="3"/>
        <v>0.2036966758803771</v>
      </c>
    </row>
    <row r="17" spans="1:8" x14ac:dyDescent="0.2">
      <c r="A17" s="4" t="s">
        <v>14</v>
      </c>
      <c r="B17" s="5">
        <v>2025</v>
      </c>
      <c r="C17" s="5">
        <v>45203000000</v>
      </c>
      <c r="D17" s="5">
        <v>6867000000</v>
      </c>
      <c r="E17" s="6">
        <v>116.8029327392578</v>
      </c>
      <c r="F17" s="13">
        <f t="shared" si="3"/>
        <v>-7.4164345403899726E-2</v>
      </c>
      <c r="G17" s="13">
        <f t="shared" si="3"/>
        <v>-0.1689459034249062</v>
      </c>
      <c r="H17" s="13">
        <f t="shared" si="3"/>
        <v>0.37398837311154587</v>
      </c>
    </row>
    <row r="20" spans="1:8" x14ac:dyDescent="0.2">
      <c r="A20" s="4" t="s">
        <v>25</v>
      </c>
      <c r="B20" s="4" t="s">
        <v>1</v>
      </c>
      <c r="C20" s="4" t="s">
        <v>47</v>
      </c>
      <c r="D20" s="4" t="s">
        <v>48</v>
      </c>
    </row>
    <row r="21" spans="1:8" x14ac:dyDescent="0.2">
      <c r="A21" s="4" t="s">
        <v>32</v>
      </c>
      <c r="B21" s="5">
        <v>2022</v>
      </c>
      <c r="C21" s="5">
        <v>100</v>
      </c>
      <c r="D21" s="5">
        <v>100</v>
      </c>
    </row>
    <row r="22" spans="1:8" x14ac:dyDescent="0.2">
      <c r="A22" s="4" t="s">
        <v>32</v>
      </c>
      <c r="B22" s="5">
        <v>2023</v>
      </c>
      <c r="C22" s="5">
        <f>(D3/D2)*100</f>
        <v>79.481750816955866</v>
      </c>
      <c r="D22" s="5">
        <f>(E3/E2)*100</f>
        <v>121.06265777721414</v>
      </c>
    </row>
    <row r="23" spans="1:8" x14ac:dyDescent="0.2">
      <c r="A23" s="4" t="s">
        <v>32</v>
      </c>
      <c r="B23" s="5">
        <v>2024</v>
      </c>
      <c r="C23" s="5">
        <f>(D4/D2)*100</f>
        <v>70.93938417637041</v>
      </c>
      <c r="D23" s="5">
        <f>(E4/E2)*100</f>
        <v>129.66486356183009</v>
      </c>
    </row>
    <row r="24" spans="1:8" x14ac:dyDescent="0.2">
      <c r="A24" s="4" t="s">
        <v>32</v>
      </c>
      <c r="B24" s="5">
        <v>2025</v>
      </c>
      <c r="C24" s="5">
        <f>(D5/D2)*100</f>
        <v>100.73641091729183</v>
      </c>
      <c r="D24" s="5">
        <f>(E5/E2)*100</f>
        <v>143.18041870339295</v>
      </c>
    </row>
    <row r="25" spans="1:8" x14ac:dyDescent="0.2">
      <c r="A25" s="4" t="s">
        <v>12</v>
      </c>
      <c r="B25" s="5">
        <v>2022</v>
      </c>
      <c r="C25" s="5">
        <v>100</v>
      </c>
      <c r="D25" s="5">
        <v>100</v>
      </c>
    </row>
    <row r="26" spans="1:8" x14ac:dyDescent="0.2">
      <c r="A26" s="4" t="s">
        <v>12</v>
      </c>
      <c r="B26" s="5">
        <v>2023</v>
      </c>
      <c r="C26" s="5">
        <f>(D7/D6)*100</f>
        <v>73.175362115033053</v>
      </c>
      <c r="D26" s="5">
        <f>(E7/E6)*100</f>
        <v>85.930864586136821</v>
      </c>
    </row>
    <row r="27" spans="1:8" x14ac:dyDescent="0.2">
      <c r="A27" s="4" t="s">
        <v>12</v>
      </c>
      <c r="B27" s="5">
        <v>2024</v>
      </c>
      <c r="C27" s="5">
        <f>(D8/D6)*100</f>
        <v>67.437772465194769</v>
      </c>
      <c r="D27" s="5">
        <f>(E8/E6)*100</f>
        <v>87.763912846536144</v>
      </c>
    </row>
    <row r="28" spans="1:8" x14ac:dyDescent="0.2">
      <c r="A28" s="4" t="s">
        <v>12</v>
      </c>
      <c r="B28" s="5">
        <v>2025</v>
      </c>
      <c r="C28" s="5">
        <f>(D9/D6)*100</f>
        <v>72.633947405428216</v>
      </c>
      <c r="D28" s="5">
        <f>(E9/E6)*100</f>
        <v>97.002614113698399</v>
      </c>
    </row>
    <row r="29" spans="1:8" x14ac:dyDescent="0.2">
      <c r="A29" s="4" t="s">
        <v>13</v>
      </c>
      <c r="B29" s="5">
        <v>2022</v>
      </c>
      <c r="C29" s="5">
        <v>100</v>
      </c>
      <c r="D29" s="5">
        <v>100</v>
      </c>
    </row>
    <row r="30" spans="1:8" x14ac:dyDescent="0.2">
      <c r="A30" s="4" t="s">
        <v>13</v>
      </c>
      <c r="B30" s="5">
        <v>2023</v>
      </c>
      <c r="C30" s="5">
        <f>(D11/D10)*100</f>
        <v>80.925118138858593</v>
      </c>
      <c r="D30" s="5">
        <f>(E11/E10)*100</f>
        <v>103.72608965136936</v>
      </c>
    </row>
    <row r="31" spans="1:8" x14ac:dyDescent="0.2">
      <c r="A31" s="4" t="s">
        <v>13</v>
      </c>
      <c r="B31" s="5">
        <v>2024</v>
      </c>
      <c r="C31" s="5">
        <f>(D12/D10)*100</f>
        <v>71.951108687749908</v>
      </c>
      <c r="D31" s="5">
        <f>(E12/E11)*100</f>
        <v>126.14103731354909</v>
      </c>
    </row>
    <row r="32" spans="1:8" x14ac:dyDescent="0.2">
      <c r="A32" s="4" t="s">
        <v>13</v>
      </c>
      <c r="B32" s="5">
        <v>2025</v>
      </c>
      <c r="C32" s="5">
        <f>(D13/D10)*100</f>
        <v>70.91512177390041</v>
      </c>
      <c r="D32" s="5">
        <f>(E13/E12)*100</f>
        <v>123.8530944956042</v>
      </c>
    </row>
    <row r="33" spans="1:5" x14ac:dyDescent="0.2">
      <c r="A33" s="4" t="s">
        <v>14</v>
      </c>
      <c r="B33" s="5">
        <v>2022</v>
      </c>
      <c r="C33" s="5">
        <v>100</v>
      </c>
      <c r="D33" s="5">
        <v>100</v>
      </c>
    </row>
    <row r="34" spans="1:5" x14ac:dyDescent="0.2">
      <c r="A34" s="4" t="s">
        <v>14</v>
      </c>
      <c r="B34" s="5">
        <v>2023</v>
      </c>
      <c r="C34" s="5">
        <f>(D15/D14)*100</f>
        <v>72.939428371645832</v>
      </c>
      <c r="D34" s="5">
        <f>(E15/E14)*100</f>
        <v>117.63729524589681</v>
      </c>
    </row>
    <row r="35" spans="1:5" x14ac:dyDescent="0.2">
      <c r="A35" s="4" t="s">
        <v>14</v>
      </c>
      <c r="B35" s="5">
        <v>2024</v>
      </c>
      <c r="C35" s="5">
        <f>(D16/D14)*100</f>
        <v>72.222707805261777</v>
      </c>
      <c r="D35" s="5">
        <f>(E16/E15)*100</f>
        <v>120.36966758803771</v>
      </c>
    </row>
    <row r="36" spans="1:5" x14ac:dyDescent="0.2">
      <c r="A36" s="4" t="s">
        <v>14</v>
      </c>
      <c r="B36" s="5">
        <v>2025</v>
      </c>
      <c r="C36" s="5">
        <f>(D17/D14)*100</f>
        <v>60.020977187308802</v>
      </c>
      <c r="D36" s="5">
        <f>(E17/E16)*100</f>
        <v>137.39883731115458</v>
      </c>
    </row>
    <row r="39" spans="1:5" x14ac:dyDescent="0.2">
      <c r="C39" s="14"/>
      <c r="D39" s="14"/>
      <c r="E39" s="14"/>
    </row>
  </sheetData>
  <autoFilter ref="A20:D36" xr:uid="{76490410-F878-E442-A8DB-1618D44E8613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0087-FBEE-644B-9BED-69FA9F36948E}">
  <dimension ref="A1:E15"/>
  <sheetViews>
    <sheetView workbookViewId="0">
      <selection activeCell="B19" sqref="B19"/>
    </sheetView>
  </sheetViews>
  <sheetFormatPr baseColWidth="10" defaultRowHeight="15" x14ac:dyDescent="0.2"/>
  <cols>
    <col min="1" max="1" width="41.6640625" customWidth="1"/>
    <col min="2" max="2" width="48.33203125" customWidth="1"/>
    <col min="3" max="3" width="26.6640625" customWidth="1"/>
    <col min="4" max="4" width="30.33203125" customWidth="1"/>
    <col min="5" max="5" width="25.6640625" customWidth="1"/>
  </cols>
  <sheetData>
    <row r="1" spans="1:5" x14ac:dyDescent="0.2">
      <c r="A1" s="4" t="s">
        <v>49</v>
      </c>
      <c r="B1" s="4" t="s">
        <v>50</v>
      </c>
    </row>
    <row r="2" spans="1:5" x14ac:dyDescent="0.2">
      <c r="A2" s="5">
        <v>2022</v>
      </c>
      <c r="B2" s="8">
        <f>AVERAGEIFS(Oil_Price!B:B, Oil_Price!A:A, "&gt;="&amp;DATE(2022,1,1), Oil_Price!A:A, "&lt;="&amp;DATE(2022,12,31))</f>
        <v>94.331474000239282</v>
      </c>
    </row>
    <row r="3" spans="1:5" x14ac:dyDescent="0.2">
      <c r="A3" s="5">
        <v>2023</v>
      </c>
      <c r="B3" s="8">
        <f>AVERAGEIFS(Oil_Price!B:B, Oil_Price!A:A, "&gt;="&amp;DATE(2023,1,1), Oil_Price!A:A, "&lt;="&amp;DATE(2023,12,31))</f>
        <v>77.597120147705084</v>
      </c>
    </row>
    <row r="4" spans="1:5" x14ac:dyDescent="0.2">
      <c r="A4" s="5">
        <v>2024</v>
      </c>
      <c r="B4" s="8">
        <f>AVERAGEIFS(Oil_Price!B:B, Oil_Price!A:A, "&gt;="&amp;DATE(2024,1,1), Oil_Price!A:A, "&lt;="&amp;DATE(2024,12,31))</f>
        <v>75.758015889970082</v>
      </c>
    </row>
    <row r="5" spans="1:5" x14ac:dyDescent="0.2">
      <c r="A5" s="5">
        <v>2025</v>
      </c>
      <c r="B5" s="8">
        <f>AVERAGEIFS(Oil_Price!B:B, Oil_Price!A:A, "&gt;="&amp;DATE(2025,1,1), Oil_Price!A:A, "&lt;="&amp;DATE(2025,12,31))</f>
        <v>64.739523811945844</v>
      </c>
    </row>
    <row r="7" spans="1:5" x14ac:dyDescent="0.2">
      <c r="A7" s="4" t="s">
        <v>51</v>
      </c>
      <c r="B7" s="4" t="s">
        <v>52</v>
      </c>
    </row>
    <row r="8" spans="1:5" x14ac:dyDescent="0.2">
      <c r="A8" s="5">
        <f>_xlfn.FORECAST.LINEAR(2026, B2:B5, A2:A5)</f>
        <v>55.452794756809453</v>
      </c>
      <c r="B8" s="5">
        <f>AVERAGEIFS(Oil_Price!B:B, Oil_Price!A:A, "&gt;="&amp;DATE(2026,1,1), Oil_Price!A:A, "&lt;="&amp;DATE(2026,9,22))</f>
        <v>83.4735359486954</v>
      </c>
    </row>
    <row r="10" spans="1:5" x14ac:dyDescent="0.2">
      <c r="A10" s="14" t="s">
        <v>53</v>
      </c>
    </row>
    <row r="11" spans="1:5" x14ac:dyDescent="0.2">
      <c r="A11" s="4" t="s">
        <v>0</v>
      </c>
      <c r="B11" s="4" t="s">
        <v>54</v>
      </c>
      <c r="C11" s="4" t="s">
        <v>55</v>
      </c>
      <c r="D11" s="4" t="s">
        <v>56</v>
      </c>
      <c r="E11" s="14"/>
    </row>
    <row r="12" spans="1:5" x14ac:dyDescent="0.2">
      <c r="A12" s="4" t="s">
        <v>4</v>
      </c>
      <c r="B12" s="8">
        <f>SLOPE(Prices_All!G3:G1181, Prices_All!H3:H1181)</f>
        <v>0.20960720523621953</v>
      </c>
      <c r="C12" s="15">
        <f>SLOPE(Prices_All!E3:E1181, Prices_All!F3:F1181)</f>
        <v>0.45887362730947184</v>
      </c>
      <c r="D12" s="15">
        <f>RSQ(Prices_All!E3:E1181, Prices_All!F3:F1181)</f>
        <v>0.39809167948590146</v>
      </c>
    </row>
    <row r="13" spans="1:5" x14ac:dyDescent="0.2">
      <c r="A13" s="4" t="s">
        <v>12</v>
      </c>
      <c r="B13" s="8">
        <f>SLOPE(Prices_All!G1183:G2361, Prices_All!H1183:H2361)</f>
        <v>0.14771821875015012</v>
      </c>
      <c r="C13" s="15">
        <f>SLOPE(Prices_All!E1183:E2361, Prices_All!F1183:F2361)</f>
        <v>0.54859779635655981</v>
      </c>
      <c r="D13" s="15">
        <f>RSQ(Prices_All!E1183:E2361, Prices_All!F1183:F2361)</f>
        <v>0.36866556031404452</v>
      </c>
    </row>
    <row r="14" spans="1:5" x14ac:dyDescent="0.2">
      <c r="A14" s="4" t="s">
        <v>13</v>
      </c>
      <c r="B14" s="8">
        <f>SLOPE(Prices_All!G2363:G3541, Prices_All!H2363:H3541)</f>
        <v>0.24230663681257403</v>
      </c>
      <c r="C14" s="15">
        <f>SLOPE(Prices_All!E2363:E3541, Prices_All!F2363:F3541)</f>
        <v>0.43121564451253003</v>
      </c>
      <c r="D14" s="15">
        <f>RSQ(Prices_All!E2363:E3541, Prices_All!F2363:F3541)</f>
        <v>0.36455047360261994</v>
      </c>
    </row>
    <row r="15" spans="1:5" x14ac:dyDescent="0.2">
      <c r="A15" s="4" t="s">
        <v>14</v>
      </c>
      <c r="B15" s="8">
        <f>SLOPE(Prices_All!G3543:G4721, Prices_All!H3543:H4721)</f>
        <v>0.37769523215541551</v>
      </c>
      <c r="C15" s="15">
        <f>SLOPE(Prices_All!E3543:E4721, Prices_All!F3543:F4721)</f>
        <v>0.37423800339067687</v>
      </c>
      <c r="D15" s="15">
        <f>RSQ(Prices_All!E3543:E4721, Prices_All!F3543:F4721)</f>
        <v>0.2743044236056939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workbookViewId="0">
      <selection activeCell="J19" sqref="J19"/>
    </sheetView>
  </sheetViews>
  <sheetFormatPr baseColWidth="10" defaultColWidth="8.83203125" defaultRowHeight="15" x14ac:dyDescent="0.2"/>
  <cols>
    <col min="1" max="1" width="20.5" customWidth="1"/>
    <col min="2" max="2" width="25" customWidth="1"/>
    <col min="3" max="3" width="17.1640625" customWidth="1"/>
    <col min="4" max="4" width="27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2022</v>
      </c>
      <c r="C2" t="s">
        <v>5</v>
      </c>
      <c r="D2">
        <v>49530000000</v>
      </c>
    </row>
    <row r="3" spans="1:4" x14ac:dyDescent="0.2">
      <c r="A3" t="s">
        <v>12</v>
      </c>
      <c r="B3">
        <v>2022</v>
      </c>
      <c r="C3" t="s">
        <v>5</v>
      </c>
      <c r="D3">
        <v>71765000000</v>
      </c>
    </row>
    <row r="4" spans="1:4" x14ac:dyDescent="0.2">
      <c r="A4" t="s">
        <v>13</v>
      </c>
      <c r="B4">
        <v>2022</v>
      </c>
      <c r="C4" t="s">
        <v>5</v>
      </c>
      <c r="D4">
        <v>62907000000</v>
      </c>
    </row>
    <row r="5" spans="1:4" x14ac:dyDescent="0.2">
      <c r="A5" t="s">
        <v>14</v>
      </c>
      <c r="B5">
        <v>2022</v>
      </c>
      <c r="C5" t="s">
        <v>5</v>
      </c>
      <c r="D5">
        <v>57234000000</v>
      </c>
    </row>
    <row r="6" spans="1:4" x14ac:dyDescent="0.2">
      <c r="A6" t="s">
        <v>4</v>
      </c>
      <c r="B6">
        <v>2022</v>
      </c>
      <c r="C6" t="s">
        <v>6</v>
      </c>
      <c r="D6">
        <v>21727000000</v>
      </c>
    </row>
    <row r="7" spans="1:4" x14ac:dyDescent="0.2">
      <c r="A7" t="s">
        <v>4</v>
      </c>
      <c r="B7">
        <v>2023</v>
      </c>
      <c r="C7" t="s">
        <v>6</v>
      </c>
      <c r="D7">
        <v>17269000000</v>
      </c>
    </row>
    <row r="8" spans="1:4" x14ac:dyDescent="0.2">
      <c r="A8" t="s">
        <v>4</v>
      </c>
      <c r="B8">
        <v>2024</v>
      </c>
      <c r="C8" t="s">
        <v>6</v>
      </c>
      <c r="D8">
        <v>15413000000</v>
      </c>
    </row>
    <row r="9" spans="1:4" x14ac:dyDescent="0.2">
      <c r="A9" t="s">
        <v>4</v>
      </c>
      <c r="B9">
        <v>2025</v>
      </c>
      <c r="C9" t="s">
        <v>6</v>
      </c>
      <c r="D9">
        <v>21887000000</v>
      </c>
    </row>
    <row r="10" spans="1:4" x14ac:dyDescent="0.2">
      <c r="A10" t="s">
        <v>4</v>
      </c>
      <c r="B10">
        <v>2025</v>
      </c>
      <c r="C10" t="s">
        <v>7</v>
      </c>
      <c r="D10">
        <v>14280000000</v>
      </c>
    </row>
    <row r="11" spans="1:4" x14ac:dyDescent="0.2">
      <c r="A11" t="s">
        <v>4</v>
      </c>
      <c r="B11">
        <v>2024</v>
      </c>
      <c r="C11" t="s">
        <v>7</v>
      </c>
      <c r="D11">
        <v>8732000000</v>
      </c>
    </row>
    <row r="12" spans="1:4" x14ac:dyDescent="0.2">
      <c r="A12" t="s">
        <v>4</v>
      </c>
      <c r="B12">
        <v>2023</v>
      </c>
      <c r="C12" t="s">
        <v>7</v>
      </c>
      <c r="D12">
        <v>10856000000</v>
      </c>
    </row>
    <row r="13" spans="1:4" x14ac:dyDescent="0.2">
      <c r="A13" t="s">
        <v>4</v>
      </c>
      <c r="B13">
        <v>2022</v>
      </c>
      <c r="C13" t="s">
        <v>7</v>
      </c>
      <c r="D13">
        <v>14374000000</v>
      </c>
    </row>
    <row r="14" spans="1:4" x14ac:dyDescent="0.2">
      <c r="A14" t="s">
        <v>4</v>
      </c>
      <c r="B14">
        <v>2025</v>
      </c>
      <c r="C14" t="s">
        <v>8</v>
      </c>
      <c r="D14">
        <v>10820000000</v>
      </c>
    </row>
    <row r="15" spans="1:4" x14ac:dyDescent="0.2">
      <c r="A15" t="s">
        <v>4</v>
      </c>
      <c r="B15">
        <v>2024</v>
      </c>
      <c r="C15" t="s">
        <v>8</v>
      </c>
      <c r="D15">
        <v>6106000000</v>
      </c>
    </row>
    <row r="16" spans="1:4" x14ac:dyDescent="0.2">
      <c r="A16" t="s">
        <v>4</v>
      </c>
      <c r="B16">
        <v>2023</v>
      </c>
      <c r="C16" t="s">
        <v>8</v>
      </c>
      <c r="D16">
        <v>8233000000</v>
      </c>
    </row>
    <row r="17" spans="1:4" x14ac:dyDescent="0.2">
      <c r="A17" t="s">
        <v>4</v>
      </c>
      <c r="B17">
        <v>2022</v>
      </c>
      <c r="C17" t="s">
        <v>8</v>
      </c>
      <c r="D17">
        <v>10937000000</v>
      </c>
    </row>
    <row r="18" spans="1:4" x14ac:dyDescent="0.2">
      <c r="A18" t="s">
        <v>4</v>
      </c>
      <c r="B18">
        <v>2025</v>
      </c>
      <c r="C18" t="s">
        <v>9</v>
      </c>
      <c r="D18">
        <v>5.16</v>
      </c>
    </row>
    <row r="19" spans="1:4" x14ac:dyDescent="0.2">
      <c r="A19" t="s">
        <v>4</v>
      </c>
      <c r="B19">
        <v>2024</v>
      </c>
      <c r="C19" t="s">
        <v>9</v>
      </c>
      <c r="D19">
        <v>2.85</v>
      </c>
    </row>
    <row r="20" spans="1:4" x14ac:dyDescent="0.2">
      <c r="A20" t="s">
        <v>4</v>
      </c>
      <c r="B20">
        <v>2023</v>
      </c>
      <c r="C20" t="s">
        <v>9</v>
      </c>
      <c r="D20">
        <v>3.7349999999999999</v>
      </c>
    </row>
    <row r="21" spans="1:4" x14ac:dyDescent="0.2">
      <c r="A21" t="s">
        <v>4</v>
      </c>
      <c r="B21">
        <v>2022</v>
      </c>
      <c r="C21" t="s">
        <v>9</v>
      </c>
      <c r="D21">
        <v>4.76</v>
      </c>
    </row>
    <row r="22" spans="1:4" x14ac:dyDescent="0.2">
      <c r="A22" t="s">
        <v>4</v>
      </c>
      <c r="B22">
        <v>2025</v>
      </c>
      <c r="C22" t="s">
        <v>10</v>
      </c>
      <c r="D22">
        <v>13241000000</v>
      </c>
    </row>
    <row r="23" spans="1:4" x14ac:dyDescent="0.2">
      <c r="A23" t="s">
        <v>4</v>
      </c>
      <c r="B23">
        <v>2024</v>
      </c>
      <c r="C23" t="s">
        <v>10</v>
      </c>
      <c r="D23">
        <v>8059000000</v>
      </c>
    </row>
    <row r="24" spans="1:4" x14ac:dyDescent="0.2">
      <c r="A24" t="s">
        <v>4</v>
      </c>
      <c r="B24">
        <v>2023</v>
      </c>
      <c r="C24" t="s">
        <v>10</v>
      </c>
      <c r="D24">
        <v>10165000000</v>
      </c>
    </row>
    <row r="25" spans="1:4" x14ac:dyDescent="0.2">
      <c r="A25" t="s">
        <v>4</v>
      </c>
      <c r="B25">
        <v>2022</v>
      </c>
      <c r="C25" t="s">
        <v>10</v>
      </c>
      <c r="D25">
        <v>13704000000</v>
      </c>
    </row>
    <row r="26" spans="1:4" x14ac:dyDescent="0.2">
      <c r="A26" t="s">
        <v>4</v>
      </c>
      <c r="B26">
        <v>2025</v>
      </c>
      <c r="C26" t="s">
        <v>11</v>
      </c>
      <c r="D26">
        <v>2421000000</v>
      </c>
    </row>
    <row r="27" spans="1:4" x14ac:dyDescent="0.2">
      <c r="A27" t="s">
        <v>4</v>
      </c>
      <c r="B27">
        <v>2024</v>
      </c>
      <c r="C27" t="s">
        <v>11</v>
      </c>
      <c r="D27">
        <v>1953000000</v>
      </c>
    </row>
    <row r="28" spans="1:4" x14ac:dyDescent="0.2">
      <c r="A28" t="s">
        <v>4</v>
      </c>
      <c r="B28">
        <v>2023</v>
      </c>
      <c r="C28" t="s">
        <v>11</v>
      </c>
      <c r="D28">
        <v>1932000000</v>
      </c>
    </row>
    <row r="29" spans="1:4" x14ac:dyDescent="0.2">
      <c r="A29" t="s">
        <v>4</v>
      </c>
      <c r="B29">
        <v>2022</v>
      </c>
      <c r="C29" t="s">
        <v>11</v>
      </c>
      <c r="D29">
        <v>2767000000</v>
      </c>
    </row>
    <row r="30" spans="1:4" x14ac:dyDescent="0.2">
      <c r="A30" t="s">
        <v>4</v>
      </c>
      <c r="B30">
        <v>2023</v>
      </c>
      <c r="C30" t="s">
        <v>5</v>
      </c>
      <c r="D30">
        <v>40835000000</v>
      </c>
    </row>
    <row r="31" spans="1:4" x14ac:dyDescent="0.2">
      <c r="A31" t="s">
        <v>12</v>
      </c>
      <c r="B31">
        <v>2023</v>
      </c>
      <c r="C31" t="s">
        <v>5</v>
      </c>
      <c r="D31">
        <v>55474000000</v>
      </c>
    </row>
    <row r="32" spans="1:4" x14ac:dyDescent="0.2">
      <c r="A32" t="s">
        <v>13</v>
      </c>
      <c r="B32">
        <v>2023</v>
      </c>
      <c r="C32" t="s">
        <v>5</v>
      </c>
      <c r="D32">
        <v>52206000000</v>
      </c>
    </row>
    <row r="33" spans="1:4" x14ac:dyDescent="0.2">
      <c r="A33" t="s">
        <v>14</v>
      </c>
      <c r="B33">
        <v>2023</v>
      </c>
      <c r="C33" t="s">
        <v>5</v>
      </c>
      <c r="D33">
        <v>48300000000</v>
      </c>
    </row>
    <row r="34" spans="1:4" x14ac:dyDescent="0.2">
      <c r="A34" t="s">
        <v>12</v>
      </c>
      <c r="B34">
        <v>2022</v>
      </c>
      <c r="C34" t="s">
        <v>6</v>
      </c>
      <c r="D34">
        <v>14222000000</v>
      </c>
    </row>
    <row r="35" spans="1:4" x14ac:dyDescent="0.2">
      <c r="A35" t="s">
        <v>12</v>
      </c>
      <c r="B35">
        <v>2023</v>
      </c>
      <c r="C35" t="s">
        <v>6</v>
      </c>
      <c r="D35">
        <v>10407000000</v>
      </c>
    </row>
    <row r="36" spans="1:4" x14ac:dyDescent="0.2">
      <c r="A36" t="s">
        <v>12</v>
      </c>
      <c r="B36">
        <v>2024</v>
      </c>
      <c r="C36" t="s">
        <v>6</v>
      </c>
      <c r="D36">
        <v>9591000000</v>
      </c>
    </row>
    <row r="37" spans="1:4" x14ac:dyDescent="0.2">
      <c r="A37" t="s">
        <v>12</v>
      </c>
      <c r="B37">
        <v>2025</v>
      </c>
      <c r="C37" t="s">
        <v>6</v>
      </c>
      <c r="D37">
        <v>10330000000</v>
      </c>
    </row>
    <row r="38" spans="1:4" x14ac:dyDescent="0.2">
      <c r="A38" t="s">
        <v>12</v>
      </c>
      <c r="B38">
        <v>2025</v>
      </c>
      <c r="C38" t="s">
        <v>7</v>
      </c>
      <c r="D38">
        <v>5138000000</v>
      </c>
    </row>
    <row r="39" spans="1:4" x14ac:dyDescent="0.2">
      <c r="A39" t="s">
        <v>12</v>
      </c>
      <c r="B39">
        <v>2024</v>
      </c>
      <c r="C39" t="s">
        <v>7</v>
      </c>
      <c r="D39">
        <v>4720000000</v>
      </c>
    </row>
    <row r="40" spans="1:4" x14ac:dyDescent="0.2">
      <c r="A40" t="s">
        <v>12</v>
      </c>
      <c r="B40">
        <v>2023</v>
      </c>
      <c r="C40" t="s">
        <v>7</v>
      </c>
      <c r="D40">
        <v>5763000000</v>
      </c>
    </row>
    <row r="41" spans="1:4" x14ac:dyDescent="0.2">
      <c r="A41" t="s">
        <v>12</v>
      </c>
      <c r="B41">
        <v>2022</v>
      </c>
      <c r="C41" t="s">
        <v>7</v>
      </c>
      <c r="D41">
        <v>9543000000</v>
      </c>
    </row>
    <row r="42" spans="1:4" x14ac:dyDescent="0.2">
      <c r="A42" t="s">
        <v>12</v>
      </c>
      <c r="B42">
        <v>2025</v>
      </c>
      <c r="C42" t="s">
        <v>8</v>
      </c>
      <c r="D42">
        <v>3930000000</v>
      </c>
    </row>
    <row r="43" spans="1:4" x14ac:dyDescent="0.2">
      <c r="A43" t="s">
        <v>12</v>
      </c>
      <c r="B43">
        <v>2024</v>
      </c>
      <c r="C43" t="s">
        <v>8</v>
      </c>
      <c r="D43">
        <v>3142000000</v>
      </c>
    </row>
    <row r="44" spans="1:4" x14ac:dyDescent="0.2">
      <c r="A44" t="s">
        <v>12</v>
      </c>
      <c r="B44">
        <v>2023</v>
      </c>
      <c r="C44" t="s">
        <v>8</v>
      </c>
      <c r="D44">
        <v>4109000000</v>
      </c>
    </row>
    <row r="45" spans="1:4" x14ac:dyDescent="0.2">
      <c r="A45" t="s">
        <v>12</v>
      </c>
      <c r="B45">
        <v>2022</v>
      </c>
      <c r="C45" t="s">
        <v>8</v>
      </c>
      <c r="D45">
        <v>6450000000</v>
      </c>
    </row>
    <row r="46" spans="1:4" x14ac:dyDescent="0.2">
      <c r="A46" t="s">
        <v>12</v>
      </c>
      <c r="B46">
        <v>2025</v>
      </c>
      <c r="C46" t="s">
        <v>9</v>
      </c>
      <c r="D46">
        <v>2.15</v>
      </c>
    </row>
    <row r="47" spans="1:4" x14ac:dyDescent="0.2">
      <c r="A47" t="s">
        <v>12</v>
      </c>
      <c r="B47">
        <v>2024</v>
      </c>
      <c r="C47" t="s">
        <v>9</v>
      </c>
      <c r="D47">
        <v>1.67</v>
      </c>
    </row>
    <row r="48" spans="1:4" x14ac:dyDescent="0.2">
      <c r="A48" t="s">
        <v>12</v>
      </c>
      <c r="B48">
        <v>2023</v>
      </c>
      <c r="C48" t="s">
        <v>9</v>
      </c>
      <c r="D48">
        <v>2.12</v>
      </c>
    </row>
    <row r="49" spans="1:4" x14ac:dyDescent="0.2">
      <c r="A49" t="s">
        <v>12</v>
      </c>
      <c r="B49">
        <v>2022</v>
      </c>
      <c r="C49" t="s">
        <v>9</v>
      </c>
      <c r="D49">
        <v>3.2</v>
      </c>
    </row>
    <row r="50" spans="1:4" x14ac:dyDescent="0.2">
      <c r="A50" t="s">
        <v>12</v>
      </c>
      <c r="B50">
        <v>2025</v>
      </c>
      <c r="C50" t="s">
        <v>10</v>
      </c>
      <c r="D50">
        <v>4477000000</v>
      </c>
    </row>
    <row r="51" spans="1:4" x14ac:dyDescent="0.2">
      <c r="A51" t="s">
        <v>12</v>
      </c>
      <c r="B51">
        <v>2024</v>
      </c>
      <c r="C51" t="s">
        <v>10</v>
      </c>
      <c r="D51">
        <v>4071000000</v>
      </c>
    </row>
    <row r="52" spans="1:4" x14ac:dyDescent="0.2">
      <c r="A52" t="s">
        <v>12</v>
      </c>
      <c r="B52">
        <v>2023</v>
      </c>
      <c r="C52" t="s">
        <v>10</v>
      </c>
      <c r="D52">
        <v>5040000000</v>
      </c>
    </row>
    <row r="53" spans="1:4" x14ac:dyDescent="0.2">
      <c r="A53" t="s">
        <v>12</v>
      </c>
      <c r="B53">
        <v>2022</v>
      </c>
      <c r="C53" t="s">
        <v>10</v>
      </c>
      <c r="D53">
        <v>8731000000</v>
      </c>
    </row>
    <row r="54" spans="1:4" x14ac:dyDescent="0.2">
      <c r="A54" t="s">
        <v>12</v>
      </c>
      <c r="B54">
        <v>2025</v>
      </c>
      <c r="C54" t="s">
        <v>11</v>
      </c>
      <c r="D54">
        <v>547000000</v>
      </c>
    </row>
    <row r="55" spans="1:4" x14ac:dyDescent="0.2">
      <c r="A55" t="s">
        <v>12</v>
      </c>
      <c r="B55">
        <v>2024</v>
      </c>
      <c r="C55" t="s">
        <v>11</v>
      </c>
      <c r="D55">
        <v>929000000</v>
      </c>
    </row>
    <row r="56" spans="1:4" x14ac:dyDescent="0.2">
      <c r="A56" t="s">
        <v>12</v>
      </c>
      <c r="B56">
        <v>2023</v>
      </c>
      <c r="C56" t="s">
        <v>11</v>
      </c>
      <c r="D56">
        <v>931000000</v>
      </c>
    </row>
    <row r="57" spans="1:4" x14ac:dyDescent="0.2">
      <c r="A57" t="s">
        <v>12</v>
      </c>
      <c r="B57">
        <v>2022</v>
      </c>
      <c r="C57" t="s">
        <v>11</v>
      </c>
      <c r="D57">
        <v>2281000000</v>
      </c>
    </row>
    <row r="58" spans="1:4" x14ac:dyDescent="0.2">
      <c r="A58" t="s">
        <v>4</v>
      </c>
      <c r="B58">
        <v>2024</v>
      </c>
      <c r="C58" t="s">
        <v>5</v>
      </c>
      <c r="D58">
        <v>41509000000</v>
      </c>
    </row>
    <row r="59" spans="1:4" x14ac:dyDescent="0.2">
      <c r="A59" t="s">
        <v>12</v>
      </c>
      <c r="B59">
        <v>2024</v>
      </c>
      <c r="C59" t="s">
        <v>5</v>
      </c>
      <c r="D59">
        <v>57726000000</v>
      </c>
    </row>
    <row r="60" spans="1:4" x14ac:dyDescent="0.2">
      <c r="A60" t="s">
        <v>13</v>
      </c>
      <c r="B60">
        <v>2024</v>
      </c>
      <c r="C60" t="s">
        <v>5</v>
      </c>
      <c r="D60">
        <v>54881000000</v>
      </c>
    </row>
    <row r="61" spans="1:4" x14ac:dyDescent="0.2">
      <c r="A61" t="s">
        <v>14</v>
      </c>
      <c r="B61">
        <v>2024</v>
      </c>
      <c r="C61" t="s">
        <v>5</v>
      </c>
      <c r="D61">
        <v>48824000000</v>
      </c>
    </row>
    <row r="62" spans="1:4" x14ac:dyDescent="0.2">
      <c r="A62" t="s">
        <v>13</v>
      </c>
      <c r="B62">
        <v>2022</v>
      </c>
      <c r="C62" t="s">
        <v>6</v>
      </c>
      <c r="D62">
        <v>22008000000</v>
      </c>
    </row>
    <row r="63" spans="1:4" x14ac:dyDescent="0.2">
      <c r="A63" t="s">
        <v>13</v>
      </c>
      <c r="B63">
        <v>2023</v>
      </c>
      <c r="C63" t="s">
        <v>6</v>
      </c>
      <c r="D63">
        <v>17810000000</v>
      </c>
    </row>
    <row r="64" spans="1:4" x14ac:dyDescent="0.2">
      <c r="A64" t="s">
        <v>13</v>
      </c>
      <c r="B64">
        <v>2024</v>
      </c>
      <c r="C64" t="s">
        <v>6</v>
      </c>
      <c r="D64">
        <v>15835000000</v>
      </c>
    </row>
    <row r="65" spans="1:4" x14ac:dyDescent="0.2">
      <c r="A65" t="s">
        <v>13</v>
      </c>
      <c r="B65">
        <v>2025</v>
      </c>
      <c r="C65" t="s">
        <v>6</v>
      </c>
      <c r="D65">
        <v>15607000000</v>
      </c>
    </row>
    <row r="66" spans="1:4" x14ac:dyDescent="0.2">
      <c r="A66" t="s">
        <v>13</v>
      </c>
      <c r="B66">
        <v>2025</v>
      </c>
      <c r="C66" t="s">
        <v>7</v>
      </c>
      <c r="D66">
        <v>8691000000</v>
      </c>
    </row>
    <row r="67" spans="1:4" x14ac:dyDescent="0.2">
      <c r="A67" t="s">
        <v>13</v>
      </c>
      <c r="B67">
        <v>2024</v>
      </c>
      <c r="C67" t="s">
        <v>7</v>
      </c>
      <c r="D67">
        <v>8881000000</v>
      </c>
    </row>
    <row r="68" spans="1:4" x14ac:dyDescent="0.2">
      <c r="A68" t="s">
        <v>13</v>
      </c>
      <c r="B68">
        <v>2023</v>
      </c>
      <c r="C68" t="s">
        <v>7</v>
      </c>
      <c r="D68">
        <v>11375000000</v>
      </c>
    </row>
    <row r="69" spans="1:4" x14ac:dyDescent="0.2">
      <c r="A69" t="s">
        <v>13</v>
      </c>
      <c r="B69">
        <v>2022</v>
      </c>
      <c r="C69" t="s">
        <v>7</v>
      </c>
      <c r="D69">
        <v>13222000000</v>
      </c>
    </row>
    <row r="70" spans="1:4" x14ac:dyDescent="0.2">
      <c r="A70" t="s">
        <v>13</v>
      </c>
      <c r="B70">
        <v>2025</v>
      </c>
      <c r="C70" t="s">
        <v>8</v>
      </c>
      <c r="D70">
        <v>5918000000</v>
      </c>
    </row>
    <row r="71" spans="1:4" x14ac:dyDescent="0.2">
      <c r="A71" t="s">
        <v>13</v>
      </c>
      <c r="B71">
        <v>2024</v>
      </c>
      <c r="C71" t="s">
        <v>8</v>
      </c>
      <c r="D71">
        <v>6016000000</v>
      </c>
    </row>
    <row r="72" spans="1:4" x14ac:dyDescent="0.2">
      <c r="A72" t="s">
        <v>13</v>
      </c>
      <c r="B72">
        <v>2023</v>
      </c>
      <c r="C72" t="s">
        <v>8</v>
      </c>
      <c r="D72">
        <v>8295000000</v>
      </c>
    </row>
    <row r="73" spans="1:4" x14ac:dyDescent="0.2">
      <c r="A73" t="s">
        <v>13</v>
      </c>
      <c r="B73">
        <v>2022</v>
      </c>
      <c r="C73" t="s">
        <v>8</v>
      </c>
      <c r="D73">
        <v>9077000000</v>
      </c>
    </row>
    <row r="74" spans="1:4" x14ac:dyDescent="0.2">
      <c r="A74" t="s">
        <v>13</v>
      </c>
      <c r="B74">
        <v>2025</v>
      </c>
      <c r="C74" t="s">
        <v>9</v>
      </c>
      <c r="D74">
        <v>4.8499999999999996</v>
      </c>
    </row>
    <row r="75" spans="1:4" x14ac:dyDescent="0.2">
      <c r="A75" t="s">
        <v>13</v>
      </c>
      <c r="B75">
        <v>2024</v>
      </c>
      <c r="C75" t="s">
        <v>9</v>
      </c>
      <c r="D75">
        <v>4.72</v>
      </c>
    </row>
    <row r="76" spans="1:4" x14ac:dyDescent="0.2">
      <c r="A76" t="s">
        <v>13</v>
      </c>
      <c r="B76">
        <v>2023</v>
      </c>
      <c r="C76" t="s">
        <v>9</v>
      </c>
      <c r="D76">
        <v>6.33</v>
      </c>
    </row>
    <row r="77" spans="1:4" x14ac:dyDescent="0.2">
      <c r="A77" t="s">
        <v>13</v>
      </c>
      <c r="B77">
        <v>2022</v>
      </c>
      <c r="C77" t="s">
        <v>9</v>
      </c>
      <c r="D77">
        <v>6.53</v>
      </c>
    </row>
    <row r="78" spans="1:4" x14ac:dyDescent="0.2">
      <c r="A78" t="s">
        <v>13</v>
      </c>
      <c r="B78">
        <v>2025</v>
      </c>
      <c r="C78" t="s">
        <v>10</v>
      </c>
      <c r="D78">
        <v>7948000000</v>
      </c>
    </row>
    <row r="79" spans="1:4" x14ac:dyDescent="0.2">
      <c r="A79" t="s">
        <v>13</v>
      </c>
      <c r="B79">
        <v>2024</v>
      </c>
      <c r="C79" t="s">
        <v>10</v>
      </c>
      <c r="D79">
        <v>8187000000</v>
      </c>
    </row>
    <row r="80" spans="1:4" x14ac:dyDescent="0.2">
      <c r="A80" t="s">
        <v>13</v>
      </c>
      <c r="B80">
        <v>2023</v>
      </c>
      <c r="C80" t="s">
        <v>10</v>
      </c>
      <c r="D80">
        <v>10589000000</v>
      </c>
    </row>
    <row r="81" spans="1:4" x14ac:dyDescent="0.2">
      <c r="A81" t="s">
        <v>13</v>
      </c>
      <c r="B81">
        <v>2022</v>
      </c>
      <c r="C81" t="s">
        <v>10</v>
      </c>
      <c r="D81">
        <v>12316000000</v>
      </c>
    </row>
    <row r="82" spans="1:4" x14ac:dyDescent="0.2">
      <c r="A82" t="s">
        <v>13</v>
      </c>
      <c r="B82">
        <v>2025</v>
      </c>
      <c r="C82" t="s">
        <v>11</v>
      </c>
      <c r="D82">
        <v>2030000000</v>
      </c>
    </row>
    <row r="83" spans="1:4" x14ac:dyDescent="0.2">
      <c r="A83" t="s">
        <v>13</v>
      </c>
      <c r="B83">
        <v>2024</v>
      </c>
      <c r="C83" t="s">
        <v>11</v>
      </c>
      <c r="D83">
        <v>2171000000</v>
      </c>
    </row>
    <row r="84" spans="1:4" x14ac:dyDescent="0.2">
      <c r="A84" t="s">
        <v>13</v>
      </c>
      <c r="B84">
        <v>2023</v>
      </c>
      <c r="C84" t="s">
        <v>11</v>
      </c>
      <c r="D84">
        <v>2294000000</v>
      </c>
    </row>
    <row r="85" spans="1:4" x14ac:dyDescent="0.2">
      <c r="A85" t="s">
        <v>13</v>
      </c>
      <c r="B85">
        <v>2022</v>
      </c>
      <c r="C85" t="s">
        <v>11</v>
      </c>
      <c r="D85">
        <v>3239000000</v>
      </c>
    </row>
    <row r="86" spans="1:4" x14ac:dyDescent="0.2">
      <c r="A86" t="s">
        <v>4</v>
      </c>
      <c r="B86">
        <v>2025</v>
      </c>
      <c r="C86" t="s">
        <v>5</v>
      </c>
      <c r="D86">
        <v>44167000000</v>
      </c>
    </row>
    <row r="87" spans="1:4" x14ac:dyDescent="0.2">
      <c r="A87" t="s">
        <v>12</v>
      </c>
      <c r="B87">
        <v>2025</v>
      </c>
      <c r="C87" t="s">
        <v>5</v>
      </c>
      <c r="D87">
        <v>52751000000</v>
      </c>
    </row>
    <row r="88" spans="1:4" x14ac:dyDescent="0.2">
      <c r="A88" t="s">
        <v>13</v>
      </c>
      <c r="B88">
        <v>2025</v>
      </c>
      <c r="C88" t="s">
        <v>5</v>
      </c>
      <c r="D88">
        <v>52377000000</v>
      </c>
    </row>
    <row r="89" spans="1:4" x14ac:dyDescent="0.2">
      <c r="A89" t="s">
        <v>14</v>
      </c>
      <c r="B89">
        <v>2025</v>
      </c>
      <c r="C89" t="s">
        <v>5</v>
      </c>
      <c r="D89">
        <v>45203000000</v>
      </c>
    </row>
    <row r="90" spans="1:4" x14ac:dyDescent="0.2">
      <c r="A90" t="s">
        <v>14</v>
      </c>
      <c r="B90">
        <v>2022</v>
      </c>
      <c r="C90" t="s">
        <v>6</v>
      </c>
      <c r="D90">
        <v>11441000000</v>
      </c>
    </row>
    <row r="91" spans="1:4" x14ac:dyDescent="0.2">
      <c r="A91" t="s">
        <v>14</v>
      </c>
      <c r="B91">
        <v>2023</v>
      </c>
      <c r="C91" t="s">
        <v>6</v>
      </c>
      <c r="D91">
        <v>8345000000</v>
      </c>
    </row>
    <row r="92" spans="1:4" x14ac:dyDescent="0.2">
      <c r="A92" t="s">
        <v>14</v>
      </c>
      <c r="B92">
        <v>2024</v>
      </c>
      <c r="C92" t="s">
        <v>6</v>
      </c>
      <c r="D92">
        <v>8263000000</v>
      </c>
    </row>
    <row r="93" spans="1:4" x14ac:dyDescent="0.2">
      <c r="A93" t="s">
        <v>14</v>
      </c>
      <c r="B93">
        <v>2025</v>
      </c>
      <c r="C93" t="s">
        <v>6</v>
      </c>
      <c r="D93">
        <v>6867000000</v>
      </c>
    </row>
    <row r="94" spans="1:4" x14ac:dyDescent="0.2">
      <c r="A94" t="s">
        <v>14</v>
      </c>
      <c r="B94">
        <v>2025</v>
      </c>
      <c r="C94" t="s">
        <v>7</v>
      </c>
      <c r="D94">
        <v>4288000000</v>
      </c>
    </row>
    <row r="95" spans="1:4" x14ac:dyDescent="0.2">
      <c r="A95" t="s">
        <v>14</v>
      </c>
      <c r="B95">
        <v>2024</v>
      </c>
      <c r="C95" t="s">
        <v>7</v>
      </c>
      <c r="D95">
        <v>6280000000</v>
      </c>
    </row>
    <row r="96" spans="1:4" x14ac:dyDescent="0.2">
      <c r="A96" t="s">
        <v>14</v>
      </c>
      <c r="B96">
        <v>2023</v>
      </c>
      <c r="C96" t="s">
        <v>7</v>
      </c>
      <c r="D96">
        <v>6438000000</v>
      </c>
    </row>
    <row r="97" spans="1:4" x14ac:dyDescent="0.2">
      <c r="A97" t="s">
        <v>14</v>
      </c>
      <c r="B97">
        <v>2022</v>
      </c>
      <c r="C97" t="s">
        <v>7</v>
      </c>
      <c r="D97">
        <v>9544000000</v>
      </c>
    </row>
    <row r="98" spans="1:4" x14ac:dyDescent="0.2">
      <c r="A98" t="s">
        <v>14</v>
      </c>
      <c r="B98">
        <v>2025</v>
      </c>
      <c r="C98" t="s">
        <v>8</v>
      </c>
      <c r="D98">
        <v>3268000000</v>
      </c>
    </row>
    <row r="99" spans="1:4" x14ac:dyDescent="0.2">
      <c r="A99" t="s">
        <v>14</v>
      </c>
      <c r="B99">
        <v>2024</v>
      </c>
      <c r="C99" t="s">
        <v>8</v>
      </c>
      <c r="D99">
        <v>4790000000</v>
      </c>
    </row>
    <row r="100" spans="1:4" x14ac:dyDescent="0.2">
      <c r="A100" t="s">
        <v>14</v>
      </c>
      <c r="B100">
        <v>2023</v>
      </c>
      <c r="C100" t="s">
        <v>8</v>
      </c>
      <c r="D100">
        <v>4889000000</v>
      </c>
    </row>
    <row r="101" spans="1:4" x14ac:dyDescent="0.2">
      <c r="A101" t="s">
        <v>14</v>
      </c>
      <c r="B101">
        <v>2022</v>
      </c>
      <c r="C101" t="s">
        <v>8</v>
      </c>
      <c r="D101">
        <v>7340000000</v>
      </c>
    </row>
    <row r="102" spans="1:4" x14ac:dyDescent="0.2">
      <c r="A102" t="s">
        <v>14</v>
      </c>
      <c r="B102">
        <v>2025</v>
      </c>
      <c r="C102" t="s">
        <v>9</v>
      </c>
      <c r="D102">
        <v>6.48</v>
      </c>
    </row>
    <row r="103" spans="1:4" x14ac:dyDescent="0.2">
      <c r="A103" t="s">
        <v>14</v>
      </c>
      <c r="B103">
        <v>2024</v>
      </c>
      <c r="C103" t="s">
        <v>9</v>
      </c>
      <c r="D103">
        <v>9.0299999999999994</v>
      </c>
    </row>
    <row r="104" spans="1:4" x14ac:dyDescent="0.2">
      <c r="A104" t="s">
        <v>14</v>
      </c>
      <c r="B104">
        <v>2023</v>
      </c>
      <c r="C104" t="s">
        <v>9</v>
      </c>
      <c r="D104">
        <v>8.49</v>
      </c>
    </row>
    <row r="105" spans="1:4" x14ac:dyDescent="0.2">
      <c r="A105" t="s">
        <v>14</v>
      </c>
      <c r="B105">
        <v>2022</v>
      </c>
      <c r="C105" t="s">
        <v>9</v>
      </c>
      <c r="D105">
        <v>11.44</v>
      </c>
    </row>
    <row r="106" spans="1:4" x14ac:dyDescent="0.2">
      <c r="A106" t="s">
        <v>14</v>
      </c>
      <c r="B106">
        <v>2025</v>
      </c>
      <c r="C106" t="s">
        <v>10</v>
      </c>
      <c r="D106">
        <v>4262000000</v>
      </c>
    </row>
    <row r="107" spans="1:4" x14ac:dyDescent="0.2">
      <c r="A107" t="s">
        <v>14</v>
      </c>
      <c r="B107">
        <v>2024</v>
      </c>
      <c r="C107" t="s">
        <v>10</v>
      </c>
      <c r="D107">
        <v>6239000000</v>
      </c>
    </row>
    <row r="108" spans="1:4" x14ac:dyDescent="0.2">
      <c r="A108" t="s">
        <v>14</v>
      </c>
      <c r="B108">
        <v>2023</v>
      </c>
      <c r="C108" t="s">
        <v>10</v>
      </c>
      <c r="D108">
        <v>6369000000</v>
      </c>
    </row>
    <row r="109" spans="1:4" x14ac:dyDescent="0.2">
      <c r="A109" t="s">
        <v>14</v>
      </c>
      <c r="B109">
        <v>2022</v>
      </c>
      <c r="C109" t="s">
        <v>10</v>
      </c>
      <c r="D109">
        <v>9484000000</v>
      </c>
    </row>
    <row r="110" spans="1:4" x14ac:dyDescent="0.2">
      <c r="A110" t="s">
        <v>14</v>
      </c>
      <c r="B110">
        <v>2025</v>
      </c>
      <c r="C110" t="s">
        <v>11</v>
      </c>
      <c r="D110">
        <v>994000000</v>
      </c>
    </row>
    <row r="111" spans="1:4" x14ac:dyDescent="0.2">
      <c r="A111" t="s">
        <v>14</v>
      </c>
      <c r="B111">
        <v>2024</v>
      </c>
      <c r="C111" t="s">
        <v>11</v>
      </c>
      <c r="D111">
        <v>1449000000</v>
      </c>
    </row>
    <row r="112" spans="1:4" x14ac:dyDescent="0.2">
      <c r="A112" t="s">
        <v>14</v>
      </c>
      <c r="B112">
        <v>2023</v>
      </c>
      <c r="C112" t="s">
        <v>11</v>
      </c>
      <c r="D112">
        <v>1480000000</v>
      </c>
    </row>
    <row r="113" spans="1:4" x14ac:dyDescent="0.2">
      <c r="A113" t="s">
        <v>14</v>
      </c>
      <c r="B113">
        <v>2022</v>
      </c>
      <c r="C113" t="s">
        <v>11</v>
      </c>
      <c r="D113">
        <v>2144000000</v>
      </c>
    </row>
    <row r="114" spans="1:4" x14ac:dyDescent="0.2">
      <c r="A114" t="s">
        <v>4</v>
      </c>
      <c r="B114">
        <v>2025</v>
      </c>
      <c r="C114" t="s">
        <v>15</v>
      </c>
      <c r="D114">
        <v>8315000000</v>
      </c>
    </row>
    <row r="115" spans="1:4" x14ac:dyDescent="0.2">
      <c r="A115" t="s">
        <v>4</v>
      </c>
      <c r="B115">
        <v>2024</v>
      </c>
      <c r="C115" t="s">
        <v>15</v>
      </c>
      <c r="D115">
        <v>8003000000</v>
      </c>
    </row>
    <row r="116" spans="1:4" x14ac:dyDescent="0.2">
      <c r="A116" t="s">
        <v>4</v>
      </c>
      <c r="B116">
        <v>2023</v>
      </c>
      <c r="C116" t="s">
        <v>15</v>
      </c>
      <c r="D116">
        <v>7444000000</v>
      </c>
    </row>
    <row r="117" spans="1:4" x14ac:dyDescent="0.2">
      <c r="A117" t="s">
        <v>4</v>
      </c>
      <c r="B117">
        <v>2022</v>
      </c>
      <c r="C117" t="s">
        <v>15</v>
      </c>
      <c r="D117">
        <v>14255000000</v>
      </c>
    </row>
    <row r="118" spans="1:4" x14ac:dyDescent="0.2">
      <c r="A118" t="s">
        <v>4</v>
      </c>
      <c r="B118">
        <v>2025</v>
      </c>
      <c r="C118" t="s">
        <v>16</v>
      </c>
      <c r="D118">
        <v>15106000000</v>
      </c>
    </row>
    <row r="119" spans="1:4" x14ac:dyDescent="0.2">
      <c r="A119" t="s">
        <v>4</v>
      </c>
      <c r="B119">
        <v>2024</v>
      </c>
      <c r="C119" t="s">
        <v>16</v>
      </c>
      <c r="D119">
        <v>13386000000</v>
      </c>
    </row>
    <row r="120" spans="1:4" x14ac:dyDescent="0.2">
      <c r="A120" t="s">
        <v>4</v>
      </c>
      <c r="B120">
        <v>2023</v>
      </c>
      <c r="C120" t="s">
        <v>16</v>
      </c>
      <c r="D120">
        <v>12353000000</v>
      </c>
    </row>
    <row r="121" spans="1:4" x14ac:dyDescent="0.2">
      <c r="A121" t="s">
        <v>4</v>
      </c>
      <c r="B121">
        <v>2022</v>
      </c>
      <c r="C121" t="s">
        <v>16</v>
      </c>
      <c r="D121">
        <v>19391000000</v>
      </c>
    </row>
    <row r="122" spans="1:4" x14ac:dyDescent="0.2">
      <c r="A122" t="s">
        <v>4</v>
      </c>
      <c r="B122">
        <v>2025</v>
      </c>
      <c r="C122" t="s">
        <v>17</v>
      </c>
      <c r="D122">
        <v>-6791000000</v>
      </c>
    </row>
    <row r="123" spans="1:4" x14ac:dyDescent="0.2">
      <c r="A123" t="s">
        <v>4</v>
      </c>
      <c r="B123">
        <v>2024</v>
      </c>
      <c r="C123" t="s">
        <v>17</v>
      </c>
      <c r="D123">
        <v>-5383000000</v>
      </c>
    </row>
    <row r="124" spans="1:4" x14ac:dyDescent="0.2">
      <c r="A124" t="s">
        <v>4</v>
      </c>
      <c r="B124">
        <v>2023</v>
      </c>
      <c r="C124" t="s">
        <v>17</v>
      </c>
      <c r="D124">
        <v>-4909000000</v>
      </c>
    </row>
    <row r="125" spans="1:4" x14ac:dyDescent="0.2">
      <c r="A125" t="s">
        <v>4</v>
      </c>
      <c r="B125">
        <v>2022</v>
      </c>
      <c r="C125" t="s">
        <v>17</v>
      </c>
      <c r="D125">
        <v>-5136000000</v>
      </c>
    </row>
    <row r="126" spans="1:4" x14ac:dyDescent="0.2">
      <c r="A126" t="s">
        <v>4</v>
      </c>
      <c r="B126">
        <v>2025</v>
      </c>
      <c r="C126" t="s">
        <v>18</v>
      </c>
      <c r="D126">
        <v>-4871000000</v>
      </c>
    </row>
    <row r="127" spans="1:4" x14ac:dyDescent="0.2">
      <c r="A127" t="s">
        <v>4</v>
      </c>
      <c r="B127">
        <v>2024</v>
      </c>
      <c r="C127" t="s">
        <v>18</v>
      </c>
      <c r="D127">
        <v>-4429000000</v>
      </c>
    </row>
    <row r="128" spans="1:4" x14ac:dyDescent="0.2">
      <c r="A128" t="s">
        <v>4</v>
      </c>
      <c r="B128">
        <v>2023</v>
      </c>
      <c r="C128" t="s">
        <v>18</v>
      </c>
      <c r="D128">
        <v>-3891000000</v>
      </c>
    </row>
    <row r="129" spans="1:4" x14ac:dyDescent="0.2">
      <c r="A129" t="s">
        <v>4</v>
      </c>
      <c r="B129">
        <v>2022</v>
      </c>
      <c r="C129" t="s">
        <v>18</v>
      </c>
      <c r="D129">
        <v>-4926000000</v>
      </c>
    </row>
    <row r="130" spans="1:4" x14ac:dyDescent="0.2">
      <c r="A130" t="s">
        <v>4</v>
      </c>
      <c r="B130">
        <v>2025</v>
      </c>
      <c r="C130" t="s">
        <v>19</v>
      </c>
      <c r="D130">
        <v>-1449000000</v>
      </c>
    </row>
    <row r="131" spans="1:4" x14ac:dyDescent="0.2">
      <c r="A131" t="s">
        <v>4</v>
      </c>
      <c r="B131">
        <v>2024</v>
      </c>
      <c r="C131" t="s">
        <v>19</v>
      </c>
      <c r="D131">
        <v>-2660000000</v>
      </c>
    </row>
    <row r="132" spans="1:4" x14ac:dyDescent="0.2">
      <c r="A132" t="s">
        <v>4</v>
      </c>
      <c r="B132">
        <v>2023</v>
      </c>
      <c r="C132" t="s">
        <v>19</v>
      </c>
      <c r="D132">
        <v>-3318000000</v>
      </c>
    </row>
    <row r="133" spans="1:4" x14ac:dyDescent="0.2">
      <c r="A133" t="s">
        <v>4</v>
      </c>
      <c r="B133">
        <v>2022</v>
      </c>
      <c r="C133" t="s">
        <v>19</v>
      </c>
      <c r="D133">
        <v>-5571000000</v>
      </c>
    </row>
    <row r="134" spans="1:4" x14ac:dyDescent="0.2">
      <c r="A134" t="s">
        <v>12</v>
      </c>
      <c r="B134">
        <v>2025</v>
      </c>
      <c r="C134" t="s">
        <v>15</v>
      </c>
      <c r="D134">
        <v>3321000000</v>
      </c>
    </row>
    <row r="135" spans="1:4" x14ac:dyDescent="0.2">
      <c r="A135" t="s">
        <v>12</v>
      </c>
      <c r="B135">
        <v>2024</v>
      </c>
      <c r="C135" t="s">
        <v>15</v>
      </c>
      <c r="D135">
        <v>4220000000</v>
      </c>
    </row>
    <row r="136" spans="1:4" x14ac:dyDescent="0.2">
      <c r="A136" t="s">
        <v>12</v>
      </c>
      <c r="B136">
        <v>2023</v>
      </c>
      <c r="C136" t="s">
        <v>15</v>
      </c>
      <c r="D136">
        <v>3090000000</v>
      </c>
    </row>
    <row r="137" spans="1:4" x14ac:dyDescent="0.2">
      <c r="A137" t="s">
        <v>12</v>
      </c>
      <c r="B137">
        <v>2022</v>
      </c>
      <c r="C137" t="s">
        <v>15</v>
      </c>
      <c r="D137">
        <v>7645000000</v>
      </c>
    </row>
    <row r="138" spans="1:4" x14ac:dyDescent="0.2">
      <c r="A138" t="s">
        <v>12</v>
      </c>
      <c r="B138">
        <v>2025</v>
      </c>
      <c r="C138" t="s">
        <v>16</v>
      </c>
      <c r="D138">
        <v>8228000000</v>
      </c>
    </row>
    <row r="139" spans="1:4" x14ac:dyDescent="0.2">
      <c r="A139" t="s">
        <v>12</v>
      </c>
      <c r="B139">
        <v>2024</v>
      </c>
      <c r="C139" t="s">
        <v>16</v>
      </c>
      <c r="D139">
        <v>9235000000</v>
      </c>
    </row>
    <row r="140" spans="1:4" x14ac:dyDescent="0.2">
      <c r="A140" t="s">
        <v>12</v>
      </c>
      <c r="B140">
        <v>2023</v>
      </c>
      <c r="C140" t="s">
        <v>16</v>
      </c>
      <c r="D140">
        <v>7388000000</v>
      </c>
    </row>
    <row r="141" spans="1:4" x14ac:dyDescent="0.2">
      <c r="A141" t="s">
        <v>12</v>
      </c>
      <c r="B141">
        <v>2022</v>
      </c>
      <c r="C141" t="s">
        <v>16</v>
      </c>
      <c r="D141">
        <v>11403000000</v>
      </c>
    </row>
    <row r="142" spans="1:4" x14ac:dyDescent="0.2">
      <c r="A142" t="s">
        <v>12</v>
      </c>
      <c r="B142">
        <v>2025</v>
      </c>
      <c r="C142" t="s">
        <v>17</v>
      </c>
      <c r="D142">
        <v>-4907000000</v>
      </c>
    </row>
    <row r="143" spans="1:4" x14ac:dyDescent="0.2">
      <c r="A143" t="s">
        <v>12</v>
      </c>
      <c r="B143">
        <v>2024</v>
      </c>
      <c r="C143" t="s">
        <v>17</v>
      </c>
      <c r="D143">
        <v>-5015000000</v>
      </c>
    </row>
    <row r="144" spans="1:4" x14ac:dyDescent="0.2">
      <c r="A144" t="s">
        <v>12</v>
      </c>
      <c r="B144">
        <v>2023</v>
      </c>
      <c r="C144" t="s">
        <v>17</v>
      </c>
      <c r="D144">
        <v>-4298000000</v>
      </c>
    </row>
    <row r="145" spans="1:4" x14ac:dyDescent="0.2">
      <c r="A145" t="s">
        <v>12</v>
      </c>
      <c r="B145">
        <v>2022</v>
      </c>
      <c r="C145" t="s">
        <v>17</v>
      </c>
      <c r="D145">
        <v>-3758000000</v>
      </c>
    </row>
    <row r="146" spans="1:4" x14ac:dyDescent="0.2">
      <c r="A146" t="s">
        <v>12</v>
      </c>
      <c r="B146">
        <v>2025</v>
      </c>
      <c r="C146" t="s">
        <v>18</v>
      </c>
      <c r="D146">
        <v>-1437000000</v>
      </c>
    </row>
    <row r="147" spans="1:4" x14ac:dyDescent="0.2">
      <c r="A147" t="s">
        <v>12</v>
      </c>
      <c r="B147">
        <v>2024</v>
      </c>
      <c r="C147" t="s">
        <v>18</v>
      </c>
      <c r="D147">
        <v>-1551000000</v>
      </c>
    </row>
    <row r="148" spans="1:4" x14ac:dyDescent="0.2">
      <c r="A148" t="s">
        <v>12</v>
      </c>
      <c r="B148">
        <v>2023</v>
      </c>
      <c r="C148" t="s">
        <v>18</v>
      </c>
      <c r="D148">
        <v>-1026000000</v>
      </c>
    </row>
    <row r="149" spans="1:4" x14ac:dyDescent="0.2">
      <c r="A149" t="s">
        <v>12</v>
      </c>
      <c r="B149">
        <v>2022</v>
      </c>
      <c r="C149" t="s">
        <v>18</v>
      </c>
      <c r="D149">
        <v>-927000000</v>
      </c>
    </row>
    <row r="150" spans="1:4" x14ac:dyDescent="0.2">
      <c r="A150" t="s">
        <v>12</v>
      </c>
      <c r="B150">
        <v>2025</v>
      </c>
      <c r="C150" t="s">
        <v>19</v>
      </c>
      <c r="D150">
        <v>-2500000000</v>
      </c>
    </row>
    <row r="151" spans="1:4" x14ac:dyDescent="0.2">
      <c r="A151" t="s">
        <v>12</v>
      </c>
      <c r="B151">
        <v>2024</v>
      </c>
      <c r="C151" t="s">
        <v>19</v>
      </c>
      <c r="D151">
        <v>-1738000000</v>
      </c>
    </row>
    <row r="152" spans="1:4" x14ac:dyDescent="0.2">
      <c r="A152" t="s">
        <v>12</v>
      </c>
      <c r="B152">
        <v>2023</v>
      </c>
      <c r="C152" t="s">
        <v>19</v>
      </c>
      <c r="D152">
        <v>-1061000000</v>
      </c>
    </row>
    <row r="153" spans="1:4" x14ac:dyDescent="0.2">
      <c r="A153" t="s">
        <v>12</v>
      </c>
      <c r="B153">
        <v>2022</v>
      </c>
      <c r="C153" t="s">
        <v>19</v>
      </c>
      <c r="D153">
        <v>-2530000000</v>
      </c>
    </row>
    <row r="154" spans="1:4" x14ac:dyDescent="0.2">
      <c r="A154" t="s">
        <v>13</v>
      </c>
      <c r="B154">
        <v>2025</v>
      </c>
      <c r="C154" t="s">
        <v>15</v>
      </c>
      <c r="D154">
        <v>6925000000</v>
      </c>
    </row>
    <row r="155" spans="1:4" x14ac:dyDescent="0.2">
      <c r="A155" t="s">
        <v>13</v>
      </c>
      <c r="B155">
        <v>2024</v>
      </c>
      <c r="C155" t="s">
        <v>15</v>
      </c>
      <c r="D155">
        <v>9477000000</v>
      </c>
    </row>
    <row r="156" spans="1:4" x14ac:dyDescent="0.2">
      <c r="A156" t="s">
        <v>13</v>
      </c>
      <c r="B156">
        <v>2023</v>
      </c>
      <c r="C156" t="s">
        <v>15</v>
      </c>
      <c r="D156">
        <v>6408000000</v>
      </c>
    </row>
    <row r="157" spans="1:4" x14ac:dyDescent="0.2">
      <c r="A157" t="s">
        <v>13</v>
      </c>
      <c r="B157">
        <v>2022</v>
      </c>
      <c r="C157" t="s">
        <v>15</v>
      </c>
      <c r="D157">
        <v>10560000000</v>
      </c>
    </row>
    <row r="158" spans="1:4" x14ac:dyDescent="0.2">
      <c r="A158" t="s">
        <v>13</v>
      </c>
      <c r="B158">
        <v>2025</v>
      </c>
      <c r="C158" t="s">
        <v>16</v>
      </c>
      <c r="D158">
        <v>12781000000</v>
      </c>
    </row>
    <row r="159" spans="1:4" x14ac:dyDescent="0.2">
      <c r="A159" t="s">
        <v>13</v>
      </c>
      <c r="B159">
        <v>2024</v>
      </c>
      <c r="C159" t="s">
        <v>16</v>
      </c>
      <c r="D159">
        <v>15960000000</v>
      </c>
    </row>
    <row r="160" spans="1:4" x14ac:dyDescent="0.2">
      <c r="A160" t="s">
        <v>13</v>
      </c>
      <c r="B160">
        <v>2023</v>
      </c>
      <c r="C160" t="s">
        <v>16</v>
      </c>
      <c r="D160">
        <v>12344000000</v>
      </c>
    </row>
    <row r="161" spans="1:4" x14ac:dyDescent="0.2">
      <c r="A161" t="s">
        <v>13</v>
      </c>
      <c r="B161">
        <v>2022</v>
      </c>
      <c r="C161" t="s">
        <v>16</v>
      </c>
      <c r="D161">
        <v>15680000000</v>
      </c>
    </row>
    <row r="162" spans="1:4" x14ac:dyDescent="0.2">
      <c r="A162" t="s">
        <v>13</v>
      </c>
      <c r="B162">
        <v>2025</v>
      </c>
      <c r="C162" t="s">
        <v>17</v>
      </c>
      <c r="D162">
        <v>-5856000000</v>
      </c>
    </row>
    <row r="163" spans="1:4" x14ac:dyDescent="0.2">
      <c r="A163" t="s">
        <v>13</v>
      </c>
      <c r="B163">
        <v>2024</v>
      </c>
      <c r="C163" t="s">
        <v>17</v>
      </c>
      <c r="D163">
        <v>-6483000000</v>
      </c>
    </row>
    <row r="164" spans="1:4" x14ac:dyDescent="0.2">
      <c r="A164" t="s">
        <v>13</v>
      </c>
      <c r="B164">
        <v>2023</v>
      </c>
      <c r="C164" t="s">
        <v>17</v>
      </c>
      <c r="D164">
        <v>-5936000000</v>
      </c>
    </row>
    <row r="165" spans="1:4" x14ac:dyDescent="0.2">
      <c r="A165" t="s">
        <v>13</v>
      </c>
      <c r="B165">
        <v>2022</v>
      </c>
      <c r="C165" t="s">
        <v>17</v>
      </c>
      <c r="D165">
        <v>-5120000000</v>
      </c>
    </row>
    <row r="166" spans="1:4" x14ac:dyDescent="0.2">
      <c r="A166" t="s">
        <v>13</v>
      </c>
      <c r="B166">
        <v>2025</v>
      </c>
      <c r="C166" t="s">
        <v>18</v>
      </c>
      <c r="D166">
        <v>-2809000000</v>
      </c>
    </row>
    <row r="167" spans="1:4" x14ac:dyDescent="0.2">
      <c r="A167" t="s">
        <v>13</v>
      </c>
      <c r="B167">
        <v>2024</v>
      </c>
      <c r="C167" t="s">
        <v>18</v>
      </c>
      <c r="D167">
        <v>-2803000000</v>
      </c>
    </row>
    <row r="168" spans="1:4" x14ac:dyDescent="0.2">
      <c r="A168" t="s">
        <v>13</v>
      </c>
      <c r="B168">
        <v>2023</v>
      </c>
      <c r="C168" t="s">
        <v>18</v>
      </c>
      <c r="D168">
        <v>-2749000000</v>
      </c>
    </row>
    <row r="169" spans="1:4" x14ac:dyDescent="0.2">
      <c r="A169" t="s">
        <v>13</v>
      </c>
      <c r="B169">
        <v>2022</v>
      </c>
      <c r="C169" t="s">
        <v>18</v>
      </c>
      <c r="D169">
        <v>-2596000000</v>
      </c>
    </row>
    <row r="170" spans="1:4" x14ac:dyDescent="0.2">
      <c r="A170" t="s">
        <v>13</v>
      </c>
      <c r="B170">
        <v>2025</v>
      </c>
      <c r="C170" t="s">
        <v>19</v>
      </c>
      <c r="D170">
        <v>-3129000000</v>
      </c>
    </row>
    <row r="171" spans="1:4" x14ac:dyDescent="0.2">
      <c r="A171" t="s">
        <v>13</v>
      </c>
      <c r="B171">
        <v>2024</v>
      </c>
      <c r="C171" t="s">
        <v>19</v>
      </c>
      <c r="D171">
        <v>-2908000000</v>
      </c>
    </row>
    <row r="172" spans="1:4" x14ac:dyDescent="0.2">
      <c r="A172" t="s">
        <v>13</v>
      </c>
      <c r="B172">
        <v>2023</v>
      </c>
      <c r="C172" t="s">
        <v>19</v>
      </c>
      <c r="D172">
        <v>-2233000000</v>
      </c>
    </row>
    <row r="173" spans="1:4" x14ac:dyDescent="0.2">
      <c r="A173" t="s">
        <v>13</v>
      </c>
      <c r="B173">
        <v>2022</v>
      </c>
      <c r="C173" t="s">
        <v>19</v>
      </c>
      <c r="D173">
        <v>-5135000000</v>
      </c>
    </row>
    <row r="174" spans="1:4" x14ac:dyDescent="0.2">
      <c r="A174" t="s">
        <v>14</v>
      </c>
      <c r="B174">
        <v>2025</v>
      </c>
      <c r="C174" t="s">
        <v>15</v>
      </c>
      <c r="D174">
        <v>4703000000</v>
      </c>
    </row>
    <row r="175" spans="1:4" x14ac:dyDescent="0.2">
      <c r="A175" t="s">
        <v>14</v>
      </c>
      <c r="B175">
        <v>2024</v>
      </c>
      <c r="C175" t="s">
        <v>15</v>
      </c>
      <c r="D175">
        <v>4114000000</v>
      </c>
    </row>
    <row r="176" spans="1:4" x14ac:dyDescent="0.2">
      <c r="A176" t="s">
        <v>14</v>
      </c>
      <c r="B176">
        <v>2023</v>
      </c>
      <c r="C176" t="s">
        <v>15</v>
      </c>
      <c r="D176">
        <v>1949000000</v>
      </c>
    </row>
    <row r="177" spans="1:4" x14ac:dyDescent="0.2">
      <c r="A177" t="s">
        <v>14</v>
      </c>
      <c r="B177">
        <v>2022</v>
      </c>
      <c r="C177" t="s">
        <v>15</v>
      </c>
      <c r="D177">
        <v>8956000000</v>
      </c>
    </row>
    <row r="178" spans="1:4" x14ac:dyDescent="0.2">
      <c r="A178" t="s">
        <v>14</v>
      </c>
      <c r="B178">
        <v>2025</v>
      </c>
      <c r="C178" t="s">
        <v>16</v>
      </c>
      <c r="D178">
        <v>6708000000</v>
      </c>
    </row>
    <row r="179" spans="1:4" x14ac:dyDescent="0.2">
      <c r="A179" t="s">
        <v>14</v>
      </c>
      <c r="B179">
        <v>2024</v>
      </c>
      <c r="C179" t="s">
        <v>16</v>
      </c>
      <c r="D179">
        <v>5981000000</v>
      </c>
    </row>
    <row r="180" spans="1:4" x14ac:dyDescent="0.2">
      <c r="A180" t="s">
        <v>14</v>
      </c>
      <c r="B180">
        <v>2023</v>
      </c>
      <c r="C180" t="s">
        <v>16</v>
      </c>
      <c r="D180">
        <v>3734000000</v>
      </c>
    </row>
    <row r="181" spans="1:4" x14ac:dyDescent="0.2">
      <c r="A181" t="s">
        <v>14</v>
      </c>
      <c r="B181">
        <v>2022</v>
      </c>
      <c r="C181" t="s">
        <v>16</v>
      </c>
      <c r="D181">
        <v>10482000000</v>
      </c>
    </row>
    <row r="182" spans="1:4" x14ac:dyDescent="0.2">
      <c r="A182" t="s">
        <v>14</v>
      </c>
      <c r="B182">
        <v>2025</v>
      </c>
      <c r="C182" t="s">
        <v>17</v>
      </c>
      <c r="D182">
        <v>-2005000000</v>
      </c>
    </row>
    <row r="183" spans="1:4" x14ac:dyDescent="0.2">
      <c r="A183" t="s">
        <v>14</v>
      </c>
      <c r="B183">
        <v>2024</v>
      </c>
      <c r="C183" t="s">
        <v>17</v>
      </c>
      <c r="D183">
        <v>-1867000000</v>
      </c>
    </row>
    <row r="184" spans="1:4" x14ac:dyDescent="0.2">
      <c r="A184" t="s">
        <v>14</v>
      </c>
      <c r="B184">
        <v>2023</v>
      </c>
      <c r="C184" t="s">
        <v>17</v>
      </c>
      <c r="D184">
        <v>-1785000000</v>
      </c>
    </row>
    <row r="185" spans="1:4" x14ac:dyDescent="0.2">
      <c r="A185" t="s">
        <v>14</v>
      </c>
      <c r="B185">
        <v>2022</v>
      </c>
      <c r="C185" t="s">
        <v>17</v>
      </c>
      <c r="D185">
        <v>-1526000000</v>
      </c>
    </row>
    <row r="186" spans="1:4" x14ac:dyDescent="0.2">
      <c r="A186" t="s">
        <v>14</v>
      </c>
      <c r="B186">
        <v>2025</v>
      </c>
      <c r="C186" t="s">
        <v>18</v>
      </c>
      <c r="D186">
        <v>-1401000000</v>
      </c>
    </row>
    <row r="187" spans="1:4" x14ac:dyDescent="0.2">
      <c r="A187" t="s">
        <v>14</v>
      </c>
      <c r="B187">
        <v>2024</v>
      </c>
      <c r="C187" t="s">
        <v>18</v>
      </c>
      <c r="D187">
        <v>-1238000000</v>
      </c>
    </row>
    <row r="188" spans="1:4" x14ac:dyDescent="0.2">
      <c r="A188" t="s">
        <v>14</v>
      </c>
      <c r="B188">
        <v>2023</v>
      </c>
      <c r="C188" t="s">
        <v>18</v>
      </c>
      <c r="D188">
        <v>-1103000000</v>
      </c>
    </row>
    <row r="189" spans="1:4" x14ac:dyDescent="0.2">
      <c r="A189" t="s">
        <v>14</v>
      </c>
      <c r="B189">
        <v>2022</v>
      </c>
      <c r="C189" t="s">
        <v>18</v>
      </c>
      <c r="D189">
        <v>-851000000</v>
      </c>
    </row>
    <row r="190" spans="1:4" x14ac:dyDescent="0.2">
      <c r="A190" t="s">
        <v>14</v>
      </c>
      <c r="B190">
        <v>2025</v>
      </c>
      <c r="C190" t="s">
        <v>19</v>
      </c>
      <c r="D190">
        <v>-3234000000</v>
      </c>
    </row>
    <row r="191" spans="1:4" x14ac:dyDescent="0.2">
      <c r="A191" t="s">
        <v>14</v>
      </c>
      <c r="B191">
        <v>2024</v>
      </c>
      <c r="C191" t="s">
        <v>19</v>
      </c>
      <c r="D191">
        <v>-2681000000</v>
      </c>
    </row>
    <row r="192" spans="1:4" x14ac:dyDescent="0.2">
      <c r="A192" t="s">
        <v>14</v>
      </c>
      <c r="B192">
        <v>2023</v>
      </c>
      <c r="C192" t="s">
        <v>19</v>
      </c>
      <c r="D192">
        <v>-3800000000</v>
      </c>
    </row>
    <row r="193" spans="1:4" x14ac:dyDescent="0.2">
      <c r="A193" t="s">
        <v>14</v>
      </c>
      <c r="B193">
        <v>2022</v>
      </c>
      <c r="C193" t="s">
        <v>19</v>
      </c>
      <c r="D193">
        <v>-6395000000</v>
      </c>
    </row>
    <row r="194" spans="1:4" x14ac:dyDescent="0.2">
      <c r="A194" t="s">
        <v>4</v>
      </c>
      <c r="B194">
        <v>2023</v>
      </c>
      <c r="C194" t="s">
        <v>20</v>
      </c>
      <c r="D194">
        <v>10799000000</v>
      </c>
    </row>
    <row r="195" spans="1:4" x14ac:dyDescent="0.2">
      <c r="A195" t="s">
        <v>4</v>
      </c>
      <c r="B195">
        <v>2022</v>
      </c>
      <c r="C195" t="s">
        <v>20</v>
      </c>
      <c r="D195">
        <v>11445000000</v>
      </c>
    </row>
    <row r="196" spans="1:4" x14ac:dyDescent="0.2">
      <c r="A196" t="s">
        <v>4</v>
      </c>
      <c r="B196">
        <v>2025</v>
      </c>
      <c r="C196" t="s">
        <v>20</v>
      </c>
      <c r="D196">
        <v>16617000000</v>
      </c>
    </row>
    <row r="197" spans="1:4" x14ac:dyDescent="0.2">
      <c r="A197" t="s">
        <v>4</v>
      </c>
      <c r="B197">
        <v>2024</v>
      </c>
      <c r="C197" t="s">
        <v>20</v>
      </c>
      <c r="D197">
        <v>18819000000</v>
      </c>
    </row>
    <row r="198" spans="1:4" x14ac:dyDescent="0.2">
      <c r="A198" t="s">
        <v>4</v>
      </c>
      <c r="B198">
        <v>2022</v>
      </c>
      <c r="C198" t="s">
        <v>21</v>
      </c>
      <c r="D198">
        <v>920000000</v>
      </c>
    </row>
    <row r="199" spans="1:4" x14ac:dyDescent="0.2">
      <c r="A199" t="s">
        <v>4</v>
      </c>
      <c r="B199">
        <v>2023</v>
      </c>
      <c r="C199" t="s">
        <v>21</v>
      </c>
      <c r="D199">
        <v>877000000</v>
      </c>
    </row>
    <row r="200" spans="1:4" x14ac:dyDescent="0.2">
      <c r="A200" t="s">
        <v>4</v>
      </c>
      <c r="B200">
        <v>2024</v>
      </c>
      <c r="C200" t="s">
        <v>21</v>
      </c>
      <c r="D200">
        <v>131000000</v>
      </c>
    </row>
    <row r="201" spans="1:4" x14ac:dyDescent="0.2">
      <c r="A201" t="s">
        <v>4</v>
      </c>
      <c r="B201">
        <v>2025</v>
      </c>
      <c r="C201" t="s">
        <v>21</v>
      </c>
      <c r="D201">
        <v>673000000</v>
      </c>
    </row>
    <row r="202" spans="1:4" x14ac:dyDescent="0.2">
      <c r="A202" t="s">
        <v>4</v>
      </c>
      <c r="B202">
        <v>2022</v>
      </c>
      <c r="C202" t="s">
        <v>22</v>
      </c>
      <c r="D202">
        <v>2081578000</v>
      </c>
    </row>
    <row r="203" spans="1:4" x14ac:dyDescent="0.2">
      <c r="A203" t="s">
        <v>4</v>
      </c>
      <c r="B203">
        <v>2022</v>
      </c>
      <c r="C203" t="s">
        <v>22</v>
      </c>
      <c r="D203">
        <v>2102996000</v>
      </c>
    </row>
    <row r="204" spans="1:4" x14ac:dyDescent="0.2">
      <c r="A204" t="s">
        <v>4</v>
      </c>
      <c r="B204">
        <v>2022</v>
      </c>
      <c r="C204" t="s">
        <v>22</v>
      </c>
      <c r="D204">
        <v>2144816000</v>
      </c>
    </row>
    <row r="205" spans="1:4" x14ac:dyDescent="0.2">
      <c r="A205" t="s">
        <v>4</v>
      </c>
      <c r="B205">
        <v>2022</v>
      </c>
      <c r="C205" t="s">
        <v>22</v>
      </c>
      <c r="D205">
        <v>2205272000</v>
      </c>
    </row>
    <row r="206" spans="1:4" x14ac:dyDescent="0.2">
      <c r="A206" t="s">
        <v>12</v>
      </c>
      <c r="B206">
        <v>2022</v>
      </c>
      <c r="C206" t="s">
        <v>20</v>
      </c>
      <c r="D206">
        <v>11642000000</v>
      </c>
    </row>
    <row r="207" spans="1:4" x14ac:dyDescent="0.2">
      <c r="A207" t="s">
        <v>12</v>
      </c>
      <c r="B207">
        <v>2023</v>
      </c>
      <c r="C207" t="s">
        <v>20</v>
      </c>
      <c r="D207">
        <v>9945000000</v>
      </c>
    </row>
    <row r="208" spans="1:4" x14ac:dyDescent="0.2">
      <c r="A208" t="s">
        <v>12</v>
      </c>
      <c r="B208">
        <v>2024</v>
      </c>
      <c r="C208" t="s">
        <v>20</v>
      </c>
      <c r="D208">
        <v>10634000000</v>
      </c>
    </row>
    <row r="209" spans="1:4" x14ac:dyDescent="0.2">
      <c r="A209" t="s">
        <v>12</v>
      </c>
      <c r="B209">
        <v>2025</v>
      </c>
      <c r="C209" t="s">
        <v>20</v>
      </c>
      <c r="D209">
        <v>14207000000</v>
      </c>
    </row>
    <row r="210" spans="1:4" x14ac:dyDescent="0.2">
      <c r="A210" t="s">
        <v>12</v>
      </c>
      <c r="B210">
        <v>2022</v>
      </c>
      <c r="C210" t="s">
        <v>21</v>
      </c>
      <c r="D210">
        <v>4524000000</v>
      </c>
    </row>
    <row r="211" spans="1:4" x14ac:dyDescent="0.2">
      <c r="A211" t="s">
        <v>12</v>
      </c>
      <c r="B211">
        <v>2023</v>
      </c>
      <c r="C211" t="s">
        <v>21</v>
      </c>
      <c r="D211">
        <v>2227000000</v>
      </c>
    </row>
    <row r="212" spans="1:4" x14ac:dyDescent="0.2">
      <c r="A212" t="s">
        <v>12</v>
      </c>
      <c r="B212">
        <v>2024</v>
      </c>
      <c r="C212" t="s">
        <v>21</v>
      </c>
      <c r="D212">
        <v>3093000000</v>
      </c>
    </row>
    <row r="213" spans="1:4" x14ac:dyDescent="0.2">
      <c r="A213" t="s">
        <v>12</v>
      </c>
      <c r="B213">
        <v>2025</v>
      </c>
      <c r="C213" t="s">
        <v>21</v>
      </c>
      <c r="D213">
        <v>2740000000</v>
      </c>
    </row>
    <row r="214" spans="1:4" x14ac:dyDescent="0.2">
      <c r="A214" t="s">
        <v>12</v>
      </c>
      <c r="B214">
        <v>2023</v>
      </c>
      <c r="C214" t="s">
        <v>22</v>
      </c>
      <c r="D214">
        <v>1883400091</v>
      </c>
    </row>
    <row r="215" spans="1:4" x14ac:dyDescent="0.2">
      <c r="A215" t="s">
        <v>12</v>
      </c>
      <c r="B215">
        <v>2023</v>
      </c>
      <c r="C215" t="s">
        <v>22</v>
      </c>
      <c r="D215">
        <v>1823038000</v>
      </c>
    </row>
    <row r="216" spans="1:4" x14ac:dyDescent="0.2">
      <c r="A216" t="s">
        <v>12</v>
      </c>
      <c r="B216">
        <v>2023</v>
      </c>
      <c r="C216" t="s">
        <v>22</v>
      </c>
      <c r="D216">
        <v>1871868729</v>
      </c>
    </row>
    <row r="217" spans="1:4" x14ac:dyDescent="0.2">
      <c r="A217" t="s">
        <v>12</v>
      </c>
      <c r="B217">
        <v>2023</v>
      </c>
      <c r="C217" t="s">
        <v>22</v>
      </c>
      <c r="D217">
        <v>1909190000</v>
      </c>
    </row>
    <row r="218" spans="1:4" x14ac:dyDescent="0.2">
      <c r="A218" t="s">
        <v>13</v>
      </c>
      <c r="B218">
        <v>2022</v>
      </c>
      <c r="C218" t="s">
        <v>20</v>
      </c>
      <c r="D218">
        <v>15619000000</v>
      </c>
    </row>
    <row r="219" spans="1:4" x14ac:dyDescent="0.2">
      <c r="A219" t="s">
        <v>13</v>
      </c>
      <c r="B219">
        <v>2023</v>
      </c>
      <c r="C219" t="s">
        <v>20</v>
      </c>
      <c r="D219">
        <v>15407000000</v>
      </c>
    </row>
    <row r="220" spans="1:4" x14ac:dyDescent="0.2">
      <c r="A220" t="s">
        <v>13</v>
      </c>
      <c r="B220">
        <v>2024</v>
      </c>
      <c r="C220" t="s">
        <v>20</v>
      </c>
      <c r="D220">
        <v>14689000000</v>
      </c>
    </row>
    <row r="221" spans="1:4" x14ac:dyDescent="0.2">
      <c r="A221" t="s">
        <v>13</v>
      </c>
      <c r="B221">
        <v>2025</v>
      </c>
      <c r="C221" t="s">
        <v>20</v>
      </c>
      <c r="D221">
        <v>14504000000</v>
      </c>
    </row>
    <row r="222" spans="1:4" x14ac:dyDescent="0.2">
      <c r="A222" t="s">
        <v>13</v>
      </c>
      <c r="B222">
        <v>2022</v>
      </c>
      <c r="C222" t="s">
        <v>21</v>
      </c>
      <c r="D222">
        <v>1980000000</v>
      </c>
    </row>
    <row r="223" spans="1:4" x14ac:dyDescent="0.2">
      <c r="A223" t="s">
        <v>13</v>
      </c>
      <c r="B223">
        <v>2023</v>
      </c>
      <c r="C223" t="s">
        <v>21</v>
      </c>
      <c r="D223">
        <v>1729000000</v>
      </c>
    </row>
    <row r="224" spans="1:4" x14ac:dyDescent="0.2">
      <c r="A224" t="s">
        <v>13</v>
      </c>
      <c r="B224">
        <v>2024</v>
      </c>
      <c r="C224" t="s">
        <v>21</v>
      </c>
      <c r="D224">
        <v>3484000000</v>
      </c>
    </row>
    <row r="225" spans="1:4" x14ac:dyDescent="0.2">
      <c r="A225" t="s">
        <v>13</v>
      </c>
      <c r="B225">
        <v>2025</v>
      </c>
      <c r="C225" t="s">
        <v>21</v>
      </c>
      <c r="D225">
        <v>3650000000</v>
      </c>
    </row>
    <row r="226" spans="1:4" x14ac:dyDescent="0.2">
      <c r="A226" t="s">
        <v>13</v>
      </c>
      <c r="B226">
        <v>2024</v>
      </c>
      <c r="C226" t="s">
        <v>22</v>
      </c>
      <c r="D226">
        <v>1193519494</v>
      </c>
    </row>
    <row r="227" spans="1:4" x14ac:dyDescent="0.2">
      <c r="A227" t="s">
        <v>13</v>
      </c>
      <c r="B227">
        <v>2024</v>
      </c>
      <c r="C227" t="s">
        <v>22</v>
      </c>
      <c r="D227">
        <v>1244331601</v>
      </c>
    </row>
    <row r="228" spans="1:4" x14ac:dyDescent="0.2">
      <c r="A228" t="s">
        <v>13</v>
      </c>
      <c r="B228">
        <v>2024</v>
      </c>
      <c r="C228" t="s">
        <v>22</v>
      </c>
      <c r="D228">
        <v>1290099792</v>
      </c>
    </row>
    <row r="229" spans="1:4" x14ac:dyDescent="0.2">
      <c r="A229" t="s">
        <v>13</v>
      </c>
      <c r="B229">
        <v>2024</v>
      </c>
      <c r="C229" t="s">
        <v>22</v>
      </c>
      <c r="D229">
        <v>1337470739</v>
      </c>
    </row>
    <row r="230" spans="1:4" x14ac:dyDescent="0.2">
      <c r="A230" t="s">
        <v>14</v>
      </c>
      <c r="B230">
        <v>2022</v>
      </c>
      <c r="C230" t="s">
        <v>20</v>
      </c>
      <c r="D230">
        <v>4306000000</v>
      </c>
    </row>
    <row r="231" spans="1:4" x14ac:dyDescent="0.2">
      <c r="A231" t="s">
        <v>14</v>
      </c>
      <c r="B231">
        <v>2023</v>
      </c>
      <c r="C231" t="s">
        <v>20</v>
      </c>
      <c r="D231">
        <v>4243000000</v>
      </c>
    </row>
    <row r="232" spans="1:4" x14ac:dyDescent="0.2">
      <c r="A232" t="s">
        <v>14</v>
      </c>
      <c r="B232">
        <v>2024</v>
      </c>
      <c r="C232" t="s">
        <v>20</v>
      </c>
      <c r="D232">
        <v>4155000000</v>
      </c>
    </row>
    <row r="233" spans="1:4" x14ac:dyDescent="0.2">
      <c r="A233" t="s">
        <v>14</v>
      </c>
      <c r="B233">
        <v>2025</v>
      </c>
      <c r="C233" t="s">
        <v>20</v>
      </c>
      <c r="D233">
        <v>4146000000</v>
      </c>
    </row>
    <row r="234" spans="1:4" x14ac:dyDescent="0.2">
      <c r="A234" t="s">
        <v>14</v>
      </c>
      <c r="B234">
        <v>2022</v>
      </c>
      <c r="C234" t="s">
        <v>21</v>
      </c>
      <c r="D234">
        <v>3749000000</v>
      </c>
    </row>
    <row r="235" spans="1:4" x14ac:dyDescent="0.2">
      <c r="A235" t="s">
        <v>14</v>
      </c>
      <c r="B235">
        <v>2023</v>
      </c>
      <c r="C235" t="s">
        <v>21</v>
      </c>
      <c r="D235">
        <v>864000000</v>
      </c>
    </row>
    <row r="236" spans="1:4" x14ac:dyDescent="0.2">
      <c r="A236" t="s">
        <v>14</v>
      </c>
      <c r="B236">
        <v>2024</v>
      </c>
      <c r="C236" t="s">
        <v>21</v>
      </c>
      <c r="D236">
        <v>979000000</v>
      </c>
    </row>
    <row r="237" spans="1:4" x14ac:dyDescent="0.2">
      <c r="A237" t="s">
        <v>14</v>
      </c>
      <c r="B237">
        <v>2025</v>
      </c>
      <c r="C237" t="s">
        <v>21</v>
      </c>
      <c r="D237">
        <v>1142000000</v>
      </c>
    </row>
    <row r="238" spans="1:4" x14ac:dyDescent="0.2">
      <c r="A238" t="s">
        <v>14</v>
      </c>
      <c r="B238">
        <v>2025</v>
      </c>
      <c r="C238" t="s">
        <v>22</v>
      </c>
      <c r="D238">
        <v>483592715</v>
      </c>
    </row>
    <row r="239" spans="1:4" x14ac:dyDescent="0.2">
      <c r="A239" t="s">
        <v>14</v>
      </c>
      <c r="B239">
        <v>2025</v>
      </c>
      <c r="C239" t="s">
        <v>22</v>
      </c>
      <c r="D239">
        <v>509044963</v>
      </c>
    </row>
    <row r="240" spans="1:4" x14ac:dyDescent="0.2">
      <c r="A240" t="s">
        <v>14</v>
      </c>
      <c r="B240">
        <v>2025</v>
      </c>
      <c r="C240" t="s">
        <v>22</v>
      </c>
      <c r="D240">
        <v>535836803</v>
      </c>
    </row>
    <row r="241" spans="1:4" x14ac:dyDescent="0.2">
      <c r="A241" t="s">
        <v>14</v>
      </c>
      <c r="B241">
        <v>2025</v>
      </c>
      <c r="C241" t="s">
        <v>22</v>
      </c>
      <c r="D241">
        <v>584153000</v>
      </c>
    </row>
  </sheetData>
  <autoFilter ref="A1:D241" xr:uid="{00000000-0001-0000-0000-000000000000}">
    <sortState xmlns:xlrd2="http://schemas.microsoft.com/office/spreadsheetml/2017/richdata2" ref="A2:D89">
      <sortCondition ref="B1:B24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24"/>
  <sheetViews>
    <sheetView workbookViewId="0">
      <selection activeCell="J8" sqref="J8"/>
    </sheetView>
  </sheetViews>
  <sheetFormatPr baseColWidth="10" defaultColWidth="8.83203125" defaultRowHeight="15" x14ac:dyDescent="0.2"/>
  <cols>
    <col min="1" max="1" width="21.5" customWidth="1"/>
    <col min="2" max="2" width="19.33203125" customWidth="1"/>
    <col min="3" max="3" width="31.5" customWidth="1"/>
    <col min="4" max="4" width="17" customWidth="1"/>
    <col min="5" max="5" width="27.83203125" customWidth="1"/>
    <col min="6" max="6" width="15" customWidth="1"/>
    <col min="7" max="7" width="15.6640625" customWidth="1"/>
    <col min="8" max="8" width="17.33203125" customWidth="1"/>
  </cols>
  <sheetData>
    <row r="1" spans="1:8" x14ac:dyDescent="0.2">
      <c r="A1" s="1" t="s">
        <v>0</v>
      </c>
      <c r="B1" s="1" t="s">
        <v>23</v>
      </c>
      <c r="C1" s="1" t="s">
        <v>24</v>
      </c>
    </row>
    <row r="2" spans="1:8" x14ac:dyDescent="0.2">
      <c r="A2" t="s">
        <v>4</v>
      </c>
      <c r="B2" s="2">
        <v>44565</v>
      </c>
      <c r="C2">
        <v>21.116487503051761</v>
      </c>
      <c r="D2">
        <f>_xlfn.XLOOKUP(B2, Oil_Price!A:A, Oil_Price!B:B, "")</f>
        <v>76.989997863769531</v>
      </c>
      <c r="E2" t="str">
        <f>IFERROR(IF(AND(A2=A1, C2&lt;&gt;"", C1&lt;&gt;""), (C2-C1)/C1, ""), "")</f>
        <v/>
      </c>
      <c r="F2" t="str">
        <f>IFERROR(IF(AND(A2=A1, D2&lt;&gt;"", D1&lt;&gt;""), (D2-D1)/D1, ""), "")</f>
        <v/>
      </c>
      <c r="G2" t="str">
        <f>IFERROR(IF(AND(A2=A1, C2&lt;&gt;"", C1&lt;&gt;""), C2-C1, ""), "")</f>
        <v/>
      </c>
      <c r="H2" t="str">
        <f>IFERROR(IF(AND(A2=A1, D2&lt;&gt;"", D1&lt;&gt;""), D2-D1, ""), "")</f>
        <v/>
      </c>
    </row>
    <row r="3" spans="1:8" x14ac:dyDescent="0.2">
      <c r="A3" t="s">
        <v>4</v>
      </c>
      <c r="B3" s="2">
        <v>44566</v>
      </c>
      <c r="C3">
        <v>21.371286392211911</v>
      </c>
      <c r="D3">
        <f>_xlfn.XLOOKUP(B3, Oil_Price!A:A, Oil_Price!B:B, "")</f>
        <v>77.849998474121094</v>
      </c>
      <c r="E3">
        <f t="shared" ref="E3:E66" si="0">IFERROR(IF(AND(A3=A2, C3&lt;&gt;"", C2&lt;&gt;""), (C3-C2)/C2, ""), "")</f>
        <v>1.2066348114160821E-2</v>
      </c>
      <c r="F3">
        <f t="shared" ref="F3:F66" si="1">IFERROR(IF(AND(A3=A2, D3&lt;&gt;"", D2&lt;&gt;""), (D3-D2)/D2, ""), "")</f>
        <v>1.1170290092400007E-2</v>
      </c>
      <c r="G3">
        <f t="shared" ref="G3:G66" si="2">IFERROR(IF(AND(A3=A2, C3&lt;&gt;"", C2&lt;&gt;""), C3-C2, ""), "")</f>
        <v>0.25479888916014914</v>
      </c>
      <c r="H3">
        <f t="shared" ref="H3:H66" si="3">IFERROR(IF(AND(A3=A2, D3&lt;&gt;"", D2&lt;&gt;""), D3-D2, ""), "")</f>
        <v>0.8600006103515625</v>
      </c>
    </row>
    <row r="4" spans="1:8" x14ac:dyDescent="0.2">
      <c r="A4" t="s">
        <v>4</v>
      </c>
      <c r="B4" s="2">
        <v>44567</v>
      </c>
      <c r="C4">
        <v>22.467643737792969</v>
      </c>
      <c r="D4">
        <f>_xlfn.XLOOKUP(B4, Oil_Price!A:A, Oil_Price!B:B, "")</f>
        <v>79.459999084472656</v>
      </c>
      <c r="E4">
        <f t="shared" si="0"/>
        <v>5.1300484465951056E-2</v>
      </c>
      <c r="F4">
        <f t="shared" si="1"/>
        <v>2.0680804648785692E-2</v>
      </c>
      <c r="G4">
        <f t="shared" si="2"/>
        <v>1.0963573455810582</v>
      </c>
      <c r="H4">
        <f t="shared" si="3"/>
        <v>1.6100006103515625</v>
      </c>
    </row>
    <row r="5" spans="1:8" x14ac:dyDescent="0.2">
      <c r="A5" t="s">
        <v>4</v>
      </c>
      <c r="B5" s="2">
        <v>44568</v>
      </c>
      <c r="C5">
        <v>23.069869995117191</v>
      </c>
      <c r="D5">
        <f>_xlfn.XLOOKUP(B5, Oil_Price!A:A, Oil_Price!B:B, "")</f>
        <v>78.900001525878906</v>
      </c>
      <c r="E5">
        <f t="shared" si="0"/>
        <v>2.6804157318518169E-2</v>
      </c>
      <c r="F5">
        <f t="shared" si="1"/>
        <v>-7.0475404611875913E-3</v>
      </c>
      <c r="G5">
        <f t="shared" si="2"/>
        <v>0.6022262573242223</v>
      </c>
      <c r="H5">
        <f t="shared" si="3"/>
        <v>-0.55999755859375</v>
      </c>
    </row>
    <row r="6" spans="1:8" x14ac:dyDescent="0.2">
      <c r="A6" t="s">
        <v>4</v>
      </c>
      <c r="B6" s="2">
        <v>44571</v>
      </c>
      <c r="C6">
        <v>23.027397155761719</v>
      </c>
      <c r="D6">
        <f>_xlfn.XLOOKUP(B6, Oil_Price!A:A, Oil_Price!B:B, "")</f>
        <v>78.230003356933594</v>
      </c>
      <c r="E6">
        <f t="shared" si="0"/>
        <v>-1.8410523927729896E-3</v>
      </c>
      <c r="F6">
        <f t="shared" si="1"/>
        <v>-8.4917383521919913E-3</v>
      </c>
      <c r="G6">
        <f t="shared" si="2"/>
        <v>-4.2472839355472303E-2</v>
      </c>
      <c r="H6">
        <f t="shared" si="3"/>
        <v>-0.6699981689453125</v>
      </c>
    </row>
    <row r="7" spans="1:8" x14ac:dyDescent="0.2">
      <c r="A7" t="s">
        <v>4</v>
      </c>
      <c r="B7" s="2">
        <v>44572</v>
      </c>
      <c r="C7">
        <v>23.436601638793949</v>
      </c>
      <c r="D7">
        <f>_xlfn.XLOOKUP(B7, Oil_Price!A:A, Oil_Price!B:B, "")</f>
        <v>81.220001220703125</v>
      </c>
      <c r="E7">
        <f t="shared" si="0"/>
        <v>1.7770331586513782E-2</v>
      </c>
      <c r="F7">
        <f t="shared" si="1"/>
        <v>3.8220602524166009E-2</v>
      </c>
      <c r="G7">
        <f t="shared" si="2"/>
        <v>0.40920448303223012</v>
      </c>
      <c r="H7">
        <f t="shared" si="3"/>
        <v>2.9899978637695312</v>
      </c>
    </row>
    <row r="8" spans="1:8" x14ac:dyDescent="0.2">
      <c r="A8" t="s">
        <v>4</v>
      </c>
      <c r="B8" s="2">
        <v>44573</v>
      </c>
      <c r="C8">
        <v>23.82264518737793</v>
      </c>
      <c r="D8">
        <f>_xlfn.XLOOKUP(B8, Oil_Price!A:A, Oil_Price!B:B, "")</f>
        <v>82.639999389648438</v>
      </c>
      <c r="E8">
        <f t="shared" si="0"/>
        <v>1.6471822772503576E-2</v>
      </c>
      <c r="F8">
        <f t="shared" si="1"/>
        <v>1.7483355671057937E-2</v>
      </c>
      <c r="G8">
        <f t="shared" si="2"/>
        <v>0.38604354858398082</v>
      </c>
      <c r="H8">
        <f t="shared" si="3"/>
        <v>1.4199981689453125</v>
      </c>
    </row>
    <row r="9" spans="1:8" x14ac:dyDescent="0.2">
      <c r="A9" t="s">
        <v>4</v>
      </c>
      <c r="B9" s="2">
        <v>44574</v>
      </c>
      <c r="C9">
        <v>24.285894393920898</v>
      </c>
      <c r="D9">
        <f>_xlfn.XLOOKUP(B9, Oil_Price!A:A, Oil_Price!B:B, "")</f>
        <v>82.120002746582031</v>
      </c>
      <c r="E9">
        <f t="shared" si="0"/>
        <v>1.9445750163311602E-2</v>
      </c>
      <c r="F9">
        <f t="shared" si="1"/>
        <v>-6.2923117970344698E-3</v>
      </c>
      <c r="G9">
        <f t="shared" si="2"/>
        <v>0.46324920654296875</v>
      </c>
      <c r="H9">
        <f t="shared" si="3"/>
        <v>-0.51999664306640625</v>
      </c>
    </row>
    <row r="10" spans="1:8" x14ac:dyDescent="0.2">
      <c r="A10" t="s">
        <v>4</v>
      </c>
      <c r="B10" s="2">
        <v>44575</v>
      </c>
      <c r="C10">
        <v>25.162214279174801</v>
      </c>
      <c r="D10">
        <f>_xlfn.XLOOKUP(B10, Oil_Price!A:A, Oil_Price!B:B, "")</f>
        <v>83.819999694824219</v>
      </c>
      <c r="E10">
        <f t="shared" si="0"/>
        <v>3.6083492377915381E-2</v>
      </c>
      <c r="F10">
        <f t="shared" si="1"/>
        <v>2.0701374712422841E-2</v>
      </c>
      <c r="G10">
        <f t="shared" si="2"/>
        <v>0.8763198852539027</v>
      </c>
      <c r="H10">
        <f t="shared" si="3"/>
        <v>1.6999969482421875</v>
      </c>
    </row>
    <row r="11" spans="1:8" x14ac:dyDescent="0.2">
      <c r="A11" t="s">
        <v>4</v>
      </c>
      <c r="B11" s="2">
        <v>44578</v>
      </c>
      <c r="C11">
        <v>25.532815933227539</v>
      </c>
      <c r="D11" t="str">
        <f>_xlfn.XLOOKUP(B11, Oil_Price!A:A, Oil_Price!B:B, "")</f>
        <v/>
      </c>
      <c r="E11">
        <f t="shared" si="0"/>
        <v>1.4728499246565191E-2</v>
      </c>
      <c r="F11" t="str">
        <f t="shared" si="1"/>
        <v/>
      </c>
      <c r="G11">
        <f t="shared" si="2"/>
        <v>0.37060165405273793</v>
      </c>
      <c r="H11" t="str">
        <f t="shared" si="3"/>
        <v/>
      </c>
    </row>
    <row r="12" spans="1:8" x14ac:dyDescent="0.2">
      <c r="A12" t="s">
        <v>4</v>
      </c>
      <c r="B12" s="2">
        <v>44579</v>
      </c>
      <c r="C12">
        <v>25.509651184082031</v>
      </c>
      <c r="D12">
        <f>_xlfn.XLOOKUP(B12, Oil_Price!A:A, Oil_Price!B:B, "")</f>
        <v>85.430000305175781</v>
      </c>
      <c r="E12">
        <f t="shared" si="0"/>
        <v>-9.0725399055424964E-4</v>
      </c>
      <c r="F12" t="str">
        <f t="shared" si="1"/>
        <v/>
      </c>
      <c r="G12">
        <f t="shared" si="2"/>
        <v>-2.3164749145507812E-2</v>
      </c>
      <c r="H12" t="str">
        <f t="shared" si="3"/>
        <v/>
      </c>
    </row>
    <row r="13" spans="1:8" x14ac:dyDescent="0.2">
      <c r="A13" t="s">
        <v>4</v>
      </c>
      <c r="B13" s="2">
        <v>44580</v>
      </c>
      <c r="C13">
        <v>25.579143524169918</v>
      </c>
      <c r="D13">
        <f>_xlfn.XLOOKUP(B13, Oil_Price!A:A, Oil_Price!B:B, "")</f>
        <v>86.959999084472656</v>
      </c>
      <c r="E13">
        <f t="shared" si="0"/>
        <v>2.7241587737291423E-3</v>
      </c>
      <c r="F13">
        <f t="shared" si="1"/>
        <v>1.7909385155464877E-2</v>
      </c>
      <c r="G13">
        <f t="shared" si="2"/>
        <v>6.9492340087887072E-2</v>
      </c>
      <c r="H13">
        <f t="shared" si="3"/>
        <v>1.529998779296875</v>
      </c>
    </row>
    <row r="14" spans="1:8" x14ac:dyDescent="0.2">
      <c r="A14" t="s">
        <v>4</v>
      </c>
      <c r="B14" s="2">
        <v>44581</v>
      </c>
      <c r="C14">
        <v>25.498067855834961</v>
      </c>
      <c r="D14">
        <f>_xlfn.XLOOKUP(B14, Oil_Price!A:A, Oil_Price!B:B, "")</f>
        <v>86.900001525878906</v>
      </c>
      <c r="E14">
        <f t="shared" si="0"/>
        <v>-3.1696005872264019E-3</v>
      </c>
      <c r="F14">
        <f t="shared" si="1"/>
        <v>-6.8994433331891561E-4</v>
      </c>
      <c r="G14">
        <f t="shared" si="2"/>
        <v>-8.1075668334957385E-2</v>
      </c>
      <c r="H14">
        <f t="shared" si="3"/>
        <v>-5.999755859375E-2</v>
      </c>
    </row>
    <row r="15" spans="1:8" x14ac:dyDescent="0.2">
      <c r="A15" t="s">
        <v>4</v>
      </c>
      <c r="B15" s="2">
        <v>44582</v>
      </c>
      <c r="C15">
        <v>24.683523178100589</v>
      </c>
      <c r="D15">
        <f>_xlfn.XLOOKUP(B15, Oil_Price!A:A, Oil_Price!B:B, "")</f>
        <v>85.139999389648438</v>
      </c>
      <c r="E15">
        <f t="shared" si="0"/>
        <v>-3.1945349049181844E-2</v>
      </c>
      <c r="F15">
        <f t="shared" si="1"/>
        <v>-2.0253188783964961E-2</v>
      </c>
      <c r="G15">
        <f t="shared" si="2"/>
        <v>-0.81454467773437145</v>
      </c>
      <c r="H15">
        <f t="shared" si="3"/>
        <v>-1.7600021362304688</v>
      </c>
    </row>
    <row r="16" spans="1:8" x14ac:dyDescent="0.2">
      <c r="A16" t="s">
        <v>4</v>
      </c>
      <c r="B16" s="2">
        <v>44585</v>
      </c>
      <c r="C16">
        <v>24.050411224365231</v>
      </c>
      <c r="D16">
        <f>_xlfn.XLOOKUP(B16, Oil_Price!A:A, Oil_Price!B:B, "")</f>
        <v>83.30999755859375</v>
      </c>
      <c r="E16">
        <f t="shared" si="0"/>
        <v>-2.5649172898342992E-2</v>
      </c>
      <c r="F16">
        <f t="shared" si="1"/>
        <v>-2.1494031526586837E-2</v>
      </c>
      <c r="G16">
        <f t="shared" si="2"/>
        <v>-0.63311195373535867</v>
      </c>
      <c r="H16">
        <f t="shared" si="3"/>
        <v>-1.8300018310546875</v>
      </c>
    </row>
    <row r="17" spans="1:8" x14ac:dyDescent="0.2">
      <c r="A17" t="s">
        <v>4</v>
      </c>
      <c r="B17" s="2">
        <v>44586</v>
      </c>
      <c r="C17">
        <v>24.702823638916019</v>
      </c>
      <c r="D17">
        <f>_xlfn.XLOOKUP(B17, Oil_Price!A:A, Oil_Price!B:B, "")</f>
        <v>85.599998474121094</v>
      </c>
      <c r="E17">
        <f t="shared" si="0"/>
        <v>2.7126871489408708E-2</v>
      </c>
      <c r="F17">
        <f t="shared" si="1"/>
        <v>2.7487708349970073E-2</v>
      </c>
      <c r="G17">
        <f t="shared" si="2"/>
        <v>0.65241241455078836</v>
      </c>
      <c r="H17">
        <f t="shared" si="3"/>
        <v>2.2900009155273438</v>
      </c>
    </row>
    <row r="18" spans="1:8" x14ac:dyDescent="0.2">
      <c r="A18" t="s">
        <v>4</v>
      </c>
      <c r="B18" s="2">
        <v>44587</v>
      </c>
      <c r="C18">
        <v>24.764591217041019</v>
      </c>
      <c r="D18">
        <f>_xlfn.XLOOKUP(B18, Oil_Price!A:A, Oil_Price!B:B, "")</f>
        <v>87.349998474121094</v>
      </c>
      <c r="E18">
        <f t="shared" si="0"/>
        <v>2.5004258228882542E-3</v>
      </c>
      <c r="F18">
        <f t="shared" si="1"/>
        <v>2.0443925598071903E-2</v>
      </c>
      <c r="G18">
        <f t="shared" si="2"/>
        <v>6.1767578125E-2</v>
      </c>
      <c r="H18">
        <f t="shared" si="3"/>
        <v>1.75</v>
      </c>
    </row>
    <row r="19" spans="1:8" x14ac:dyDescent="0.2">
      <c r="A19" t="s">
        <v>4</v>
      </c>
      <c r="B19" s="2">
        <v>44588</v>
      </c>
      <c r="C19">
        <v>25.193096160888668</v>
      </c>
      <c r="D19">
        <f>_xlfn.XLOOKUP(B19, Oil_Price!A:A, Oil_Price!B:B, "")</f>
        <v>86.610000610351562</v>
      </c>
      <c r="E19">
        <f t="shared" si="0"/>
        <v>1.7303130105890307E-2</v>
      </c>
      <c r="F19">
        <f t="shared" si="1"/>
        <v>-8.4716414046506032E-3</v>
      </c>
      <c r="G19">
        <f t="shared" si="2"/>
        <v>0.42850494384764914</v>
      </c>
      <c r="H19">
        <f t="shared" si="3"/>
        <v>-0.73999786376953125</v>
      </c>
    </row>
    <row r="20" spans="1:8" x14ac:dyDescent="0.2">
      <c r="A20" t="s">
        <v>4</v>
      </c>
      <c r="B20" s="2">
        <v>44589</v>
      </c>
      <c r="C20">
        <v>25.081144332885739</v>
      </c>
      <c r="D20">
        <f>_xlfn.XLOOKUP(B20, Oil_Price!A:A, Oil_Price!B:B, "")</f>
        <v>86.819999694824219</v>
      </c>
      <c r="E20">
        <f t="shared" si="0"/>
        <v>-4.4437502753921403E-3</v>
      </c>
      <c r="F20">
        <f t="shared" si="1"/>
        <v>2.4246516914070695E-3</v>
      </c>
      <c r="G20">
        <f t="shared" si="2"/>
        <v>-0.11195182800292969</v>
      </c>
      <c r="H20">
        <f t="shared" si="3"/>
        <v>0.20999908447265625</v>
      </c>
    </row>
    <row r="21" spans="1:8" x14ac:dyDescent="0.2">
      <c r="A21" t="s">
        <v>4</v>
      </c>
      <c r="B21" s="2">
        <v>44592</v>
      </c>
      <c r="C21">
        <v>24.961467742919918</v>
      </c>
      <c r="D21">
        <f>_xlfn.XLOOKUP(B21, Oil_Price!A:A, Oil_Price!B:B, "")</f>
        <v>88.150001525878906</v>
      </c>
      <c r="E21">
        <f t="shared" si="0"/>
        <v>-4.7715761441117143E-3</v>
      </c>
      <c r="F21">
        <f t="shared" si="1"/>
        <v>1.5319072054016324E-2</v>
      </c>
      <c r="G21">
        <f t="shared" si="2"/>
        <v>-0.11967658996582031</v>
      </c>
      <c r="H21">
        <f t="shared" si="3"/>
        <v>1.3300018310546875</v>
      </c>
    </row>
    <row r="22" spans="1:8" x14ac:dyDescent="0.2">
      <c r="A22" t="s">
        <v>4</v>
      </c>
      <c r="B22" s="2">
        <v>44593</v>
      </c>
      <c r="C22">
        <v>25.691085815429691</v>
      </c>
      <c r="D22">
        <f>_xlfn.XLOOKUP(B22, Oil_Price!A:A, Oil_Price!B:B, "")</f>
        <v>88.199996948242188</v>
      </c>
      <c r="E22">
        <f t="shared" si="0"/>
        <v>2.9229774467758287E-2</v>
      </c>
      <c r="F22">
        <f t="shared" si="1"/>
        <v>5.6716303457582688E-4</v>
      </c>
      <c r="G22">
        <f t="shared" si="2"/>
        <v>0.72961807250977273</v>
      </c>
      <c r="H22">
        <f t="shared" si="3"/>
        <v>4.999542236328125E-2</v>
      </c>
    </row>
    <row r="23" spans="1:8" x14ac:dyDescent="0.2">
      <c r="A23" t="s">
        <v>4</v>
      </c>
      <c r="B23" s="2">
        <v>44594</v>
      </c>
      <c r="C23">
        <v>25.83006477355957</v>
      </c>
      <c r="D23">
        <f>_xlfn.XLOOKUP(B23, Oil_Price!A:A, Oil_Price!B:B, "")</f>
        <v>88.260002136230469</v>
      </c>
      <c r="E23">
        <f t="shared" si="0"/>
        <v>5.4096179168266418E-3</v>
      </c>
      <c r="F23">
        <f t="shared" si="1"/>
        <v>6.8033095311209244E-4</v>
      </c>
      <c r="G23">
        <f t="shared" si="2"/>
        <v>0.13897895812987926</v>
      </c>
      <c r="H23">
        <f t="shared" si="3"/>
        <v>6.000518798828125E-2</v>
      </c>
    </row>
    <row r="24" spans="1:8" x14ac:dyDescent="0.2">
      <c r="A24" t="s">
        <v>4</v>
      </c>
      <c r="B24" s="2">
        <v>44595</v>
      </c>
      <c r="C24">
        <v>25.837787628173832</v>
      </c>
      <c r="D24">
        <f>_xlfn.XLOOKUP(B24, Oil_Price!A:A, Oil_Price!B:B, "")</f>
        <v>90.269996643066406</v>
      </c>
      <c r="E24">
        <f t="shared" si="0"/>
        <v>2.989870401783394E-4</v>
      </c>
      <c r="F24">
        <f t="shared" si="1"/>
        <v>2.2773560595811957E-2</v>
      </c>
      <c r="G24">
        <f t="shared" si="2"/>
        <v>7.7228546142613652E-3</v>
      </c>
      <c r="H24">
        <f t="shared" si="3"/>
        <v>2.0099945068359375</v>
      </c>
    </row>
    <row r="25" spans="1:8" x14ac:dyDescent="0.2">
      <c r="A25" t="s">
        <v>4</v>
      </c>
      <c r="B25" s="2">
        <v>44596</v>
      </c>
      <c r="C25">
        <v>26.366670608520511</v>
      </c>
      <c r="D25">
        <f>_xlfn.XLOOKUP(B25, Oil_Price!A:A, Oil_Price!B:B, "")</f>
        <v>92.30999755859375</v>
      </c>
      <c r="E25">
        <f t="shared" si="0"/>
        <v>2.0469360146376441E-2</v>
      </c>
      <c r="F25">
        <f t="shared" si="1"/>
        <v>2.2598881038997303E-2</v>
      </c>
      <c r="G25">
        <f t="shared" si="2"/>
        <v>0.52888298034667969</v>
      </c>
      <c r="H25">
        <f t="shared" si="3"/>
        <v>2.0400009155273438</v>
      </c>
    </row>
    <row r="26" spans="1:8" x14ac:dyDescent="0.2">
      <c r="A26" t="s">
        <v>4</v>
      </c>
      <c r="B26" s="2">
        <v>44599</v>
      </c>
      <c r="C26">
        <v>26.096431732177731</v>
      </c>
      <c r="D26">
        <f>_xlfn.XLOOKUP(B26, Oil_Price!A:A, Oil_Price!B:B, "")</f>
        <v>91.319999694824219</v>
      </c>
      <c r="E26">
        <f t="shared" si="0"/>
        <v>-1.0249260528762081E-2</v>
      </c>
      <c r="F26">
        <f t="shared" si="1"/>
        <v>-1.0724709023430862E-2</v>
      </c>
      <c r="G26">
        <f t="shared" si="2"/>
        <v>-0.27023887634278054</v>
      </c>
      <c r="H26">
        <f t="shared" si="3"/>
        <v>-0.98999786376953125</v>
      </c>
    </row>
    <row r="27" spans="1:8" x14ac:dyDescent="0.2">
      <c r="A27" t="s">
        <v>4</v>
      </c>
      <c r="B27" s="2">
        <v>44600</v>
      </c>
      <c r="C27">
        <v>24.80705451965332</v>
      </c>
      <c r="D27">
        <f>_xlfn.XLOOKUP(B27, Oil_Price!A:A, Oil_Price!B:B, "")</f>
        <v>89.360000610351562</v>
      </c>
      <c r="E27">
        <f t="shared" si="0"/>
        <v>-4.9408180618600334E-2</v>
      </c>
      <c r="F27">
        <f t="shared" si="1"/>
        <v>-2.1462977343655685E-2</v>
      </c>
      <c r="G27">
        <f t="shared" si="2"/>
        <v>-1.2893772125244105</v>
      </c>
      <c r="H27">
        <f t="shared" si="3"/>
        <v>-1.9599990844726562</v>
      </c>
    </row>
    <row r="28" spans="1:8" x14ac:dyDescent="0.2">
      <c r="A28" t="s">
        <v>4</v>
      </c>
      <c r="B28" s="2">
        <v>44601</v>
      </c>
      <c r="C28">
        <v>25.104310989379879</v>
      </c>
      <c r="D28">
        <f>_xlfn.XLOOKUP(B28, Oil_Price!A:A, Oil_Price!B:B, "")</f>
        <v>89.660003662109375</v>
      </c>
      <c r="E28">
        <f t="shared" si="0"/>
        <v>1.198273940548074E-2</v>
      </c>
      <c r="F28">
        <f t="shared" si="1"/>
        <v>3.3572409322819522E-3</v>
      </c>
      <c r="G28">
        <f t="shared" si="2"/>
        <v>0.29725646972655895</v>
      </c>
      <c r="H28">
        <f t="shared" si="3"/>
        <v>0.3000030517578125</v>
      </c>
    </row>
    <row r="29" spans="1:8" x14ac:dyDescent="0.2">
      <c r="A29" t="s">
        <v>4</v>
      </c>
      <c r="B29" s="2">
        <v>44602</v>
      </c>
      <c r="C29">
        <v>25.3552360534668</v>
      </c>
      <c r="D29">
        <f>_xlfn.XLOOKUP(B29, Oil_Price!A:A, Oil_Price!B:B, "")</f>
        <v>89.879997253417969</v>
      </c>
      <c r="E29">
        <f t="shared" si="0"/>
        <v>9.9952977874227435E-3</v>
      </c>
      <c r="F29">
        <f t="shared" si="1"/>
        <v>2.4536424528561981E-3</v>
      </c>
      <c r="G29">
        <f t="shared" si="2"/>
        <v>0.25092506408692117</v>
      </c>
      <c r="H29">
        <f t="shared" si="3"/>
        <v>0.21999359130859375</v>
      </c>
    </row>
    <row r="30" spans="1:8" x14ac:dyDescent="0.2">
      <c r="A30" t="s">
        <v>4</v>
      </c>
      <c r="B30" s="2">
        <v>44603</v>
      </c>
      <c r="C30">
        <v>26.096431732177731</v>
      </c>
      <c r="D30">
        <f>_xlfn.XLOOKUP(B30, Oil_Price!A:A, Oil_Price!B:B, "")</f>
        <v>93.099998474121094</v>
      </c>
      <c r="E30">
        <f t="shared" si="0"/>
        <v>2.9232450336804786E-2</v>
      </c>
      <c r="F30">
        <f t="shared" si="1"/>
        <v>3.5825559847585266E-2</v>
      </c>
      <c r="G30">
        <f t="shared" si="2"/>
        <v>0.74119567871093039</v>
      </c>
      <c r="H30">
        <f t="shared" si="3"/>
        <v>3.220001220703125</v>
      </c>
    </row>
    <row r="31" spans="1:8" x14ac:dyDescent="0.2">
      <c r="A31" t="s">
        <v>4</v>
      </c>
      <c r="B31" s="2">
        <v>44606</v>
      </c>
      <c r="C31">
        <v>25.884115219116211</v>
      </c>
      <c r="D31">
        <f>_xlfn.XLOOKUP(B31, Oil_Price!A:A, Oil_Price!B:B, "")</f>
        <v>95.459999084472656</v>
      </c>
      <c r="E31">
        <f t="shared" si="0"/>
        <v>-8.1358445951722532E-3</v>
      </c>
      <c r="F31">
        <f t="shared" si="1"/>
        <v>2.5349093974556501E-2</v>
      </c>
      <c r="G31">
        <f t="shared" si="2"/>
        <v>-0.21231651306151988</v>
      </c>
      <c r="H31">
        <f t="shared" si="3"/>
        <v>2.3600006103515625</v>
      </c>
    </row>
    <row r="32" spans="1:8" x14ac:dyDescent="0.2">
      <c r="A32" t="s">
        <v>4</v>
      </c>
      <c r="B32" s="2">
        <v>44607</v>
      </c>
      <c r="C32">
        <v>25.887968063354489</v>
      </c>
      <c r="D32">
        <f>_xlfn.XLOOKUP(B32, Oil_Price!A:A, Oil_Price!B:B, "")</f>
        <v>92.069999694824219</v>
      </c>
      <c r="E32">
        <f t="shared" si="0"/>
        <v>1.4884975614048627E-4</v>
      </c>
      <c r="F32">
        <f t="shared" si="1"/>
        <v>-3.551225038928215E-2</v>
      </c>
      <c r="G32">
        <f t="shared" si="2"/>
        <v>3.8528442382776973E-3</v>
      </c>
      <c r="H32">
        <f t="shared" si="3"/>
        <v>-3.3899993896484375</v>
      </c>
    </row>
    <row r="33" spans="1:8" x14ac:dyDescent="0.2">
      <c r="A33" t="s">
        <v>4</v>
      </c>
      <c r="B33" s="2">
        <v>44608</v>
      </c>
      <c r="C33">
        <v>26.416851043701168</v>
      </c>
      <c r="D33">
        <f>_xlfn.XLOOKUP(B33, Oil_Price!A:A, Oil_Price!B:B, "")</f>
        <v>93.660003662109375</v>
      </c>
      <c r="E33">
        <f t="shared" si="0"/>
        <v>2.0429682972891793E-2</v>
      </c>
      <c r="F33">
        <f t="shared" si="1"/>
        <v>1.7269512029492701E-2</v>
      </c>
      <c r="G33">
        <f t="shared" si="2"/>
        <v>0.52888298034667969</v>
      </c>
      <c r="H33">
        <f t="shared" si="3"/>
        <v>1.5900039672851562</v>
      </c>
    </row>
    <row r="34" spans="1:8" x14ac:dyDescent="0.2">
      <c r="A34" t="s">
        <v>4</v>
      </c>
      <c r="B34" s="2">
        <v>44609</v>
      </c>
      <c r="C34">
        <v>26.44001579284668</v>
      </c>
      <c r="D34">
        <f>_xlfn.XLOOKUP(B34, Oil_Price!A:A, Oil_Price!B:B, "")</f>
        <v>91.760002136230469</v>
      </c>
      <c r="E34">
        <f t="shared" si="0"/>
        <v>8.7689290094379992E-4</v>
      </c>
      <c r="F34">
        <f t="shared" si="1"/>
        <v>-2.0286156860866763E-2</v>
      </c>
      <c r="G34">
        <f t="shared" si="2"/>
        <v>2.3164749145511365E-2</v>
      </c>
      <c r="H34">
        <f t="shared" si="3"/>
        <v>-1.9000015258789062</v>
      </c>
    </row>
    <row r="35" spans="1:8" x14ac:dyDescent="0.2">
      <c r="A35" t="s">
        <v>4</v>
      </c>
      <c r="B35" s="2">
        <v>44610</v>
      </c>
      <c r="C35">
        <v>25.552114486694339</v>
      </c>
      <c r="D35">
        <f>_xlfn.XLOOKUP(B35, Oil_Price!A:A, Oil_Price!B:B, "")</f>
        <v>91.069999694824219</v>
      </c>
      <c r="E35">
        <f t="shared" si="0"/>
        <v>-3.3581723744376922E-2</v>
      </c>
      <c r="F35">
        <f t="shared" si="1"/>
        <v>-7.5196428219546632E-3</v>
      </c>
      <c r="G35">
        <f t="shared" si="2"/>
        <v>-0.8879013061523402</v>
      </c>
      <c r="H35">
        <f t="shared" si="3"/>
        <v>-0.69000244140625</v>
      </c>
    </row>
    <row r="36" spans="1:8" x14ac:dyDescent="0.2">
      <c r="A36" t="s">
        <v>4</v>
      </c>
      <c r="B36" s="2">
        <v>44614</v>
      </c>
      <c r="C36">
        <v>25.733554840087891</v>
      </c>
      <c r="D36">
        <f>_xlfn.XLOOKUP(B36, Oil_Price!A:A, Oil_Price!B:B, "")</f>
        <v>92.349998474121094</v>
      </c>
      <c r="E36">
        <f t="shared" si="0"/>
        <v>7.1007960412838604E-3</v>
      </c>
      <c r="F36">
        <f t="shared" si="1"/>
        <v>1.4055109076382495E-2</v>
      </c>
      <c r="G36">
        <f t="shared" si="2"/>
        <v>0.18144035339355113</v>
      </c>
      <c r="H36">
        <f t="shared" si="3"/>
        <v>1.279998779296875</v>
      </c>
    </row>
    <row r="37" spans="1:8" x14ac:dyDescent="0.2">
      <c r="A37" t="s">
        <v>4</v>
      </c>
      <c r="B37" s="2">
        <v>44615</v>
      </c>
      <c r="C37">
        <v>25.679506301879879</v>
      </c>
      <c r="D37">
        <f>_xlfn.XLOOKUP(B37, Oil_Price!A:A, Oil_Price!B:B, "")</f>
        <v>92.099998474121094</v>
      </c>
      <c r="E37">
        <f t="shared" si="0"/>
        <v>-2.100313716619292E-3</v>
      </c>
      <c r="F37">
        <f t="shared" si="1"/>
        <v>-2.7070926272950249E-3</v>
      </c>
      <c r="G37">
        <f t="shared" si="2"/>
        <v>-5.4048538208011365E-2</v>
      </c>
      <c r="H37">
        <f t="shared" si="3"/>
        <v>-0.25</v>
      </c>
    </row>
    <row r="38" spans="1:8" x14ac:dyDescent="0.2">
      <c r="A38" t="s">
        <v>4</v>
      </c>
      <c r="B38" s="2">
        <v>44616</v>
      </c>
      <c r="C38">
        <v>25.9420166015625</v>
      </c>
      <c r="D38">
        <f>_xlfn.XLOOKUP(B38, Oil_Price!A:A, Oil_Price!B:B, "")</f>
        <v>92.80999755859375</v>
      </c>
      <c r="E38">
        <f t="shared" si="0"/>
        <v>1.0222560223574218E-2</v>
      </c>
      <c r="F38">
        <f t="shared" si="1"/>
        <v>7.7090021306803471E-3</v>
      </c>
      <c r="G38">
        <f t="shared" si="2"/>
        <v>0.26251029968262074</v>
      </c>
      <c r="H38">
        <f t="shared" si="3"/>
        <v>0.70999908447265625</v>
      </c>
    </row>
    <row r="39" spans="1:8" x14ac:dyDescent="0.2">
      <c r="A39" t="s">
        <v>4</v>
      </c>
      <c r="B39" s="2">
        <v>44617</v>
      </c>
      <c r="C39">
        <v>26.84535980224609</v>
      </c>
      <c r="D39">
        <f>_xlfn.XLOOKUP(B39, Oil_Price!A:A, Oil_Price!B:B, "")</f>
        <v>91.589996337890625</v>
      </c>
      <c r="E39">
        <f t="shared" si="0"/>
        <v>3.4821626034622973E-2</v>
      </c>
      <c r="F39">
        <f t="shared" si="1"/>
        <v>-1.314514872099745E-2</v>
      </c>
      <c r="G39">
        <f t="shared" si="2"/>
        <v>0.9033432006835902</v>
      </c>
      <c r="H39">
        <f t="shared" si="3"/>
        <v>-1.220001220703125</v>
      </c>
    </row>
    <row r="40" spans="1:8" x14ac:dyDescent="0.2">
      <c r="A40" t="s">
        <v>4</v>
      </c>
      <c r="B40" s="2">
        <v>44620</v>
      </c>
      <c r="C40">
        <v>27.335628509521481</v>
      </c>
      <c r="D40">
        <f>_xlfn.XLOOKUP(B40, Oil_Price!A:A, Oil_Price!B:B, "")</f>
        <v>95.720001220703125</v>
      </c>
      <c r="E40">
        <f t="shared" si="0"/>
        <v>1.8262698316838018E-2</v>
      </c>
      <c r="F40">
        <f t="shared" si="1"/>
        <v>4.5092314094830069E-2</v>
      </c>
      <c r="G40">
        <f t="shared" si="2"/>
        <v>0.49026870727539062</v>
      </c>
      <c r="H40">
        <f t="shared" si="3"/>
        <v>4.1300048828125</v>
      </c>
    </row>
    <row r="41" spans="1:8" x14ac:dyDescent="0.2">
      <c r="A41" t="s">
        <v>4</v>
      </c>
      <c r="B41" s="2">
        <v>44621</v>
      </c>
      <c r="C41">
        <v>27.547954559326168</v>
      </c>
      <c r="D41">
        <f>_xlfn.XLOOKUP(B41, Oil_Price!A:A, Oil_Price!B:B, "")</f>
        <v>103.4100036621094</v>
      </c>
      <c r="E41">
        <f t="shared" si="0"/>
        <v>7.7673739870561453E-3</v>
      </c>
      <c r="F41">
        <f t="shared" si="1"/>
        <v>8.0338511735654053E-2</v>
      </c>
      <c r="G41">
        <f t="shared" si="2"/>
        <v>0.2123260498046875</v>
      </c>
      <c r="H41">
        <f t="shared" si="3"/>
        <v>7.6900024414062784</v>
      </c>
    </row>
    <row r="42" spans="1:8" x14ac:dyDescent="0.2">
      <c r="A42" t="s">
        <v>4</v>
      </c>
      <c r="B42" s="2">
        <v>44622</v>
      </c>
      <c r="C42">
        <v>28.111574172973629</v>
      </c>
      <c r="D42">
        <f>_xlfn.XLOOKUP(B42, Oil_Price!A:A, Oil_Price!B:B, "")</f>
        <v>110.59999847412109</v>
      </c>
      <c r="E42">
        <f t="shared" si="0"/>
        <v>2.0459581216226867E-2</v>
      </c>
      <c r="F42">
        <f t="shared" si="1"/>
        <v>6.9529006453813574E-2</v>
      </c>
      <c r="G42">
        <f t="shared" si="2"/>
        <v>0.56361961364746094</v>
      </c>
      <c r="H42">
        <f t="shared" si="3"/>
        <v>7.1899948120116903</v>
      </c>
    </row>
    <row r="43" spans="1:8" x14ac:dyDescent="0.2">
      <c r="A43" t="s">
        <v>4</v>
      </c>
      <c r="B43" s="2">
        <v>44623</v>
      </c>
      <c r="C43">
        <v>27.984182357788089</v>
      </c>
      <c r="D43">
        <f>_xlfn.XLOOKUP(B43, Oil_Price!A:A, Oil_Price!B:B, "")</f>
        <v>107.6699981689453</v>
      </c>
      <c r="E43">
        <f t="shared" si="0"/>
        <v>-4.5316500030088613E-3</v>
      </c>
      <c r="F43">
        <f t="shared" si="1"/>
        <v>-2.6491865692578432E-2</v>
      </c>
      <c r="G43">
        <f t="shared" si="2"/>
        <v>-0.12739181518553977</v>
      </c>
      <c r="H43">
        <f t="shared" si="3"/>
        <v>-2.9300003051757955</v>
      </c>
    </row>
    <row r="44" spans="1:8" x14ac:dyDescent="0.2">
      <c r="A44" t="s">
        <v>4</v>
      </c>
      <c r="B44" s="2">
        <v>44624</v>
      </c>
      <c r="C44">
        <v>28.968587875366211</v>
      </c>
      <c r="D44">
        <f>_xlfn.XLOOKUP(B44, Oil_Price!A:A, Oil_Price!B:B, "")</f>
        <v>115.6800003051758</v>
      </c>
      <c r="E44">
        <f t="shared" si="0"/>
        <v>3.5177212076169813E-2</v>
      </c>
      <c r="F44">
        <f t="shared" si="1"/>
        <v>7.4394002716169638E-2</v>
      </c>
      <c r="G44">
        <f t="shared" si="2"/>
        <v>0.98440551757812145</v>
      </c>
      <c r="H44">
        <f t="shared" si="3"/>
        <v>8.0100021362304972</v>
      </c>
    </row>
    <row r="45" spans="1:8" x14ac:dyDescent="0.2">
      <c r="A45" t="s">
        <v>4</v>
      </c>
      <c r="B45" s="2">
        <v>44627</v>
      </c>
      <c r="C45">
        <v>29.458864212036129</v>
      </c>
      <c r="D45">
        <f>_xlfn.XLOOKUP(B45, Oil_Price!A:A, Oil_Price!B:B, "")</f>
        <v>119.40000152587891</v>
      </c>
      <c r="E45">
        <f t="shared" si="0"/>
        <v>1.6924412704522291E-2</v>
      </c>
      <c r="F45">
        <f t="shared" si="1"/>
        <v>3.21576868161252E-2</v>
      </c>
      <c r="G45">
        <f t="shared" si="2"/>
        <v>0.49027633666991832</v>
      </c>
      <c r="H45">
        <f t="shared" si="3"/>
        <v>3.7200012207031108</v>
      </c>
    </row>
    <row r="46" spans="1:8" x14ac:dyDescent="0.2">
      <c r="A46" t="s">
        <v>4</v>
      </c>
      <c r="B46" s="2">
        <v>44628</v>
      </c>
      <c r="C46">
        <v>29.717502593994141</v>
      </c>
      <c r="D46">
        <f>_xlfn.XLOOKUP(B46, Oil_Price!A:A, Oil_Price!B:B, "")</f>
        <v>123.6999969482422</v>
      </c>
      <c r="E46">
        <f t="shared" si="0"/>
        <v>8.7796454098301047E-3</v>
      </c>
      <c r="F46">
        <f t="shared" si="1"/>
        <v>3.6013361536107763E-2</v>
      </c>
      <c r="G46">
        <f t="shared" si="2"/>
        <v>0.25863838195801137</v>
      </c>
      <c r="H46">
        <f t="shared" si="3"/>
        <v>4.2999954223632955</v>
      </c>
    </row>
    <row r="47" spans="1:8" x14ac:dyDescent="0.2">
      <c r="A47" t="s">
        <v>4</v>
      </c>
      <c r="B47" s="2">
        <v>44629</v>
      </c>
      <c r="C47">
        <v>28.648174285888668</v>
      </c>
      <c r="D47">
        <f>_xlfn.XLOOKUP(B47, Oil_Price!A:A, Oil_Price!B:B, "")</f>
        <v>108.6999969482422</v>
      </c>
      <c r="E47">
        <f t="shared" si="0"/>
        <v>-3.5983114823436808E-2</v>
      </c>
      <c r="F47">
        <f t="shared" si="1"/>
        <v>-0.12126111859385258</v>
      </c>
      <c r="G47">
        <f t="shared" si="2"/>
        <v>-1.0693283081054723</v>
      </c>
      <c r="H47">
        <f t="shared" si="3"/>
        <v>-15</v>
      </c>
    </row>
    <row r="48" spans="1:8" x14ac:dyDescent="0.2">
      <c r="A48" t="s">
        <v>4</v>
      </c>
      <c r="B48" s="2">
        <v>44630</v>
      </c>
      <c r="C48">
        <v>29.694343566894531</v>
      </c>
      <c r="D48">
        <f>_xlfn.XLOOKUP(B48, Oil_Price!A:A, Oil_Price!B:B, "")</f>
        <v>106.01999664306641</v>
      </c>
      <c r="E48">
        <f t="shared" si="0"/>
        <v>3.6517834280321945E-2</v>
      </c>
      <c r="F48">
        <f t="shared" si="1"/>
        <v>-2.4655017299143853E-2</v>
      </c>
      <c r="G48">
        <f t="shared" si="2"/>
        <v>1.0461692810058629</v>
      </c>
      <c r="H48">
        <f t="shared" si="3"/>
        <v>-2.6800003051757955</v>
      </c>
    </row>
    <row r="49" spans="1:8" x14ac:dyDescent="0.2">
      <c r="A49" t="s">
        <v>4</v>
      </c>
      <c r="B49" s="2">
        <v>44631</v>
      </c>
      <c r="C49">
        <v>29.968437194824219</v>
      </c>
      <c r="D49">
        <f>_xlfn.XLOOKUP(B49, Oil_Price!A:A, Oil_Price!B:B, "")</f>
        <v>109.3300018310547</v>
      </c>
      <c r="E49">
        <f t="shared" si="0"/>
        <v>9.2304996509593677E-3</v>
      </c>
      <c r="F49">
        <f t="shared" si="1"/>
        <v>3.122057435194954E-2</v>
      </c>
      <c r="G49">
        <f t="shared" si="2"/>
        <v>0.2740936279296875</v>
      </c>
      <c r="H49">
        <f t="shared" si="3"/>
        <v>3.3100051879882955</v>
      </c>
    </row>
    <row r="50" spans="1:8" x14ac:dyDescent="0.2">
      <c r="A50" t="s">
        <v>4</v>
      </c>
      <c r="B50" s="2">
        <v>44634</v>
      </c>
      <c r="C50">
        <v>28.648174285888668</v>
      </c>
      <c r="D50">
        <f>_xlfn.XLOOKUP(B50, Oil_Price!A:A, Oil_Price!B:B, "")</f>
        <v>103.0100021362305</v>
      </c>
      <c r="E50">
        <f t="shared" si="0"/>
        <v>-4.40551137302405E-2</v>
      </c>
      <c r="F50">
        <f t="shared" si="1"/>
        <v>-5.7806636686884579E-2</v>
      </c>
      <c r="G50">
        <f t="shared" si="2"/>
        <v>-1.3202629089355504</v>
      </c>
      <c r="H50">
        <f t="shared" si="3"/>
        <v>-6.3199996948242045</v>
      </c>
    </row>
    <row r="51" spans="1:8" x14ac:dyDescent="0.2">
      <c r="A51" t="s">
        <v>4</v>
      </c>
      <c r="B51" s="2">
        <v>44635</v>
      </c>
      <c r="C51">
        <v>28.501483917236332</v>
      </c>
      <c r="D51">
        <f>_xlfn.XLOOKUP(B51, Oil_Price!A:A, Oil_Price!B:B, "")</f>
        <v>96.44000244140625</v>
      </c>
      <c r="E51">
        <f t="shared" si="0"/>
        <v>-5.120408972260143E-3</v>
      </c>
      <c r="F51">
        <f t="shared" si="1"/>
        <v>-6.3780211227793565E-2</v>
      </c>
      <c r="G51">
        <f t="shared" si="2"/>
        <v>-0.14669036865233664</v>
      </c>
      <c r="H51">
        <f t="shared" si="3"/>
        <v>-6.5699996948242472</v>
      </c>
    </row>
    <row r="52" spans="1:8" x14ac:dyDescent="0.2">
      <c r="A52" t="s">
        <v>4</v>
      </c>
      <c r="B52" s="2">
        <v>44636</v>
      </c>
      <c r="C52">
        <v>28.81802940368652</v>
      </c>
      <c r="D52">
        <f>_xlfn.XLOOKUP(B52, Oil_Price!A:A, Oil_Price!B:B, "")</f>
        <v>95.040000915527344</v>
      </c>
      <c r="E52">
        <f t="shared" si="0"/>
        <v>1.1106280899948395E-2</v>
      </c>
      <c r="F52">
        <f t="shared" si="1"/>
        <v>-1.4516813463681741E-2</v>
      </c>
      <c r="G52">
        <f t="shared" si="2"/>
        <v>0.31654548645018821</v>
      </c>
      <c r="H52">
        <f t="shared" si="3"/>
        <v>-1.4000015258789062</v>
      </c>
    </row>
    <row r="53" spans="1:8" x14ac:dyDescent="0.2">
      <c r="A53" t="s">
        <v>4</v>
      </c>
      <c r="B53" s="2">
        <v>44637</v>
      </c>
      <c r="C53">
        <v>30.19459342956543</v>
      </c>
      <c r="D53">
        <f>_xlfn.XLOOKUP(B53, Oil_Price!A:A, Oil_Price!B:B, "")</f>
        <v>102.98000335693359</v>
      </c>
      <c r="E53">
        <f t="shared" si="0"/>
        <v>4.7767458579343877E-2</v>
      </c>
      <c r="F53">
        <f t="shared" si="1"/>
        <v>8.3543795927184555E-2</v>
      </c>
      <c r="G53">
        <f t="shared" si="2"/>
        <v>1.3765640258789098</v>
      </c>
      <c r="H53">
        <f t="shared" si="3"/>
        <v>7.94000244140625</v>
      </c>
    </row>
    <row r="54" spans="1:8" x14ac:dyDescent="0.2">
      <c r="A54" t="s">
        <v>4</v>
      </c>
      <c r="B54" s="2">
        <v>44638</v>
      </c>
      <c r="C54">
        <v>29.792934417724609</v>
      </c>
      <c r="D54">
        <f>_xlfn.XLOOKUP(B54, Oil_Price!A:A, Oil_Price!B:B, "")</f>
        <v>104.6999969482422</v>
      </c>
      <c r="E54">
        <f t="shared" si="0"/>
        <v>-1.3302348739278954E-2</v>
      </c>
      <c r="F54">
        <f t="shared" si="1"/>
        <v>1.6702209509034761E-2</v>
      </c>
      <c r="G54">
        <f t="shared" si="2"/>
        <v>-0.40165901184082031</v>
      </c>
      <c r="H54">
        <f t="shared" si="3"/>
        <v>1.719993591308608</v>
      </c>
    </row>
    <row r="55" spans="1:8" x14ac:dyDescent="0.2">
      <c r="A55" t="s">
        <v>4</v>
      </c>
      <c r="B55" s="2">
        <v>44641</v>
      </c>
      <c r="C55">
        <v>30.717142105102539</v>
      </c>
      <c r="D55">
        <f>_xlfn.XLOOKUP(B55, Oil_Price!A:A, Oil_Price!B:B, "")</f>
        <v>112.120002746582</v>
      </c>
      <c r="E55">
        <f t="shared" si="0"/>
        <v>3.1021035874468746E-2</v>
      </c>
      <c r="F55">
        <f t="shared" si="1"/>
        <v>7.0869207398428433E-2</v>
      </c>
      <c r="G55">
        <f t="shared" si="2"/>
        <v>0.92420768737792969</v>
      </c>
      <c r="H55">
        <f t="shared" si="3"/>
        <v>7.4200057983398011</v>
      </c>
    </row>
    <row r="56" spans="1:8" x14ac:dyDescent="0.2">
      <c r="A56" t="s">
        <v>4</v>
      </c>
      <c r="B56" s="2">
        <v>44642</v>
      </c>
      <c r="C56">
        <v>30.264785766601559</v>
      </c>
      <c r="D56">
        <f>_xlfn.XLOOKUP(B56, Oil_Price!A:A, Oil_Price!B:B, "")</f>
        <v>111.7600021362305</v>
      </c>
      <c r="E56">
        <f t="shared" si="0"/>
        <v>-1.4726511240960711E-2</v>
      </c>
      <c r="F56">
        <f t="shared" si="1"/>
        <v>-3.2108508877331464E-3</v>
      </c>
      <c r="G56">
        <f t="shared" si="2"/>
        <v>-0.45235633850098012</v>
      </c>
      <c r="H56">
        <f t="shared" si="3"/>
        <v>-0.36000061035150566</v>
      </c>
    </row>
    <row r="57" spans="1:8" x14ac:dyDescent="0.2">
      <c r="A57" t="s">
        <v>4</v>
      </c>
      <c r="B57" s="2">
        <v>44643</v>
      </c>
      <c r="C57">
        <v>30.990104675292969</v>
      </c>
      <c r="D57">
        <f>_xlfn.XLOOKUP(B57, Oil_Price!A:A, Oil_Price!B:B, "")</f>
        <v>114.9300003051758</v>
      </c>
      <c r="E57">
        <f t="shared" si="0"/>
        <v>2.3965770459602236E-2</v>
      </c>
      <c r="F57">
        <f t="shared" si="1"/>
        <v>2.8364335257270404E-2</v>
      </c>
      <c r="G57">
        <f t="shared" si="2"/>
        <v>0.7253189086914098</v>
      </c>
      <c r="H57">
        <f t="shared" si="3"/>
        <v>3.1699981689452983</v>
      </c>
    </row>
    <row r="58" spans="1:8" x14ac:dyDescent="0.2">
      <c r="A58" t="s">
        <v>4</v>
      </c>
      <c r="B58" s="2">
        <v>44644</v>
      </c>
      <c r="C58">
        <v>30.763933181762699</v>
      </c>
      <c r="D58">
        <f>_xlfn.XLOOKUP(B58, Oil_Price!A:A, Oil_Price!B:B, "")</f>
        <v>112.3399963378906</v>
      </c>
      <c r="E58">
        <f t="shared" si="0"/>
        <v>-7.2981842397772329E-3</v>
      </c>
      <c r="F58">
        <f t="shared" si="1"/>
        <v>-2.2535490824048661E-2</v>
      </c>
      <c r="G58">
        <f t="shared" si="2"/>
        <v>-0.22617149353026988</v>
      </c>
      <c r="H58">
        <f t="shared" si="3"/>
        <v>-2.5900039672851989</v>
      </c>
    </row>
    <row r="59" spans="1:8" x14ac:dyDescent="0.2">
      <c r="A59" t="s">
        <v>4</v>
      </c>
      <c r="B59" s="2">
        <v>44645</v>
      </c>
      <c r="C59">
        <v>30.947206497192379</v>
      </c>
      <c r="D59">
        <f>_xlfn.XLOOKUP(B59, Oil_Price!A:A, Oil_Price!B:B, "")</f>
        <v>113.90000152587891</v>
      </c>
      <c r="E59">
        <f t="shared" si="0"/>
        <v>5.957408447965537E-3</v>
      </c>
      <c r="F59">
        <f t="shared" si="1"/>
        <v>1.3886462870233719E-2</v>
      </c>
      <c r="G59">
        <f t="shared" si="2"/>
        <v>0.18327331542968039</v>
      </c>
      <c r="H59">
        <f t="shared" si="3"/>
        <v>1.5600051879883097</v>
      </c>
    </row>
    <row r="60" spans="1:8" x14ac:dyDescent="0.2">
      <c r="A60" t="s">
        <v>4</v>
      </c>
      <c r="B60" s="2">
        <v>44648</v>
      </c>
      <c r="C60">
        <v>30.38177490234375</v>
      </c>
      <c r="D60">
        <f>_xlfn.XLOOKUP(B60, Oil_Price!A:A, Oil_Price!B:B, "")</f>
        <v>105.9599990844727</v>
      </c>
      <c r="E60">
        <f t="shared" si="0"/>
        <v>-1.8270844410461631E-2</v>
      </c>
      <c r="F60">
        <f t="shared" si="1"/>
        <v>-6.9710292669330487E-2</v>
      </c>
      <c r="G60">
        <f t="shared" si="2"/>
        <v>-0.56543159484862926</v>
      </c>
      <c r="H60">
        <f t="shared" si="3"/>
        <v>-7.9400024414062074</v>
      </c>
    </row>
    <row r="61" spans="1:8" x14ac:dyDescent="0.2">
      <c r="A61" t="s">
        <v>4</v>
      </c>
      <c r="B61" s="2">
        <v>44649</v>
      </c>
      <c r="C61">
        <v>30.3388786315918</v>
      </c>
      <c r="D61">
        <f>_xlfn.XLOOKUP(B61, Oil_Price!A:A, Oil_Price!B:B, "")</f>
        <v>104.2399978637695</v>
      </c>
      <c r="E61">
        <f t="shared" si="0"/>
        <v>-1.411907990557866E-3</v>
      </c>
      <c r="F61">
        <f t="shared" si="1"/>
        <v>-1.623255224202096E-2</v>
      </c>
      <c r="G61">
        <f t="shared" si="2"/>
        <v>-4.2896270751949572E-2</v>
      </c>
      <c r="H61">
        <f t="shared" si="3"/>
        <v>-1.7200012207031961</v>
      </c>
    </row>
    <row r="62" spans="1:8" x14ac:dyDescent="0.2">
      <c r="A62" t="s">
        <v>4</v>
      </c>
      <c r="B62" s="2">
        <v>44650</v>
      </c>
      <c r="C62">
        <v>30.4909553527832</v>
      </c>
      <c r="D62">
        <f>_xlfn.XLOOKUP(B62, Oil_Price!A:A, Oil_Price!B:B, "")</f>
        <v>107.8199996948242</v>
      </c>
      <c r="E62">
        <f t="shared" si="0"/>
        <v>5.0126019171005884E-3</v>
      </c>
      <c r="F62">
        <f t="shared" si="1"/>
        <v>3.4343840218928057E-2</v>
      </c>
      <c r="G62">
        <f t="shared" si="2"/>
        <v>0.15207672119139914</v>
      </c>
      <c r="H62">
        <f t="shared" si="3"/>
        <v>3.5800018310547017</v>
      </c>
    </row>
    <row r="63" spans="1:8" x14ac:dyDescent="0.2">
      <c r="A63" t="s">
        <v>4</v>
      </c>
      <c r="B63" s="2">
        <v>44651</v>
      </c>
      <c r="C63">
        <v>30.18679046630859</v>
      </c>
      <c r="D63">
        <f>_xlfn.XLOOKUP(B63, Oil_Price!A:A, Oil_Price!B:B, "")</f>
        <v>100.2799987792969</v>
      </c>
      <c r="E63">
        <f t="shared" si="0"/>
        <v>-9.975577444373036E-3</v>
      </c>
      <c r="F63">
        <f t="shared" si="1"/>
        <v>-6.9931375782495489E-2</v>
      </c>
      <c r="G63">
        <f t="shared" si="2"/>
        <v>-0.30416488647460938</v>
      </c>
      <c r="H63">
        <f t="shared" si="3"/>
        <v>-7.5400009155273011</v>
      </c>
    </row>
    <row r="64" spans="1:8" x14ac:dyDescent="0.2">
      <c r="A64" t="s">
        <v>4</v>
      </c>
      <c r="B64" s="2">
        <v>44652</v>
      </c>
      <c r="C64">
        <v>30.763933181762699</v>
      </c>
      <c r="D64">
        <f>_xlfn.XLOOKUP(B64, Oil_Price!A:A, Oil_Price!B:B, "")</f>
        <v>99.269996643066406</v>
      </c>
      <c r="E64">
        <f t="shared" si="0"/>
        <v>1.9119048648058707E-2</v>
      </c>
      <c r="F64">
        <f t="shared" si="1"/>
        <v>-1.0071820388165132E-2</v>
      </c>
      <c r="G64">
        <f t="shared" si="2"/>
        <v>0.57714271545410867</v>
      </c>
      <c r="H64">
        <f t="shared" si="3"/>
        <v>-1.0100021362304972</v>
      </c>
    </row>
    <row r="65" spans="1:8" x14ac:dyDescent="0.2">
      <c r="A65" t="s">
        <v>4</v>
      </c>
      <c r="B65" s="2">
        <v>44655</v>
      </c>
      <c r="C65">
        <v>31.188991546630859</v>
      </c>
      <c r="D65">
        <f>_xlfn.XLOOKUP(B65, Oil_Price!A:A, Oil_Price!B:B, "")</f>
        <v>103.2799987792969</v>
      </c>
      <c r="E65">
        <f t="shared" si="0"/>
        <v>1.3816775714496131E-2</v>
      </c>
      <c r="F65">
        <f t="shared" si="1"/>
        <v>4.0394905528694597E-2</v>
      </c>
      <c r="G65">
        <f t="shared" si="2"/>
        <v>0.42505836486816051</v>
      </c>
      <c r="H65">
        <f t="shared" si="3"/>
        <v>4.0100021362304972</v>
      </c>
    </row>
    <row r="66" spans="1:8" x14ac:dyDescent="0.2">
      <c r="A66" t="s">
        <v>4</v>
      </c>
      <c r="B66" s="2">
        <v>44656</v>
      </c>
      <c r="C66">
        <v>30.494852066040039</v>
      </c>
      <c r="D66">
        <f>_xlfn.XLOOKUP(B66, Oil_Price!A:A, Oil_Price!B:B, "")</f>
        <v>101.9599990844727</v>
      </c>
      <c r="E66">
        <f t="shared" si="0"/>
        <v>-2.2255912941366123E-2</v>
      </c>
      <c r="F66">
        <f t="shared" si="1"/>
        <v>-1.2780787281426715E-2</v>
      </c>
      <c r="G66">
        <f t="shared" si="2"/>
        <v>-0.69413948059082031</v>
      </c>
      <c r="H66">
        <f t="shared" si="3"/>
        <v>-1.3199996948242045</v>
      </c>
    </row>
    <row r="67" spans="1:8" x14ac:dyDescent="0.2">
      <c r="A67" t="s">
        <v>4</v>
      </c>
      <c r="B67" s="2">
        <v>44657</v>
      </c>
      <c r="C67">
        <v>30.416866302490231</v>
      </c>
      <c r="D67">
        <f>_xlfn.XLOOKUP(B67, Oil_Price!A:A, Oil_Price!B:B, "")</f>
        <v>96.230003356933594</v>
      </c>
      <c r="E67">
        <f t="shared" ref="E67:E130" si="4">IFERROR(IF(AND(A67=A66, C67&lt;&gt;"", C66&lt;&gt;""), (C67-C66)/C66, ""), "")</f>
        <v>-2.5573419205615847E-3</v>
      </c>
      <c r="F67">
        <f t="shared" ref="F67:F130" si="5">IFERROR(IF(AND(A67=A66, D67&lt;&gt;"", D66&lt;&gt;""), (D67-D66)/D66, ""), "")</f>
        <v>-5.6198467820619227E-2</v>
      </c>
      <c r="G67">
        <f t="shared" ref="G67:G130" si="6">IFERROR(IF(AND(A67=A66, C67&lt;&gt;"", C66&lt;&gt;""), C67-C66, ""), "")</f>
        <v>-7.798576354980824E-2</v>
      </c>
      <c r="H67">
        <f t="shared" ref="H67:H130" si="7">IFERROR(IF(AND(A67=A66, D67&lt;&gt;"", D66&lt;&gt;""), D67-D66, ""), "")</f>
        <v>-5.7299957275391051</v>
      </c>
    </row>
    <row r="68" spans="1:8" x14ac:dyDescent="0.2">
      <c r="A68" t="s">
        <v>4</v>
      </c>
      <c r="B68" s="2">
        <v>44658</v>
      </c>
      <c r="C68">
        <v>30.939413070678711</v>
      </c>
      <c r="D68">
        <f>_xlfn.XLOOKUP(B68, Oil_Price!A:A, Oil_Price!B:B, "")</f>
        <v>96.029998779296875</v>
      </c>
      <c r="E68">
        <f t="shared" si="4"/>
        <v>1.7179507020606496E-2</v>
      </c>
      <c r="F68">
        <f t="shared" si="5"/>
        <v>-2.0784014409192886E-3</v>
      </c>
      <c r="G68">
        <f t="shared" si="6"/>
        <v>0.52254676818848012</v>
      </c>
      <c r="H68">
        <f t="shared" si="7"/>
        <v>-0.20000457763671875</v>
      </c>
    </row>
    <row r="69" spans="1:8" x14ac:dyDescent="0.2">
      <c r="A69" t="s">
        <v>4</v>
      </c>
      <c r="B69" s="2">
        <v>44659</v>
      </c>
      <c r="C69">
        <v>31.508754730224609</v>
      </c>
      <c r="D69">
        <f>_xlfn.XLOOKUP(B69, Oil_Price!A:A, Oil_Price!B:B, "")</f>
        <v>98.260002136230469</v>
      </c>
      <c r="E69">
        <f t="shared" si="4"/>
        <v>1.8401824826000453E-2</v>
      </c>
      <c r="F69">
        <f t="shared" si="5"/>
        <v>2.3221945072172182E-2</v>
      </c>
      <c r="G69">
        <f t="shared" si="6"/>
        <v>0.56934165954589844</v>
      </c>
      <c r="H69">
        <f t="shared" si="7"/>
        <v>2.2300033569335938</v>
      </c>
    </row>
    <row r="70" spans="1:8" x14ac:dyDescent="0.2">
      <c r="A70" t="s">
        <v>4</v>
      </c>
      <c r="B70" s="2">
        <v>44662</v>
      </c>
      <c r="C70">
        <v>30.75223350524902</v>
      </c>
      <c r="D70">
        <f>_xlfn.XLOOKUP(B70, Oil_Price!A:A, Oil_Price!B:B, "")</f>
        <v>94.290000915527344</v>
      </c>
      <c r="E70">
        <f t="shared" si="4"/>
        <v>-2.4009873809766921E-2</v>
      </c>
      <c r="F70">
        <f t="shared" si="5"/>
        <v>-4.04030239608483E-2</v>
      </c>
      <c r="G70">
        <f t="shared" si="6"/>
        <v>-0.75652122497558949</v>
      </c>
      <c r="H70">
        <f t="shared" si="7"/>
        <v>-3.970001220703125</v>
      </c>
    </row>
    <row r="71" spans="1:8" x14ac:dyDescent="0.2">
      <c r="A71" t="s">
        <v>4</v>
      </c>
      <c r="B71" s="2">
        <v>44663</v>
      </c>
      <c r="C71">
        <v>31.78172492980957</v>
      </c>
      <c r="D71">
        <f>_xlfn.XLOOKUP(B71, Oil_Price!A:A, Oil_Price!B:B, "")</f>
        <v>100.59999847412109</v>
      </c>
      <c r="E71">
        <f t="shared" si="4"/>
        <v>3.3476964344226548E-2</v>
      </c>
      <c r="F71">
        <f t="shared" si="5"/>
        <v>6.6921174009180032E-2</v>
      </c>
      <c r="G71">
        <f t="shared" si="6"/>
        <v>1.0294914245605504</v>
      </c>
      <c r="H71">
        <f t="shared" si="7"/>
        <v>6.30999755859375</v>
      </c>
    </row>
    <row r="72" spans="1:8" x14ac:dyDescent="0.2">
      <c r="A72" t="s">
        <v>4</v>
      </c>
      <c r="B72" s="2">
        <v>44664</v>
      </c>
      <c r="C72">
        <v>32.078098297119141</v>
      </c>
      <c r="D72">
        <f>_xlfn.XLOOKUP(B72, Oil_Price!A:A, Oil_Price!B:B, "")</f>
        <v>104.25</v>
      </c>
      <c r="E72">
        <f t="shared" si="4"/>
        <v>9.3252763329905938E-3</v>
      </c>
      <c r="F72">
        <f t="shared" si="5"/>
        <v>3.6282321881126602E-2</v>
      </c>
      <c r="G72">
        <f t="shared" si="6"/>
        <v>0.29637336730957031</v>
      </c>
      <c r="H72">
        <f t="shared" si="7"/>
        <v>3.6500015258789062</v>
      </c>
    </row>
    <row r="73" spans="1:8" x14ac:dyDescent="0.2">
      <c r="A73" t="s">
        <v>4</v>
      </c>
      <c r="B73" s="2">
        <v>44665</v>
      </c>
      <c r="C73">
        <v>32.366664886474609</v>
      </c>
      <c r="D73">
        <f>_xlfn.XLOOKUP(B73, Oil_Price!A:A, Oil_Price!B:B, "")</f>
        <v>106.9499969482422</v>
      </c>
      <c r="E73">
        <f t="shared" si="4"/>
        <v>8.9957511409391819E-3</v>
      </c>
      <c r="F73">
        <f t="shared" si="5"/>
        <v>2.5899251302083471E-2</v>
      </c>
      <c r="G73">
        <f t="shared" si="6"/>
        <v>0.28856658935546875</v>
      </c>
      <c r="H73">
        <f t="shared" si="7"/>
        <v>2.6999969482422017</v>
      </c>
    </row>
    <row r="74" spans="1:8" x14ac:dyDescent="0.2">
      <c r="A74" t="s">
        <v>4</v>
      </c>
      <c r="B74" s="2">
        <v>44669</v>
      </c>
      <c r="C74">
        <v>33.021793365478523</v>
      </c>
      <c r="D74">
        <f>_xlfn.XLOOKUP(B74, Oil_Price!A:A, Oil_Price!B:B, "")</f>
        <v>108.2099990844727</v>
      </c>
      <c r="E74">
        <f t="shared" si="4"/>
        <v>2.0240839805453006E-2</v>
      </c>
      <c r="F74">
        <f t="shared" si="5"/>
        <v>1.1781226481383328E-2</v>
      </c>
      <c r="G74">
        <f t="shared" si="6"/>
        <v>0.65512847900391336</v>
      </c>
      <c r="H74">
        <f t="shared" si="7"/>
        <v>1.2600021362304972</v>
      </c>
    </row>
    <row r="75" spans="1:8" x14ac:dyDescent="0.2">
      <c r="A75" t="s">
        <v>4</v>
      </c>
      <c r="B75" s="2">
        <v>44670</v>
      </c>
      <c r="C75">
        <v>32.951610565185547</v>
      </c>
      <c r="D75">
        <f>_xlfn.XLOOKUP(B75, Oil_Price!A:A, Oil_Price!B:B, "")</f>
        <v>102.55999755859381</v>
      </c>
      <c r="E75">
        <f t="shared" si="4"/>
        <v>-2.1253479335966653E-3</v>
      </c>
      <c r="F75">
        <f t="shared" si="5"/>
        <v>-5.2213303517989064E-2</v>
      </c>
      <c r="G75">
        <f t="shared" si="6"/>
        <v>-7.0182800292975855E-2</v>
      </c>
      <c r="H75">
        <f t="shared" si="7"/>
        <v>-5.650001525878892</v>
      </c>
    </row>
    <row r="76" spans="1:8" x14ac:dyDescent="0.2">
      <c r="A76" t="s">
        <v>4</v>
      </c>
      <c r="B76" s="2">
        <v>44671</v>
      </c>
      <c r="C76">
        <v>33.517047882080078</v>
      </c>
      <c r="D76">
        <f>_xlfn.XLOOKUP(B76, Oil_Price!A:A, Oil_Price!B:B, "")</f>
        <v>102.75</v>
      </c>
      <c r="E76">
        <f t="shared" si="4"/>
        <v>1.7159626106164724E-2</v>
      </c>
      <c r="F76">
        <f t="shared" si="5"/>
        <v>1.8525979517271575E-3</v>
      </c>
      <c r="G76">
        <f t="shared" si="6"/>
        <v>0.56543731689453125</v>
      </c>
      <c r="H76">
        <f t="shared" si="7"/>
        <v>0.19000244140619316</v>
      </c>
    </row>
    <row r="77" spans="1:8" x14ac:dyDescent="0.2">
      <c r="A77" t="s">
        <v>4</v>
      </c>
      <c r="B77" s="2">
        <v>44672</v>
      </c>
      <c r="C77">
        <v>32.401752471923828</v>
      </c>
      <c r="D77">
        <f>_xlfn.XLOOKUP(B77, Oil_Price!A:A, Oil_Price!B:B, "")</f>
        <v>103.7900009155273</v>
      </c>
      <c r="E77">
        <f t="shared" si="4"/>
        <v>-3.3275466684300196E-2</v>
      </c>
      <c r="F77">
        <f t="shared" si="5"/>
        <v>1.0121663411457918E-2</v>
      </c>
      <c r="G77">
        <f t="shared" si="6"/>
        <v>-1.11529541015625</v>
      </c>
      <c r="H77">
        <f t="shared" si="7"/>
        <v>1.0400009155273011</v>
      </c>
    </row>
    <row r="78" spans="1:8" x14ac:dyDescent="0.2">
      <c r="A78" t="s">
        <v>4</v>
      </c>
      <c r="B78" s="2">
        <v>44673</v>
      </c>
      <c r="C78">
        <v>31.676445007324219</v>
      </c>
      <c r="D78">
        <f>_xlfn.XLOOKUP(B78, Oil_Price!A:A, Oil_Price!B:B, "")</f>
        <v>102.0699996948242</v>
      </c>
      <c r="E78">
        <f t="shared" si="4"/>
        <v>-2.2384822093437368E-2</v>
      </c>
      <c r="F78">
        <f t="shared" si="5"/>
        <v>-1.657193569256226E-2</v>
      </c>
      <c r="G78">
        <f t="shared" si="6"/>
        <v>-0.72530746459960938</v>
      </c>
      <c r="H78">
        <f t="shared" si="7"/>
        <v>-1.7200012207030966</v>
      </c>
    </row>
    <row r="79" spans="1:8" x14ac:dyDescent="0.2">
      <c r="A79" t="s">
        <v>4</v>
      </c>
      <c r="B79" s="2">
        <v>44676</v>
      </c>
      <c r="C79">
        <v>30.43636322021484</v>
      </c>
      <c r="D79">
        <f>_xlfn.XLOOKUP(B79, Oil_Price!A:A, Oil_Price!B:B, "")</f>
        <v>98.540000915527344</v>
      </c>
      <c r="E79">
        <f t="shared" si="4"/>
        <v>-3.9148388868215707E-2</v>
      </c>
      <c r="F79">
        <f t="shared" si="5"/>
        <v>-3.4584097088773295E-2</v>
      </c>
      <c r="G79">
        <f t="shared" si="6"/>
        <v>-1.2400817871093786</v>
      </c>
      <c r="H79">
        <f t="shared" si="7"/>
        <v>-3.5299987792968608</v>
      </c>
    </row>
    <row r="80" spans="1:8" x14ac:dyDescent="0.2">
      <c r="A80" t="s">
        <v>4</v>
      </c>
      <c r="B80" s="2">
        <v>44677</v>
      </c>
      <c r="C80">
        <v>30.311580657958981</v>
      </c>
      <c r="D80">
        <f>_xlfn.XLOOKUP(B80, Oil_Price!A:A, Oil_Price!B:B, "")</f>
        <v>101.6999969482422</v>
      </c>
      <c r="E80">
        <f t="shared" si="4"/>
        <v>-4.0997855543063984E-3</v>
      </c>
      <c r="F80">
        <f t="shared" si="5"/>
        <v>3.2068155097986453E-2</v>
      </c>
      <c r="G80">
        <f t="shared" si="6"/>
        <v>-0.12478256225585938</v>
      </c>
      <c r="H80">
        <f t="shared" si="7"/>
        <v>3.159996032714858</v>
      </c>
    </row>
    <row r="81" spans="1:8" x14ac:dyDescent="0.2">
      <c r="A81" t="s">
        <v>4</v>
      </c>
      <c r="B81" s="2">
        <v>44678</v>
      </c>
      <c r="C81">
        <v>30.763933181762699</v>
      </c>
      <c r="D81">
        <f>_xlfn.XLOOKUP(B81, Oil_Price!A:A, Oil_Price!B:B, "")</f>
        <v>102.01999664306641</v>
      </c>
      <c r="E81">
        <f t="shared" si="4"/>
        <v>1.4923422467080838E-2</v>
      </c>
      <c r="F81">
        <f t="shared" si="5"/>
        <v>3.1465064348729604E-3</v>
      </c>
      <c r="G81">
        <f t="shared" si="6"/>
        <v>0.45235252380371804</v>
      </c>
      <c r="H81">
        <f t="shared" si="7"/>
        <v>0.31999969482420454</v>
      </c>
    </row>
    <row r="82" spans="1:8" x14ac:dyDescent="0.2">
      <c r="A82" t="s">
        <v>4</v>
      </c>
      <c r="B82" s="2">
        <v>44679</v>
      </c>
      <c r="C82">
        <v>31.255283355712891</v>
      </c>
      <c r="D82">
        <f>_xlfn.XLOOKUP(B82, Oil_Price!A:A, Oil_Price!B:B, "")</f>
        <v>105.36000061035161</v>
      </c>
      <c r="E82">
        <f t="shared" si="4"/>
        <v>1.5971630514445116E-2</v>
      </c>
      <c r="F82">
        <f t="shared" si="5"/>
        <v>3.2738718655037281E-2</v>
      </c>
      <c r="G82">
        <f t="shared" si="6"/>
        <v>0.49135017395019176</v>
      </c>
      <c r="H82">
        <f t="shared" si="7"/>
        <v>3.3400039672851989</v>
      </c>
    </row>
    <row r="83" spans="1:8" x14ac:dyDescent="0.2">
      <c r="A83" t="s">
        <v>4</v>
      </c>
      <c r="B83" s="2">
        <v>44680</v>
      </c>
      <c r="C83">
        <v>31.005704879760739</v>
      </c>
      <c r="D83">
        <f>_xlfn.XLOOKUP(B83, Oil_Price!A:A, Oil_Price!B:B, "")</f>
        <v>104.69000244140619</v>
      </c>
      <c r="E83">
        <f t="shared" si="4"/>
        <v>-7.9851612001634164E-3</v>
      </c>
      <c r="F83">
        <f t="shared" si="5"/>
        <v>-6.3591321665158072E-3</v>
      </c>
      <c r="G83">
        <f t="shared" si="6"/>
        <v>-0.24957847595215199</v>
      </c>
      <c r="H83">
        <f t="shared" si="7"/>
        <v>-0.66999816894541198</v>
      </c>
    </row>
    <row r="84" spans="1:8" x14ac:dyDescent="0.2">
      <c r="A84" t="s">
        <v>4</v>
      </c>
      <c r="B84" s="2">
        <v>44683</v>
      </c>
      <c r="C84">
        <v>30.72883224487305</v>
      </c>
      <c r="D84">
        <f>_xlfn.XLOOKUP(B84, Oil_Price!A:A, Oil_Price!B:B, "")</f>
        <v>105.1699981689453</v>
      </c>
      <c r="E84">
        <f t="shared" si="4"/>
        <v>-8.9297319948503859E-3</v>
      </c>
      <c r="F84">
        <f t="shared" si="5"/>
        <v>4.5849242176467927E-3</v>
      </c>
      <c r="G84">
        <f t="shared" si="6"/>
        <v>-0.27687263488768821</v>
      </c>
      <c r="H84">
        <f t="shared" si="7"/>
        <v>0.47999572753910513</v>
      </c>
    </row>
    <row r="85" spans="1:8" x14ac:dyDescent="0.2">
      <c r="A85" t="s">
        <v>4</v>
      </c>
      <c r="B85" s="2">
        <v>44684</v>
      </c>
      <c r="C85">
        <v>31.941606521606449</v>
      </c>
      <c r="D85">
        <f>_xlfn.XLOOKUP(B85, Oil_Price!A:A, Oil_Price!B:B, "")</f>
        <v>102.4100036621094</v>
      </c>
      <c r="E85">
        <f t="shared" si="4"/>
        <v>3.9466982248755764E-2</v>
      </c>
      <c r="F85">
        <f t="shared" si="5"/>
        <v>-2.6243173479971293E-2</v>
      </c>
      <c r="G85">
        <f t="shared" si="6"/>
        <v>1.2127742767333984</v>
      </c>
      <c r="H85">
        <f t="shared" si="7"/>
        <v>-2.7599945068358949</v>
      </c>
    </row>
    <row r="86" spans="1:8" x14ac:dyDescent="0.2">
      <c r="A86" t="s">
        <v>4</v>
      </c>
      <c r="B86" s="2">
        <v>44685</v>
      </c>
      <c r="C86">
        <v>32.608444213867188</v>
      </c>
      <c r="D86">
        <f>_xlfn.XLOOKUP(B86, Oil_Price!A:A, Oil_Price!B:B, "")</f>
        <v>107.80999755859381</v>
      </c>
      <c r="E86">
        <f t="shared" si="4"/>
        <v>2.0876773740533861E-2</v>
      </c>
      <c r="F86">
        <f t="shared" si="5"/>
        <v>5.2729164177174451E-2</v>
      </c>
      <c r="G86">
        <f t="shared" si="6"/>
        <v>0.66683769226073863</v>
      </c>
      <c r="H86">
        <f t="shared" si="7"/>
        <v>5.3999938964844034</v>
      </c>
    </row>
    <row r="87" spans="1:8" x14ac:dyDescent="0.2">
      <c r="A87" t="s">
        <v>4</v>
      </c>
      <c r="B87" s="2">
        <v>44686</v>
      </c>
      <c r="C87">
        <v>31.937715530395511</v>
      </c>
      <c r="D87">
        <f>_xlfn.XLOOKUP(B87, Oil_Price!A:A, Oil_Price!B:B, "")</f>
        <v>108.2600021362305</v>
      </c>
      <c r="E87">
        <f t="shared" si="4"/>
        <v>-2.0569171564046577E-2</v>
      </c>
      <c r="F87">
        <f t="shared" si="5"/>
        <v>4.1740523868588038E-3</v>
      </c>
      <c r="G87">
        <f t="shared" si="6"/>
        <v>-0.67072868347167613</v>
      </c>
      <c r="H87">
        <f t="shared" si="7"/>
        <v>0.45000457763669033</v>
      </c>
    </row>
    <row r="88" spans="1:8" x14ac:dyDescent="0.2">
      <c r="A88" t="s">
        <v>4</v>
      </c>
      <c r="B88" s="2">
        <v>44687</v>
      </c>
      <c r="C88">
        <v>31.992307662963871</v>
      </c>
      <c r="D88">
        <f>_xlfn.XLOOKUP(B88, Oil_Price!A:A, Oil_Price!B:B, "")</f>
        <v>109.76999664306641</v>
      </c>
      <c r="E88">
        <f t="shared" si="4"/>
        <v>1.7093311672966521E-3</v>
      </c>
      <c r="F88">
        <f t="shared" si="5"/>
        <v>1.3947852180307425E-2</v>
      </c>
      <c r="G88">
        <f t="shared" si="6"/>
        <v>5.4592132568359375E-2</v>
      </c>
      <c r="H88">
        <f t="shared" si="7"/>
        <v>1.5099945068359091</v>
      </c>
    </row>
    <row r="89" spans="1:8" x14ac:dyDescent="0.2">
      <c r="A89" t="s">
        <v>4</v>
      </c>
      <c r="B89" s="2">
        <v>44690</v>
      </c>
      <c r="C89">
        <v>29.699342727661129</v>
      </c>
      <c r="D89">
        <f>_xlfn.XLOOKUP(B89, Oil_Price!A:A, Oil_Price!B:B, "")</f>
        <v>103.0899963378906</v>
      </c>
      <c r="E89">
        <f t="shared" si="4"/>
        <v>-7.1672383232210826E-2</v>
      </c>
      <c r="F89">
        <f t="shared" si="5"/>
        <v>-6.0854518624946591E-2</v>
      </c>
      <c r="G89">
        <f t="shared" si="6"/>
        <v>-2.2929649353027415</v>
      </c>
      <c r="H89">
        <f t="shared" si="7"/>
        <v>-6.6800003051758097</v>
      </c>
    </row>
    <row r="90" spans="1:8" x14ac:dyDescent="0.2">
      <c r="A90" t="s">
        <v>4</v>
      </c>
      <c r="B90" s="2">
        <v>44691</v>
      </c>
      <c r="C90">
        <v>29.66813850402832</v>
      </c>
      <c r="D90">
        <f>_xlfn.XLOOKUP(B90, Oil_Price!A:A, Oil_Price!B:B, "")</f>
        <v>99.760002136230469</v>
      </c>
      <c r="E90">
        <f t="shared" si="4"/>
        <v>-1.0506705121034955E-3</v>
      </c>
      <c r="F90">
        <f t="shared" si="5"/>
        <v>-3.2301817052603703E-2</v>
      </c>
      <c r="G90">
        <f t="shared" si="6"/>
        <v>-3.1204223632808947E-2</v>
      </c>
      <c r="H90">
        <f t="shared" si="7"/>
        <v>-3.3299942016601278</v>
      </c>
    </row>
    <row r="91" spans="1:8" x14ac:dyDescent="0.2">
      <c r="A91" t="s">
        <v>4</v>
      </c>
      <c r="B91" s="2">
        <v>44692</v>
      </c>
      <c r="C91">
        <v>29.652542114257809</v>
      </c>
      <c r="D91">
        <f>_xlfn.XLOOKUP(B91, Oil_Price!A:A, Oil_Price!B:B, "")</f>
        <v>105.7099990844727</v>
      </c>
      <c r="E91">
        <f t="shared" si="4"/>
        <v>-5.2569492246349388E-4</v>
      </c>
      <c r="F91">
        <f t="shared" si="5"/>
        <v>5.964311167633117E-2</v>
      </c>
      <c r="G91">
        <f t="shared" si="6"/>
        <v>-1.5596389770511365E-2</v>
      </c>
      <c r="H91">
        <f t="shared" si="7"/>
        <v>5.9499969482422301</v>
      </c>
    </row>
    <row r="92" spans="1:8" x14ac:dyDescent="0.2">
      <c r="A92" t="s">
        <v>4</v>
      </c>
      <c r="B92" s="2">
        <v>44693</v>
      </c>
      <c r="C92">
        <v>29.2703857421875</v>
      </c>
      <c r="D92">
        <f>_xlfn.XLOOKUP(B92, Oil_Price!A:A, Oil_Price!B:B, "")</f>
        <v>106.129997253418</v>
      </c>
      <c r="E92">
        <f t="shared" si="4"/>
        <v>-1.288781145973171E-2</v>
      </c>
      <c r="F92">
        <f t="shared" si="5"/>
        <v>3.9731167588950445E-3</v>
      </c>
      <c r="G92">
        <f t="shared" si="6"/>
        <v>-0.38215637207030895</v>
      </c>
      <c r="H92">
        <f t="shared" si="7"/>
        <v>0.41999816894529829</v>
      </c>
    </row>
    <row r="93" spans="1:8" x14ac:dyDescent="0.2">
      <c r="A93" t="s">
        <v>4</v>
      </c>
      <c r="B93" s="2">
        <v>44694</v>
      </c>
      <c r="C93">
        <v>30.658638000488281</v>
      </c>
      <c r="D93">
        <f>_xlfn.XLOOKUP(B93, Oil_Price!A:A, Oil_Price!B:B, "")</f>
        <v>110.4899978637695</v>
      </c>
      <c r="E93">
        <f t="shared" si="4"/>
        <v>4.7428560406701056E-2</v>
      </c>
      <c r="F93">
        <f t="shared" si="5"/>
        <v>4.1081699078354482E-2</v>
      </c>
      <c r="G93">
        <f t="shared" si="6"/>
        <v>1.3882522583007812</v>
      </c>
      <c r="H93">
        <f t="shared" si="7"/>
        <v>4.3600006103515057</v>
      </c>
    </row>
    <row r="94" spans="1:8" x14ac:dyDescent="0.2">
      <c r="A94" t="s">
        <v>4</v>
      </c>
      <c r="B94" s="2">
        <v>44697</v>
      </c>
      <c r="C94">
        <v>31.5477409362793</v>
      </c>
      <c r="D94">
        <f>_xlfn.XLOOKUP(B94, Oil_Price!A:A, Oil_Price!B:B, "")</f>
        <v>114.1999969482422</v>
      </c>
      <c r="E94">
        <f t="shared" si="4"/>
        <v>2.9000079383071715E-2</v>
      </c>
      <c r="F94">
        <f t="shared" si="5"/>
        <v>3.3577691702438121E-2</v>
      </c>
      <c r="G94">
        <f t="shared" si="6"/>
        <v>0.88910293579101918</v>
      </c>
      <c r="H94">
        <f t="shared" si="7"/>
        <v>3.7099990844726989</v>
      </c>
    </row>
    <row r="95" spans="1:8" x14ac:dyDescent="0.2">
      <c r="A95" t="s">
        <v>4</v>
      </c>
      <c r="B95" s="2">
        <v>44698</v>
      </c>
      <c r="C95">
        <v>31.500957489013668</v>
      </c>
      <c r="D95">
        <f>_xlfn.XLOOKUP(B95, Oil_Price!A:A, Oil_Price!B:B, "")</f>
        <v>112.40000152587891</v>
      </c>
      <c r="E95">
        <f t="shared" si="4"/>
        <v>-1.482941278113262E-3</v>
      </c>
      <c r="F95">
        <f t="shared" si="5"/>
        <v>-1.5761781702840944E-2</v>
      </c>
      <c r="G95">
        <f t="shared" si="6"/>
        <v>-4.6783447265632105E-2</v>
      </c>
      <c r="H95">
        <f t="shared" si="7"/>
        <v>-1.7999954223632955</v>
      </c>
    </row>
    <row r="96" spans="1:8" x14ac:dyDescent="0.2">
      <c r="A96" t="s">
        <v>4</v>
      </c>
      <c r="B96" s="2">
        <v>44699</v>
      </c>
      <c r="C96">
        <v>30.721027374267582</v>
      </c>
      <c r="D96">
        <f>_xlfn.XLOOKUP(B96, Oil_Price!A:A, Oil_Price!B:B, "")</f>
        <v>109.5899963378906</v>
      </c>
      <c r="E96">
        <f t="shared" si="4"/>
        <v>-2.4758933598069091E-2</v>
      </c>
      <c r="F96">
        <f t="shared" si="5"/>
        <v>-2.5000045817093124E-2</v>
      </c>
      <c r="G96">
        <f t="shared" si="6"/>
        <v>-0.77993011474608664</v>
      </c>
      <c r="H96">
        <f t="shared" si="7"/>
        <v>-2.8100051879883097</v>
      </c>
    </row>
    <row r="97" spans="1:8" x14ac:dyDescent="0.2">
      <c r="A97" t="s">
        <v>4</v>
      </c>
      <c r="B97" s="2">
        <v>44700</v>
      </c>
      <c r="C97">
        <v>30.880912780761719</v>
      </c>
      <c r="D97">
        <f>_xlfn.XLOOKUP(B97, Oil_Price!A:A, Oil_Price!B:B, "")</f>
        <v>112.2099990844727</v>
      </c>
      <c r="E97">
        <f t="shared" si="4"/>
        <v>5.204429023362012E-3</v>
      </c>
      <c r="F97">
        <f t="shared" si="5"/>
        <v>2.3907316672445583E-2</v>
      </c>
      <c r="G97">
        <f t="shared" si="6"/>
        <v>0.15988540649413707</v>
      </c>
      <c r="H97">
        <f t="shared" si="7"/>
        <v>2.6200027465821023</v>
      </c>
    </row>
    <row r="98" spans="1:8" x14ac:dyDescent="0.2">
      <c r="A98" t="s">
        <v>4</v>
      </c>
      <c r="B98" s="2">
        <v>44701</v>
      </c>
      <c r="C98">
        <v>30.935518264770511</v>
      </c>
      <c r="D98">
        <f>_xlfn.XLOOKUP(B98, Oil_Price!A:A, Oil_Price!B:B, "")</f>
        <v>113.23000335693359</v>
      </c>
      <c r="E98">
        <f t="shared" si="4"/>
        <v>1.768260038052078E-3</v>
      </c>
      <c r="F98">
        <f t="shared" si="5"/>
        <v>9.0901370714122059E-3</v>
      </c>
      <c r="G98">
        <f t="shared" si="6"/>
        <v>5.4605484008792615E-2</v>
      </c>
      <c r="H98">
        <f t="shared" si="7"/>
        <v>1.0200042724608949</v>
      </c>
    </row>
    <row r="99" spans="1:8" x14ac:dyDescent="0.2">
      <c r="A99" t="s">
        <v>4</v>
      </c>
      <c r="B99" s="2">
        <v>44705</v>
      </c>
      <c r="C99">
        <v>32.156085968017578</v>
      </c>
      <c r="D99">
        <f>_xlfn.XLOOKUP(B99, Oil_Price!A:A, Oil_Price!B:B, "")</f>
        <v>109.76999664306641</v>
      </c>
      <c r="E99">
        <f t="shared" si="4"/>
        <v>3.9455220785392625E-2</v>
      </c>
      <c r="F99">
        <f t="shared" si="5"/>
        <v>-3.0557331195692448E-2</v>
      </c>
      <c r="G99">
        <f t="shared" si="6"/>
        <v>1.2205677032470668</v>
      </c>
      <c r="H99">
        <f t="shared" si="7"/>
        <v>-3.4600067138671875</v>
      </c>
    </row>
    <row r="100" spans="1:8" x14ac:dyDescent="0.2">
      <c r="A100" t="s">
        <v>4</v>
      </c>
      <c r="B100" s="2">
        <v>44706</v>
      </c>
      <c r="C100">
        <v>32.483646392822273</v>
      </c>
      <c r="D100">
        <f>_xlfn.XLOOKUP(B100, Oil_Price!A:A, Oil_Price!B:B, "")</f>
        <v>110.3300018310547</v>
      </c>
      <c r="E100">
        <f t="shared" si="4"/>
        <v>1.0186576349201391E-2</v>
      </c>
      <c r="F100">
        <f t="shared" si="5"/>
        <v>5.1016234409593381E-3</v>
      </c>
      <c r="G100">
        <f t="shared" si="6"/>
        <v>0.32756042480469461</v>
      </c>
      <c r="H100">
        <f t="shared" si="7"/>
        <v>0.56000518798829546</v>
      </c>
    </row>
    <row r="101" spans="1:8" x14ac:dyDescent="0.2">
      <c r="A101" t="s">
        <v>4</v>
      </c>
      <c r="B101" s="2">
        <v>44707</v>
      </c>
      <c r="C101">
        <v>32.783924102783203</v>
      </c>
      <c r="D101">
        <f>_xlfn.XLOOKUP(B101, Oil_Price!A:A, Oil_Price!B:B, "")</f>
        <v>114.0899963378906</v>
      </c>
      <c r="E101">
        <f t="shared" si="4"/>
        <v>9.2439656044058238E-3</v>
      </c>
      <c r="F101">
        <f t="shared" si="5"/>
        <v>3.4079529089408256E-2</v>
      </c>
      <c r="G101">
        <f t="shared" si="6"/>
        <v>0.30027770996093039</v>
      </c>
      <c r="H101">
        <f t="shared" si="7"/>
        <v>3.7599945068358949</v>
      </c>
    </row>
    <row r="102" spans="1:8" x14ac:dyDescent="0.2">
      <c r="A102" t="s">
        <v>4</v>
      </c>
      <c r="B102" s="2">
        <v>44708</v>
      </c>
      <c r="C102">
        <v>33.142681121826172</v>
      </c>
      <c r="D102">
        <f>_xlfn.XLOOKUP(B102, Oil_Price!A:A, Oil_Price!B:B, "")</f>
        <v>115.0699996948242</v>
      </c>
      <c r="E102">
        <f t="shared" si="4"/>
        <v>1.0943077403370145E-2</v>
      </c>
      <c r="F102">
        <f t="shared" si="5"/>
        <v>8.5897395774403897E-3</v>
      </c>
      <c r="G102">
        <f t="shared" si="6"/>
        <v>0.35875701904296875</v>
      </c>
      <c r="H102">
        <f t="shared" si="7"/>
        <v>0.98000335693360796</v>
      </c>
    </row>
    <row r="103" spans="1:8" x14ac:dyDescent="0.2">
      <c r="A103" t="s">
        <v>4</v>
      </c>
      <c r="B103" s="2">
        <v>44711</v>
      </c>
      <c r="C103">
        <v>33.942104339599609</v>
      </c>
      <c r="D103" t="str">
        <f>_xlfn.XLOOKUP(B103, Oil_Price!A:A, Oil_Price!B:B, "")</f>
        <v/>
      </c>
      <c r="E103">
        <f t="shared" si="4"/>
        <v>2.4120656226782326E-2</v>
      </c>
      <c r="F103" t="str">
        <f t="shared" si="5"/>
        <v/>
      </c>
      <c r="G103">
        <f t="shared" si="6"/>
        <v>0.7994232177734375</v>
      </c>
      <c r="H103" t="str">
        <f t="shared" si="7"/>
        <v/>
      </c>
    </row>
    <row r="104" spans="1:8" x14ac:dyDescent="0.2">
      <c r="A104" t="s">
        <v>4</v>
      </c>
      <c r="B104" s="2">
        <v>44712</v>
      </c>
      <c r="C104">
        <v>32.643543243408203</v>
      </c>
      <c r="D104">
        <f>_xlfn.XLOOKUP(B104, Oil_Price!A:A, Oil_Price!B:B, "")</f>
        <v>114.6699981689453</v>
      </c>
      <c r="E104">
        <f t="shared" si="4"/>
        <v>-3.8258119861955632E-2</v>
      </c>
      <c r="F104" t="str">
        <f t="shared" si="5"/>
        <v/>
      </c>
      <c r="G104">
        <f t="shared" si="6"/>
        <v>-1.2985610961914062</v>
      </c>
      <c r="H104" t="str">
        <f t="shared" si="7"/>
        <v/>
      </c>
    </row>
    <row r="105" spans="1:8" x14ac:dyDescent="0.2">
      <c r="A105" t="s">
        <v>4</v>
      </c>
      <c r="B105" s="2">
        <v>44713</v>
      </c>
      <c r="C105">
        <v>33.314266204833977</v>
      </c>
      <c r="D105">
        <f>_xlfn.XLOOKUP(B105, Oil_Price!A:A, Oil_Price!B:B, "")</f>
        <v>115.2600021362305</v>
      </c>
      <c r="E105">
        <f t="shared" si="4"/>
        <v>2.0546879866088524E-2</v>
      </c>
      <c r="F105">
        <f t="shared" si="5"/>
        <v>5.1452339470341299E-3</v>
      </c>
      <c r="G105">
        <f t="shared" si="6"/>
        <v>0.67072296142577414</v>
      </c>
      <c r="H105">
        <f t="shared" si="7"/>
        <v>0.59000396728519888</v>
      </c>
    </row>
    <row r="106" spans="1:8" x14ac:dyDescent="0.2">
      <c r="A106" t="s">
        <v>4</v>
      </c>
      <c r="B106" s="2">
        <v>44714</v>
      </c>
      <c r="C106">
        <v>33.411758422851562</v>
      </c>
      <c r="D106">
        <f>_xlfn.XLOOKUP(B106, Oil_Price!A:A, Oil_Price!B:B, "")</f>
        <v>116.870002746582</v>
      </c>
      <c r="E106">
        <f t="shared" si="4"/>
        <v>2.9264405050422179E-3</v>
      </c>
      <c r="F106">
        <f t="shared" si="5"/>
        <v>1.3968424262638657E-2</v>
      </c>
      <c r="G106">
        <f t="shared" si="6"/>
        <v>9.749221801758523E-2</v>
      </c>
      <c r="H106">
        <f t="shared" si="7"/>
        <v>1.6100006103515057</v>
      </c>
    </row>
    <row r="107" spans="1:8" x14ac:dyDescent="0.2">
      <c r="A107" t="s">
        <v>4</v>
      </c>
      <c r="B107" s="2">
        <v>44715</v>
      </c>
      <c r="C107">
        <v>33.220680236816413</v>
      </c>
      <c r="D107">
        <f>_xlfn.XLOOKUP(B107, Oil_Price!A:A, Oil_Price!B:B, "")</f>
        <v>118.870002746582</v>
      </c>
      <c r="E107">
        <f t="shared" si="4"/>
        <v>-5.7188904461988313E-3</v>
      </c>
      <c r="F107">
        <f t="shared" si="5"/>
        <v>1.711303117136696E-2</v>
      </c>
      <c r="G107">
        <f t="shared" si="6"/>
        <v>-0.19107818603514914</v>
      </c>
      <c r="H107">
        <f t="shared" si="7"/>
        <v>2</v>
      </c>
    </row>
    <row r="108" spans="1:8" x14ac:dyDescent="0.2">
      <c r="A108" t="s">
        <v>4</v>
      </c>
      <c r="B108" s="2">
        <v>44718</v>
      </c>
      <c r="C108">
        <v>32.764419555664062</v>
      </c>
      <c r="D108">
        <f>_xlfn.XLOOKUP(B108, Oil_Price!A:A, Oil_Price!B:B, "")</f>
        <v>118.5</v>
      </c>
      <c r="E108">
        <f t="shared" si="4"/>
        <v>-1.3734236562883669E-2</v>
      </c>
      <c r="F108">
        <f t="shared" si="5"/>
        <v>-3.1126670987869725E-3</v>
      </c>
      <c r="G108">
        <f t="shared" si="6"/>
        <v>-0.45626068115235086</v>
      </c>
      <c r="H108">
        <f t="shared" si="7"/>
        <v>-0.37000274658200283</v>
      </c>
    </row>
    <row r="109" spans="1:8" x14ac:dyDescent="0.2">
      <c r="A109" t="s">
        <v>4</v>
      </c>
      <c r="B109" s="2">
        <v>44719</v>
      </c>
      <c r="C109">
        <v>33.52874755859375</v>
      </c>
      <c r="D109">
        <f>_xlfn.XLOOKUP(B109, Oil_Price!A:A, Oil_Price!B:B, "")</f>
        <v>119.4100036621094</v>
      </c>
      <c r="E109">
        <f t="shared" si="4"/>
        <v>2.3327988509949243E-2</v>
      </c>
      <c r="F109">
        <f t="shared" si="5"/>
        <v>7.6793557983915904E-3</v>
      </c>
      <c r="G109">
        <f t="shared" si="6"/>
        <v>0.7643280029296875</v>
      </c>
      <c r="H109">
        <f t="shared" si="7"/>
        <v>0.91000366210940342</v>
      </c>
    </row>
    <row r="110" spans="1:8" x14ac:dyDescent="0.2">
      <c r="A110" t="s">
        <v>4</v>
      </c>
      <c r="B110" s="2">
        <v>44720</v>
      </c>
      <c r="C110">
        <v>33.450748443603523</v>
      </c>
      <c r="D110">
        <f>_xlfn.XLOOKUP(B110, Oil_Price!A:A, Oil_Price!B:B, "")</f>
        <v>122.11000061035161</v>
      </c>
      <c r="E110">
        <f t="shared" si="4"/>
        <v>-2.3263354783508855E-3</v>
      </c>
      <c r="F110">
        <f t="shared" si="5"/>
        <v>2.2611145343251936E-2</v>
      </c>
      <c r="G110">
        <f t="shared" si="6"/>
        <v>-7.799911499022727E-2</v>
      </c>
      <c r="H110">
        <f t="shared" si="7"/>
        <v>2.6999969482422017</v>
      </c>
    </row>
    <row r="111" spans="1:8" x14ac:dyDescent="0.2">
      <c r="A111" t="s">
        <v>4</v>
      </c>
      <c r="B111" s="2">
        <v>44721</v>
      </c>
      <c r="C111">
        <v>33.017898559570312</v>
      </c>
      <c r="D111">
        <f>_xlfn.XLOOKUP(B111, Oil_Price!A:A, Oil_Price!B:B, "")</f>
        <v>121.5100021362305</v>
      </c>
      <c r="E111">
        <f t="shared" si="4"/>
        <v>-1.2939916270123999E-2</v>
      </c>
      <c r="F111">
        <f t="shared" si="5"/>
        <v>-4.9135899690614234E-3</v>
      </c>
      <c r="G111">
        <f t="shared" si="6"/>
        <v>-0.43284988403321023</v>
      </c>
      <c r="H111">
        <f t="shared" si="7"/>
        <v>-0.59999847412110796</v>
      </c>
    </row>
    <row r="112" spans="1:8" x14ac:dyDescent="0.2">
      <c r="A112" t="s">
        <v>4</v>
      </c>
      <c r="B112" s="2">
        <v>44722</v>
      </c>
      <c r="C112">
        <v>32.300376892089837</v>
      </c>
      <c r="D112">
        <f>_xlfn.XLOOKUP(B112, Oil_Price!A:A, Oil_Price!B:B, "")</f>
        <v>120.6699981689453</v>
      </c>
      <c r="E112">
        <f t="shared" si="4"/>
        <v>-2.1731294200505701E-2</v>
      </c>
      <c r="F112">
        <f t="shared" si="5"/>
        <v>-6.9130438031219151E-3</v>
      </c>
      <c r="G112">
        <f t="shared" si="6"/>
        <v>-0.71752166748047586</v>
      </c>
      <c r="H112">
        <f t="shared" si="7"/>
        <v>-0.84000396728519888</v>
      </c>
    </row>
    <row r="113" spans="1:8" x14ac:dyDescent="0.2">
      <c r="A113" t="s">
        <v>4</v>
      </c>
      <c r="B113" s="2">
        <v>44725</v>
      </c>
      <c r="C113">
        <v>30.962808609008789</v>
      </c>
      <c r="D113">
        <f>_xlfn.XLOOKUP(B113, Oil_Price!A:A, Oil_Price!B:B, "")</f>
        <v>120.9300003051758</v>
      </c>
      <c r="E113">
        <f t="shared" si="4"/>
        <v>-4.1410299562436678E-2</v>
      </c>
      <c r="F113">
        <f t="shared" si="5"/>
        <v>2.1546543480217713E-3</v>
      </c>
      <c r="G113">
        <f t="shared" si="6"/>
        <v>-1.3375682830810476</v>
      </c>
      <c r="H113">
        <f t="shared" si="7"/>
        <v>0.26000213623049717</v>
      </c>
    </row>
    <row r="114" spans="1:8" x14ac:dyDescent="0.2">
      <c r="A114" t="s">
        <v>4</v>
      </c>
      <c r="B114" s="2">
        <v>44726</v>
      </c>
      <c r="C114">
        <v>30.604055404663089</v>
      </c>
      <c r="D114">
        <f>_xlfn.XLOOKUP(B114, Oil_Price!A:A, Oil_Price!B:B, "")</f>
        <v>118.9300003051758</v>
      </c>
      <c r="E114">
        <f t="shared" si="4"/>
        <v>-1.1586584695075708E-2</v>
      </c>
      <c r="F114">
        <f t="shared" si="5"/>
        <v>-1.653849330152032E-2</v>
      </c>
      <c r="G114">
        <f t="shared" si="6"/>
        <v>-0.35875320434569957</v>
      </c>
      <c r="H114">
        <f t="shared" si="7"/>
        <v>-2</v>
      </c>
    </row>
    <row r="115" spans="1:8" x14ac:dyDescent="0.2">
      <c r="A115" t="s">
        <v>4</v>
      </c>
      <c r="B115" s="2">
        <v>44727</v>
      </c>
      <c r="C115">
        <v>30.097105026245121</v>
      </c>
      <c r="D115">
        <f>_xlfn.XLOOKUP(B115, Oil_Price!A:A, Oil_Price!B:B, "")</f>
        <v>115.30999755859381</v>
      </c>
      <c r="E115">
        <f t="shared" si="4"/>
        <v>-1.6564810503536257E-2</v>
      </c>
      <c r="F115">
        <f t="shared" si="5"/>
        <v>-3.0438095831943315E-2</v>
      </c>
      <c r="G115">
        <f t="shared" si="6"/>
        <v>-0.50695037841796875</v>
      </c>
      <c r="H115">
        <f t="shared" si="7"/>
        <v>-3.6200027465819886</v>
      </c>
    </row>
    <row r="116" spans="1:8" x14ac:dyDescent="0.2">
      <c r="A116" t="s">
        <v>4</v>
      </c>
      <c r="B116" s="2">
        <v>44728</v>
      </c>
      <c r="C116">
        <v>28.348686218261719</v>
      </c>
      <c r="D116">
        <f>_xlfn.XLOOKUP(B116, Oil_Price!A:A, Oil_Price!B:B, "")</f>
        <v>117.5899963378906</v>
      </c>
      <c r="E116">
        <f t="shared" si="4"/>
        <v>-5.8092590847483666E-2</v>
      </c>
      <c r="F116">
        <f t="shared" si="5"/>
        <v>1.9772776234239599E-2</v>
      </c>
      <c r="G116">
        <f t="shared" si="6"/>
        <v>-1.748418807983402</v>
      </c>
      <c r="H116">
        <f t="shared" si="7"/>
        <v>2.2799987792967897</v>
      </c>
    </row>
    <row r="117" spans="1:8" x14ac:dyDescent="0.2">
      <c r="A117" t="s">
        <v>4</v>
      </c>
      <c r="B117" s="2">
        <v>44729</v>
      </c>
      <c r="C117">
        <v>26.91530799865723</v>
      </c>
      <c r="D117">
        <f>_xlfn.XLOOKUP(B117, Oil_Price!A:A, Oil_Price!B:B, "")</f>
        <v>109.55999755859381</v>
      </c>
      <c r="E117">
        <f t="shared" si="4"/>
        <v>-5.0562421431760457E-2</v>
      </c>
      <c r="F117">
        <f t="shared" si="5"/>
        <v>-6.8288111483759892E-2</v>
      </c>
      <c r="G117">
        <f t="shared" si="6"/>
        <v>-1.4333782196044886</v>
      </c>
      <c r="H117">
        <f t="shared" si="7"/>
        <v>-8.0299987792967897</v>
      </c>
    </row>
    <row r="118" spans="1:8" x14ac:dyDescent="0.2">
      <c r="A118" t="s">
        <v>4</v>
      </c>
      <c r="B118" s="2">
        <v>44732</v>
      </c>
      <c r="C118">
        <v>27.427228927612301</v>
      </c>
      <c r="D118" t="str">
        <f>_xlfn.XLOOKUP(B118, Oil_Price!A:A, Oil_Price!B:B, "")</f>
        <v/>
      </c>
      <c r="E118">
        <f t="shared" si="4"/>
        <v>1.9019694256540185E-2</v>
      </c>
      <c r="F118" t="str">
        <f t="shared" si="5"/>
        <v/>
      </c>
      <c r="G118">
        <f t="shared" si="6"/>
        <v>0.51192092895507102</v>
      </c>
      <c r="H118" t="str">
        <f t="shared" si="7"/>
        <v/>
      </c>
    </row>
    <row r="119" spans="1:8" x14ac:dyDescent="0.2">
      <c r="A119" t="s">
        <v>4</v>
      </c>
      <c r="B119" s="2">
        <v>44733</v>
      </c>
      <c r="C119">
        <v>27.947025299072269</v>
      </c>
      <c r="D119">
        <f>_xlfn.XLOOKUP(B119, Oil_Price!A:A, Oil_Price!B:B, "")</f>
        <v>110.65000152587891</v>
      </c>
      <c r="E119">
        <f t="shared" si="4"/>
        <v>1.8951836980390834E-2</v>
      </c>
      <c r="F119" t="str">
        <f t="shared" si="5"/>
        <v/>
      </c>
      <c r="G119">
        <f t="shared" si="6"/>
        <v>0.51979637145996804</v>
      </c>
      <c r="H119" t="str">
        <f t="shared" si="7"/>
        <v/>
      </c>
    </row>
    <row r="120" spans="1:8" x14ac:dyDescent="0.2">
      <c r="A120" t="s">
        <v>4</v>
      </c>
      <c r="B120" s="2">
        <v>44734</v>
      </c>
      <c r="C120">
        <v>26.525459289550781</v>
      </c>
      <c r="D120">
        <f>_xlfn.XLOOKUP(B120, Oil_Price!A:A, Oil_Price!B:B, "")</f>
        <v>106.19000244140619</v>
      </c>
      <c r="E120">
        <f t="shared" si="4"/>
        <v>-5.0866451592208574E-2</v>
      </c>
      <c r="F120">
        <f t="shared" si="5"/>
        <v>-4.0307266362121154E-2</v>
      </c>
      <c r="G120">
        <f t="shared" si="6"/>
        <v>-1.4215660095214879</v>
      </c>
      <c r="H120">
        <f t="shared" si="7"/>
        <v>-4.4599990844727131</v>
      </c>
    </row>
    <row r="121" spans="1:8" x14ac:dyDescent="0.2">
      <c r="A121" t="s">
        <v>4</v>
      </c>
      <c r="B121" s="2">
        <v>44735</v>
      </c>
      <c r="C121">
        <v>25.438608169555661</v>
      </c>
      <c r="D121">
        <f>_xlfn.XLOOKUP(B121, Oil_Price!A:A, Oil_Price!B:B, "")</f>
        <v>104.26999664306641</v>
      </c>
      <c r="E121">
        <f t="shared" si="4"/>
        <v>-4.0973885056281224E-2</v>
      </c>
      <c r="F121">
        <f t="shared" si="5"/>
        <v>-1.8080852756352586E-2</v>
      </c>
      <c r="G121">
        <f t="shared" si="6"/>
        <v>-1.0868511199951207</v>
      </c>
      <c r="H121">
        <f t="shared" si="7"/>
        <v>-1.9200057983397869</v>
      </c>
    </row>
    <row r="122" spans="1:8" x14ac:dyDescent="0.2">
      <c r="A122" t="s">
        <v>4</v>
      </c>
      <c r="B122" s="2">
        <v>44736</v>
      </c>
      <c r="C122">
        <v>25.651248931884769</v>
      </c>
      <c r="D122">
        <f>_xlfn.XLOOKUP(B122, Oil_Price!A:A, Oil_Price!B:B, "")</f>
        <v>107.620002746582</v>
      </c>
      <c r="E122">
        <f t="shared" si="4"/>
        <v>8.358977854126164E-3</v>
      </c>
      <c r="F122">
        <f t="shared" si="5"/>
        <v>3.212818846617236E-2</v>
      </c>
      <c r="G122">
        <f t="shared" si="6"/>
        <v>0.21264076232910867</v>
      </c>
      <c r="H122">
        <f t="shared" si="7"/>
        <v>3.3500061035155966</v>
      </c>
    </row>
    <row r="123" spans="1:8" x14ac:dyDescent="0.2">
      <c r="A123" t="s">
        <v>4</v>
      </c>
      <c r="B123" s="2">
        <v>44739</v>
      </c>
      <c r="C123">
        <v>27.068880081176761</v>
      </c>
      <c r="D123">
        <f>_xlfn.XLOOKUP(B123, Oil_Price!A:A, Oil_Price!B:B, "")</f>
        <v>109.5699996948242</v>
      </c>
      <c r="E123">
        <f t="shared" si="4"/>
        <v>5.526557997454315E-2</v>
      </c>
      <c r="F123">
        <f t="shared" si="5"/>
        <v>1.8119279859469557E-2</v>
      </c>
      <c r="G123">
        <f t="shared" si="6"/>
        <v>1.4176311492919922</v>
      </c>
      <c r="H123">
        <f t="shared" si="7"/>
        <v>1.9499969482422017</v>
      </c>
    </row>
    <row r="124" spans="1:8" x14ac:dyDescent="0.2">
      <c r="A124" t="s">
        <v>4</v>
      </c>
      <c r="B124" s="2">
        <v>44740</v>
      </c>
      <c r="C124">
        <v>28.285675048828121</v>
      </c>
      <c r="D124">
        <f>_xlfn.XLOOKUP(B124, Oil_Price!A:A, Oil_Price!B:B, "")</f>
        <v>111.7600021362305</v>
      </c>
      <c r="E124">
        <f t="shared" si="4"/>
        <v>4.4951803103871243E-2</v>
      </c>
      <c r="F124">
        <f t="shared" si="5"/>
        <v>1.9987245117330622E-2</v>
      </c>
      <c r="G124">
        <f t="shared" si="6"/>
        <v>1.2167949676513601</v>
      </c>
      <c r="H124">
        <f t="shared" si="7"/>
        <v>2.1900024414062926</v>
      </c>
    </row>
    <row r="125" spans="1:8" x14ac:dyDescent="0.2">
      <c r="A125" t="s">
        <v>4</v>
      </c>
      <c r="B125" s="2">
        <v>44741</v>
      </c>
      <c r="C125">
        <v>27.624126434326168</v>
      </c>
      <c r="D125">
        <f>_xlfn.XLOOKUP(B125, Oil_Price!A:A, Oil_Price!B:B, "")</f>
        <v>109.7799987792969</v>
      </c>
      <c r="E125">
        <f t="shared" si="4"/>
        <v>-2.3388114773996216E-2</v>
      </c>
      <c r="F125">
        <f t="shared" si="5"/>
        <v>-1.7716565131414879E-2</v>
      </c>
      <c r="G125">
        <f t="shared" si="6"/>
        <v>-0.66154861450195312</v>
      </c>
      <c r="H125">
        <f t="shared" si="7"/>
        <v>-1.9800033569335938</v>
      </c>
    </row>
    <row r="126" spans="1:8" x14ac:dyDescent="0.2">
      <c r="A126" t="s">
        <v>4</v>
      </c>
      <c r="B126" s="2">
        <v>44742</v>
      </c>
      <c r="C126">
        <v>27.238210678100589</v>
      </c>
      <c r="D126">
        <f>_xlfn.XLOOKUP(B126, Oil_Price!A:A, Oil_Price!B:B, "")</f>
        <v>105.7600021362305</v>
      </c>
      <c r="E126">
        <f t="shared" si="4"/>
        <v>-1.3970242901365884E-2</v>
      </c>
      <c r="F126">
        <f t="shared" si="5"/>
        <v>-3.6618661757760247E-2</v>
      </c>
      <c r="G126">
        <f t="shared" si="6"/>
        <v>-0.38591575622557883</v>
      </c>
      <c r="H126">
        <f t="shared" si="7"/>
        <v>-4.0199966430664062</v>
      </c>
    </row>
    <row r="127" spans="1:8" x14ac:dyDescent="0.2">
      <c r="A127" t="s">
        <v>4</v>
      </c>
      <c r="B127" s="2">
        <v>44746</v>
      </c>
      <c r="C127">
        <v>28.293560028076168</v>
      </c>
      <c r="D127" t="str">
        <f>_xlfn.XLOOKUP(B127, Oil_Price!A:A, Oil_Price!B:B, "")</f>
        <v/>
      </c>
      <c r="E127">
        <f t="shared" si="4"/>
        <v>3.8745179059213146E-2</v>
      </c>
      <c r="F127" t="str">
        <f t="shared" si="5"/>
        <v/>
      </c>
      <c r="G127">
        <f t="shared" si="6"/>
        <v>1.0553493499755788</v>
      </c>
      <c r="H127" t="str">
        <f t="shared" si="7"/>
        <v/>
      </c>
    </row>
    <row r="128" spans="1:8" x14ac:dyDescent="0.2">
      <c r="A128" t="s">
        <v>4</v>
      </c>
      <c r="B128" s="2">
        <v>44747</v>
      </c>
      <c r="C128">
        <v>26.34431266784668</v>
      </c>
      <c r="D128">
        <f>_xlfn.XLOOKUP(B128, Oil_Price!A:A, Oil_Price!B:B, "")</f>
        <v>99.5</v>
      </c>
      <c r="E128">
        <f t="shared" si="4"/>
        <v>-6.8893676097854711E-2</v>
      </c>
      <c r="F128" t="str">
        <f t="shared" si="5"/>
        <v/>
      </c>
      <c r="G128">
        <f t="shared" si="6"/>
        <v>-1.9492473602294886</v>
      </c>
      <c r="H128" t="str">
        <f t="shared" si="7"/>
        <v/>
      </c>
    </row>
    <row r="129" spans="1:8" x14ac:dyDescent="0.2">
      <c r="A129" t="s">
        <v>4</v>
      </c>
      <c r="B129" s="2">
        <v>44748</v>
      </c>
      <c r="C129">
        <v>24.78885650634766</v>
      </c>
      <c r="D129">
        <f>_xlfn.XLOOKUP(B129, Oil_Price!A:A, Oil_Price!B:B, "")</f>
        <v>98.529998779296875</v>
      </c>
      <c r="E129">
        <f t="shared" si="4"/>
        <v>-5.9043338162223499E-2</v>
      </c>
      <c r="F129">
        <f t="shared" si="5"/>
        <v>-9.7487559869660796E-3</v>
      </c>
      <c r="G129">
        <f t="shared" si="6"/>
        <v>-1.5554561614990199</v>
      </c>
      <c r="H129">
        <f t="shared" si="7"/>
        <v>-0.970001220703125</v>
      </c>
    </row>
    <row r="130" spans="1:8" x14ac:dyDescent="0.2">
      <c r="A130" t="s">
        <v>4</v>
      </c>
      <c r="B130" s="2">
        <v>44749</v>
      </c>
      <c r="C130">
        <v>25.489801406860352</v>
      </c>
      <c r="D130">
        <f>_xlfn.XLOOKUP(B130, Oil_Price!A:A, Oil_Price!B:B, "")</f>
        <v>102.73000335693359</v>
      </c>
      <c r="E130">
        <f t="shared" si="4"/>
        <v>2.8276612934251381E-2</v>
      </c>
      <c r="F130">
        <f t="shared" si="5"/>
        <v>4.262665817183816E-2</v>
      </c>
      <c r="G130">
        <f t="shared" si="6"/>
        <v>0.70094490051269176</v>
      </c>
      <c r="H130">
        <f t="shared" si="7"/>
        <v>4.2000045776367188</v>
      </c>
    </row>
    <row r="131" spans="1:8" x14ac:dyDescent="0.2">
      <c r="A131" t="s">
        <v>4</v>
      </c>
      <c r="B131" s="2">
        <v>44750</v>
      </c>
      <c r="C131">
        <v>25.178705215454102</v>
      </c>
      <c r="D131">
        <f>_xlfn.XLOOKUP(B131, Oil_Price!A:A, Oil_Price!B:B, "")</f>
        <v>104.7900009155273</v>
      </c>
      <c r="E131">
        <f t="shared" ref="E131:E194" si="8">IFERROR(IF(AND(A131=A130, C131&lt;&gt;"", C130&lt;&gt;""), (C131-C130)/C130, ""), "")</f>
        <v>-1.2204731862780274E-2</v>
      </c>
      <c r="F131">
        <f t="shared" ref="F131:F194" si="9">IFERROR(IF(AND(A131=A130, D131&lt;&gt;"", D130&lt;&gt;""), (D131-D130)/D130, ""), "")</f>
        <v>2.0052540555618226E-2</v>
      </c>
      <c r="G131">
        <f t="shared" ref="G131:G194" si="10">IFERROR(IF(AND(A131=A130, C131&lt;&gt;"", C130&lt;&gt;""), C131-C130, ""), "")</f>
        <v>-0.31109619140625</v>
      </c>
      <c r="H131">
        <f t="shared" ref="H131:H194" si="11">IFERROR(IF(AND(A131=A130, D131&lt;&gt;"", D130&lt;&gt;""), D131-D130, ""), "")</f>
        <v>2.0599975585937074</v>
      </c>
    </row>
    <row r="132" spans="1:8" x14ac:dyDescent="0.2">
      <c r="A132" t="s">
        <v>4</v>
      </c>
      <c r="B132" s="2">
        <v>44753</v>
      </c>
      <c r="C132">
        <v>25.088129043579102</v>
      </c>
      <c r="D132">
        <f>_xlfn.XLOOKUP(B132, Oil_Price!A:A, Oil_Price!B:B, "")</f>
        <v>104.0899963378906</v>
      </c>
      <c r="E132">
        <f t="shared" si="8"/>
        <v>-3.5973323925888954E-3</v>
      </c>
      <c r="F132">
        <f t="shared" si="9"/>
        <v>-6.6800703456524266E-3</v>
      </c>
      <c r="G132">
        <f t="shared" si="10"/>
        <v>-9.0576171875E-2</v>
      </c>
      <c r="H132">
        <f t="shared" si="11"/>
        <v>-0.70000457763670454</v>
      </c>
    </row>
    <row r="133" spans="1:8" x14ac:dyDescent="0.2">
      <c r="A133" t="s">
        <v>4</v>
      </c>
      <c r="B133" s="2">
        <v>44754</v>
      </c>
      <c r="C133">
        <v>24.568338394165039</v>
      </c>
      <c r="D133">
        <f>_xlfn.XLOOKUP(B133, Oil_Price!A:A, Oil_Price!B:B, "")</f>
        <v>95.839996337890625</v>
      </c>
      <c r="E133">
        <f t="shared" si="8"/>
        <v>-2.0718589597142338E-2</v>
      </c>
      <c r="F133">
        <f t="shared" si="9"/>
        <v>-7.9258336922400544E-2</v>
      </c>
      <c r="G133">
        <f t="shared" si="10"/>
        <v>-0.5197906494140625</v>
      </c>
      <c r="H133">
        <f t="shared" si="11"/>
        <v>-8.2499999999999716</v>
      </c>
    </row>
    <row r="134" spans="1:8" x14ac:dyDescent="0.2">
      <c r="A134" t="s">
        <v>4</v>
      </c>
      <c r="B134" s="2">
        <v>44755</v>
      </c>
      <c r="C134">
        <v>24.288747787475589</v>
      </c>
      <c r="D134">
        <f>_xlfn.XLOOKUP(B134, Oil_Price!A:A, Oil_Price!B:B, "")</f>
        <v>96.300003051757812</v>
      </c>
      <c r="E134">
        <f t="shared" si="8"/>
        <v>-1.1380118679733429E-2</v>
      </c>
      <c r="F134">
        <f t="shared" si="9"/>
        <v>4.7997363464560407E-3</v>
      </c>
      <c r="G134">
        <f t="shared" si="10"/>
        <v>-0.27959060668944957</v>
      </c>
      <c r="H134">
        <f t="shared" si="11"/>
        <v>0.4600067138671875</v>
      </c>
    </row>
    <row r="135" spans="1:8" x14ac:dyDescent="0.2">
      <c r="A135" t="s">
        <v>4</v>
      </c>
      <c r="B135" s="2">
        <v>44756</v>
      </c>
      <c r="C135">
        <v>24.056415557861332</v>
      </c>
      <c r="D135">
        <f>_xlfn.XLOOKUP(B135, Oil_Price!A:A, Oil_Price!B:B, "")</f>
        <v>95.779998779296875</v>
      </c>
      <c r="E135">
        <f t="shared" si="8"/>
        <v>-9.5654264125571414E-3</v>
      </c>
      <c r="F135">
        <f t="shared" si="9"/>
        <v>-5.3998365107159321E-3</v>
      </c>
      <c r="G135">
        <f t="shared" si="10"/>
        <v>-0.23233222961425781</v>
      </c>
      <c r="H135">
        <f t="shared" si="11"/>
        <v>-0.5200042724609375</v>
      </c>
    </row>
    <row r="136" spans="1:8" x14ac:dyDescent="0.2">
      <c r="A136" t="s">
        <v>4</v>
      </c>
      <c r="B136" s="2">
        <v>44757</v>
      </c>
      <c r="C136">
        <v>24.249374389648441</v>
      </c>
      <c r="D136">
        <f>_xlfn.XLOOKUP(B136, Oil_Price!A:A, Oil_Price!B:B, "")</f>
        <v>97.589996337890625</v>
      </c>
      <c r="E136">
        <f t="shared" si="8"/>
        <v>8.0210965479457254E-3</v>
      </c>
      <c r="F136">
        <f t="shared" si="9"/>
        <v>1.8897448127604133E-2</v>
      </c>
      <c r="G136">
        <f t="shared" si="10"/>
        <v>0.19295883178710938</v>
      </c>
      <c r="H136">
        <f t="shared" si="11"/>
        <v>1.80999755859375</v>
      </c>
    </row>
    <row r="137" spans="1:8" x14ac:dyDescent="0.2">
      <c r="A137" t="s">
        <v>4</v>
      </c>
      <c r="B137" s="2">
        <v>44760</v>
      </c>
      <c r="C137">
        <v>24.938497543334961</v>
      </c>
      <c r="D137">
        <f>_xlfn.XLOOKUP(B137, Oil_Price!A:A, Oil_Price!B:B, "")</f>
        <v>102.59999847412109</v>
      </c>
      <c r="E137">
        <f t="shared" si="8"/>
        <v>2.8418182779209857E-2</v>
      </c>
      <c r="F137">
        <f t="shared" si="9"/>
        <v>5.1337250991219358E-2</v>
      </c>
      <c r="G137">
        <f t="shared" si="10"/>
        <v>0.68912315368651988</v>
      </c>
      <c r="H137">
        <f t="shared" si="11"/>
        <v>5.0100021362304688</v>
      </c>
    </row>
    <row r="138" spans="1:8" x14ac:dyDescent="0.2">
      <c r="A138" t="s">
        <v>4</v>
      </c>
      <c r="B138" s="2">
        <v>44761</v>
      </c>
      <c r="C138">
        <v>25.363784790039059</v>
      </c>
      <c r="D138">
        <f>_xlfn.XLOOKUP(B138, Oil_Price!A:A, Oil_Price!B:B, "")</f>
        <v>104.2200012207031</v>
      </c>
      <c r="E138">
        <f t="shared" si="8"/>
        <v>1.7053443013761663E-2</v>
      </c>
      <c r="F138">
        <f t="shared" si="9"/>
        <v>1.5789500688838876E-2</v>
      </c>
      <c r="G138">
        <f t="shared" si="10"/>
        <v>0.42528724670409801</v>
      </c>
      <c r="H138">
        <f t="shared" si="11"/>
        <v>1.6200027465820028</v>
      </c>
    </row>
    <row r="139" spans="1:8" x14ac:dyDescent="0.2">
      <c r="A139" t="s">
        <v>4</v>
      </c>
      <c r="B139" s="2">
        <v>44762</v>
      </c>
      <c r="C139">
        <v>25.899335861206051</v>
      </c>
      <c r="D139">
        <f>_xlfn.XLOOKUP(B139, Oil_Price!A:A, Oil_Price!B:B, "")</f>
        <v>102.2600021362305</v>
      </c>
      <c r="E139">
        <f t="shared" si="8"/>
        <v>2.1114793221921495E-2</v>
      </c>
      <c r="F139">
        <f t="shared" si="9"/>
        <v>-1.8806362133137737E-2</v>
      </c>
      <c r="G139">
        <f t="shared" si="10"/>
        <v>0.53555107116699219</v>
      </c>
      <c r="H139">
        <f t="shared" si="11"/>
        <v>-1.9599990844725994</v>
      </c>
    </row>
    <row r="140" spans="1:8" x14ac:dyDescent="0.2">
      <c r="A140" t="s">
        <v>4</v>
      </c>
      <c r="B140" s="2">
        <v>44763</v>
      </c>
      <c r="C140">
        <v>25.580373764038089</v>
      </c>
      <c r="D140">
        <f>_xlfn.XLOOKUP(B140, Oil_Price!A:A, Oil_Price!B:B, "")</f>
        <v>96.349998474121094</v>
      </c>
      <c r="E140">
        <f t="shared" si="8"/>
        <v>-1.2315454684910541E-2</v>
      </c>
      <c r="F140">
        <f t="shared" si="9"/>
        <v>-5.7793893395739544E-2</v>
      </c>
      <c r="G140">
        <f t="shared" si="10"/>
        <v>-0.31896209716796164</v>
      </c>
      <c r="H140">
        <f t="shared" si="11"/>
        <v>-5.9100036621094034</v>
      </c>
    </row>
    <row r="141" spans="1:8" x14ac:dyDescent="0.2">
      <c r="A141" t="s">
        <v>4</v>
      </c>
      <c r="B141" s="2">
        <v>44764</v>
      </c>
      <c r="C141">
        <v>25.332284927368161</v>
      </c>
      <c r="D141">
        <f>_xlfn.XLOOKUP(B141, Oil_Price!A:A, Oil_Price!B:B, "")</f>
        <v>94.699996948242188</v>
      </c>
      <c r="E141">
        <f t="shared" si="8"/>
        <v>-9.6984054634378404E-3</v>
      </c>
      <c r="F141">
        <f t="shared" si="9"/>
        <v>-1.7125080975710492E-2</v>
      </c>
      <c r="G141">
        <f t="shared" si="10"/>
        <v>-0.24808883666992898</v>
      </c>
      <c r="H141">
        <f t="shared" si="11"/>
        <v>-1.6500015258789062</v>
      </c>
    </row>
    <row r="142" spans="1:8" x14ac:dyDescent="0.2">
      <c r="A142" t="s">
        <v>4</v>
      </c>
      <c r="B142" s="2">
        <v>44767</v>
      </c>
      <c r="C142">
        <v>26.037160873413089</v>
      </c>
      <c r="D142">
        <f>_xlfn.XLOOKUP(B142, Oil_Price!A:A, Oil_Price!B:B, "")</f>
        <v>96.699996948242188</v>
      </c>
      <c r="E142">
        <f t="shared" si="8"/>
        <v>2.7825202032344284E-2</v>
      </c>
      <c r="F142">
        <f t="shared" si="9"/>
        <v>2.1119324862207651E-2</v>
      </c>
      <c r="G142">
        <f t="shared" si="10"/>
        <v>0.70487594604492898</v>
      </c>
      <c r="H142">
        <f t="shared" si="11"/>
        <v>2</v>
      </c>
    </row>
    <row r="143" spans="1:8" x14ac:dyDescent="0.2">
      <c r="A143" t="s">
        <v>4</v>
      </c>
      <c r="B143" s="2">
        <v>44768</v>
      </c>
      <c r="C143">
        <v>25.836330413818359</v>
      </c>
      <c r="D143">
        <f>_xlfn.XLOOKUP(B143, Oil_Price!A:A, Oil_Price!B:B, "")</f>
        <v>94.980003356933594</v>
      </c>
      <c r="E143">
        <f t="shared" si="8"/>
        <v>-7.7132242094721214E-3</v>
      </c>
      <c r="F143">
        <f t="shared" si="9"/>
        <v>-1.7786904297724074E-2</v>
      </c>
      <c r="G143">
        <f t="shared" si="10"/>
        <v>-0.20083045959473012</v>
      </c>
      <c r="H143">
        <f t="shared" si="11"/>
        <v>-1.7199935913085938</v>
      </c>
    </row>
    <row r="144" spans="1:8" x14ac:dyDescent="0.2">
      <c r="A144" t="s">
        <v>4</v>
      </c>
      <c r="B144" s="2">
        <v>44769</v>
      </c>
      <c r="C144">
        <v>26.529390335083011</v>
      </c>
      <c r="D144">
        <f>_xlfn.XLOOKUP(B144, Oil_Price!A:A, Oil_Price!B:B, "")</f>
        <v>97.260002136230469</v>
      </c>
      <c r="E144">
        <f t="shared" si="8"/>
        <v>2.6825013853127314E-2</v>
      </c>
      <c r="F144">
        <f t="shared" si="9"/>
        <v>2.4005039994878394E-2</v>
      </c>
      <c r="G144">
        <f t="shared" si="10"/>
        <v>0.69305992126465199</v>
      </c>
      <c r="H144">
        <f t="shared" si="11"/>
        <v>2.279998779296875</v>
      </c>
    </row>
    <row r="145" spans="1:8" x14ac:dyDescent="0.2">
      <c r="A145" t="s">
        <v>4</v>
      </c>
      <c r="B145" s="2">
        <v>44770</v>
      </c>
      <c r="C145">
        <v>26.907428741455082</v>
      </c>
      <c r="D145">
        <f>_xlfn.XLOOKUP(B145, Oil_Price!A:A, Oil_Price!B:B, "")</f>
        <v>96.419998168945312</v>
      </c>
      <c r="E145">
        <f t="shared" si="8"/>
        <v>1.424979622966098E-2</v>
      </c>
      <c r="F145">
        <f t="shared" si="9"/>
        <v>-8.6366846476990267E-3</v>
      </c>
      <c r="G145">
        <f t="shared" si="10"/>
        <v>0.37803840637207031</v>
      </c>
      <c r="H145">
        <f t="shared" si="11"/>
        <v>-0.84000396728515625</v>
      </c>
    </row>
    <row r="146" spans="1:8" x14ac:dyDescent="0.2">
      <c r="A146" t="s">
        <v>4</v>
      </c>
      <c r="B146" s="2">
        <v>44771</v>
      </c>
      <c r="C146">
        <v>27.84464263916016</v>
      </c>
      <c r="D146">
        <f>_xlfn.XLOOKUP(B146, Oil_Price!A:A, Oil_Price!B:B, "")</f>
        <v>98.620002746582031</v>
      </c>
      <c r="E146">
        <f t="shared" si="8"/>
        <v>3.4831046351937532E-2</v>
      </c>
      <c r="F146">
        <f t="shared" si="9"/>
        <v>2.2816890887945383E-2</v>
      </c>
      <c r="G146">
        <f t="shared" si="10"/>
        <v>0.93721389770507812</v>
      </c>
      <c r="H146">
        <f t="shared" si="11"/>
        <v>2.2000045776367188</v>
      </c>
    </row>
    <row r="147" spans="1:8" x14ac:dyDescent="0.2">
      <c r="A147" t="s">
        <v>4</v>
      </c>
      <c r="B147" s="2">
        <v>44775</v>
      </c>
      <c r="C147">
        <v>27.399662017822269</v>
      </c>
      <c r="D147">
        <f>_xlfn.XLOOKUP(B147, Oil_Price!A:A, Oil_Price!B:B, "")</f>
        <v>94.419998168945312</v>
      </c>
      <c r="E147">
        <f t="shared" si="8"/>
        <v>-1.5980834342333366E-2</v>
      </c>
      <c r="F147">
        <f t="shared" si="9"/>
        <v>-4.2587755634414463E-2</v>
      </c>
      <c r="G147">
        <f t="shared" si="10"/>
        <v>-0.44498062133789062</v>
      </c>
      <c r="H147">
        <f t="shared" si="11"/>
        <v>-4.2000045776367188</v>
      </c>
    </row>
    <row r="148" spans="1:8" x14ac:dyDescent="0.2">
      <c r="A148" t="s">
        <v>4</v>
      </c>
      <c r="B148" s="2">
        <v>44776</v>
      </c>
      <c r="C148">
        <v>26.34431266784668</v>
      </c>
      <c r="D148">
        <f>_xlfn.XLOOKUP(B148, Oil_Price!A:A, Oil_Price!B:B, "")</f>
        <v>90.660003662109375</v>
      </c>
      <c r="E148">
        <f t="shared" si="8"/>
        <v>-3.8516874744262589E-2</v>
      </c>
      <c r="F148">
        <f t="shared" si="9"/>
        <v>-3.9822014189284299E-2</v>
      </c>
      <c r="G148">
        <f t="shared" si="10"/>
        <v>-1.0553493499755895</v>
      </c>
      <c r="H148">
        <f t="shared" si="11"/>
        <v>-3.7599945068359375</v>
      </c>
    </row>
    <row r="149" spans="1:8" x14ac:dyDescent="0.2">
      <c r="A149" t="s">
        <v>4</v>
      </c>
      <c r="B149" s="2">
        <v>44777</v>
      </c>
      <c r="C149">
        <v>25.757572174072269</v>
      </c>
      <c r="D149">
        <f>_xlfn.XLOOKUP(B149, Oil_Price!A:A, Oil_Price!B:B, "")</f>
        <v>88.540000915527344</v>
      </c>
      <c r="E149">
        <f t="shared" si="8"/>
        <v>-2.2271998558934854E-2</v>
      </c>
      <c r="F149">
        <f t="shared" si="9"/>
        <v>-2.3384101709098756E-2</v>
      </c>
      <c r="G149">
        <f t="shared" si="10"/>
        <v>-0.58674049377441051</v>
      </c>
      <c r="H149">
        <f t="shared" si="11"/>
        <v>-2.1200027465820312</v>
      </c>
    </row>
    <row r="150" spans="1:8" x14ac:dyDescent="0.2">
      <c r="A150" t="s">
        <v>4</v>
      </c>
      <c r="B150" s="2">
        <v>44778</v>
      </c>
      <c r="C150">
        <v>26.478202819824219</v>
      </c>
      <c r="D150">
        <f>_xlfn.XLOOKUP(B150, Oil_Price!A:A, Oil_Price!B:B, "")</f>
        <v>89.010002136230469</v>
      </c>
      <c r="E150">
        <f t="shared" si="8"/>
        <v>2.7977428962708713E-2</v>
      </c>
      <c r="F150">
        <f t="shared" si="9"/>
        <v>5.3083489478561825E-3</v>
      </c>
      <c r="G150">
        <f t="shared" si="10"/>
        <v>0.72063064575194957</v>
      </c>
      <c r="H150">
        <f t="shared" si="11"/>
        <v>0.470001220703125</v>
      </c>
    </row>
    <row r="151" spans="1:8" x14ac:dyDescent="0.2">
      <c r="A151" t="s">
        <v>4</v>
      </c>
      <c r="B151" s="2">
        <v>44781</v>
      </c>
      <c r="C151">
        <v>26.55695724487305</v>
      </c>
      <c r="D151">
        <f>_xlfn.XLOOKUP(B151, Oil_Price!A:A, Oil_Price!B:B, "")</f>
        <v>90.760002136230469</v>
      </c>
      <c r="E151">
        <f t="shared" si="8"/>
        <v>2.9743115718514051E-3</v>
      </c>
      <c r="F151">
        <f t="shared" si="9"/>
        <v>1.9660711807664176E-2</v>
      </c>
      <c r="G151">
        <f t="shared" si="10"/>
        <v>7.8754425048831678E-2</v>
      </c>
      <c r="H151">
        <f t="shared" si="11"/>
        <v>1.75</v>
      </c>
    </row>
    <row r="152" spans="1:8" x14ac:dyDescent="0.2">
      <c r="A152" t="s">
        <v>4</v>
      </c>
      <c r="B152" s="2">
        <v>44782</v>
      </c>
      <c r="C152">
        <v>26.722345352172852</v>
      </c>
      <c r="D152">
        <f>_xlfn.XLOOKUP(B152, Oil_Price!A:A, Oil_Price!B:B, "")</f>
        <v>90.5</v>
      </c>
      <c r="E152">
        <f t="shared" si="8"/>
        <v>6.2276753234495686E-3</v>
      </c>
      <c r="F152">
        <f t="shared" si="9"/>
        <v>-2.8647215746007409E-3</v>
      </c>
      <c r="G152">
        <f t="shared" si="10"/>
        <v>0.16538810729980113</v>
      </c>
      <c r="H152">
        <f t="shared" si="11"/>
        <v>-0.26000213623046875</v>
      </c>
    </row>
    <row r="153" spans="1:8" x14ac:dyDescent="0.2">
      <c r="A153" t="s">
        <v>4</v>
      </c>
      <c r="B153" s="2">
        <v>44783</v>
      </c>
      <c r="C153">
        <v>27.108257293701168</v>
      </c>
      <c r="D153">
        <f>_xlfn.XLOOKUP(B153, Oil_Price!A:A, Oil_Price!B:B, "")</f>
        <v>91.930000305175781</v>
      </c>
      <c r="E153">
        <f t="shared" si="8"/>
        <v>1.4441544574115664E-2</v>
      </c>
      <c r="F153">
        <f t="shared" si="9"/>
        <v>1.5801108344483769E-2</v>
      </c>
      <c r="G153">
        <f t="shared" si="10"/>
        <v>0.38591194152831676</v>
      </c>
      <c r="H153">
        <f t="shared" si="11"/>
        <v>1.4300003051757812</v>
      </c>
    </row>
    <row r="154" spans="1:8" x14ac:dyDescent="0.2">
      <c r="A154" t="s">
        <v>4</v>
      </c>
      <c r="B154" s="2">
        <v>44784</v>
      </c>
      <c r="C154">
        <v>28.080913543701168</v>
      </c>
      <c r="D154">
        <f>_xlfn.XLOOKUP(B154, Oil_Price!A:A, Oil_Price!B:B, "")</f>
        <v>94.339996337890625</v>
      </c>
      <c r="E154">
        <f t="shared" si="8"/>
        <v>3.5880441869127637E-2</v>
      </c>
      <c r="F154">
        <f t="shared" si="9"/>
        <v>2.6215555582666063E-2</v>
      </c>
      <c r="G154">
        <f t="shared" si="10"/>
        <v>0.97265625</v>
      </c>
      <c r="H154">
        <f t="shared" si="11"/>
        <v>2.4099960327148438</v>
      </c>
    </row>
    <row r="155" spans="1:8" x14ac:dyDescent="0.2">
      <c r="A155" t="s">
        <v>4</v>
      </c>
      <c r="B155" s="2">
        <v>44785</v>
      </c>
      <c r="C155">
        <v>28.2974967956543</v>
      </c>
      <c r="D155">
        <f>_xlfn.XLOOKUP(B155, Oil_Price!A:A, Oil_Price!B:B, "")</f>
        <v>92.089996337890625</v>
      </c>
      <c r="E155">
        <f t="shared" si="8"/>
        <v>7.7128278471450904E-3</v>
      </c>
      <c r="F155">
        <f t="shared" si="9"/>
        <v>-2.3849905526192098E-2</v>
      </c>
      <c r="G155">
        <f t="shared" si="10"/>
        <v>0.21658325195313211</v>
      </c>
      <c r="H155">
        <f t="shared" si="11"/>
        <v>-2.25</v>
      </c>
    </row>
    <row r="156" spans="1:8" x14ac:dyDescent="0.2">
      <c r="A156" t="s">
        <v>4</v>
      </c>
      <c r="B156" s="2">
        <v>44788</v>
      </c>
      <c r="C156">
        <v>27.81707763671875</v>
      </c>
      <c r="D156">
        <f>_xlfn.XLOOKUP(B156, Oil_Price!A:A, Oil_Price!B:B, "")</f>
        <v>89.410003662109375</v>
      </c>
      <c r="E156">
        <f t="shared" si="8"/>
        <v>-1.6977443708354065E-2</v>
      </c>
      <c r="F156">
        <f t="shared" si="9"/>
        <v>-2.9101887092578386E-2</v>
      </c>
      <c r="G156">
        <f t="shared" si="10"/>
        <v>-0.48041915893555043</v>
      </c>
      <c r="H156">
        <f t="shared" si="11"/>
        <v>-2.67999267578125</v>
      </c>
    </row>
    <row r="157" spans="1:8" x14ac:dyDescent="0.2">
      <c r="A157" t="s">
        <v>4</v>
      </c>
      <c r="B157" s="2">
        <v>44789</v>
      </c>
      <c r="C157">
        <v>27.47054481506348</v>
      </c>
      <c r="D157">
        <f>_xlfn.XLOOKUP(B157, Oil_Price!A:A, Oil_Price!B:B, "")</f>
        <v>86.529998779296875</v>
      </c>
      <c r="E157">
        <f t="shared" si="8"/>
        <v>-1.2457556691643409E-2</v>
      </c>
      <c r="F157">
        <f t="shared" si="9"/>
        <v>-3.2211215354563318E-2</v>
      </c>
      <c r="G157">
        <f t="shared" si="10"/>
        <v>-0.34653282165526988</v>
      </c>
      <c r="H157">
        <f t="shared" si="11"/>
        <v>-2.8800048828125</v>
      </c>
    </row>
    <row r="158" spans="1:8" x14ac:dyDescent="0.2">
      <c r="A158" t="s">
        <v>4</v>
      </c>
      <c r="B158" s="2">
        <v>44790</v>
      </c>
      <c r="C158">
        <v>27.72257041931152</v>
      </c>
      <c r="D158">
        <f>_xlfn.XLOOKUP(B158, Oil_Price!A:A, Oil_Price!B:B, "")</f>
        <v>88.110000610351562</v>
      </c>
      <c r="E158">
        <f t="shared" si="8"/>
        <v>9.1743940990147918E-3</v>
      </c>
      <c r="F158">
        <f t="shared" si="9"/>
        <v>1.8259584575802838E-2</v>
      </c>
      <c r="G158">
        <f t="shared" si="10"/>
        <v>0.25202560424803977</v>
      </c>
      <c r="H158">
        <f t="shared" si="11"/>
        <v>1.5800018310546875</v>
      </c>
    </row>
    <row r="159" spans="1:8" x14ac:dyDescent="0.2">
      <c r="A159" t="s">
        <v>4</v>
      </c>
      <c r="B159" s="2">
        <v>44791</v>
      </c>
      <c r="C159">
        <v>28.518011093139648</v>
      </c>
      <c r="D159">
        <f>_xlfn.XLOOKUP(B159, Oil_Price!A:A, Oil_Price!B:B, "")</f>
        <v>90.5</v>
      </c>
      <c r="E159">
        <f t="shared" si="8"/>
        <v>2.8692890370440729E-2</v>
      </c>
      <c r="F159">
        <f t="shared" si="9"/>
        <v>2.712517731350066E-2</v>
      </c>
      <c r="G159">
        <f t="shared" si="10"/>
        <v>0.79544067382812855</v>
      </c>
      <c r="H159">
        <f t="shared" si="11"/>
        <v>2.3899993896484375</v>
      </c>
    </row>
    <row r="160" spans="1:8" x14ac:dyDescent="0.2">
      <c r="A160" t="s">
        <v>4</v>
      </c>
      <c r="B160" s="2">
        <v>44792</v>
      </c>
      <c r="C160">
        <v>28.506204605102539</v>
      </c>
      <c r="D160">
        <f>_xlfn.XLOOKUP(B160, Oil_Price!A:A, Oil_Price!B:B, "")</f>
        <v>90.769996643066406</v>
      </c>
      <c r="E160">
        <f t="shared" si="8"/>
        <v>-4.1400110262070723E-4</v>
      </c>
      <c r="F160">
        <f t="shared" si="9"/>
        <v>2.9833883211757596E-3</v>
      </c>
      <c r="G160">
        <f t="shared" si="10"/>
        <v>-1.1806488037109375E-2</v>
      </c>
      <c r="H160">
        <f t="shared" si="11"/>
        <v>0.26999664306640625</v>
      </c>
    </row>
    <row r="161" spans="1:8" x14ac:dyDescent="0.2">
      <c r="A161" t="s">
        <v>4</v>
      </c>
      <c r="B161" s="2">
        <v>44795</v>
      </c>
      <c r="C161">
        <v>29.29850006103516</v>
      </c>
      <c r="D161">
        <f>_xlfn.XLOOKUP(B161, Oil_Price!A:A, Oil_Price!B:B, "")</f>
        <v>90.230003356933594</v>
      </c>
      <c r="E161">
        <f t="shared" si="8"/>
        <v>2.779378969976248E-2</v>
      </c>
      <c r="F161">
        <f t="shared" si="9"/>
        <v>-5.9490283805586179E-3</v>
      </c>
      <c r="G161">
        <f t="shared" si="10"/>
        <v>0.79229545593262074</v>
      </c>
      <c r="H161">
        <f t="shared" si="11"/>
        <v>-0.5399932861328125</v>
      </c>
    </row>
    <row r="162" spans="1:8" x14ac:dyDescent="0.2">
      <c r="A162" t="s">
        <v>4</v>
      </c>
      <c r="B162" s="2">
        <v>44796</v>
      </c>
      <c r="C162">
        <v>29.848892211914059</v>
      </c>
      <c r="D162">
        <f>_xlfn.XLOOKUP(B162, Oil_Price!A:A, Oil_Price!B:B, "")</f>
        <v>93.739997863769531</v>
      </c>
      <c r="E162">
        <f t="shared" si="8"/>
        <v>1.8785676731993526E-2</v>
      </c>
      <c r="F162">
        <f t="shared" si="9"/>
        <v>3.8900525060949334E-2</v>
      </c>
      <c r="G162">
        <f t="shared" si="10"/>
        <v>0.55039215087889914</v>
      </c>
      <c r="H162">
        <f t="shared" si="11"/>
        <v>3.5099945068359375</v>
      </c>
    </row>
    <row r="163" spans="1:8" x14ac:dyDescent="0.2">
      <c r="A163" t="s">
        <v>4</v>
      </c>
      <c r="B163" s="2">
        <v>44797</v>
      </c>
      <c r="C163">
        <v>30.132314682006839</v>
      </c>
      <c r="D163">
        <f>_xlfn.XLOOKUP(B163, Oil_Price!A:A, Oil_Price!B:B, "")</f>
        <v>94.889999389648438</v>
      </c>
      <c r="E163">
        <f t="shared" si="8"/>
        <v>9.4952425061742719E-3</v>
      </c>
      <c r="F163">
        <f t="shared" si="9"/>
        <v>1.2267991808045275E-2</v>
      </c>
      <c r="G163">
        <f t="shared" si="10"/>
        <v>0.28342247009278054</v>
      </c>
      <c r="H163">
        <f t="shared" si="11"/>
        <v>1.1500015258789062</v>
      </c>
    </row>
    <row r="164" spans="1:8" x14ac:dyDescent="0.2">
      <c r="A164" t="s">
        <v>4</v>
      </c>
      <c r="B164" s="2">
        <v>44798</v>
      </c>
      <c r="C164">
        <v>30.64985275268555</v>
      </c>
      <c r="D164">
        <f>_xlfn.XLOOKUP(B164, Oil_Price!A:A, Oil_Price!B:B, "")</f>
        <v>92.519996643066406</v>
      </c>
      <c r="E164">
        <f t="shared" si="8"/>
        <v>1.7175516588765507E-2</v>
      </c>
      <c r="F164">
        <f t="shared" si="9"/>
        <v>-2.4976317439417913E-2</v>
      </c>
      <c r="G164">
        <f t="shared" si="10"/>
        <v>0.51753807067871094</v>
      </c>
      <c r="H164">
        <f t="shared" si="11"/>
        <v>-2.3700027465820312</v>
      </c>
    </row>
    <row r="165" spans="1:8" x14ac:dyDescent="0.2">
      <c r="A165" t="s">
        <v>4</v>
      </c>
      <c r="B165" s="2">
        <v>44799</v>
      </c>
      <c r="C165">
        <v>30.460908889770511</v>
      </c>
      <c r="D165">
        <f>_xlfn.XLOOKUP(B165, Oil_Price!A:A, Oil_Price!B:B, "")</f>
        <v>93.05999755859375</v>
      </c>
      <c r="E165">
        <f t="shared" si="8"/>
        <v>-6.1645928428965694E-3</v>
      </c>
      <c r="F165">
        <f t="shared" si="9"/>
        <v>5.8365859827104981E-3</v>
      </c>
      <c r="G165">
        <f t="shared" si="10"/>
        <v>-0.18894386291503906</v>
      </c>
      <c r="H165">
        <f t="shared" si="11"/>
        <v>0.54000091552734375</v>
      </c>
    </row>
    <row r="166" spans="1:8" x14ac:dyDescent="0.2">
      <c r="A166" t="s">
        <v>4</v>
      </c>
      <c r="B166" s="2">
        <v>44802</v>
      </c>
      <c r="C166">
        <v>30.97023773193359</v>
      </c>
      <c r="D166">
        <f>_xlfn.XLOOKUP(B166, Oil_Price!A:A, Oil_Price!B:B, "")</f>
        <v>97.010002136230469</v>
      </c>
      <c r="E166">
        <f t="shared" si="8"/>
        <v>1.6720736863308876E-2</v>
      </c>
      <c r="F166">
        <f t="shared" si="9"/>
        <v>4.2445784238814975E-2</v>
      </c>
      <c r="G166">
        <f t="shared" si="10"/>
        <v>0.50932884216307883</v>
      </c>
      <c r="H166">
        <f t="shared" si="11"/>
        <v>3.9500045776367188</v>
      </c>
    </row>
    <row r="167" spans="1:8" x14ac:dyDescent="0.2">
      <c r="A167" t="s">
        <v>4</v>
      </c>
      <c r="B167" s="2">
        <v>44803</v>
      </c>
      <c r="C167">
        <v>29.873554229736332</v>
      </c>
      <c r="D167">
        <f>_xlfn.XLOOKUP(B167, Oil_Price!A:A, Oil_Price!B:B, "")</f>
        <v>91.639999389648438</v>
      </c>
      <c r="E167">
        <f t="shared" si="8"/>
        <v>-3.5410884207274326E-2</v>
      </c>
      <c r="F167">
        <f t="shared" si="9"/>
        <v>-5.5355145122468648E-2</v>
      </c>
      <c r="G167">
        <f t="shared" si="10"/>
        <v>-1.0966835021972585</v>
      </c>
      <c r="H167">
        <f t="shared" si="11"/>
        <v>-5.3700027465820312</v>
      </c>
    </row>
    <row r="168" spans="1:8" x14ac:dyDescent="0.2">
      <c r="A168" t="s">
        <v>4</v>
      </c>
      <c r="B168" s="2">
        <v>44804</v>
      </c>
      <c r="C168">
        <v>29.573696136474609</v>
      </c>
      <c r="D168">
        <f>_xlfn.XLOOKUP(B168, Oil_Price!A:A, Oil_Price!B:B, "")</f>
        <v>89.550003051757812</v>
      </c>
      <c r="E168">
        <f t="shared" si="8"/>
        <v>-1.0037576746165731E-2</v>
      </c>
      <c r="F168">
        <f t="shared" si="9"/>
        <v>-2.2806594847344673E-2</v>
      </c>
      <c r="G168">
        <f t="shared" si="10"/>
        <v>-0.2998580932617223</v>
      </c>
      <c r="H168">
        <f t="shared" si="11"/>
        <v>-2.089996337890625</v>
      </c>
    </row>
    <row r="169" spans="1:8" x14ac:dyDescent="0.2">
      <c r="A169" t="s">
        <v>4</v>
      </c>
      <c r="B169" s="2">
        <v>44805</v>
      </c>
      <c r="C169">
        <v>29.130086898803711</v>
      </c>
      <c r="D169">
        <f>_xlfn.XLOOKUP(B169, Oil_Price!A:A, Oil_Price!B:B, "")</f>
        <v>86.610000610351562</v>
      </c>
      <c r="E169">
        <f t="shared" si="8"/>
        <v>-1.5000128344585735E-2</v>
      </c>
      <c r="F169">
        <f t="shared" si="9"/>
        <v>-3.2830846914734299E-2</v>
      </c>
      <c r="G169">
        <f t="shared" si="10"/>
        <v>-0.44360923767089844</v>
      </c>
      <c r="H169">
        <f t="shared" si="11"/>
        <v>-2.94000244140625</v>
      </c>
    </row>
    <row r="170" spans="1:8" x14ac:dyDescent="0.2">
      <c r="A170" t="s">
        <v>4</v>
      </c>
      <c r="B170" s="2">
        <v>44806</v>
      </c>
      <c r="C170">
        <v>29.684597015380859</v>
      </c>
      <c r="D170">
        <f>_xlfn.XLOOKUP(B170, Oil_Price!A:A, Oil_Price!B:B, "")</f>
        <v>86.870002746582031</v>
      </c>
      <c r="E170">
        <f t="shared" si="8"/>
        <v>1.9035649241400669E-2</v>
      </c>
      <c r="F170">
        <f t="shared" si="9"/>
        <v>3.0019874656298465E-3</v>
      </c>
      <c r="G170">
        <f t="shared" si="10"/>
        <v>0.55451011657714844</v>
      </c>
      <c r="H170">
        <f t="shared" si="11"/>
        <v>0.26000213623046875</v>
      </c>
    </row>
    <row r="171" spans="1:8" x14ac:dyDescent="0.2">
      <c r="A171" t="s">
        <v>4</v>
      </c>
      <c r="B171" s="2">
        <v>44810</v>
      </c>
      <c r="C171">
        <v>29.047946929931641</v>
      </c>
      <c r="D171">
        <f>_xlfn.XLOOKUP(B171, Oil_Price!A:A, Oil_Price!B:B, "")</f>
        <v>86.879997253417969</v>
      </c>
      <c r="E171">
        <f t="shared" si="8"/>
        <v>-2.1447152714228968E-2</v>
      </c>
      <c r="F171">
        <f t="shared" si="9"/>
        <v>1.1505130102382484E-4</v>
      </c>
      <c r="G171">
        <f t="shared" si="10"/>
        <v>-0.63665008544921875</v>
      </c>
      <c r="H171">
        <f t="shared" si="11"/>
        <v>9.9945068359375E-3</v>
      </c>
    </row>
    <row r="172" spans="1:8" x14ac:dyDescent="0.2">
      <c r="A172" t="s">
        <v>4</v>
      </c>
      <c r="B172" s="2">
        <v>44811</v>
      </c>
      <c r="C172">
        <v>28.292165756225589</v>
      </c>
      <c r="D172">
        <f>_xlfn.XLOOKUP(B172, Oil_Price!A:A, Oil_Price!B:B, "")</f>
        <v>81.94000244140625</v>
      </c>
      <c r="E172">
        <f t="shared" si="8"/>
        <v>-2.6018402454711098E-2</v>
      </c>
      <c r="F172">
        <f t="shared" si="9"/>
        <v>-5.68599789155423E-2</v>
      </c>
      <c r="G172">
        <f t="shared" si="10"/>
        <v>-0.75578117370605113</v>
      </c>
      <c r="H172">
        <f t="shared" si="11"/>
        <v>-4.9399948120117188</v>
      </c>
    </row>
    <row r="173" spans="1:8" x14ac:dyDescent="0.2">
      <c r="A173" t="s">
        <v>4</v>
      </c>
      <c r="B173" s="2">
        <v>44812</v>
      </c>
      <c r="C173">
        <v>28.579696655273441</v>
      </c>
      <c r="D173">
        <f>_xlfn.XLOOKUP(B173, Oil_Price!A:A, Oil_Price!B:B, "")</f>
        <v>83.540000915527344</v>
      </c>
      <c r="E173">
        <f t="shared" si="8"/>
        <v>1.0162915823599733E-2</v>
      </c>
      <c r="F173">
        <f t="shared" si="9"/>
        <v>1.9526463588589987E-2</v>
      </c>
      <c r="G173">
        <f t="shared" si="10"/>
        <v>0.28753089904785156</v>
      </c>
      <c r="H173">
        <f t="shared" si="11"/>
        <v>1.5999984741210938</v>
      </c>
    </row>
    <row r="174" spans="1:8" x14ac:dyDescent="0.2">
      <c r="A174" t="s">
        <v>4</v>
      </c>
      <c r="B174" s="2">
        <v>44813</v>
      </c>
      <c r="C174">
        <v>29.532621383666989</v>
      </c>
      <c r="D174">
        <f>_xlfn.XLOOKUP(B174, Oil_Price!A:A, Oil_Price!B:B, "")</f>
        <v>86.790000915527344</v>
      </c>
      <c r="E174">
        <f t="shared" si="8"/>
        <v>3.3342716680574591E-2</v>
      </c>
      <c r="F174">
        <f t="shared" si="9"/>
        <v>3.8903518845855453E-2</v>
      </c>
      <c r="G174">
        <f t="shared" si="10"/>
        <v>0.95292472839354758</v>
      </c>
      <c r="H174">
        <f t="shared" si="11"/>
        <v>3.25</v>
      </c>
    </row>
    <row r="175" spans="1:8" x14ac:dyDescent="0.2">
      <c r="A175" t="s">
        <v>4</v>
      </c>
      <c r="B175" s="2">
        <v>44816</v>
      </c>
      <c r="C175">
        <v>30.009084701538089</v>
      </c>
      <c r="D175">
        <f>_xlfn.XLOOKUP(B175, Oil_Price!A:A, Oil_Price!B:B, "")</f>
        <v>87.779998779296875</v>
      </c>
      <c r="E175">
        <f t="shared" si="8"/>
        <v>1.6133458377474368E-2</v>
      </c>
      <c r="F175">
        <f t="shared" si="9"/>
        <v>1.1406819372350227E-2</v>
      </c>
      <c r="G175">
        <f t="shared" si="10"/>
        <v>0.47646331787110086</v>
      </c>
      <c r="H175">
        <f t="shared" si="11"/>
        <v>0.98999786376953125</v>
      </c>
    </row>
    <row r="176" spans="1:8" x14ac:dyDescent="0.2">
      <c r="A176" t="s">
        <v>4</v>
      </c>
      <c r="B176" s="2">
        <v>44817</v>
      </c>
      <c r="C176">
        <v>29.639421463012699</v>
      </c>
      <c r="D176">
        <f>_xlfn.XLOOKUP(B176, Oil_Price!A:A, Oil_Price!B:B, "")</f>
        <v>87.30999755859375</v>
      </c>
      <c r="E176">
        <f t="shared" si="8"/>
        <v>-1.2318377658031131E-2</v>
      </c>
      <c r="F176">
        <f t="shared" si="9"/>
        <v>-5.3543088088305593E-3</v>
      </c>
      <c r="G176">
        <f t="shared" si="10"/>
        <v>-0.36966323852539062</v>
      </c>
      <c r="H176">
        <f t="shared" si="11"/>
        <v>-0.470001220703125</v>
      </c>
    </row>
    <row r="177" spans="1:8" x14ac:dyDescent="0.2">
      <c r="A177" t="s">
        <v>4</v>
      </c>
      <c r="B177" s="2">
        <v>44818</v>
      </c>
      <c r="C177">
        <v>30.341802597045898</v>
      </c>
      <c r="D177">
        <f>_xlfn.XLOOKUP(B177, Oil_Price!A:A, Oil_Price!B:B, "")</f>
        <v>88.480003356933594</v>
      </c>
      <c r="E177">
        <f t="shared" si="8"/>
        <v>2.3697531846554674E-2</v>
      </c>
      <c r="F177">
        <f t="shared" si="9"/>
        <v>1.3400593643982784E-2</v>
      </c>
      <c r="G177">
        <f t="shared" si="10"/>
        <v>0.70238113403319957</v>
      </c>
      <c r="H177">
        <f t="shared" si="11"/>
        <v>1.1700057983398438</v>
      </c>
    </row>
    <row r="178" spans="1:8" x14ac:dyDescent="0.2">
      <c r="A178" t="s">
        <v>4</v>
      </c>
      <c r="B178" s="2">
        <v>44819</v>
      </c>
      <c r="C178">
        <v>29.698606491088871</v>
      </c>
      <c r="D178">
        <f>_xlfn.XLOOKUP(B178, Oil_Price!A:A, Oil_Price!B:B, "")</f>
        <v>85.099998474121094</v>
      </c>
      <c r="E178">
        <f t="shared" si="8"/>
        <v>-2.1198348512742937E-2</v>
      </c>
      <c r="F178">
        <f t="shared" si="9"/>
        <v>-3.8200777063460985E-2</v>
      </c>
      <c r="G178">
        <f t="shared" si="10"/>
        <v>-0.6431961059570277</v>
      </c>
      <c r="H178">
        <f t="shared" si="11"/>
        <v>-3.3800048828125</v>
      </c>
    </row>
    <row r="179" spans="1:8" x14ac:dyDescent="0.2">
      <c r="A179" t="s">
        <v>4</v>
      </c>
      <c r="B179" s="2">
        <v>44820</v>
      </c>
      <c r="C179">
        <v>29.673711776733398</v>
      </c>
      <c r="D179">
        <f>_xlfn.XLOOKUP(B179, Oil_Price!A:A, Oil_Price!B:B, "")</f>
        <v>85.110000610351562</v>
      </c>
      <c r="E179">
        <f t="shared" si="8"/>
        <v>-8.3824520059357045E-4</v>
      </c>
      <c r="F179">
        <f t="shared" si="9"/>
        <v>1.1753391785912193E-4</v>
      </c>
      <c r="G179">
        <f t="shared" si="10"/>
        <v>-2.4894714355472303E-2</v>
      </c>
      <c r="H179">
        <f t="shared" si="11"/>
        <v>1.000213623046875E-2</v>
      </c>
    </row>
    <row r="180" spans="1:8" x14ac:dyDescent="0.2">
      <c r="A180" t="s">
        <v>4</v>
      </c>
      <c r="B180" s="2">
        <v>44823</v>
      </c>
      <c r="C180">
        <v>29.665412902832031</v>
      </c>
      <c r="D180">
        <f>_xlfn.XLOOKUP(B180, Oil_Price!A:A, Oil_Price!B:B, "")</f>
        <v>85.730003356933594</v>
      </c>
      <c r="E180">
        <f t="shared" si="8"/>
        <v>-2.7967090749577811E-4</v>
      </c>
      <c r="F180">
        <f t="shared" si="9"/>
        <v>7.2847226193842015E-3</v>
      </c>
      <c r="G180">
        <f t="shared" si="10"/>
        <v>-8.2988739013671875E-3</v>
      </c>
      <c r="H180">
        <f t="shared" si="11"/>
        <v>0.62000274658203125</v>
      </c>
    </row>
    <row r="181" spans="1:8" x14ac:dyDescent="0.2">
      <c r="A181" t="s">
        <v>4</v>
      </c>
      <c r="B181" s="2">
        <v>44824</v>
      </c>
      <c r="C181">
        <v>29.545074462890621</v>
      </c>
      <c r="D181">
        <f>_xlfn.XLOOKUP(B181, Oil_Price!A:A, Oil_Price!B:B, "")</f>
        <v>84.449996948242188</v>
      </c>
      <c r="E181">
        <f t="shared" si="8"/>
        <v>-4.0565233437192981E-3</v>
      </c>
      <c r="F181">
        <f t="shared" si="9"/>
        <v>-1.4930670227109972E-2</v>
      </c>
      <c r="G181">
        <f t="shared" si="10"/>
        <v>-0.1203384399414098</v>
      </c>
      <c r="H181">
        <f t="shared" si="11"/>
        <v>-1.2800064086914062</v>
      </c>
    </row>
    <row r="182" spans="1:8" x14ac:dyDescent="0.2">
      <c r="A182" t="s">
        <v>4</v>
      </c>
      <c r="B182" s="2">
        <v>44825</v>
      </c>
      <c r="C182">
        <v>28.843795776367191</v>
      </c>
      <c r="D182">
        <f>_xlfn.XLOOKUP(B182, Oil_Price!A:A, Oil_Price!B:B, "")</f>
        <v>82.94000244140625</v>
      </c>
      <c r="E182">
        <f t="shared" si="8"/>
        <v>-2.3735891659513488E-2</v>
      </c>
      <c r="F182">
        <f t="shared" si="9"/>
        <v>-1.7880338204883356E-2</v>
      </c>
      <c r="G182">
        <f t="shared" si="10"/>
        <v>-0.70127868652343039</v>
      </c>
      <c r="H182">
        <f t="shared" si="11"/>
        <v>-1.5099945068359375</v>
      </c>
    </row>
    <row r="183" spans="1:8" x14ac:dyDescent="0.2">
      <c r="A183" t="s">
        <v>4</v>
      </c>
      <c r="B183" s="2">
        <v>44826</v>
      </c>
      <c r="C183">
        <v>28.4412841796875</v>
      </c>
      <c r="D183">
        <f>_xlfn.XLOOKUP(B183, Oil_Price!A:A, Oil_Price!B:B, "")</f>
        <v>83.489997863769531</v>
      </c>
      <c r="E183">
        <f t="shared" si="8"/>
        <v>-1.3954876112716204E-2</v>
      </c>
      <c r="F183">
        <f t="shared" si="9"/>
        <v>6.6312443474043871E-3</v>
      </c>
      <c r="G183">
        <f t="shared" si="10"/>
        <v>-0.40251159667969105</v>
      </c>
      <c r="H183">
        <f t="shared" si="11"/>
        <v>0.54999542236328125</v>
      </c>
    </row>
    <row r="184" spans="1:8" x14ac:dyDescent="0.2">
      <c r="A184" t="s">
        <v>4</v>
      </c>
      <c r="B184" s="2">
        <v>44827</v>
      </c>
      <c r="C184">
        <v>26.441183090209961</v>
      </c>
      <c r="D184">
        <f>_xlfn.XLOOKUP(B184, Oil_Price!A:A, Oil_Price!B:B, "")</f>
        <v>78.739997863769531</v>
      </c>
      <c r="E184">
        <f t="shared" si="8"/>
        <v>-7.0323867123622805E-2</v>
      </c>
      <c r="F184">
        <f t="shared" si="9"/>
        <v>-5.6893042538467491E-2</v>
      </c>
      <c r="G184">
        <f t="shared" si="10"/>
        <v>-2.0001010894775391</v>
      </c>
      <c r="H184">
        <f t="shared" si="11"/>
        <v>-4.75</v>
      </c>
    </row>
    <row r="185" spans="1:8" x14ac:dyDescent="0.2">
      <c r="A185" t="s">
        <v>4</v>
      </c>
      <c r="B185" s="2">
        <v>44830</v>
      </c>
      <c r="C185">
        <v>25.53657150268555</v>
      </c>
      <c r="D185">
        <f>_xlfn.XLOOKUP(B185, Oil_Price!A:A, Oil_Price!B:B, "")</f>
        <v>76.709999084472656</v>
      </c>
      <c r="E185">
        <f t="shared" si="8"/>
        <v>-3.4212220551483173E-2</v>
      </c>
      <c r="F185">
        <f t="shared" si="9"/>
        <v>-2.5781036758586631E-2</v>
      </c>
      <c r="G185">
        <f t="shared" si="10"/>
        <v>-0.90461158752441051</v>
      </c>
      <c r="H185">
        <f t="shared" si="11"/>
        <v>-2.029998779296875</v>
      </c>
    </row>
    <row r="186" spans="1:8" x14ac:dyDescent="0.2">
      <c r="A186" t="s">
        <v>4</v>
      </c>
      <c r="B186" s="2">
        <v>44831</v>
      </c>
      <c r="C186">
        <v>25.806291580200199</v>
      </c>
      <c r="D186">
        <f>_xlfn.XLOOKUP(B186, Oil_Price!A:A, Oil_Price!B:B, "")</f>
        <v>78.5</v>
      </c>
      <c r="E186">
        <f t="shared" si="8"/>
        <v>1.0562110010981049E-2</v>
      </c>
      <c r="F186">
        <f t="shared" si="9"/>
        <v>2.3334649157748053E-2</v>
      </c>
      <c r="G186">
        <f t="shared" si="10"/>
        <v>0.26972007751464844</v>
      </c>
      <c r="H186">
        <f t="shared" si="11"/>
        <v>1.7900009155273438</v>
      </c>
    </row>
    <row r="187" spans="1:8" x14ac:dyDescent="0.2">
      <c r="A187" t="s">
        <v>4</v>
      </c>
      <c r="B187" s="2">
        <v>44832</v>
      </c>
      <c r="C187">
        <v>26.34988975524902</v>
      </c>
      <c r="D187">
        <f>_xlfn.XLOOKUP(B187, Oil_Price!A:A, Oil_Price!B:B, "")</f>
        <v>82.150001525878906</v>
      </c>
      <c r="E187">
        <f t="shared" si="8"/>
        <v>2.106455991010716E-2</v>
      </c>
      <c r="F187">
        <f t="shared" si="9"/>
        <v>4.6496834724572056E-2</v>
      </c>
      <c r="G187">
        <f t="shared" si="10"/>
        <v>0.54359817504882102</v>
      </c>
      <c r="H187">
        <f t="shared" si="11"/>
        <v>3.6500015258789062</v>
      </c>
    </row>
    <row r="188" spans="1:8" x14ac:dyDescent="0.2">
      <c r="A188" t="s">
        <v>4</v>
      </c>
      <c r="B188" s="2">
        <v>44833</v>
      </c>
      <c r="C188">
        <v>26.598867416381839</v>
      </c>
      <c r="D188">
        <f>_xlfn.XLOOKUP(B188, Oil_Price!A:A, Oil_Price!B:B, "")</f>
        <v>81.230003356933594</v>
      </c>
      <c r="E188">
        <f t="shared" si="8"/>
        <v>9.4489071280923331E-3</v>
      </c>
      <c r="F188">
        <f t="shared" si="9"/>
        <v>-1.1199003674461217E-2</v>
      </c>
      <c r="G188">
        <f t="shared" si="10"/>
        <v>0.24897766113281961</v>
      </c>
      <c r="H188">
        <f t="shared" si="11"/>
        <v>-0.9199981689453125</v>
      </c>
    </row>
    <row r="189" spans="1:8" x14ac:dyDescent="0.2">
      <c r="A189" t="s">
        <v>4</v>
      </c>
      <c r="B189" s="2">
        <v>44834</v>
      </c>
      <c r="C189">
        <v>26.68185997009277</v>
      </c>
      <c r="D189">
        <f>_xlfn.XLOOKUP(B189, Oil_Price!A:A, Oil_Price!B:B, "")</f>
        <v>79.489997863769531</v>
      </c>
      <c r="E189">
        <f t="shared" si="8"/>
        <v>3.1201536671375918E-3</v>
      </c>
      <c r="F189">
        <f t="shared" si="9"/>
        <v>-2.1420724132169323E-2</v>
      </c>
      <c r="G189">
        <f t="shared" si="10"/>
        <v>8.2992553710930395E-2</v>
      </c>
      <c r="H189">
        <f t="shared" si="11"/>
        <v>-1.7400054931640625</v>
      </c>
    </row>
    <row r="190" spans="1:8" x14ac:dyDescent="0.2">
      <c r="A190" t="s">
        <v>4</v>
      </c>
      <c r="B190" s="2">
        <v>44837</v>
      </c>
      <c r="C190">
        <v>28.35828971862793</v>
      </c>
      <c r="D190">
        <f>_xlfn.XLOOKUP(B190, Oil_Price!A:A, Oil_Price!B:B, "")</f>
        <v>83.629997253417969</v>
      </c>
      <c r="E190">
        <f t="shared" si="8"/>
        <v>6.2830318066815452E-2</v>
      </c>
      <c r="F190">
        <f t="shared" si="9"/>
        <v>5.2082016617280513E-2</v>
      </c>
      <c r="G190">
        <f t="shared" si="10"/>
        <v>1.6764297485351598</v>
      </c>
      <c r="H190">
        <f t="shared" si="11"/>
        <v>4.1399993896484375</v>
      </c>
    </row>
    <row r="191" spans="1:8" x14ac:dyDescent="0.2">
      <c r="A191" t="s">
        <v>4</v>
      </c>
      <c r="B191" s="2">
        <v>44838</v>
      </c>
      <c r="C191">
        <v>30.022275924682621</v>
      </c>
      <c r="D191">
        <f>_xlfn.XLOOKUP(B191, Oil_Price!A:A, Oil_Price!B:B, "")</f>
        <v>86.519996643066406</v>
      </c>
      <c r="E191">
        <f t="shared" si="8"/>
        <v>5.8677241207591428E-2</v>
      </c>
      <c r="F191">
        <f t="shared" si="9"/>
        <v>3.4556970997991071E-2</v>
      </c>
      <c r="G191">
        <f t="shared" si="10"/>
        <v>1.6639862060546911</v>
      </c>
      <c r="H191">
        <f t="shared" si="11"/>
        <v>2.8899993896484375</v>
      </c>
    </row>
    <row r="192" spans="1:8" x14ac:dyDescent="0.2">
      <c r="A192" t="s">
        <v>4</v>
      </c>
      <c r="B192" s="2">
        <v>44839</v>
      </c>
      <c r="C192">
        <v>30.3874397277832</v>
      </c>
      <c r="D192">
        <f>_xlfn.XLOOKUP(B192, Oil_Price!A:A, Oil_Price!B:B, "")</f>
        <v>87.760002136230469</v>
      </c>
      <c r="E192">
        <f t="shared" si="8"/>
        <v>1.2163095296861281E-2</v>
      </c>
      <c r="F192">
        <f t="shared" si="9"/>
        <v>1.4332010416963359E-2</v>
      </c>
      <c r="G192">
        <f t="shared" si="10"/>
        <v>0.36516380310057883</v>
      </c>
      <c r="H192">
        <f t="shared" si="11"/>
        <v>1.2400054931640625</v>
      </c>
    </row>
    <row r="193" spans="1:8" x14ac:dyDescent="0.2">
      <c r="A193" t="s">
        <v>4</v>
      </c>
      <c r="B193" s="2">
        <v>44840</v>
      </c>
      <c r="C193">
        <v>30.80654144287109</v>
      </c>
      <c r="D193">
        <f>_xlfn.XLOOKUP(B193, Oil_Price!A:A, Oil_Price!B:B, "")</f>
        <v>88.449996948242188</v>
      </c>
      <c r="E193">
        <f t="shared" si="8"/>
        <v>1.3791938999872582E-2</v>
      </c>
      <c r="F193">
        <f t="shared" si="9"/>
        <v>7.8622925617143329E-3</v>
      </c>
      <c r="G193">
        <f t="shared" si="10"/>
        <v>0.41910171508789062</v>
      </c>
      <c r="H193">
        <f t="shared" si="11"/>
        <v>0.68999481201171875</v>
      </c>
    </row>
    <row r="194" spans="1:8" x14ac:dyDescent="0.2">
      <c r="A194" t="s">
        <v>4</v>
      </c>
      <c r="B194" s="2">
        <v>44841</v>
      </c>
      <c r="C194">
        <v>31.27130126953125</v>
      </c>
      <c r="D194">
        <f>_xlfn.XLOOKUP(B194, Oil_Price!A:A, Oil_Price!B:B, "")</f>
        <v>92.639999389648438</v>
      </c>
      <c r="E194">
        <f t="shared" si="8"/>
        <v>1.508640064390316E-2</v>
      </c>
      <c r="F194">
        <f t="shared" si="9"/>
        <v>4.7371425505623156E-2</v>
      </c>
      <c r="G194">
        <f t="shared" si="10"/>
        <v>0.4647598266601598</v>
      </c>
      <c r="H194">
        <f t="shared" si="11"/>
        <v>4.19000244140625</v>
      </c>
    </row>
    <row r="195" spans="1:8" x14ac:dyDescent="0.2">
      <c r="A195" t="s">
        <v>4</v>
      </c>
      <c r="B195" s="2">
        <v>44845</v>
      </c>
      <c r="C195">
        <v>30.233907699584961</v>
      </c>
      <c r="D195">
        <f>_xlfn.XLOOKUP(B195, Oil_Price!A:A, Oil_Price!B:B, "")</f>
        <v>89.349998474121094</v>
      </c>
      <c r="E195">
        <f t="shared" ref="E195:E258" si="12">IFERROR(IF(AND(A195=A194, C195&lt;&gt;"", C194&lt;&gt;""), (C195-C194)/C194, ""), "")</f>
        <v>-3.3173981504794586E-2</v>
      </c>
      <c r="F195">
        <f t="shared" ref="F195:F258" si="13">IFERROR(IF(AND(A195=A194, D195&lt;&gt;"", D194&lt;&gt;""), (D195-D194)/D194, ""), "")</f>
        <v>-3.5513827042349566E-2</v>
      </c>
      <c r="G195">
        <f t="shared" ref="G195:G258" si="14">IFERROR(IF(AND(A195=A194, C195&lt;&gt;"", C194&lt;&gt;""), C195-C194, ""), "")</f>
        <v>-1.0373935699462891</v>
      </c>
      <c r="H195">
        <f t="shared" ref="H195:H258" si="15">IFERROR(IF(AND(A195=A194, D195&lt;&gt;"", D194&lt;&gt;""), D195-D194, ""), "")</f>
        <v>-3.2900009155273438</v>
      </c>
    </row>
    <row r="196" spans="1:8" x14ac:dyDescent="0.2">
      <c r="A196" t="s">
        <v>4</v>
      </c>
      <c r="B196" s="2">
        <v>44846</v>
      </c>
      <c r="C196">
        <v>30.088666915893551</v>
      </c>
      <c r="D196">
        <f>_xlfn.XLOOKUP(B196, Oil_Price!A:A, Oil_Price!B:B, "")</f>
        <v>87.269996643066406</v>
      </c>
      <c r="E196">
        <f t="shared" si="12"/>
        <v>-4.8039037869194662E-3</v>
      </c>
      <c r="F196">
        <f t="shared" si="13"/>
        <v>-2.3279259838567646E-2</v>
      </c>
      <c r="G196">
        <f t="shared" si="14"/>
        <v>-0.1452407836914098</v>
      </c>
      <c r="H196">
        <f t="shared" si="15"/>
        <v>-2.0800018310546875</v>
      </c>
    </row>
    <row r="197" spans="1:8" x14ac:dyDescent="0.2">
      <c r="A197" t="s">
        <v>4</v>
      </c>
      <c r="B197" s="2">
        <v>44847</v>
      </c>
      <c r="C197">
        <v>31.18830680847168</v>
      </c>
      <c r="D197">
        <f>_xlfn.XLOOKUP(B197, Oil_Price!A:A, Oil_Price!B:B, "")</f>
        <v>89.110000610351562</v>
      </c>
      <c r="E197">
        <f t="shared" si="12"/>
        <v>3.6546647136343306E-2</v>
      </c>
      <c r="F197">
        <f t="shared" si="13"/>
        <v>2.1084038479006226E-2</v>
      </c>
      <c r="G197">
        <f t="shared" si="14"/>
        <v>1.0996398925781286</v>
      </c>
      <c r="H197">
        <f t="shared" si="15"/>
        <v>1.8400039672851562</v>
      </c>
    </row>
    <row r="198" spans="1:8" x14ac:dyDescent="0.2">
      <c r="A198" t="s">
        <v>4</v>
      </c>
      <c r="B198" s="2">
        <v>44848</v>
      </c>
      <c r="C198">
        <v>30.52852821350098</v>
      </c>
      <c r="D198">
        <f>_xlfn.XLOOKUP(B198, Oil_Price!A:A, Oil_Price!B:B, "")</f>
        <v>85.610000610351562</v>
      </c>
      <c r="E198">
        <f t="shared" si="12"/>
        <v>-2.1154678226760419E-2</v>
      </c>
      <c r="F198">
        <f t="shared" si="13"/>
        <v>-3.9277297452890138E-2</v>
      </c>
      <c r="G198">
        <f t="shared" si="14"/>
        <v>-0.65977859497069957</v>
      </c>
      <c r="H198">
        <f t="shared" si="15"/>
        <v>-3.5</v>
      </c>
    </row>
    <row r="199" spans="1:8" x14ac:dyDescent="0.2">
      <c r="A199" t="s">
        <v>4</v>
      </c>
      <c r="B199" s="2">
        <v>44851</v>
      </c>
      <c r="C199">
        <v>30.507778167724609</v>
      </c>
      <c r="D199">
        <f>_xlfn.XLOOKUP(B199, Oil_Price!A:A, Oil_Price!B:B, "")</f>
        <v>85.459999084472656</v>
      </c>
      <c r="E199">
        <f t="shared" si="12"/>
        <v>-6.7969361743401081E-4</v>
      </c>
      <c r="F199">
        <f t="shared" si="13"/>
        <v>-1.7521495714224859E-3</v>
      </c>
      <c r="G199">
        <f t="shared" si="14"/>
        <v>-2.075004577637074E-2</v>
      </c>
      <c r="H199">
        <f t="shared" si="15"/>
        <v>-0.15000152587890625</v>
      </c>
    </row>
    <row r="200" spans="1:8" x14ac:dyDescent="0.2">
      <c r="A200" t="s">
        <v>4</v>
      </c>
      <c r="B200" s="2">
        <v>44852</v>
      </c>
      <c r="C200">
        <v>30.370841979980469</v>
      </c>
      <c r="D200">
        <f>_xlfn.XLOOKUP(B200, Oil_Price!A:A, Oil_Price!B:B, "")</f>
        <v>82.819999694824219</v>
      </c>
      <c r="E200">
        <f t="shared" si="12"/>
        <v>-4.4885663908822721E-3</v>
      </c>
      <c r="F200">
        <f t="shared" si="13"/>
        <v>-3.0891638403119322E-2</v>
      </c>
      <c r="G200">
        <f t="shared" si="14"/>
        <v>-0.13693618774414062</v>
      </c>
      <c r="H200">
        <f t="shared" si="15"/>
        <v>-2.6399993896484375</v>
      </c>
    </row>
    <row r="201" spans="1:8" x14ac:dyDescent="0.2">
      <c r="A201" t="s">
        <v>4</v>
      </c>
      <c r="B201" s="2">
        <v>44853</v>
      </c>
      <c r="C201">
        <v>31.628166198730469</v>
      </c>
      <c r="D201">
        <f>_xlfn.XLOOKUP(B201, Oil_Price!A:A, Oil_Price!B:B, "")</f>
        <v>85.550003051757812</v>
      </c>
      <c r="E201">
        <f t="shared" si="12"/>
        <v>4.1399057015896683E-2</v>
      </c>
      <c r="F201">
        <f t="shared" si="13"/>
        <v>3.2963093057149617E-2</v>
      </c>
      <c r="G201">
        <f t="shared" si="14"/>
        <v>1.25732421875</v>
      </c>
      <c r="H201">
        <f t="shared" si="15"/>
        <v>2.7300033569335938</v>
      </c>
    </row>
    <row r="202" spans="1:8" x14ac:dyDescent="0.2">
      <c r="A202" t="s">
        <v>4</v>
      </c>
      <c r="B202" s="2">
        <v>44854</v>
      </c>
      <c r="C202">
        <v>32.420742034912109</v>
      </c>
      <c r="D202">
        <f>_xlfn.XLOOKUP(B202, Oil_Price!A:A, Oil_Price!B:B, "")</f>
        <v>85.980003356933594</v>
      </c>
      <c r="E202">
        <f t="shared" si="12"/>
        <v>2.5059177670991688E-2</v>
      </c>
      <c r="F202">
        <f t="shared" si="13"/>
        <v>5.0263037970393852E-3</v>
      </c>
      <c r="G202">
        <f t="shared" si="14"/>
        <v>0.79257583618164062</v>
      </c>
      <c r="H202">
        <f t="shared" si="15"/>
        <v>0.43000030517578125</v>
      </c>
    </row>
    <row r="203" spans="1:8" x14ac:dyDescent="0.2">
      <c r="A203" t="s">
        <v>4</v>
      </c>
      <c r="B203" s="2">
        <v>44855</v>
      </c>
      <c r="C203">
        <v>33.21331787109375</v>
      </c>
      <c r="D203">
        <f>_xlfn.XLOOKUP(B203, Oil_Price!A:A, Oil_Price!B:B, "")</f>
        <v>85.050003051757812</v>
      </c>
      <c r="E203">
        <f t="shared" si="12"/>
        <v>2.4446566809857694E-2</v>
      </c>
      <c r="F203">
        <f t="shared" si="13"/>
        <v>-1.0816472073338019E-2</v>
      </c>
      <c r="G203">
        <f t="shared" si="14"/>
        <v>0.79257583618164062</v>
      </c>
      <c r="H203">
        <f t="shared" si="15"/>
        <v>-0.93000030517578125</v>
      </c>
    </row>
    <row r="204" spans="1:8" x14ac:dyDescent="0.2">
      <c r="A204" t="s">
        <v>4</v>
      </c>
      <c r="B204" s="2">
        <v>44858</v>
      </c>
      <c r="C204">
        <v>33.379306793212891</v>
      </c>
      <c r="D204">
        <f>_xlfn.XLOOKUP(B204, Oil_Price!A:A, Oil_Price!B:B, "")</f>
        <v>84.580001831054688</v>
      </c>
      <c r="E204">
        <f t="shared" si="12"/>
        <v>4.9976615634538665E-3</v>
      </c>
      <c r="F204">
        <f t="shared" si="13"/>
        <v>-5.5261752361972548E-3</v>
      </c>
      <c r="G204">
        <f t="shared" si="14"/>
        <v>0.16598892211914062</v>
      </c>
      <c r="H204">
        <f t="shared" si="15"/>
        <v>-0.470001220703125</v>
      </c>
    </row>
    <row r="205" spans="1:8" x14ac:dyDescent="0.2">
      <c r="A205" t="s">
        <v>4</v>
      </c>
      <c r="B205" s="2">
        <v>44859</v>
      </c>
      <c r="C205">
        <v>33.528682708740227</v>
      </c>
      <c r="D205">
        <f>_xlfn.XLOOKUP(B205, Oil_Price!A:A, Oil_Price!B:B, "")</f>
        <v>85.319999694824219</v>
      </c>
      <c r="E205">
        <f t="shared" si="12"/>
        <v>4.4751053834859653E-3</v>
      </c>
      <c r="F205">
        <f t="shared" si="13"/>
        <v>8.7490878192181716E-3</v>
      </c>
      <c r="G205">
        <f t="shared" si="14"/>
        <v>0.14937591552733664</v>
      </c>
      <c r="H205">
        <f t="shared" si="15"/>
        <v>0.73999786376953125</v>
      </c>
    </row>
    <row r="206" spans="1:8" x14ac:dyDescent="0.2">
      <c r="A206" t="s">
        <v>4</v>
      </c>
      <c r="B206" s="2">
        <v>44860</v>
      </c>
      <c r="C206">
        <v>33.827449798583977</v>
      </c>
      <c r="D206">
        <f>_xlfn.XLOOKUP(B206, Oil_Price!A:A, Oil_Price!B:B, "")</f>
        <v>87.910003662109375</v>
      </c>
      <c r="E206">
        <f t="shared" si="12"/>
        <v>8.9107911706256104E-3</v>
      </c>
      <c r="F206">
        <f t="shared" si="13"/>
        <v>3.0356352280229485E-2</v>
      </c>
      <c r="G206">
        <f t="shared" si="14"/>
        <v>0.29876708984375</v>
      </c>
      <c r="H206">
        <f t="shared" si="15"/>
        <v>2.5900039672851562</v>
      </c>
    </row>
    <row r="207" spans="1:8" x14ac:dyDescent="0.2">
      <c r="A207" t="s">
        <v>4</v>
      </c>
      <c r="B207" s="2">
        <v>44861</v>
      </c>
      <c r="C207">
        <v>33.777652740478523</v>
      </c>
      <c r="D207">
        <f>_xlfn.XLOOKUP(B207, Oil_Price!A:A, Oil_Price!B:B, "")</f>
        <v>89.080001831054688</v>
      </c>
      <c r="E207">
        <f t="shared" si="12"/>
        <v>-1.4720902226433592E-3</v>
      </c>
      <c r="F207">
        <f t="shared" si="13"/>
        <v>1.3309044707156582E-2</v>
      </c>
      <c r="G207">
        <f t="shared" si="14"/>
        <v>-4.9797058105454539E-2</v>
      </c>
      <c r="H207">
        <f t="shared" si="15"/>
        <v>1.1699981689453125</v>
      </c>
    </row>
    <row r="208" spans="1:8" x14ac:dyDescent="0.2">
      <c r="A208" t="s">
        <v>4</v>
      </c>
      <c r="B208" s="2">
        <v>44862</v>
      </c>
      <c r="C208">
        <v>33.765205383300781</v>
      </c>
      <c r="D208">
        <f>_xlfn.XLOOKUP(B208, Oil_Price!A:A, Oil_Price!B:B, "")</f>
        <v>87.900001525878906</v>
      </c>
      <c r="E208">
        <f t="shared" si="12"/>
        <v>-3.6850864899871488E-4</v>
      </c>
      <c r="F208">
        <f t="shared" si="13"/>
        <v>-1.3246523135615997E-2</v>
      </c>
      <c r="G208">
        <f t="shared" si="14"/>
        <v>-1.244735717774148E-2</v>
      </c>
      <c r="H208">
        <f t="shared" si="15"/>
        <v>-1.1800003051757812</v>
      </c>
    </row>
    <row r="209" spans="1:8" x14ac:dyDescent="0.2">
      <c r="A209" t="s">
        <v>4</v>
      </c>
      <c r="B209" s="2">
        <v>44865</v>
      </c>
      <c r="C209">
        <v>33.906299591064453</v>
      </c>
      <c r="D209">
        <f>_xlfn.XLOOKUP(B209, Oil_Price!A:A, Oil_Price!B:B, "")</f>
        <v>86.529998779296875</v>
      </c>
      <c r="E209">
        <f t="shared" si="12"/>
        <v>4.1786864958165684E-3</v>
      </c>
      <c r="F209">
        <f t="shared" si="13"/>
        <v>-1.5585924036402713E-2</v>
      </c>
      <c r="G209">
        <f t="shared" si="14"/>
        <v>0.14109420776367188</v>
      </c>
      <c r="H209">
        <f t="shared" si="15"/>
        <v>-1.3700027465820312</v>
      </c>
    </row>
    <row r="210" spans="1:8" x14ac:dyDescent="0.2">
      <c r="A210" t="s">
        <v>4</v>
      </c>
      <c r="B210" s="2">
        <v>44866</v>
      </c>
      <c r="C210">
        <v>34.122074127197273</v>
      </c>
      <c r="D210">
        <f>_xlfn.XLOOKUP(B210, Oil_Price!A:A, Oil_Price!B:B, "")</f>
        <v>88.370002746582031</v>
      </c>
      <c r="E210">
        <f t="shared" si="12"/>
        <v>6.3638479791432055E-3</v>
      </c>
      <c r="F210">
        <f t="shared" si="13"/>
        <v>2.1264347547008108E-2</v>
      </c>
      <c r="G210">
        <f t="shared" si="14"/>
        <v>0.21577453613281961</v>
      </c>
      <c r="H210">
        <f t="shared" si="15"/>
        <v>1.8400039672851562</v>
      </c>
    </row>
    <row r="211" spans="1:8" x14ac:dyDescent="0.2">
      <c r="A211" t="s">
        <v>4</v>
      </c>
      <c r="B211" s="2">
        <v>44867</v>
      </c>
      <c r="C211">
        <v>34.063980102539062</v>
      </c>
      <c r="D211">
        <f>_xlfn.XLOOKUP(B211, Oil_Price!A:A, Oil_Price!B:B, "")</f>
        <v>90</v>
      </c>
      <c r="E211">
        <f t="shared" si="12"/>
        <v>-1.702534976087691E-3</v>
      </c>
      <c r="F211">
        <f t="shared" si="13"/>
        <v>1.8445142047718379E-2</v>
      </c>
      <c r="G211">
        <f t="shared" si="14"/>
        <v>-5.809402465821023E-2</v>
      </c>
      <c r="H211">
        <f t="shared" si="15"/>
        <v>1.6299972534179688</v>
      </c>
    </row>
    <row r="212" spans="1:8" x14ac:dyDescent="0.2">
      <c r="A212" t="s">
        <v>4</v>
      </c>
      <c r="B212" s="2">
        <v>44868</v>
      </c>
      <c r="C212">
        <v>34.209209442138672</v>
      </c>
      <c r="D212">
        <f>_xlfn.XLOOKUP(B212, Oil_Price!A:A, Oil_Price!B:B, "")</f>
        <v>88.169998168945312</v>
      </c>
      <c r="E212">
        <f t="shared" si="12"/>
        <v>4.2634283827797407E-3</v>
      </c>
      <c r="F212">
        <f t="shared" si="13"/>
        <v>-2.0333353678385416E-2</v>
      </c>
      <c r="G212">
        <f t="shared" si="14"/>
        <v>0.14522933959960938</v>
      </c>
      <c r="H212">
        <f t="shared" si="15"/>
        <v>-1.8300018310546875</v>
      </c>
    </row>
    <row r="213" spans="1:8" x14ac:dyDescent="0.2">
      <c r="A213" t="s">
        <v>4</v>
      </c>
      <c r="B213" s="2">
        <v>44869</v>
      </c>
      <c r="C213">
        <v>34.213359832763672</v>
      </c>
      <c r="D213">
        <f>_xlfn.XLOOKUP(B213, Oil_Price!A:A, Oil_Price!B:B, "")</f>
        <v>92.610000610351562</v>
      </c>
      <c r="E213">
        <f t="shared" si="12"/>
        <v>1.2132378072109369E-4</v>
      </c>
      <c r="F213">
        <f t="shared" si="13"/>
        <v>5.0357293111185294E-2</v>
      </c>
      <c r="G213">
        <f t="shared" si="14"/>
        <v>4.150390625E-3</v>
      </c>
      <c r="H213">
        <f t="shared" si="15"/>
        <v>4.44000244140625</v>
      </c>
    </row>
    <row r="214" spans="1:8" x14ac:dyDescent="0.2">
      <c r="A214" t="s">
        <v>4</v>
      </c>
      <c r="B214" s="2">
        <v>44872</v>
      </c>
      <c r="C214">
        <v>34.225807189941413</v>
      </c>
      <c r="D214">
        <f>_xlfn.XLOOKUP(B214, Oil_Price!A:A, Oil_Price!B:B, "")</f>
        <v>91.790000915527344</v>
      </c>
      <c r="E214">
        <f t="shared" si="12"/>
        <v>3.6381569184040037E-4</v>
      </c>
      <c r="F214">
        <f t="shared" si="13"/>
        <v>-8.8543320313137167E-3</v>
      </c>
      <c r="G214">
        <f t="shared" si="14"/>
        <v>1.244735717774148E-2</v>
      </c>
      <c r="H214">
        <f t="shared" si="15"/>
        <v>-0.81999969482421875</v>
      </c>
    </row>
    <row r="215" spans="1:8" x14ac:dyDescent="0.2">
      <c r="A215" t="s">
        <v>4</v>
      </c>
      <c r="B215" s="2">
        <v>44873</v>
      </c>
      <c r="C215">
        <v>33.868942260742188</v>
      </c>
      <c r="D215">
        <f>_xlfn.XLOOKUP(B215, Oil_Price!A:A, Oil_Price!B:B, "")</f>
        <v>88.910003662109375</v>
      </c>
      <c r="E215">
        <f t="shared" si="12"/>
        <v>-1.0426779044793558E-2</v>
      </c>
      <c r="F215">
        <f t="shared" si="13"/>
        <v>-3.137593664552174E-2</v>
      </c>
      <c r="G215">
        <f t="shared" si="14"/>
        <v>-0.35686492919922586</v>
      </c>
      <c r="H215">
        <f t="shared" si="15"/>
        <v>-2.8799972534179688</v>
      </c>
    </row>
    <row r="216" spans="1:8" x14ac:dyDescent="0.2">
      <c r="A216" t="s">
        <v>4</v>
      </c>
      <c r="B216" s="2">
        <v>44874</v>
      </c>
      <c r="C216">
        <v>33.076370239257812</v>
      </c>
      <c r="D216">
        <f>_xlfn.XLOOKUP(B216, Oil_Price!A:A, Oil_Price!B:B, "")</f>
        <v>85.830001831054688</v>
      </c>
      <c r="E216">
        <f t="shared" si="12"/>
        <v>-2.3401144782813389E-2</v>
      </c>
      <c r="F216">
        <f t="shared" si="13"/>
        <v>-3.464179174662757E-2</v>
      </c>
      <c r="G216">
        <f t="shared" si="14"/>
        <v>-0.792572021484375</v>
      </c>
      <c r="H216">
        <f t="shared" si="15"/>
        <v>-3.0800018310546875</v>
      </c>
    </row>
    <row r="217" spans="1:8" x14ac:dyDescent="0.2">
      <c r="A217" t="s">
        <v>4</v>
      </c>
      <c r="B217" s="2">
        <v>44875</v>
      </c>
      <c r="C217">
        <v>33.698814392089837</v>
      </c>
      <c r="D217">
        <f>_xlfn.XLOOKUP(B217, Oil_Price!A:A, Oil_Price!B:B, "")</f>
        <v>86.470001220703125</v>
      </c>
      <c r="E217">
        <f t="shared" si="12"/>
        <v>1.8818393564033069E-2</v>
      </c>
      <c r="F217">
        <f t="shared" si="13"/>
        <v>7.4565929860772222E-3</v>
      </c>
      <c r="G217">
        <f t="shared" si="14"/>
        <v>0.62244415283202414</v>
      </c>
      <c r="H217">
        <f t="shared" si="15"/>
        <v>0.6399993896484375</v>
      </c>
    </row>
    <row r="218" spans="1:8" x14ac:dyDescent="0.2">
      <c r="A218" t="s">
        <v>4</v>
      </c>
      <c r="B218" s="2">
        <v>44876</v>
      </c>
      <c r="C218">
        <v>34.084720611572273</v>
      </c>
      <c r="D218">
        <f>_xlfn.XLOOKUP(B218, Oil_Price!A:A, Oil_Price!B:B, "")</f>
        <v>88.959999084472656</v>
      </c>
      <c r="E218">
        <f t="shared" si="12"/>
        <v>1.1451626012487262E-2</v>
      </c>
      <c r="F218">
        <f t="shared" si="13"/>
        <v>2.8796089147890079E-2</v>
      </c>
      <c r="G218">
        <f t="shared" si="14"/>
        <v>0.38590621948243609</v>
      </c>
      <c r="H218">
        <f t="shared" si="15"/>
        <v>2.4899978637695312</v>
      </c>
    </row>
    <row r="219" spans="1:8" x14ac:dyDescent="0.2">
      <c r="A219" t="s">
        <v>4</v>
      </c>
      <c r="B219" s="2">
        <v>44879</v>
      </c>
      <c r="C219">
        <v>33.636566162109382</v>
      </c>
      <c r="D219">
        <f>_xlfn.XLOOKUP(B219, Oil_Price!A:A, Oil_Price!B:B, "")</f>
        <v>85.870002746582031</v>
      </c>
      <c r="E219">
        <f t="shared" si="12"/>
        <v>-1.3148250636114514E-2</v>
      </c>
      <c r="F219">
        <f t="shared" si="13"/>
        <v>-3.4734671421888109E-2</v>
      </c>
      <c r="G219">
        <f t="shared" si="14"/>
        <v>-0.44815444946289062</v>
      </c>
      <c r="H219">
        <f t="shared" si="15"/>
        <v>-3.089996337890625</v>
      </c>
    </row>
    <row r="220" spans="1:8" x14ac:dyDescent="0.2">
      <c r="A220" t="s">
        <v>4</v>
      </c>
      <c r="B220" s="2">
        <v>44880</v>
      </c>
      <c r="C220">
        <v>34.358592987060547</v>
      </c>
      <c r="D220">
        <f>_xlfn.XLOOKUP(B220, Oil_Price!A:A, Oil_Price!B:B, "")</f>
        <v>86.919998168945312</v>
      </c>
      <c r="E220">
        <f t="shared" si="12"/>
        <v>2.1465533118672116E-2</v>
      </c>
      <c r="F220">
        <f t="shared" si="13"/>
        <v>1.222773248839887E-2</v>
      </c>
      <c r="G220">
        <f t="shared" si="14"/>
        <v>0.72202682495116477</v>
      </c>
      <c r="H220">
        <f t="shared" si="15"/>
        <v>1.0499954223632812</v>
      </c>
    </row>
    <row r="221" spans="1:8" x14ac:dyDescent="0.2">
      <c r="A221" t="s">
        <v>4</v>
      </c>
      <c r="B221" s="2">
        <v>44881</v>
      </c>
      <c r="C221">
        <v>33.570178985595703</v>
      </c>
      <c r="D221">
        <f>_xlfn.XLOOKUP(B221, Oil_Price!A:A, Oil_Price!B:B, "")</f>
        <v>85.589996337890625</v>
      </c>
      <c r="E221">
        <f t="shared" si="12"/>
        <v>-2.2946632353710195E-2</v>
      </c>
      <c r="F221">
        <f t="shared" si="13"/>
        <v>-1.5301447987488214E-2</v>
      </c>
      <c r="G221">
        <f t="shared" si="14"/>
        <v>-0.78841400146484375</v>
      </c>
      <c r="H221">
        <f t="shared" si="15"/>
        <v>-1.3300018310546875</v>
      </c>
    </row>
    <row r="222" spans="1:8" x14ac:dyDescent="0.2">
      <c r="A222" t="s">
        <v>4</v>
      </c>
      <c r="B222" s="2">
        <v>44882</v>
      </c>
      <c r="C222">
        <v>33.205013275146477</v>
      </c>
      <c r="D222">
        <f>_xlfn.XLOOKUP(B222, Oil_Price!A:A, Oil_Price!B:B, "")</f>
        <v>81.639999389648438</v>
      </c>
      <c r="E222">
        <f t="shared" si="12"/>
        <v>-1.0877681367320419E-2</v>
      </c>
      <c r="F222">
        <f t="shared" si="13"/>
        <v>-4.6150217516641334E-2</v>
      </c>
      <c r="G222">
        <f t="shared" si="14"/>
        <v>-0.36516571044922586</v>
      </c>
      <c r="H222">
        <f t="shared" si="15"/>
        <v>-3.9499969482421875</v>
      </c>
    </row>
    <row r="223" spans="1:8" x14ac:dyDescent="0.2">
      <c r="A223" t="s">
        <v>4</v>
      </c>
      <c r="B223" s="2">
        <v>44883</v>
      </c>
      <c r="C223">
        <v>33.175956726074219</v>
      </c>
      <c r="D223">
        <f>_xlfn.XLOOKUP(B223, Oil_Price!A:A, Oil_Price!B:B, "")</f>
        <v>80.080001831054688</v>
      </c>
      <c r="E223">
        <f t="shared" si="12"/>
        <v>-8.7506512439815742E-4</v>
      </c>
      <c r="F223">
        <f t="shared" si="13"/>
        <v>-1.9108250493097754E-2</v>
      </c>
      <c r="G223">
        <f t="shared" si="14"/>
        <v>-2.905654907225852E-2</v>
      </c>
      <c r="H223">
        <f t="shared" si="15"/>
        <v>-1.55999755859375</v>
      </c>
    </row>
    <row r="224" spans="1:8" x14ac:dyDescent="0.2">
      <c r="A224" t="s">
        <v>4</v>
      </c>
      <c r="B224" s="2">
        <v>44886</v>
      </c>
      <c r="C224">
        <v>33.13446044921875</v>
      </c>
      <c r="D224">
        <f>_xlfn.XLOOKUP(B224, Oil_Price!A:A, Oil_Price!B:B, "")</f>
        <v>79.730003356933594</v>
      </c>
      <c r="E224">
        <f t="shared" si="12"/>
        <v>-1.2507936756155486E-3</v>
      </c>
      <c r="F224">
        <f t="shared" si="13"/>
        <v>-4.3706102162620808E-3</v>
      </c>
      <c r="G224">
        <f t="shared" si="14"/>
        <v>-4.149627685546875E-2</v>
      </c>
      <c r="H224">
        <f t="shared" si="15"/>
        <v>-0.34999847412109375</v>
      </c>
    </row>
    <row r="225" spans="1:8" x14ac:dyDescent="0.2">
      <c r="A225" t="s">
        <v>4</v>
      </c>
      <c r="B225" s="2">
        <v>44887</v>
      </c>
      <c r="C225">
        <v>33.702957153320312</v>
      </c>
      <c r="D225">
        <f>_xlfn.XLOOKUP(B225, Oil_Price!A:A, Oil_Price!B:B, "")</f>
        <v>80.949996948242188</v>
      </c>
      <c r="E225">
        <f t="shared" si="12"/>
        <v>1.7157264563665668E-2</v>
      </c>
      <c r="F225">
        <f t="shared" si="13"/>
        <v>1.5301562021099538E-2</v>
      </c>
      <c r="G225">
        <f t="shared" si="14"/>
        <v>0.5684967041015625</v>
      </c>
      <c r="H225">
        <f t="shared" si="15"/>
        <v>1.2199935913085938</v>
      </c>
    </row>
    <row r="226" spans="1:8" x14ac:dyDescent="0.2">
      <c r="A226" t="s">
        <v>4</v>
      </c>
      <c r="B226" s="2">
        <v>44888</v>
      </c>
      <c r="C226">
        <v>33.217460632324219</v>
      </c>
      <c r="D226">
        <f>_xlfn.XLOOKUP(B226, Oil_Price!A:A, Oil_Price!B:B, "")</f>
        <v>77.94000244140625</v>
      </c>
      <c r="E226">
        <f t="shared" si="12"/>
        <v>-1.4405160911770737E-2</v>
      </c>
      <c r="F226">
        <f t="shared" si="13"/>
        <v>-3.7183380115016776E-2</v>
      </c>
      <c r="G226">
        <f t="shared" si="14"/>
        <v>-0.48549652099609375</v>
      </c>
      <c r="H226">
        <f t="shared" si="15"/>
        <v>-3.0099945068359375</v>
      </c>
    </row>
    <row r="227" spans="1:8" x14ac:dyDescent="0.2">
      <c r="A227" t="s">
        <v>4</v>
      </c>
      <c r="B227" s="2">
        <v>44889</v>
      </c>
      <c r="C227">
        <v>33.321193695068359</v>
      </c>
      <c r="D227" t="str">
        <f>_xlfn.XLOOKUP(B227, Oil_Price!A:A, Oil_Price!B:B, "")</f>
        <v/>
      </c>
      <c r="E227">
        <f t="shared" si="12"/>
        <v>3.1228474654440329E-3</v>
      </c>
      <c r="F227" t="str">
        <f t="shared" si="13"/>
        <v/>
      </c>
      <c r="G227">
        <f t="shared" si="14"/>
        <v>0.10373306274414062</v>
      </c>
      <c r="H227" t="str">
        <f t="shared" si="15"/>
        <v/>
      </c>
    </row>
    <row r="228" spans="1:8" x14ac:dyDescent="0.2">
      <c r="A228" t="s">
        <v>4</v>
      </c>
      <c r="B228" s="2">
        <v>44890</v>
      </c>
      <c r="C228">
        <v>33.412483215332031</v>
      </c>
      <c r="D228">
        <f>_xlfn.XLOOKUP(B228, Oil_Price!A:A, Oil_Price!B:B, "")</f>
        <v>76.279998779296875</v>
      </c>
      <c r="E228">
        <f t="shared" si="12"/>
        <v>2.7396833708626415E-3</v>
      </c>
      <c r="F228" t="str">
        <f t="shared" si="13"/>
        <v/>
      </c>
      <c r="G228">
        <f t="shared" si="14"/>
        <v>9.1289520263671875E-2</v>
      </c>
      <c r="H228" t="str">
        <f t="shared" si="15"/>
        <v/>
      </c>
    </row>
    <row r="229" spans="1:8" x14ac:dyDescent="0.2">
      <c r="A229" t="s">
        <v>4</v>
      </c>
      <c r="B229" s="2">
        <v>44893</v>
      </c>
      <c r="C229">
        <v>33.084671020507812</v>
      </c>
      <c r="D229">
        <f>_xlfn.XLOOKUP(B229, Oil_Price!A:A, Oil_Price!B:B, "")</f>
        <v>77.239997863769531</v>
      </c>
      <c r="E229">
        <f t="shared" si="12"/>
        <v>-9.8110694949423913E-3</v>
      </c>
      <c r="F229">
        <f t="shared" si="13"/>
        <v>1.2585200574665049E-2</v>
      </c>
      <c r="G229">
        <f t="shared" si="14"/>
        <v>-0.32781219482421875</v>
      </c>
      <c r="H229">
        <f t="shared" si="15"/>
        <v>0.95999908447265625</v>
      </c>
    </row>
    <row r="230" spans="1:8" x14ac:dyDescent="0.2">
      <c r="A230" t="s">
        <v>4</v>
      </c>
      <c r="B230" s="2">
        <v>44894</v>
      </c>
      <c r="C230">
        <v>33.491329193115227</v>
      </c>
      <c r="D230">
        <f>_xlfn.XLOOKUP(B230, Oil_Price!A:A, Oil_Price!B:B, "")</f>
        <v>78.199996948242188</v>
      </c>
      <c r="E230">
        <f t="shared" si="12"/>
        <v>1.229143769800051E-2</v>
      </c>
      <c r="F230">
        <f t="shared" si="13"/>
        <v>1.242878186203261E-2</v>
      </c>
      <c r="G230">
        <f t="shared" si="14"/>
        <v>0.40665817260741477</v>
      </c>
      <c r="H230">
        <f t="shared" si="15"/>
        <v>0.95999908447265625</v>
      </c>
    </row>
    <row r="231" spans="1:8" x14ac:dyDescent="0.2">
      <c r="A231" t="s">
        <v>4</v>
      </c>
      <c r="B231" s="2">
        <v>44895</v>
      </c>
      <c r="C231">
        <v>33.325355529785163</v>
      </c>
      <c r="D231">
        <f>_xlfn.XLOOKUP(B231, Oil_Price!A:A, Oil_Price!B:B, "")</f>
        <v>80.550003051757812</v>
      </c>
      <c r="E231">
        <f t="shared" si="12"/>
        <v>-4.9557204007353323E-3</v>
      </c>
      <c r="F231">
        <f t="shared" si="13"/>
        <v>3.0051230117962933E-2</v>
      </c>
      <c r="G231">
        <f t="shared" si="14"/>
        <v>-0.16597366333006391</v>
      </c>
      <c r="H231">
        <f t="shared" si="15"/>
        <v>2.350006103515625</v>
      </c>
    </row>
    <row r="232" spans="1:8" x14ac:dyDescent="0.2">
      <c r="A232" t="s">
        <v>4</v>
      </c>
      <c r="B232" s="2">
        <v>44896</v>
      </c>
      <c r="C232">
        <v>33.337799072265618</v>
      </c>
      <c r="D232">
        <f>_xlfn.XLOOKUP(B232, Oil_Price!A:A, Oil_Price!B:B, "")</f>
        <v>81.220001220703125</v>
      </c>
      <c r="E232">
        <f t="shared" si="12"/>
        <v>3.7339564072565976E-4</v>
      </c>
      <c r="F232">
        <f t="shared" si="13"/>
        <v>8.3177919746918166E-3</v>
      </c>
      <c r="G232">
        <f t="shared" si="14"/>
        <v>1.2443542480454539E-2</v>
      </c>
      <c r="H232">
        <f t="shared" si="15"/>
        <v>0.6699981689453125</v>
      </c>
    </row>
    <row r="233" spans="1:8" x14ac:dyDescent="0.2">
      <c r="A233" t="s">
        <v>4</v>
      </c>
      <c r="B233" s="2">
        <v>44897</v>
      </c>
      <c r="C233">
        <v>33.4830322265625</v>
      </c>
      <c r="D233">
        <f>_xlfn.XLOOKUP(B233, Oil_Price!A:A, Oil_Price!B:B, "")</f>
        <v>79.980003356933594</v>
      </c>
      <c r="E233">
        <f t="shared" si="12"/>
        <v>4.3564109910814259E-3</v>
      </c>
      <c r="F233">
        <f t="shared" si="13"/>
        <v>-1.5267149041281392E-2</v>
      </c>
      <c r="G233">
        <f t="shared" si="14"/>
        <v>0.14523315429688211</v>
      </c>
      <c r="H233">
        <f t="shared" si="15"/>
        <v>-1.2399978637695312</v>
      </c>
    </row>
    <row r="234" spans="1:8" x14ac:dyDescent="0.2">
      <c r="A234" t="s">
        <v>4</v>
      </c>
      <c r="B234" s="2">
        <v>44900</v>
      </c>
      <c r="C234">
        <v>32.246456146240227</v>
      </c>
      <c r="D234">
        <f>_xlfn.XLOOKUP(B234, Oil_Price!A:A, Oil_Price!B:B, "")</f>
        <v>76.930000305175781</v>
      </c>
      <c r="E234">
        <f t="shared" si="12"/>
        <v>-3.6931424607992397E-2</v>
      </c>
      <c r="F234">
        <f t="shared" si="13"/>
        <v>-3.8134570189329739E-2</v>
      </c>
      <c r="G234">
        <f t="shared" si="14"/>
        <v>-1.2365760803222727</v>
      </c>
      <c r="H234">
        <f t="shared" si="15"/>
        <v>-3.0500030517578125</v>
      </c>
    </row>
    <row r="235" spans="1:8" x14ac:dyDescent="0.2">
      <c r="A235" t="s">
        <v>4</v>
      </c>
      <c r="B235" s="2">
        <v>44901</v>
      </c>
      <c r="C235">
        <v>31.366743087768551</v>
      </c>
      <c r="D235">
        <f>_xlfn.XLOOKUP(B235, Oil_Price!A:A, Oil_Price!B:B, "")</f>
        <v>74.25</v>
      </c>
      <c r="E235">
        <f t="shared" si="12"/>
        <v>-2.7280922110699789E-2</v>
      </c>
      <c r="F235">
        <f t="shared" si="13"/>
        <v>-3.4836868510911383E-2</v>
      </c>
      <c r="G235">
        <f t="shared" si="14"/>
        <v>-0.87971305847167613</v>
      </c>
      <c r="H235">
        <f t="shared" si="15"/>
        <v>-2.6800003051757812</v>
      </c>
    </row>
    <row r="236" spans="1:8" x14ac:dyDescent="0.2">
      <c r="A236" t="s">
        <v>4</v>
      </c>
      <c r="B236" s="2">
        <v>44902</v>
      </c>
      <c r="C236">
        <v>31.134366989135739</v>
      </c>
      <c r="D236">
        <f>_xlfn.XLOOKUP(B236, Oil_Price!A:A, Oil_Price!B:B, "")</f>
        <v>72.010002136230469</v>
      </c>
      <c r="E236">
        <f t="shared" si="12"/>
        <v>-7.4083591650746638E-3</v>
      </c>
      <c r="F236">
        <f t="shared" si="13"/>
        <v>-3.0168321397569444E-2</v>
      </c>
      <c r="G236">
        <f t="shared" si="14"/>
        <v>-0.2323760986328125</v>
      </c>
      <c r="H236">
        <f t="shared" si="15"/>
        <v>-2.2399978637695312</v>
      </c>
    </row>
    <row r="237" spans="1:8" x14ac:dyDescent="0.2">
      <c r="A237" t="s">
        <v>4</v>
      </c>
      <c r="B237" s="2">
        <v>44903</v>
      </c>
      <c r="C237">
        <v>30.943479537963871</v>
      </c>
      <c r="D237">
        <f>_xlfn.XLOOKUP(B237, Oil_Price!A:A, Oil_Price!B:B, "")</f>
        <v>71.459999084472656</v>
      </c>
      <c r="E237">
        <f t="shared" si="12"/>
        <v>-6.1310850237770243E-3</v>
      </c>
      <c r="F237">
        <f t="shared" si="13"/>
        <v>-7.6378702324893955E-3</v>
      </c>
      <c r="G237">
        <f t="shared" si="14"/>
        <v>-0.19088745117186789</v>
      </c>
      <c r="H237">
        <f t="shared" si="15"/>
        <v>-0.5500030517578125</v>
      </c>
    </row>
    <row r="238" spans="1:8" x14ac:dyDescent="0.2">
      <c r="A238" t="s">
        <v>4</v>
      </c>
      <c r="B238" s="2">
        <v>44904</v>
      </c>
      <c r="C238">
        <v>30.976675033569339</v>
      </c>
      <c r="D238">
        <f>_xlfn.XLOOKUP(B238, Oil_Price!A:A, Oil_Price!B:B, "")</f>
        <v>71.019996643066406</v>
      </c>
      <c r="E238">
        <f t="shared" si="12"/>
        <v>1.0727783720877908E-3</v>
      </c>
      <c r="F238">
        <f t="shared" si="13"/>
        <v>-6.1573250355926312E-3</v>
      </c>
      <c r="G238">
        <f t="shared" si="14"/>
        <v>3.319549560546875E-2</v>
      </c>
      <c r="H238">
        <f t="shared" si="15"/>
        <v>-0.44000244140625</v>
      </c>
    </row>
    <row r="239" spans="1:8" x14ac:dyDescent="0.2">
      <c r="A239" t="s">
        <v>4</v>
      </c>
      <c r="B239" s="2">
        <v>44907</v>
      </c>
      <c r="C239">
        <v>31.159261703491211</v>
      </c>
      <c r="D239">
        <f>_xlfn.XLOOKUP(B239, Oil_Price!A:A, Oil_Price!B:B, "")</f>
        <v>73.169998168945312</v>
      </c>
      <c r="E239">
        <f t="shared" si="12"/>
        <v>5.8943275778953926E-3</v>
      </c>
      <c r="F239">
        <f t="shared" si="13"/>
        <v>3.0273185405575602E-2</v>
      </c>
      <c r="G239">
        <f t="shared" si="14"/>
        <v>0.18258666992187145</v>
      </c>
      <c r="H239">
        <f t="shared" si="15"/>
        <v>2.1500015258789062</v>
      </c>
    </row>
    <row r="240" spans="1:8" x14ac:dyDescent="0.2">
      <c r="A240" t="s">
        <v>4</v>
      </c>
      <c r="B240" s="2">
        <v>44908</v>
      </c>
      <c r="C240">
        <v>31.760955810546879</v>
      </c>
      <c r="D240">
        <f>_xlfn.XLOOKUP(B240, Oil_Price!A:A, Oil_Price!B:B, "")</f>
        <v>75.389999389648438</v>
      </c>
      <c r="E240">
        <f t="shared" si="12"/>
        <v>1.9310281250606503E-2</v>
      </c>
      <c r="F240">
        <f t="shared" si="13"/>
        <v>3.0340320845399914E-2</v>
      </c>
      <c r="G240">
        <f t="shared" si="14"/>
        <v>0.60169410705566762</v>
      </c>
      <c r="H240">
        <f t="shared" si="15"/>
        <v>2.220001220703125</v>
      </c>
    </row>
    <row r="241" spans="1:8" x14ac:dyDescent="0.2">
      <c r="A241" t="s">
        <v>4</v>
      </c>
      <c r="B241" s="2">
        <v>44909</v>
      </c>
      <c r="C241">
        <v>31.48708534240723</v>
      </c>
      <c r="D241">
        <f>_xlfn.XLOOKUP(B241, Oil_Price!A:A, Oil_Price!B:B, "")</f>
        <v>77.279998779296875</v>
      </c>
      <c r="E241">
        <f t="shared" si="12"/>
        <v>-8.622866067799639E-3</v>
      </c>
      <c r="F241">
        <f t="shared" si="13"/>
        <v>2.5069629990048088E-2</v>
      </c>
      <c r="G241">
        <f t="shared" si="14"/>
        <v>-0.27387046813964844</v>
      </c>
      <c r="H241">
        <f t="shared" si="15"/>
        <v>1.8899993896484375</v>
      </c>
    </row>
    <row r="242" spans="1:8" x14ac:dyDescent="0.2">
      <c r="A242" t="s">
        <v>4</v>
      </c>
      <c r="B242" s="2">
        <v>44910</v>
      </c>
      <c r="C242">
        <v>31.180732727050781</v>
      </c>
      <c r="D242">
        <f>_xlfn.XLOOKUP(B242, Oil_Price!A:A, Oil_Price!B:B, "")</f>
        <v>76.110000610351562</v>
      </c>
      <c r="E242">
        <f t="shared" si="12"/>
        <v>-9.7294688290455716E-3</v>
      </c>
      <c r="F242">
        <f t="shared" si="13"/>
        <v>-1.5139728098168038E-2</v>
      </c>
      <c r="G242">
        <f t="shared" si="14"/>
        <v>-0.30635261535644887</v>
      </c>
      <c r="H242">
        <f t="shared" si="15"/>
        <v>-1.1699981689453125</v>
      </c>
    </row>
    <row r="243" spans="1:8" x14ac:dyDescent="0.2">
      <c r="A243" t="s">
        <v>4</v>
      </c>
      <c r="B243" s="2">
        <v>44911</v>
      </c>
      <c r="C243">
        <v>30.131584167480469</v>
      </c>
      <c r="D243">
        <f>_xlfn.XLOOKUP(B243, Oil_Price!A:A, Oil_Price!B:B, "")</f>
        <v>74.290000915527344</v>
      </c>
      <c r="E243">
        <f t="shared" si="12"/>
        <v>-3.3647334998645681E-2</v>
      </c>
      <c r="F243">
        <f t="shared" si="13"/>
        <v>-2.3912753649047856E-2</v>
      </c>
      <c r="G243">
        <f t="shared" si="14"/>
        <v>-1.0491485595703125</v>
      </c>
      <c r="H243">
        <f t="shared" si="15"/>
        <v>-1.8199996948242188</v>
      </c>
    </row>
    <row r="244" spans="1:8" x14ac:dyDescent="0.2">
      <c r="A244" t="s">
        <v>4</v>
      </c>
      <c r="B244" s="2">
        <v>44914</v>
      </c>
      <c r="C244">
        <v>30.463108062744141</v>
      </c>
      <c r="D244">
        <f>_xlfn.XLOOKUP(B244, Oil_Price!A:A, Oil_Price!B:B, "")</f>
        <v>75.19000244140625</v>
      </c>
      <c r="E244">
        <f t="shared" si="12"/>
        <v>1.1002537849353081E-2</v>
      </c>
      <c r="F244">
        <f t="shared" si="13"/>
        <v>1.2114706081404787E-2</v>
      </c>
      <c r="G244">
        <f t="shared" si="14"/>
        <v>0.33152389526367188</v>
      </c>
      <c r="H244">
        <f t="shared" si="15"/>
        <v>0.90000152587890625</v>
      </c>
    </row>
    <row r="245" spans="1:8" x14ac:dyDescent="0.2">
      <c r="A245" t="s">
        <v>4</v>
      </c>
      <c r="B245" s="2">
        <v>44915</v>
      </c>
      <c r="C245">
        <v>30.777858734130859</v>
      </c>
      <c r="D245">
        <f>_xlfn.XLOOKUP(B245, Oil_Price!A:A, Oil_Price!B:B, "")</f>
        <v>76.089996337890625</v>
      </c>
      <c r="E245">
        <f t="shared" si="12"/>
        <v>1.0332191670608077E-2</v>
      </c>
      <c r="F245">
        <f t="shared" si="13"/>
        <v>1.1969595255509115E-2</v>
      </c>
      <c r="G245">
        <f t="shared" si="14"/>
        <v>0.31475067138671875</v>
      </c>
      <c r="H245">
        <f t="shared" si="15"/>
        <v>0.899993896484375</v>
      </c>
    </row>
    <row r="246" spans="1:8" x14ac:dyDescent="0.2">
      <c r="A246" t="s">
        <v>4</v>
      </c>
      <c r="B246" s="2">
        <v>44916</v>
      </c>
      <c r="C246">
        <v>31.428327560424801</v>
      </c>
      <c r="D246">
        <f>_xlfn.XLOOKUP(B246, Oil_Price!A:A, Oil_Price!B:B, "")</f>
        <v>78.290000915527344</v>
      </c>
      <c r="E246">
        <f t="shared" si="12"/>
        <v>2.1134310606624806E-2</v>
      </c>
      <c r="F246">
        <f t="shared" si="13"/>
        <v>2.8913190741490152E-2</v>
      </c>
      <c r="G246">
        <f t="shared" si="14"/>
        <v>0.65046882629394176</v>
      </c>
      <c r="H246">
        <f t="shared" si="15"/>
        <v>2.2000045776367188</v>
      </c>
    </row>
    <row r="247" spans="1:8" x14ac:dyDescent="0.2">
      <c r="A247" t="s">
        <v>4</v>
      </c>
      <c r="B247" s="2">
        <v>44917</v>
      </c>
      <c r="C247">
        <v>30.479898452758789</v>
      </c>
      <c r="D247">
        <f>_xlfn.XLOOKUP(B247, Oil_Price!A:A, Oil_Price!B:B, "")</f>
        <v>77.489997863769531</v>
      </c>
      <c r="E247">
        <f t="shared" si="12"/>
        <v>-3.0177523950090605E-2</v>
      </c>
      <c r="F247">
        <f t="shared" si="13"/>
        <v>-1.0218457560384918E-2</v>
      </c>
      <c r="G247">
        <f t="shared" si="14"/>
        <v>-0.94842910766601207</v>
      </c>
      <c r="H247">
        <f t="shared" si="15"/>
        <v>-0.8000030517578125</v>
      </c>
    </row>
    <row r="248" spans="1:8" x14ac:dyDescent="0.2">
      <c r="A248" t="s">
        <v>4</v>
      </c>
      <c r="B248" s="2">
        <v>44918</v>
      </c>
      <c r="C248">
        <v>31.839591979980469</v>
      </c>
      <c r="D248">
        <f>_xlfn.XLOOKUP(B248, Oil_Price!A:A, Oil_Price!B:B, "")</f>
        <v>79.55999755859375</v>
      </c>
      <c r="E248">
        <f t="shared" si="12"/>
        <v>4.4609516312171686E-2</v>
      </c>
      <c r="F248">
        <f t="shared" si="13"/>
        <v>2.6713121072262251E-2</v>
      </c>
      <c r="G248">
        <f t="shared" si="14"/>
        <v>1.3596935272216797</v>
      </c>
      <c r="H248">
        <f t="shared" si="15"/>
        <v>2.0699996948242188</v>
      </c>
    </row>
    <row r="249" spans="1:8" x14ac:dyDescent="0.2">
      <c r="A249" t="s">
        <v>4</v>
      </c>
      <c r="B249" s="2">
        <v>44923</v>
      </c>
      <c r="C249">
        <v>31.07161712646484</v>
      </c>
      <c r="D249">
        <f>_xlfn.XLOOKUP(B249, Oil_Price!A:A, Oil_Price!B:B, "")</f>
        <v>78.959999084472656</v>
      </c>
      <c r="E249">
        <f t="shared" si="12"/>
        <v>-2.4120122330666238E-2</v>
      </c>
      <c r="F249">
        <f t="shared" si="13"/>
        <v>-7.541459182162636E-3</v>
      </c>
      <c r="G249">
        <f t="shared" si="14"/>
        <v>-0.76797485351562855</v>
      </c>
      <c r="H249">
        <f t="shared" si="15"/>
        <v>-0.59999847412109375</v>
      </c>
    </row>
    <row r="250" spans="1:8" x14ac:dyDescent="0.2">
      <c r="A250" t="s">
        <v>4</v>
      </c>
      <c r="B250" s="2">
        <v>44924</v>
      </c>
      <c r="C250">
        <v>31.650753021240231</v>
      </c>
      <c r="D250">
        <f>_xlfn.XLOOKUP(B250, Oil_Price!A:A, Oil_Price!B:B, "")</f>
        <v>78.400001525878906</v>
      </c>
      <c r="E250">
        <f t="shared" si="12"/>
        <v>1.8638743275518777E-2</v>
      </c>
      <c r="F250">
        <f t="shared" si="13"/>
        <v>-7.0921677442606825E-3</v>
      </c>
      <c r="G250">
        <f t="shared" si="14"/>
        <v>0.57913589477539062</v>
      </c>
      <c r="H250">
        <f t="shared" si="15"/>
        <v>-0.55999755859375</v>
      </c>
    </row>
    <row r="251" spans="1:8" x14ac:dyDescent="0.2">
      <c r="A251" t="s">
        <v>4</v>
      </c>
      <c r="B251" s="2">
        <v>44925</v>
      </c>
      <c r="C251">
        <v>31.55422401428223</v>
      </c>
      <c r="D251">
        <f>_xlfn.XLOOKUP(B251, Oil_Price!A:A, Oil_Price!B:B, "")</f>
        <v>80.260002136230469</v>
      </c>
      <c r="E251">
        <f t="shared" si="12"/>
        <v>-3.0498170736481967E-3</v>
      </c>
      <c r="F251">
        <f t="shared" si="13"/>
        <v>2.372449711927108E-2</v>
      </c>
      <c r="G251">
        <f t="shared" si="14"/>
        <v>-9.6529006958000707E-2</v>
      </c>
      <c r="H251">
        <f t="shared" si="15"/>
        <v>1.8600006103515625</v>
      </c>
    </row>
    <row r="252" spans="1:8" x14ac:dyDescent="0.2">
      <c r="A252" t="s">
        <v>4</v>
      </c>
      <c r="B252" s="2">
        <v>44929</v>
      </c>
      <c r="C252">
        <v>29.91755294799805</v>
      </c>
      <c r="D252">
        <f>_xlfn.XLOOKUP(B252, Oil_Price!A:A, Oil_Price!B:B, "")</f>
        <v>76.930000305175781</v>
      </c>
      <c r="E252">
        <f t="shared" si="12"/>
        <v>-5.1868525289779949E-2</v>
      </c>
      <c r="F252">
        <f t="shared" si="13"/>
        <v>-4.149017869950291E-2</v>
      </c>
      <c r="G252">
        <f t="shared" si="14"/>
        <v>-1.6366710662841797</v>
      </c>
      <c r="H252">
        <f t="shared" si="15"/>
        <v>-3.3300018310546875</v>
      </c>
    </row>
    <row r="253" spans="1:8" x14ac:dyDescent="0.2">
      <c r="A253" t="s">
        <v>4</v>
      </c>
      <c r="B253" s="2">
        <v>44930</v>
      </c>
      <c r="C253">
        <v>29.573431015014648</v>
      </c>
      <c r="D253">
        <f>_xlfn.XLOOKUP(B253, Oil_Price!A:A, Oil_Price!B:B, "")</f>
        <v>72.839996337890625</v>
      </c>
      <c r="E253">
        <f t="shared" si="12"/>
        <v>-1.1502342239739534E-2</v>
      </c>
      <c r="F253">
        <f t="shared" si="13"/>
        <v>-5.3165266489801175E-2</v>
      </c>
      <c r="G253">
        <f t="shared" si="14"/>
        <v>-0.34412193298340199</v>
      </c>
      <c r="H253">
        <f t="shared" si="15"/>
        <v>-4.0900039672851562</v>
      </c>
    </row>
    <row r="254" spans="1:8" x14ac:dyDescent="0.2">
      <c r="A254" t="s">
        <v>4</v>
      </c>
      <c r="B254" s="2">
        <v>44931</v>
      </c>
      <c r="C254">
        <v>29.636386871337891</v>
      </c>
      <c r="D254">
        <f>_xlfn.XLOOKUP(B254, Oil_Price!A:A, Oil_Price!B:B, "")</f>
        <v>73.669998168945312</v>
      </c>
      <c r="E254">
        <f t="shared" si="12"/>
        <v>2.1287978486932758E-3</v>
      </c>
      <c r="F254">
        <f t="shared" si="13"/>
        <v>1.1394863712025326E-2</v>
      </c>
      <c r="G254">
        <f t="shared" si="14"/>
        <v>6.2955856323242188E-2</v>
      </c>
      <c r="H254">
        <f t="shared" si="15"/>
        <v>0.8300018310546875</v>
      </c>
    </row>
    <row r="255" spans="1:8" x14ac:dyDescent="0.2">
      <c r="A255" t="s">
        <v>4</v>
      </c>
      <c r="B255" s="2">
        <v>44932</v>
      </c>
      <c r="C255">
        <v>30.756866455078121</v>
      </c>
      <c r="D255">
        <f>_xlfn.XLOOKUP(B255, Oil_Price!A:A, Oil_Price!B:B, "")</f>
        <v>73.769996643066406</v>
      </c>
      <c r="E255">
        <f t="shared" si="12"/>
        <v>3.7807563675175106E-2</v>
      </c>
      <c r="F255">
        <f t="shared" si="13"/>
        <v>1.3573839637103029E-3</v>
      </c>
      <c r="G255">
        <f t="shared" si="14"/>
        <v>1.1204795837402308</v>
      </c>
      <c r="H255">
        <f t="shared" si="15"/>
        <v>9.999847412109375E-2</v>
      </c>
    </row>
    <row r="256" spans="1:8" x14ac:dyDescent="0.2">
      <c r="A256" t="s">
        <v>4</v>
      </c>
      <c r="B256" s="2">
        <v>44935</v>
      </c>
      <c r="C256">
        <v>31.004465103149411</v>
      </c>
      <c r="D256">
        <f>_xlfn.XLOOKUP(B256, Oil_Price!A:A, Oil_Price!B:B, "")</f>
        <v>74.629997253417969</v>
      </c>
      <c r="E256">
        <f t="shared" si="12"/>
        <v>8.05019095273957E-3</v>
      </c>
      <c r="F256">
        <f t="shared" si="13"/>
        <v>1.1657864301019911E-2</v>
      </c>
      <c r="G256">
        <f t="shared" si="14"/>
        <v>0.24759864807128906</v>
      </c>
      <c r="H256">
        <f t="shared" si="15"/>
        <v>0.8600006103515625</v>
      </c>
    </row>
    <row r="257" spans="1:8" x14ac:dyDescent="0.2">
      <c r="A257" t="s">
        <v>4</v>
      </c>
      <c r="B257" s="2">
        <v>44936</v>
      </c>
      <c r="C257">
        <v>31.210109710693359</v>
      </c>
      <c r="D257">
        <f>_xlfn.XLOOKUP(B257, Oil_Price!A:A, Oil_Price!B:B, "")</f>
        <v>75.120002746582031</v>
      </c>
      <c r="E257">
        <f t="shared" si="12"/>
        <v>6.6327416667175346E-3</v>
      </c>
      <c r="F257">
        <f t="shared" si="13"/>
        <v>6.5657980865277445E-3</v>
      </c>
      <c r="G257">
        <f t="shared" si="14"/>
        <v>0.20564460754394887</v>
      </c>
      <c r="H257">
        <f t="shared" si="15"/>
        <v>0.4900054931640625</v>
      </c>
    </row>
    <row r="258" spans="1:8" x14ac:dyDescent="0.2">
      <c r="A258" t="s">
        <v>4</v>
      </c>
      <c r="B258" s="2">
        <v>44937</v>
      </c>
      <c r="C258">
        <v>31.373769760131839</v>
      </c>
      <c r="D258">
        <f>_xlfn.XLOOKUP(B258, Oil_Price!A:A, Oil_Price!B:B, "")</f>
        <v>77.410003662109375</v>
      </c>
      <c r="E258">
        <f t="shared" si="12"/>
        <v>5.2438152558754421E-3</v>
      </c>
      <c r="F258">
        <f t="shared" si="13"/>
        <v>3.0484569113404872E-2</v>
      </c>
      <c r="G258">
        <f t="shared" si="14"/>
        <v>0.16366004943848012</v>
      </c>
      <c r="H258">
        <f t="shared" si="15"/>
        <v>2.2900009155273438</v>
      </c>
    </row>
    <row r="259" spans="1:8" x14ac:dyDescent="0.2">
      <c r="A259" t="s">
        <v>4</v>
      </c>
      <c r="B259" s="2">
        <v>44938</v>
      </c>
      <c r="C259">
        <v>31.931924819946289</v>
      </c>
      <c r="D259">
        <f>_xlfn.XLOOKUP(B259, Oil_Price!A:A, Oil_Price!B:B, "")</f>
        <v>78.389999389648438</v>
      </c>
      <c r="E259">
        <f t="shared" ref="E259:E322" si="16">IFERROR(IF(AND(A259=A258, C259&lt;&gt;"", C258&lt;&gt;""), (C259-C258)/C258, ""), "")</f>
        <v>1.7790500283575233E-2</v>
      </c>
      <c r="F259">
        <f t="shared" ref="F259:F322" si="17">IFERROR(IF(AND(A259=A258, D259&lt;&gt;"", D258&lt;&gt;""), (D259-D258)/D258, ""), "")</f>
        <v>1.2659807275254665E-2</v>
      </c>
      <c r="G259">
        <f t="shared" ref="G259:G322" si="18">IFERROR(IF(AND(A259=A258, C259&lt;&gt;"", C258&lt;&gt;""), C259-C258, ""), "")</f>
        <v>0.55815505981444957</v>
      </c>
      <c r="H259">
        <f t="shared" ref="H259:H322" si="19">IFERROR(IF(AND(A259=A258, D259&lt;&gt;"", D258&lt;&gt;""), D259-D258, ""), "")</f>
        <v>0.9799957275390625</v>
      </c>
    </row>
    <row r="260" spans="1:8" x14ac:dyDescent="0.2">
      <c r="A260" t="s">
        <v>4</v>
      </c>
      <c r="B260" s="2">
        <v>44939</v>
      </c>
      <c r="C260">
        <v>32.238277435302727</v>
      </c>
      <c r="D260">
        <f>_xlfn.XLOOKUP(B260, Oil_Price!A:A, Oil_Price!B:B, "")</f>
        <v>79.860000610351562</v>
      </c>
      <c r="E260">
        <f t="shared" si="16"/>
        <v>9.5939288684869679E-3</v>
      </c>
      <c r="F260">
        <f t="shared" si="17"/>
        <v>1.8752407604907338E-2</v>
      </c>
      <c r="G260">
        <f t="shared" si="18"/>
        <v>0.30635261535643821</v>
      </c>
      <c r="H260">
        <f t="shared" si="19"/>
        <v>1.470001220703125</v>
      </c>
    </row>
    <row r="261" spans="1:8" x14ac:dyDescent="0.2">
      <c r="A261" t="s">
        <v>4</v>
      </c>
      <c r="B261" s="2">
        <v>44942</v>
      </c>
      <c r="C261">
        <v>32.229881286621087</v>
      </c>
      <c r="D261" t="str">
        <f>_xlfn.XLOOKUP(B261, Oil_Price!A:A, Oil_Price!B:B, "")</f>
        <v/>
      </c>
      <c r="E261">
        <f t="shared" si="16"/>
        <v>-2.6044036312084E-4</v>
      </c>
      <c r="F261" t="str">
        <f t="shared" si="17"/>
        <v/>
      </c>
      <c r="G261">
        <f t="shared" si="18"/>
        <v>-8.396148681640625E-3</v>
      </c>
      <c r="H261" t="str">
        <f t="shared" si="19"/>
        <v/>
      </c>
    </row>
    <row r="262" spans="1:8" x14ac:dyDescent="0.2">
      <c r="A262" t="s">
        <v>4</v>
      </c>
      <c r="B262" s="2">
        <v>44943</v>
      </c>
      <c r="C262">
        <v>32.838382720947273</v>
      </c>
      <c r="D262">
        <f>_xlfn.XLOOKUP(B262, Oil_Price!A:A, Oil_Price!B:B, "")</f>
        <v>80.180000305175781</v>
      </c>
      <c r="E262">
        <f t="shared" si="16"/>
        <v>1.8880039579257789E-2</v>
      </c>
      <c r="F262" t="str">
        <f t="shared" si="17"/>
        <v/>
      </c>
      <c r="G262">
        <f t="shared" si="18"/>
        <v>0.60850143432618609</v>
      </c>
      <c r="H262" t="str">
        <f t="shared" si="19"/>
        <v/>
      </c>
    </row>
    <row r="263" spans="1:8" x14ac:dyDescent="0.2">
      <c r="A263" t="s">
        <v>4</v>
      </c>
      <c r="B263" s="2">
        <v>44944</v>
      </c>
      <c r="C263">
        <v>32.997852325439453</v>
      </c>
      <c r="D263">
        <f>_xlfn.XLOOKUP(B263, Oil_Price!A:A, Oil_Price!B:B, "")</f>
        <v>79.480003356933594</v>
      </c>
      <c r="E263">
        <f t="shared" si="16"/>
        <v>4.8561954420019704E-3</v>
      </c>
      <c r="F263">
        <f t="shared" si="17"/>
        <v>-8.7303186028673697E-3</v>
      </c>
      <c r="G263">
        <f t="shared" si="18"/>
        <v>0.15946960449218039</v>
      </c>
      <c r="H263">
        <f t="shared" si="19"/>
        <v>-0.6999969482421875</v>
      </c>
    </row>
    <row r="264" spans="1:8" x14ac:dyDescent="0.2">
      <c r="A264" t="s">
        <v>4</v>
      </c>
      <c r="B264" s="2">
        <v>44945</v>
      </c>
      <c r="C264">
        <v>33.602169036865227</v>
      </c>
      <c r="D264">
        <f>_xlfn.XLOOKUP(B264, Oil_Price!A:A, Oil_Price!B:B, "")</f>
        <v>80.330001831054688</v>
      </c>
      <c r="E264">
        <f t="shared" si="16"/>
        <v>1.8313819501515879E-2</v>
      </c>
      <c r="F264">
        <f t="shared" si="17"/>
        <v>1.0694494693261012E-2</v>
      </c>
      <c r="G264">
        <f t="shared" si="18"/>
        <v>0.60431671142577414</v>
      </c>
      <c r="H264">
        <f t="shared" si="19"/>
        <v>0.84999847412109375</v>
      </c>
    </row>
    <row r="265" spans="1:8" x14ac:dyDescent="0.2">
      <c r="A265" t="s">
        <v>4</v>
      </c>
      <c r="B265" s="2">
        <v>44946</v>
      </c>
      <c r="C265">
        <v>33.879142761230469</v>
      </c>
      <c r="D265">
        <f>_xlfn.XLOOKUP(B265, Oil_Price!A:A, Oil_Price!B:B, "")</f>
        <v>81.30999755859375</v>
      </c>
      <c r="E265">
        <f t="shared" si="16"/>
        <v>8.2427334991789138E-3</v>
      </c>
      <c r="F265">
        <f t="shared" si="17"/>
        <v>1.2199622870669561E-2</v>
      </c>
      <c r="G265">
        <f t="shared" si="18"/>
        <v>0.27697372436524148</v>
      </c>
      <c r="H265">
        <f t="shared" si="19"/>
        <v>0.9799957275390625</v>
      </c>
    </row>
    <row r="266" spans="1:8" x14ac:dyDescent="0.2">
      <c r="A266" t="s">
        <v>4</v>
      </c>
      <c r="B266" s="2">
        <v>44949</v>
      </c>
      <c r="C266">
        <v>34.277820587158203</v>
      </c>
      <c r="D266">
        <f>_xlfn.XLOOKUP(B266, Oil_Price!A:A, Oil_Price!B:B, "")</f>
        <v>81.620002746582031</v>
      </c>
      <c r="E266">
        <f t="shared" si="16"/>
        <v>1.1767647981458391E-2</v>
      </c>
      <c r="F266">
        <f t="shared" si="17"/>
        <v>3.8126330992063404E-3</v>
      </c>
      <c r="G266">
        <f t="shared" si="18"/>
        <v>0.39867782592773438</v>
      </c>
      <c r="H266">
        <f t="shared" si="19"/>
        <v>0.31000518798828125</v>
      </c>
    </row>
    <row r="267" spans="1:8" x14ac:dyDescent="0.2">
      <c r="A267" t="s">
        <v>4</v>
      </c>
      <c r="B267" s="2">
        <v>44950</v>
      </c>
      <c r="C267">
        <v>33.958873748779297</v>
      </c>
      <c r="D267">
        <f>_xlfn.XLOOKUP(B267, Oil_Price!A:A, Oil_Price!B:B, "")</f>
        <v>80.129997253417969</v>
      </c>
      <c r="E267">
        <f t="shared" si="16"/>
        <v>-9.3047583806537583E-3</v>
      </c>
      <c r="F267">
        <f t="shared" si="17"/>
        <v>-1.8255396263466298E-2</v>
      </c>
      <c r="G267">
        <f t="shared" si="18"/>
        <v>-0.31894683837890625</v>
      </c>
      <c r="H267">
        <f t="shared" si="19"/>
        <v>-1.4900054931640625</v>
      </c>
    </row>
    <row r="268" spans="1:8" x14ac:dyDescent="0.2">
      <c r="A268" t="s">
        <v>4</v>
      </c>
      <c r="B268" s="2">
        <v>44951</v>
      </c>
      <c r="C268">
        <v>33.476264953613281</v>
      </c>
      <c r="D268">
        <f>_xlfn.XLOOKUP(B268, Oil_Price!A:A, Oil_Price!B:B, "")</f>
        <v>80.150001525878906</v>
      </c>
      <c r="E268">
        <f t="shared" si="16"/>
        <v>-1.4211566577156103E-2</v>
      </c>
      <c r="F268">
        <f t="shared" si="17"/>
        <v>2.4964773676045785E-4</v>
      </c>
      <c r="G268">
        <f t="shared" si="18"/>
        <v>-0.48260879516601562</v>
      </c>
      <c r="H268">
        <f t="shared" si="19"/>
        <v>2.00042724609375E-2</v>
      </c>
    </row>
    <row r="269" spans="1:8" x14ac:dyDescent="0.2">
      <c r="A269" t="s">
        <v>4</v>
      </c>
      <c r="B269" s="2">
        <v>44952</v>
      </c>
      <c r="C269">
        <v>34.026027679443359</v>
      </c>
      <c r="D269">
        <f>_xlfn.XLOOKUP(B269, Oil_Price!A:A, Oil_Price!B:B, "")</f>
        <v>81.010002136230469</v>
      </c>
      <c r="E269">
        <f t="shared" si="16"/>
        <v>1.6422463097118579E-2</v>
      </c>
      <c r="F269">
        <f t="shared" si="17"/>
        <v>1.0729888883082362E-2</v>
      </c>
      <c r="G269">
        <f t="shared" si="18"/>
        <v>0.54976272583007812</v>
      </c>
      <c r="H269">
        <f t="shared" si="19"/>
        <v>0.8600006103515625</v>
      </c>
    </row>
    <row r="270" spans="1:8" x14ac:dyDescent="0.2">
      <c r="A270" t="s">
        <v>4</v>
      </c>
      <c r="B270" s="2">
        <v>44953</v>
      </c>
      <c r="C270">
        <v>34.726856231689453</v>
      </c>
      <c r="D270">
        <f>_xlfn.XLOOKUP(B270, Oil_Price!A:A, Oil_Price!B:B, "")</f>
        <v>79.680000305175781</v>
      </c>
      <c r="E270">
        <f t="shared" si="16"/>
        <v>2.0596837187359825E-2</v>
      </c>
      <c r="F270">
        <f t="shared" si="17"/>
        <v>-1.6417748376528738E-2</v>
      </c>
      <c r="G270">
        <f t="shared" si="18"/>
        <v>0.70082855224609375</v>
      </c>
      <c r="H270">
        <f t="shared" si="19"/>
        <v>-1.3300018310546875</v>
      </c>
    </row>
    <row r="271" spans="1:8" x14ac:dyDescent="0.2">
      <c r="A271" t="s">
        <v>4</v>
      </c>
      <c r="B271" s="2">
        <v>44956</v>
      </c>
      <c r="C271">
        <v>33.942092895507812</v>
      </c>
      <c r="D271">
        <f>_xlfn.XLOOKUP(B271, Oil_Price!A:A, Oil_Price!B:B, "")</f>
        <v>77.900001525878906</v>
      </c>
      <c r="E271">
        <f t="shared" si="16"/>
        <v>-2.2598168142427964E-2</v>
      </c>
      <c r="F271">
        <f t="shared" si="17"/>
        <v>-2.2339342024089468E-2</v>
      </c>
      <c r="G271">
        <f t="shared" si="18"/>
        <v>-0.78476333618164062</v>
      </c>
      <c r="H271">
        <f t="shared" si="19"/>
        <v>-1.779998779296875</v>
      </c>
    </row>
    <row r="272" spans="1:8" x14ac:dyDescent="0.2">
      <c r="A272" t="s">
        <v>4</v>
      </c>
      <c r="B272" s="2">
        <v>44957</v>
      </c>
      <c r="C272">
        <v>34.273624420166023</v>
      </c>
      <c r="D272">
        <f>_xlfn.XLOOKUP(B272, Oil_Price!A:A, Oil_Price!B:B, "")</f>
        <v>78.870002746582031</v>
      </c>
      <c r="E272">
        <f t="shared" si="16"/>
        <v>9.767562821740081E-3</v>
      </c>
      <c r="F272">
        <f t="shared" si="17"/>
        <v>1.2451876786945685E-2</v>
      </c>
      <c r="G272">
        <f t="shared" si="18"/>
        <v>0.33153152465821023</v>
      </c>
      <c r="H272">
        <f t="shared" si="19"/>
        <v>0.970001220703125</v>
      </c>
    </row>
    <row r="273" spans="1:8" x14ac:dyDescent="0.2">
      <c r="A273" t="s">
        <v>4</v>
      </c>
      <c r="B273" s="2">
        <v>44958</v>
      </c>
      <c r="C273">
        <v>33.027229309082031</v>
      </c>
      <c r="D273">
        <f>_xlfn.XLOOKUP(B273, Oil_Price!A:A, Oil_Price!B:B, "")</f>
        <v>76.410003662109375</v>
      </c>
      <c r="E273">
        <f t="shared" si="16"/>
        <v>-3.6366014163084361E-2</v>
      </c>
      <c r="F273">
        <f t="shared" si="17"/>
        <v>-3.1190554061179675E-2</v>
      </c>
      <c r="G273">
        <f t="shared" si="18"/>
        <v>-1.2463951110839915</v>
      </c>
      <c r="H273">
        <f t="shared" si="19"/>
        <v>-2.4599990844726562</v>
      </c>
    </row>
    <row r="274" spans="1:8" x14ac:dyDescent="0.2">
      <c r="A274" t="s">
        <v>4</v>
      </c>
      <c r="B274" s="2">
        <v>44959</v>
      </c>
      <c r="C274">
        <v>32.326400756835938</v>
      </c>
      <c r="D274">
        <f>_xlfn.XLOOKUP(B274, Oil_Price!A:A, Oil_Price!B:B, "")</f>
        <v>75.879997253417969</v>
      </c>
      <c r="E274">
        <f t="shared" si="16"/>
        <v>-2.1219719816260082E-2</v>
      </c>
      <c r="F274">
        <f t="shared" si="17"/>
        <v>-6.9363484267731925E-3</v>
      </c>
      <c r="G274">
        <f t="shared" si="18"/>
        <v>-0.70082855224609375</v>
      </c>
      <c r="H274">
        <f t="shared" si="19"/>
        <v>-0.53000640869140625</v>
      </c>
    </row>
    <row r="275" spans="1:8" x14ac:dyDescent="0.2">
      <c r="A275" t="s">
        <v>4</v>
      </c>
      <c r="B275" s="2">
        <v>44960</v>
      </c>
      <c r="C275">
        <v>32.620166778564453</v>
      </c>
      <c r="D275">
        <f>_xlfn.XLOOKUP(B275, Oil_Price!A:A, Oil_Price!B:B, "")</f>
        <v>73.389999389648438</v>
      </c>
      <c r="E275">
        <f t="shared" si="16"/>
        <v>9.087495509885803E-3</v>
      </c>
      <c r="F275">
        <f t="shared" si="17"/>
        <v>-3.2814944041888075E-2</v>
      </c>
      <c r="G275">
        <f t="shared" si="18"/>
        <v>0.29376602172851562</v>
      </c>
      <c r="H275">
        <f t="shared" si="19"/>
        <v>-2.4899978637695312</v>
      </c>
    </row>
    <row r="276" spans="1:8" x14ac:dyDescent="0.2">
      <c r="A276" t="s">
        <v>4</v>
      </c>
      <c r="B276" s="2">
        <v>44963</v>
      </c>
      <c r="C276">
        <v>32.603370666503913</v>
      </c>
      <c r="D276">
        <f>_xlfn.XLOOKUP(B276, Oil_Price!A:A, Oil_Price!B:B, "")</f>
        <v>74.110000610351562</v>
      </c>
      <c r="E276">
        <f t="shared" si="16"/>
        <v>-5.1489963783928061E-4</v>
      </c>
      <c r="F276">
        <f t="shared" si="17"/>
        <v>9.8106176139944237E-3</v>
      </c>
      <c r="G276">
        <f t="shared" si="18"/>
        <v>-1.679611206053977E-2</v>
      </c>
      <c r="H276">
        <f t="shared" si="19"/>
        <v>0.720001220703125</v>
      </c>
    </row>
    <row r="277" spans="1:8" x14ac:dyDescent="0.2">
      <c r="A277" t="s">
        <v>4</v>
      </c>
      <c r="B277" s="2">
        <v>44964</v>
      </c>
      <c r="C277">
        <v>33.291622161865227</v>
      </c>
      <c r="D277">
        <f>_xlfn.XLOOKUP(B277, Oil_Price!A:A, Oil_Price!B:B, "")</f>
        <v>77.139999389648438</v>
      </c>
      <c r="E277">
        <f t="shared" si="16"/>
        <v>2.1109826416457318E-2</v>
      </c>
      <c r="F277">
        <f t="shared" si="17"/>
        <v>4.0885153883990791E-2</v>
      </c>
      <c r="G277">
        <f t="shared" si="18"/>
        <v>0.68825149536131391</v>
      </c>
      <c r="H277">
        <f t="shared" si="19"/>
        <v>3.029998779296875</v>
      </c>
    </row>
    <row r="278" spans="1:8" x14ac:dyDescent="0.2">
      <c r="A278" t="s">
        <v>4</v>
      </c>
      <c r="B278" s="2">
        <v>44965</v>
      </c>
      <c r="C278">
        <v>33.463680267333977</v>
      </c>
      <c r="D278">
        <f>_xlfn.XLOOKUP(B278, Oil_Price!A:A, Oil_Price!B:B, "")</f>
        <v>78.470001220703125</v>
      </c>
      <c r="E278">
        <f t="shared" si="16"/>
        <v>5.1682103272768284E-3</v>
      </c>
      <c r="F278">
        <f t="shared" si="17"/>
        <v>1.724140318353649E-2</v>
      </c>
      <c r="G278">
        <f t="shared" si="18"/>
        <v>0.17205810546875</v>
      </c>
      <c r="H278">
        <f t="shared" si="19"/>
        <v>1.3300018310546875</v>
      </c>
    </row>
    <row r="279" spans="1:8" x14ac:dyDescent="0.2">
      <c r="A279" t="s">
        <v>4</v>
      </c>
      <c r="B279" s="2">
        <v>44966</v>
      </c>
      <c r="C279">
        <v>33.287422180175781</v>
      </c>
      <c r="D279">
        <f>_xlfn.XLOOKUP(B279, Oil_Price!A:A, Oil_Price!B:B, "")</f>
        <v>78.05999755859375</v>
      </c>
      <c r="E279">
        <f t="shared" si="16"/>
        <v>-5.2671459250778442E-3</v>
      </c>
      <c r="F279">
        <f t="shared" si="17"/>
        <v>-5.2249733112174554E-3</v>
      </c>
      <c r="G279">
        <f t="shared" si="18"/>
        <v>-0.17625808715819602</v>
      </c>
      <c r="H279">
        <f t="shared" si="19"/>
        <v>-0.410003662109375</v>
      </c>
    </row>
    <row r="280" spans="1:8" x14ac:dyDescent="0.2">
      <c r="A280" t="s">
        <v>4</v>
      </c>
      <c r="B280" s="2">
        <v>44967</v>
      </c>
      <c r="C280">
        <v>33.963077545166023</v>
      </c>
      <c r="D280">
        <f>_xlfn.XLOOKUP(B280, Oil_Price!A:A, Oil_Price!B:B, "")</f>
        <v>79.720001220703125</v>
      </c>
      <c r="E280">
        <f t="shared" si="16"/>
        <v>2.0297617560563939E-2</v>
      </c>
      <c r="F280">
        <f t="shared" si="17"/>
        <v>2.126574063576335E-2</v>
      </c>
      <c r="G280">
        <f t="shared" si="18"/>
        <v>0.67565536499024148</v>
      </c>
      <c r="H280">
        <f t="shared" si="19"/>
        <v>1.660003662109375</v>
      </c>
    </row>
    <row r="281" spans="1:8" x14ac:dyDescent="0.2">
      <c r="A281" t="s">
        <v>4</v>
      </c>
      <c r="B281" s="2">
        <v>44970</v>
      </c>
      <c r="C281">
        <v>34.185497283935547</v>
      </c>
      <c r="D281">
        <f>_xlfn.XLOOKUP(B281, Oil_Price!A:A, Oil_Price!B:B, "")</f>
        <v>80.139999389648438</v>
      </c>
      <c r="E281">
        <f t="shared" si="16"/>
        <v>6.5488687965258091E-3</v>
      </c>
      <c r="F281">
        <f t="shared" si="17"/>
        <v>5.2684164891387362E-3</v>
      </c>
      <c r="G281">
        <f t="shared" si="18"/>
        <v>0.22241973876952414</v>
      </c>
      <c r="H281">
        <f t="shared" si="19"/>
        <v>0.4199981689453125</v>
      </c>
    </row>
    <row r="282" spans="1:8" x14ac:dyDescent="0.2">
      <c r="A282" t="s">
        <v>4</v>
      </c>
      <c r="B282" s="2">
        <v>44971</v>
      </c>
      <c r="C282">
        <v>33.719676971435547</v>
      </c>
      <c r="D282">
        <f>_xlfn.XLOOKUP(B282, Oil_Price!A:A, Oil_Price!B:B, "")</f>
        <v>79.05999755859375</v>
      </c>
      <c r="E282">
        <f t="shared" si="16"/>
        <v>-1.3626255269333126E-2</v>
      </c>
      <c r="F282">
        <f t="shared" si="17"/>
        <v>-1.3476439222361533E-2</v>
      </c>
      <c r="G282">
        <f t="shared" si="18"/>
        <v>-0.4658203125</v>
      </c>
      <c r="H282">
        <f t="shared" si="19"/>
        <v>-1.0800018310546875</v>
      </c>
    </row>
    <row r="283" spans="1:8" x14ac:dyDescent="0.2">
      <c r="A283" t="s">
        <v>4</v>
      </c>
      <c r="B283" s="2">
        <v>44972</v>
      </c>
      <c r="C283">
        <v>33.396537780761719</v>
      </c>
      <c r="D283">
        <f>_xlfn.XLOOKUP(B283, Oil_Price!A:A, Oil_Price!B:B, "")</f>
        <v>78.589996337890625</v>
      </c>
      <c r="E283">
        <f t="shared" si="16"/>
        <v>-9.5831045756329235E-3</v>
      </c>
      <c r="F283">
        <f t="shared" si="17"/>
        <v>-5.9448676349223625E-3</v>
      </c>
      <c r="G283">
        <f t="shared" si="18"/>
        <v>-0.32313919067382812</v>
      </c>
      <c r="H283">
        <f t="shared" si="19"/>
        <v>-0.470001220703125</v>
      </c>
    </row>
    <row r="284" spans="1:8" x14ac:dyDescent="0.2">
      <c r="A284" t="s">
        <v>4</v>
      </c>
      <c r="B284" s="2">
        <v>44973</v>
      </c>
      <c r="C284">
        <v>33.018844604492188</v>
      </c>
      <c r="D284">
        <f>_xlfn.XLOOKUP(B284, Oil_Price!A:A, Oil_Price!B:B, "")</f>
        <v>78.489997863769531</v>
      </c>
      <c r="E284">
        <f t="shared" si="16"/>
        <v>-1.1309351249191578E-2</v>
      </c>
      <c r="F284">
        <f t="shared" si="17"/>
        <v>-1.2724071609719805E-3</v>
      </c>
      <c r="G284">
        <f t="shared" si="18"/>
        <v>-0.37769317626953125</v>
      </c>
      <c r="H284">
        <f t="shared" si="19"/>
        <v>-9.999847412109375E-2</v>
      </c>
    </row>
    <row r="285" spans="1:8" x14ac:dyDescent="0.2">
      <c r="A285" t="s">
        <v>4</v>
      </c>
      <c r="B285" s="2">
        <v>44974</v>
      </c>
      <c r="C285">
        <v>31.495477676391602</v>
      </c>
      <c r="D285">
        <f>_xlfn.XLOOKUP(B285, Oil_Price!A:A, Oil_Price!B:B, "")</f>
        <v>76.339996337890625</v>
      </c>
      <c r="E285">
        <f t="shared" si="16"/>
        <v>-4.6136288121157727E-2</v>
      </c>
      <c r="F285">
        <f t="shared" si="17"/>
        <v>-2.7392044647657366E-2</v>
      </c>
      <c r="G285">
        <f t="shared" si="18"/>
        <v>-1.5233669281005859</v>
      </c>
      <c r="H285">
        <f t="shared" si="19"/>
        <v>-2.1500015258789062</v>
      </c>
    </row>
    <row r="286" spans="1:8" x14ac:dyDescent="0.2">
      <c r="A286" t="s">
        <v>4</v>
      </c>
      <c r="B286" s="2">
        <v>44978</v>
      </c>
      <c r="C286">
        <v>31.3527946472168</v>
      </c>
      <c r="D286">
        <f>_xlfn.XLOOKUP(B286, Oil_Price!A:A, Oil_Price!B:B, "")</f>
        <v>76.160003662109375</v>
      </c>
      <c r="E286">
        <f t="shared" si="16"/>
        <v>-4.5302703658231403E-3</v>
      </c>
      <c r="F286">
        <f t="shared" si="17"/>
        <v>-2.3577768458958172E-3</v>
      </c>
      <c r="G286">
        <f t="shared" si="18"/>
        <v>-0.14268302917480113</v>
      </c>
      <c r="H286">
        <f t="shared" si="19"/>
        <v>-0.17999267578125</v>
      </c>
    </row>
    <row r="287" spans="1:8" x14ac:dyDescent="0.2">
      <c r="A287" t="s">
        <v>4</v>
      </c>
      <c r="B287" s="2">
        <v>44979</v>
      </c>
      <c r="C287">
        <v>31.256267547607418</v>
      </c>
      <c r="D287">
        <f>_xlfn.XLOOKUP(B287, Oil_Price!A:A, Oil_Price!B:B, "")</f>
        <v>73.949996948242188</v>
      </c>
      <c r="E287">
        <f t="shared" si="16"/>
        <v>-3.078739892105626E-3</v>
      </c>
      <c r="F287">
        <f t="shared" si="17"/>
        <v>-2.9017943902314904E-2</v>
      </c>
      <c r="G287">
        <f t="shared" si="18"/>
        <v>-9.6527099609382105E-2</v>
      </c>
      <c r="H287">
        <f t="shared" si="19"/>
        <v>-2.2100067138671875</v>
      </c>
    </row>
    <row r="288" spans="1:8" x14ac:dyDescent="0.2">
      <c r="A288" t="s">
        <v>4</v>
      </c>
      <c r="B288" s="2">
        <v>44980</v>
      </c>
      <c r="C288">
        <v>31.70111083984375</v>
      </c>
      <c r="D288">
        <f>_xlfn.XLOOKUP(B288, Oil_Price!A:A, Oil_Price!B:B, "")</f>
        <v>75.389999389648438</v>
      </c>
      <c r="E288">
        <f t="shared" si="16"/>
        <v>1.4232130933700791E-2</v>
      </c>
      <c r="F288">
        <f t="shared" si="17"/>
        <v>1.9472650450737837E-2</v>
      </c>
      <c r="G288">
        <f t="shared" si="18"/>
        <v>0.44484329223633168</v>
      </c>
      <c r="H288">
        <f t="shared" si="19"/>
        <v>1.44000244140625</v>
      </c>
    </row>
    <row r="289" spans="1:8" x14ac:dyDescent="0.2">
      <c r="A289" t="s">
        <v>4</v>
      </c>
      <c r="B289" s="2">
        <v>44981</v>
      </c>
      <c r="C289">
        <v>32.309616088867188</v>
      </c>
      <c r="D289">
        <f>_xlfn.XLOOKUP(B289, Oil_Price!A:A, Oil_Price!B:B, "")</f>
        <v>76.319999694824219</v>
      </c>
      <c r="E289">
        <f t="shared" si="16"/>
        <v>1.9195076541565024E-2</v>
      </c>
      <c r="F289">
        <f t="shared" si="17"/>
        <v>1.2335857709311464E-2</v>
      </c>
      <c r="G289">
        <f t="shared" si="18"/>
        <v>0.6085052490234375</v>
      </c>
      <c r="H289">
        <f t="shared" si="19"/>
        <v>0.93000030517578125</v>
      </c>
    </row>
    <row r="290" spans="1:8" x14ac:dyDescent="0.2">
      <c r="A290" t="s">
        <v>4</v>
      </c>
      <c r="B290" s="2">
        <v>44984</v>
      </c>
      <c r="C290">
        <v>32.527843475341797</v>
      </c>
      <c r="D290">
        <f>_xlfn.XLOOKUP(B290, Oil_Price!A:A, Oil_Price!B:B, "")</f>
        <v>75.680000305175781</v>
      </c>
      <c r="E290">
        <f t="shared" si="16"/>
        <v>6.7542550141845613E-3</v>
      </c>
      <c r="F290">
        <f t="shared" si="17"/>
        <v>-8.3857362710634317E-3</v>
      </c>
      <c r="G290">
        <f t="shared" si="18"/>
        <v>0.21822738647460938</v>
      </c>
      <c r="H290">
        <f t="shared" si="19"/>
        <v>-0.6399993896484375</v>
      </c>
    </row>
    <row r="291" spans="1:8" x14ac:dyDescent="0.2">
      <c r="A291" t="s">
        <v>4</v>
      </c>
      <c r="B291" s="2">
        <v>44985</v>
      </c>
      <c r="C291">
        <v>32.359970092773438</v>
      </c>
      <c r="D291">
        <f>_xlfn.XLOOKUP(B291, Oil_Price!A:A, Oil_Price!B:B, "")</f>
        <v>77.050003051757812</v>
      </c>
      <c r="E291">
        <f t="shared" si="16"/>
        <v>-5.160913378583435E-3</v>
      </c>
      <c r="F291">
        <f t="shared" si="17"/>
        <v>1.8102573216933988E-2</v>
      </c>
      <c r="G291">
        <f t="shared" si="18"/>
        <v>-0.16787338256835938</v>
      </c>
      <c r="H291">
        <f t="shared" si="19"/>
        <v>1.3700027465820312</v>
      </c>
    </row>
    <row r="292" spans="1:8" x14ac:dyDescent="0.2">
      <c r="A292" t="s">
        <v>4</v>
      </c>
      <c r="B292" s="2">
        <v>44986</v>
      </c>
      <c r="C292">
        <v>33.048221588134773</v>
      </c>
      <c r="D292">
        <f>_xlfn.XLOOKUP(B292, Oil_Price!A:A, Oil_Price!B:B, "")</f>
        <v>77.69000244140625</v>
      </c>
      <c r="E292">
        <f t="shared" si="16"/>
        <v>2.1268607275846469E-2</v>
      </c>
      <c r="F292">
        <f t="shared" si="17"/>
        <v>8.3062863633960177E-3</v>
      </c>
      <c r="G292">
        <f t="shared" si="18"/>
        <v>0.68825149536133523</v>
      </c>
      <c r="H292">
        <f t="shared" si="19"/>
        <v>0.6399993896484375</v>
      </c>
    </row>
    <row r="293" spans="1:8" x14ac:dyDescent="0.2">
      <c r="A293" t="s">
        <v>4</v>
      </c>
      <c r="B293" s="2">
        <v>44987</v>
      </c>
      <c r="C293">
        <v>33.639934539794922</v>
      </c>
      <c r="D293">
        <f>_xlfn.XLOOKUP(B293, Oil_Price!A:A, Oil_Price!B:B, "")</f>
        <v>78.160003662109375</v>
      </c>
      <c r="E293">
        <f t="shared" si="16"/>
        <v>1.7904532323536299E-2</v>
      </c>
      <c r="F293">
        <f t="shared" si="17"/>
        <v>6.0497001664737956E-3</v>
      </c>
      <c r="G293">
        <f t="shared" si="18"/>
        <v>0.59171295166014914</v>
      </c>
      <c r="H293">
        <f t="shared" si="19"/>
        <v>0.470001220703125</v>
      </c>
    </row>
    <row r="294" spans="1:8" x14ac:dyDescent="0.2">
      <c r="A294" t="s">
        <v>4</v>
      </c>
      <c r="B294" s="2">
        <v>44988</v>
      </c>
      <c r="C294">
        <v>34.353359222412109</v>
      </c>
      <c r="D294">
        <f>_xlfn.XLOOKUP(B294, Oil_Price!A:A, Oil_Price!B:B, "")</f>
        <v>79.680000305175781</v>
      </c>
      <c r="E294">
        <f t="shared" si="16"/>
        <v>2.1207671548029616E-2</v>
      </c>
      <c r="F294">
        <f t="shared" si="17"/>
        <v>1.944724375445845E-2</v>
      </c>
      <c r="G294">
        <f t="shared" si="18"/>
        <v>0.7134246826171875</v>
      </c>
      <c r="H294">
        <f t="shared" si="19"/>
        <v>1.5199966430664062</v>
      </c>
    </row>
    <row r="295" spans="1:8" x14ac:dyDescent="0.2">
      <c r="A295" t="s">
        <v>4</v>
      </c>
      <c r="B295" s="2">
        <v>44991</v>
      </c>
      <c r="C295">
        <v>34.067989349365227</v>
      </c>
      <c r="D295">
        <f>_xlfn.XLOOKUP(B295, Oil_Price!A:A, Oil_Price!B:B, "")</f>
        <v>80.459999084472656</v>
      </c>
      <c r="E295">
        <f t="shared" si="16"/>
        <v>-8.3068986412457441E-3</v>
      </c>
      <c r="F295">
        <f t="shared" si="17"/>
        <v>9.7891412689441043E-3</v>
      </c>
      <c r="G295">
        <f t="shared" si="18"/>
        <v>-0.28536987304688211</v>
      </c>
      <c r="H295">
        <f t="shared" si="19"/>
        <v>0.779998779296875</v>
      </c>
    </row>
    <row r="296" spans="1:8" x14ac:dyDescent="0.2">
      <c r="A296" t="s">
        <v>4</v>
      </c>
      <c r="B296" s="2">
        <v>44992</v>
      </c>
      <c r="C296">
        <v>33.316791534423828</v>
      </c>
      <c r="D296">
        <f>_xlfn.XLOOKUP(B296, Oil_Price!A:A, Oil_Price!B:B, "")</f>
        <v>77.580001831054688</v>
      </c>
      <c r="E296">
        <f t="shared" si="16"/>
        <v>-2.2049960367132609E-2</v>
      </c>
      <c r="F296">
        <f t="shared" si="17"/>
        <v>-3.5794149716486347E-2</v>
      </c>
      <c r="G296">
        <f t="shared" si="18"/>
        <v>-0.75119781494139914</v>
      </c>
      <c r="H296">
        <f t="shared" si="19"/>
        <v>-2.8799972534179688</v>
      </c>
    </row>
    <row r="297" spans="1:8" x14ac:dyDescent="0.2">
      <c r="A297" t="s">
        <v>4</v>
      </c>
      <c r="B297" s="2">
        <v>44993</v>
      </c>
      <c r="C297">
        <v>33.421714782714837</v>
      </c>
      <c r="D297">
        <f>_xlfn.XLOOKUP(B297, Oil_Price!A:A, Oil_Price!B:B, "")</f>
        <v>76.660003662109375</v>
      </c>
      <c r="E297">
        <f t="shared" si="16"/>
        <v>3.1492602816390325E-3</v>
      </c>
      <c r="F297">
        <f t="shared" si="17"/>
        <v>-1.18587025938564E-2</v>
      </c>
      <c r="G297">
        <f t="shared" si="18"/>
        <v>0.10492324829100852</v>
      </c>
      <c r="H297">
        <f t="shared" si="19"/>
        <v>-0.9199981689453125</v>
      </c>
    </row>
    <row r="298" spans="1:8" x14ac:dyDescent="0.2">
      <c r="A298" t="s">
        <v>4</v>
      </c>
      <c r="B298" s="2">
        <v>44994</v>
      </c>
      <c r="C298">
        <v>33.291622161865227</v>
      </c>
      <c r="D298">
        <f>_xlfn.XLOOKUP(B298, Oil_Price!A:A, Oil_Price!B:B, "")</f>
        <v>75.720001220703125</v>
      </c>
      <c r="E298">
        <f t="shared" si="16"/>
        <v>-3.8924579931156359E-3</v>
      </c>
      <c r="F298">
        <f t="shared" si="17"/>
        <v>-1.2261967081940849E-2</v>
      </c>
      <c r="G298">
        <f t="shared" si="18"/>
        <v>-0.13009262084960938</v>
      </c>
      <c r="H298">
        <f t="shared" si="19"/>
        <v>-0.94000244140625</v>
      </c>
    </row>
    <row r="299" spans="1:8" x14ac:dyDescent="0.2">
      <c r="A299" t="s">
        <v>4</v>
      </c>
      <c r="B299" s="2">
        <v>44995</v>
      </c>
      <c r="C299">
        <v>32.729274749755859</v>
      </c>
      <c r="D299">
        <f>_xlfn.XLOOKUP(B299, Oil_Price!A:A, Oil_Price!B:B, "")</f>
        <v>76.680000305175781</v>
      </c>
      <c r="E299">
        <f t="shared" si="16"/>
        <v>-1.6891559365152343E-2</v>
      </c>
      <c r="F299">
        <f t="shared" si="17"/>
        <v>1.2678276135713748E-2</v>
      </c>
      <c r="G299">
        <f t="shared" si="18"/>
        <v>-0.56234741210936789</v>
      </c>
      <c r="H299">
        <f t="shared" si="19"/>
        <v>0.95999908447265625</v>
      </c>
    </row>
    <row r="300" spans="1:8" x14ac:dyDescent="0.2">
      <c r="A300" t="s">
        <v>4</v>
      </c>
      <c r="B300" s="2">
        <v>44998</v>
      </c>
      <c r="C300">
        <v>31.365373611450199</v>
      </c>
      <c r="D300">
        <f>_xlfn.XLOOKUP(B300, Oil_Price!A:A, Oil_Price!B:B, "")</f>
        <v>74.800003051757812</v>
      </c>
      <c r="E300">
        <f t="shared" si="16"/>
        <v>-4.1672207793600265E-2</v>
      </c>
      <c r="F300">
        <f t="shared" si="17"/>
        <v>-2.4517439305370894E-2</v>
      </c>
      <c r="G300">
        <f t="shared" si="18"/>
        <v>-1.3639011383056605</v>
      </c>
      <c r="H300">
        <f t="shared" si="19"/>
        <v>-1.8799972534179688</v>
      </c>
    </row>
    <row r="301" spans="1:8" x14ac:dyDescent="0.2">
      <c r="A301" t="s">
        <v>4</v>
      </c>
      <c r="B301" s="2">
        <v>44999</v>
      </c>
      <c r="C301">
        <v>30.731691360473629</v>
      </c>
      <c r="D301">
        <f>_xlfn.XLOOKUP(B301, Oil_Price!A:A, Oil_Price!B:B, "")</f>
        <v>71.330001831054688</v>
      </c>
      <c r="E301">
        <f t="shared" si="16"/>
        <v>-2.0203242557430862E-2</v>
      </c>
      <c r="F301">
        <f t="shared" si="17"/>
        <v>-4.639038875843441E-2</v>
      </c>
      <c r="G301">
        <f t="shared" si="18"/>
        <v>-0.63368225097656961</v>
      </c>
      <c r="H301">
        <f t="shared" si="19"/>
        <v>-3.470001220703125</v>
      </c>
    </row>
    <row r="302" spans="1:8" x14ac:dyDescent="0.2">
      <c r="A302" t="s">
        <v>4</v>
      </c>
      <c r="B302" s="2">
        <v>45000</v>
      </c>
      <c r="C302">
        <v>29.279666900634769</v>
      </c>
      <c r="D302">
        <f>_xlfn.XLOOKUP(B302, Oil_Price!A:A, Oil_Price!B:B, "")</f>
        <v>67.610000610351562</v>
      </c>
      <c r="E302">
        <f t="shared" si="16"/>
        <v>-4.7248439495472069E-2</v>
      </c>
      <c r="F302">
        <f t="shared" si="17"/>
        <v>-5.2151985492920057E-2</v>
      </c>
      <c r="G302">
        <f t="shared" si="18"/>
        <v>-1.4520244598388601</v>
      </c>
      <c r="H302">
        <f t="shared" si="19"/>
        <v>-3.720001220703125</v>
      </c>
    </row>
    <row r="303" spans="1:8" x14ac:dyDescent="0.2">
      <c r="A303" t="s">
        <v>4</v>
      </c>
      <c r="B303" s="2">
        <v>45001</v>
      </c>
      <c r="C303">
        <v>29.65379524230957</v>
      </c>
      <c r="D303">
        <f>_xlfn.XLOOKUP(B303, Oil_Price!A:A, Oil_Price!B:B, "")</f>
        <v>68.349998474121094</v>
      </c>
      <c r="E303">
        <f t="shared" si="16"/>
        <v>1.2777752661752111E-2</v>
      </c>
      <c r="F303">
        <f t="shared" si="17"/>
        <v>1.0945094765407122E-2</v>
      </c>
      <c r="G303">
        <f t="shared" si="18"/>
        <v>0.37412834167480113</v>
      </c>
      <c r="H303">
        <f t="shared" si="19"/>
        <v>0.73999786376953125</v>
      </c>
    </row>
    <row r="304" spans="1:8" x14ac:dyDescent="0.2">
      <c r="A304" t="s">
        <v>4</v>
      </c>
      <c r="B304" s="2">
        <v>45002</v>
      </c>
      <c r="C304">
        <v>29.186138153076168</v>
      </c>
      <c r="D304">
        <f>_xlfn.XLOOKUP(B304, Oil_Price!A:A, Oil_Price!B:B, "")</f>
        <v>66.739997863769531</v>
      </c>
      <c r="E304">
        <f t="shared" si="16"/>
        <v>-1.5770564455984244E-2</v>
      </c>
      <c r="F304">
        <f t="shared" si="17"/>
        <v>-2.3555239887256857E-2</v>
      </c>
      <c r="G304">
        <f t="shared" si="18"/>
        <v>-0.46765708923340199</v>
      </c>
      <c r="H304">
        <f t="shared" si="19"/>
        <v>-1.6100006103515625</v>
      </c>
    </row>
    <row r="305" spans="1:8" x14ac:dyDescent="0.2">
      <c r="A305" t="s">
        <v>4</v>
      </c>
      <c r="B305" s="2">
        <v>45005</v>
      </c>
      <c r="C305">
        <v>29.938640594482418</v>
      </c>
      <c r="D305">
        <f>_xlfn.XLOOKUP(B305, Oil_Price!A:A, Oil_Price!B:B, "")</f>
        <v>67.639999389648438</v>
      </c>
      <c r="E305">
        <f t="shared" si="16"/>
        <v>2.5782871219875231E-2</v>
      </c>
      <c r="F305">
        <f t="shared" si="17"/>
        <v>1.3485189611722792E-2</v>
      </c>
      <c r="G305">
        <f t="shared" si="18"/>
        <v>0.75250244140625</v>
      </c>
      <c r="H305">
        <f t="shared" si="19"/>
        <v>0.90000152587890625</v>
      </c>
    </row>
    <row r="306" spans="1:8" x14ac:dyDescent="0.2">
      <c r="A306" t="s">
        <v>4</v>
      </c>
      <c r="B306" s="2">
        <v>45006</v>
      </c>
      <c r="C306">
        <v>30.835693359375</v>
      </c>
      <c r="D306">
        <f>_xlfn.XLOOKUP(B306, Oil_Price!A:A, Oil_Price!B:B, "")</f>
        <v>69.330001831054688</v>
      </c>
      <c r="E306">
        <f t="shared" si="16"/>
        <v>2.9963042645894389E-2</v>
      </c>
      <c r="F306">
        <f t="shared" si="17"/>
        <v>2.4985252168185063E-2</v>
      </c>
      <c r="G306">
        <f t="shared" si="18"/>
        <v>0.89705276489258168</v>
      </c>
      <c r="H306">
        <f t="shared" si="19"/>
        <v>1.69000244140625</v>
      </c>
    </row>
    <row r="307" spans="1:8" x14ac:dyDescent="0.2">
      <c r="A307" t="s">
        <v>4</v>
      </c>
      <c r="B307" s="2">
        <v>45007</v>
      </c>
      <c r="C307">
        <v>30.300014495849609</v>
      </c>
      <c r="D307">
        <f>_xlfn.XLOOKUP(B307, Oil_Price!A:A, Oil_Price!B:B, "")</f>
        <v>70.900001525878906</v>
      </c>
      <c r="E307">
        <f t="shared" si="16"/>
        <v>-1.7372038866851937E-2</v>
      </c>
      <c r="F307">
        <f t="shared" si="17"/>
        <v>2.2645314486649495E-2</v>
      </c>
      <c r="G307">
        <f t="shared" si="18"/>
        <v>-0.53567886352539062</v>
      </c>
      <c r="H307">
        <f t="shared" si="19"/>
        <v>1.5699996948242188</v>
      </c>
    </row>
    <row r="308" spans="1:8" x14ac:dyDescent="0.2">
      <c r="A308" t="s">
        <v>4</v>
      </c>
      <c r="B308" s="2">
        <v>45008</v>
      </c>
      <c r="C308">
        <v>30.010915756225589</v>
      </c>
      <c r="D308">
        <f>_xlfn.XLOOKUP(B308, Oil_Price!A:A, Oil_Price!B:B, "")</f>
        <v>69.959999084472656</v>
      </c>
      <c r="E308">
        <f t="shared" si="16"/>
        <v>-9.5412079642278602E-3</v>
      </c>
      <c r="F308">
        <f t="shared" si="17"/>
        <v>-1.3258144163271191E-2</v>
      </c>
      <c r="G308">
        <f t="shared" si="18"/>
        <v>-0.28909873962401988</v>
      </c>
      <c r="H308">
        <f t="shared" si="19"/>
        <v>-0.94000244140625</v>
      </c>
    </row>
    <row r="309" spans="1:8" x14ac:dyDescent="0.2">
      <c r="A309" t="s">
        <v>4</v>
      </c>
      <c r="B309" s="2">
        <v>45009</v>
      </c>
      <c r="C309">
        <v>30.015169143676761</v>
      </c>
      <c r="D309">
        <f>_xlfn.XLOOKUP(B309, Oil_Price!A:A, Oil_Price!B:B, "")</f>
        <v>69.260002136230469</v>
      </c>
      <c r="E309">
        <f t="shared" si="16"/>
        <v>1.4172801275780911E-4</v>
      </c>
      <c r="F309">
        <f t="shared" si="17"/>
        <v>-1.0005674062359287E-2</v>
      </c>
      <c r="G309">
        <f t="shared" si="18"/>
        <v>4.253387451171875E-3</v>
      </c>
      <c r="H309">
        <f t="shared" si="19"/>
        <v>-0.6999969482421875</v>
      </c>
    </row>
    <row r="310" spans="1:8" x14ac:dyDescent="0.2">
      <c r="A310" t="s">
        <v>4</v>
      </c>
      <c r="B310" s="2">
        <v>45012</v>
      </c>
      <c r="C310">
        <v>30.584856033325199</v>
      </c>
      <c r="D310">
        <f>_xlfn.XLOOKUP(B310, Oil_Price!A:A, Oil_Price!B:B, "")</f>
        <v>72.80999755859375</v>
      </c>
      <c r="E310">
        <f t="shared" si="16"/>
        <v>1.8979965993909862E-2</v>
      </c>
      <c r="F310">
        <f t="shared" si="17"/>
        <v>5.1256068623570683E-2</v>
      </c>
      <c r="G310">
        <f t="shared" si="18"/>
        <v>0.5696868896484375</v>
      </c>
      <c r="H310">
        <f t="shared" si="19"/>
        <v>3.5499954223632812</v>
      </c>
    </row>
    <row r="311" spans="1:8" x14ac:dyDescent="0.2">
      <c r="A311" t="s">
        <v>4</v>
      </c>
      <c r="B311" s="2">
        <v>45013</v>
      </c>
      <c r="C311">
        <v>31.090780258178711</v>
      </c>
      <c r="D311">
        <f>_xlfn.XLOOKUP(B311, Oil_Price!A:A, Oil_Price!B:B, "")</f>
        <v>73.199996948242188</v>
      </c>
      <c r="E311">
        <f t="shared" si="16"/>
        <v>1.6541657881346834E-2</v>
      </c>
      <c r="F311">
        <f t="shared" si="17"/>
        <v>5.3563988837465075E-3</v>
      </c>
      <c r="G311">
        <f t="shared" si="18"/>
        <v>0.50592422485351207</v>
      </c>
      <c r="H311">
        <f t="shared" si="19"/>
        <v>0.3899993896484375</v>
      </c>
    </row>
    <row r="312" spans="1:8" x14ac:dyDescent="0.2">
      <c r="A312" t="s">
        <v>4</v>
      </c>
      <c r="B312" s="2">
        <v>45014</v>
      </c>
      <c r="C312">
        <v>31.45640754699707</v>
      </c>
      <c r="D312">
        <f>_xlfn.XLOOKUP(B312, Oil_Price!A:A, Oil_Price!B:B, "")</f>
        <v>72.970001220703125</v>
      </c>
      <c r="E312">
        <f t="shared" si="16"/>
        <v>1.1759990768394363E-2</v>
      </c>
      <c r="F312">
        <f t="shared" si="17"/>
        <v>-3.1420182667724222E-3</v>
      </c>
      <c r="G312">
        <f t="shared" si="18"/>
        <v>0.36562728881835938</v>
      </c>
      <c r="H312">
        <f t="shared" si="19"/>
        <v>-0.2299957275390625</v>
      </c>
    </row>
    <row r="313" spans="1:8" x14ac:dyDescent="0.2">
      <c r="A313" t="s">
        <v>4</v>
      </c>
      <c r="B313" s="2">
        <v>45015</v>
      </c>
      <c r="C313">
        <v>31.588203430175781</v>
      </c>
      <c r="D313">
        <f>_xlfn.XLOOKUP(B313, Oil_Price!A:A, Oil_Price!B:B, "")</f>
        <v>74.370002746582031</v>
      </c>
      <c r="E313">
        <f t="shared" si="16"/>
        <v>4.1897944951852133E-3</v>
      </c>
      <c r="F313">
        <f t="shared" si="17"/>
        <v>1.9185987425771021E-2</v>
      </c>
      <c r="G313">
        <f t="shared" si="18"/>
        <v>0.13179588317871094</v>
      </c>
      <c r="H313">
        <f t="shared" si="19"/>
        <v>1.4000015258789062</v>
      </c>
    </row>
    <row r="314" spans="1:8" x14ac:dyDescent="0.2">
      <c r="A314" t="s">
        <v>4</v>
      </c>
      <c r="B314" s="2">
        <v>45016</v>
      </c>
      <c r="C314">
        <v>31.796524047851559</v>
      </c>
      <c r="D314">
        <f>_xlfn.XLOOKUP(B314, Oil_Price!A:A, Oil_Price!B:B, "")</f>
        <v>75.669998168945312</v>
      </c>
      <c r="E314">
        <f t="shared" si="16"/>
        <v>6.5948865416249614E-3</v>
      </c>
      <c r="F314">
        <f t="shared" si="17"/>
        <v>1.7480104536140115E-2</v>
      </c>
      <c r="G314">
        <f t="shared" si="18"/>
        <v>0.2083206176757777</v>
      </c>
      <c r="H314">
        <f t="shared" si="19"/>
        <v>1.2999954223632812</v>
      </c>
    </row>
    <row r="315" spans="1:8" x14ac:dyDescent="0.2">
      <c r="A315" t="s">
        <v>4</v>
      </c>
      <c r="B315" s="2">
        <v>45019</v>
      </c>
      <c r="C315">
        <v>33.756439208984382</v>
      </c>
      <c r="D315">
        <f>_xlfn.XLOOKUP(B315, Oil_Price!A:A, Oil_Price!B:B, "")</f>
        <v>80.419998168945312</v>
      </c>
      <c r="E315">
        <f t="shared" si="16"/>
        <v>6.1639289822475157E-2</v>
      </c>
      <c r="F315">
        <f t="shared" si="17"/>
        <v>6.2772566604202495E-2</v>
      </c>
      <c r="G315">
        <f t="shared" si="18"/>
        <v>1.9599151611328232</v>
      </c>
      <c r="H315">
        <f t="shared" si="19"/>
        <v>4.75</v>
      </c>
    </row>
    <row r="316" spans="1:8" x14ac:dyDescent="0.2">
      <c r="A316" t="s">
        <v>4</v>
      </c>
      <c r="B316" s="2">
        <v>45020</v>
      </c>
      <c r="C316">
        <v>33.773441314697273</v>
      </c>
      <c r="D316">
        <f>_xlfn.XLOOKUP(B316, Oil_Price!A:A, Oil_Price!B:B, "")</f>
        <v>80.709999084472656</v>
      </c>
      <c r="E316">
        <f t="shared" si="16"/>
        <v>5.0366999930387976E-4</v>
      </c>
      <c r="F316">
        <f t="shared" si="17"/>
        <v>3.6060796086828241E-3</v>
      </c>
      <c r="G316">
        <f t="shared" si="18"/>
        <v>1.7002105712890625E-2</v>
      </c>
      <c r="H316">
        <f t="shared" si="19"/>
        <v>0.29000091552734375</v>
      </c>
    </row>
    <row r="317" spans="1:8" x14ac:dyDescent="0.2">
      <c r="A317" t="s">
        <v>4</v>
      </c>
      <c r="B317" s="2">
        <v>45021</v>
      </c>
      <c r="C317">
        <v>33.730926513671882</v>
      </c>
      <c r="D317">
        <f>_xlfn.XLOOKUP(B317, Oil_Price!A:A, Oil_Price!B:B, "")</f>
        <v>80.610000610351562</v>
      </c>
      <c r="E317">
        <f t="shared" si="16"/>
        <v>-1.2588234829030986E-3</v>
      </c>
      <c r="F317">
        <f t="shared" si="17"/>
        <v>-1.2389849492679761E-3</v>
      </c>
      <c r="G317">
        <f t="shared" si="18"/>
        <v>-4.2514801025390625E-2</v>
      </c>
      <c r="H317">
        <f t="shared" si="19"/>
        <v>-9.999847412109375E-2</v>
      </c>
    </row>
    <row r="318" spans="1:8" x14ac:dyDescent="0.2">
      <c r="A318" t="s">
        <v>4</v>
      </c>
      <c r="B318" s="2">
        <v>45022</v>
      </c>
      <c r="C318">
        <v>33.556617736816413</v>
      </c>
      <c r="D318">
        <f>_xlfn.XLOOKUP(B318, Oil_Price!A:A, Oil_Price!B:B, "")</f>
        <v>80.699996948242188</v>
      </c>
      <c r="E318">
        <f t="shared" si="16"/>
        <v>-5.167624932710271E-3</v>
      </c>
      <c r="F318">
        <f t="shared" si="17"/>
        <v>1.1164413498226432E-3</v>
      </c>
      <c r="G318">
        <f t="shared" si="18"/>
        <v>-0.17430877685546875</v>
      </c>
      <c r="H318">
        <f t="shared" si="19"/>
        <v>8.9996337890625E-2</v>
      </c>
    </row>
    <row r="319" spans="1:8" x14ac:dyDescent="0.2">
      <c r="A319" t="s">
        <v>4</v>
      </c>
      <c r="B319" s="2">
        <v>45026</v>
      </c>
      <c r="C319">
        <v>33.696918487548828</v>
      </c>
      <c r="D319">
        <f>_xlfn.XLOOKUP(B319, Oil_Price!A:A, Oil_Price!B:B, "")</f>
        <v>79.739997863769531</v>
      </c>
      <c r="E319">
        <f t="shared" si="16"/>
        <v>4.1810158530513871E-3</v>
      </c>
      <c r="F319">
        <f t="shared" si="17"/>
        <v>-1.1895899885700887E-2</v>
      </c>
      <c r="G319">
        <f t="shared" si="18"/>
        <v>0.14030075073241477</v>
      </c>
      <c r="H319">
        <f t="shared" si="19"/>
        <v>-0.95999908447265625</v>
      </c>
    </row>
    <row r="320" spans="1:8" x14ac:dyDescent="0.2">
      <c r="A320" t="s">
        <v>4</v>
      </c>
      <c r="B320" s="2">
        <v>45027</v>
      </c>
      <c r="C320">
        <v>33.973258972167969</v>
      </c>
      <c r="D320">
        <f>_xlfn.XLOOKUP(B320, Oil_Price!A:A, Oil_Price!B:B, "")</f>
        <v>81.529998779296875</v>
      </c>
      <c r="E320">
        <f t="shared" si="16"/>
        <v>8.2007642544896127E-3</v>
      </c>
      <c r="F320">
        <f t="shared" si="17"/>
        <v>2.2447967939319999E-2</v>
      </c>
      <c r="G320">
        <f t="shared" si="18"/>
        <v>0.27634048461914062</v>
      </c>
      <c r="H320">
        <f t="shared" si="19"/>
        <v>1.7900009155273438</v>
      </c>
    </row>
    <row r="321" spans="1:8" x14ac:dyDescent="0.2">
      <c r="A321" t="s">
        <v>4</v>
      </c>
      <c r="B321" s="2">
        <v>45028</v>
      </c>
      <c r="C321">
        <v>34.126308441162109</v>
      </c>
      <c r="D321">
        <f>_xlfn.XLOOKUP(B321, Oil_Price!A:A, Oil_Price!B:B, "")</f>
        <v>83.260002136230469</v>
      </c>
      <c r="E321">
        <f t="shared" si="16"/>
        <v>4.5049981551526707E-3</v>
      </c>
      <c r="F321">
        <f t="shared" si="17"/>
        <v>2.1219224614693579E-2</v>
      </c>
      <c r="G321">
        <f t="shared" si="18"/>
        <v>0.15304946899414062</v>
      </c>
      <c r="H321">
        <f t="shared" si="19"/>
        <v>1.7300033569335938</v>
      </c>
    </row>
    <row r="322" spans="1:8" x14ac:dyDescent="0.2">
      <c r="A322" t="s">
        <v>4</v>
      </c>
      <c r="B322" s="2">
        <v>45029</v>
      </c>
      <c r="C322">
        <v>34.827796936035163</v>
      </c>
      <c r="D322">
        <f>_xlfn.XLOOKUP(B322, Oil_Price!A:A, Oil_Price!B:B, "")</f>
        <v>82.160003662109375</v>
      </c>
      <c r="E322">
        <f t="shared" si="16"/>
        <v>2.055565125312353E-2</v>
      </c>
      <c r="F322">
        <f t="shared" si="17"/>
        <v>-1.3211607565434243E-2</v>
      </c>
      <c r="G322">
        <f t="shared" si="18"/>
        <v>0.70148849487305398</v>
      </c>
      <c r="H322">
        <f t="shared" si="19"/>
        <v>-1.0999984741210938</v>
      </c>
    </row>
    <row r="323" spans="1:8" x14ac:dyDescent="0.2">
      <c r="A323" t="s">
        <v>4</v>
      </c>
      <c r="B323" s="2">
        <v>45030</v>
      </c>
      <c r="C323">
        <v>35.223186492919922</v>
      </c>
      <c r="D323">
        <f>_xlfn.XLOOKUP(B323, Oil_Price!A:A, Oil_Price!B:B, "")</f>
        <v>82.519996643066406</v>
      </c>
      <c r="E323">
        <f t="shared" ref="E323:E386" si="20">IFERROR(IF(AND(A323=A322, C323&lt;&gt;"", C322&lt;&gt;""), (C323-C322)/C322, ""), "")</f>
        <v>1.1352700764017091E-2</v>
      </c>
      <c r="F323">
        <f t="shared" ref="F323:F386" si="21">IFERROR(IF(AND(A323=A322, D323&lt;&gt;"", D322&lt;&gt;""), (D323-D322)/D322, ""), "")</f>
        <v>4.3816086284213874E-3</v>
      </c>
      <c r="G323">
        <f t="shared" ref="G323:G386" si="22">IFERROR(IF(AND(A323=A322, C323&lt;&gt;"", C322&lt;&gt;""), C323-C322, ""), "")</f>
        <v>0.39538955688475852</v>
      </c>
      <c r="H323">
        <f t="shared" ref="H323:H386" si="23">IFERROR(IF(AND(A323=A322, D323&lt;&gt;"", D322&lt;&gt;""), D323-D322, ""), "")</f>
        <v>0.35999298095703125</v>
      </c>
    </row>
    <row r="324" spans="1:8" x14ac:dyDescent="0.2">
      <c r="A324" t="s">
        <v>4</v>
      </c>
      <c r="B324" s="2">
        <v>45033</v>
      </c>
      <c r="C324">
        <v>34.9595947265625</v>
      </c>
      <c r="D324">
        <f>_xlfn.XLOOKUP(B324, Oil_Price!A:A, Oil_Price!B:B, "")</f>
        <v>80.830001831054688</v>
      </c>
      <c r="E324">
        <f t="shared" si="20"/>
        <v>-7.4834730358766784E-3</v>
      </c>
      <c r="F324">
        <f t="shared" si="21"/>
        <v>-2.0479821628224915E-2</v>
      </c>
      <c r="G324">
        <f t="shared" si="22"/>
        <v>-0.26359176635742188</v>
      </c>
      <c r="H324">
        <f t="shared" si="23"/>
        <v>-1.6899948120117188</v>
      </c>
    </row>
    <row r="325" spans="1:8" x14ac:dyDescent="0.2">
      <c r="A325" t="s">
        <v>4</v>
      </c>
      <c r="B325" s="2">
        <v>45034</v>
      </c>
      <c r="C325">
        <v>34.793788909912109</v>
      </c>
      <c r="D325">
        <f>_xlfn.XLOOKUP(B325, Oil_Price!A:A, Oil_Price!B:B, "")</f>
        <v>80.860000610351562</v>
      </c>
      <c r="E325">
        <f t="shared" si="20"/>
        <v>-4.742784289899403E-3</v>
      </c>
      <c r="F325">
        <f t="shared" si="21"/>
        <v>3.711342152333039E-4</v>
      </c>
      <c r="G325">
        <f t="shared" si="22"/>
        <v>-0.16580581665039062</v>
      </c>
      <c r="H325">
        <f t="shared" si="23"/>
        <v>2.9998779296875E-2</v>
      </c>
    </row>
    <row r="326" spans="1:8" x14ac:dyDescent="0.2">
      <c r="A326" t="s">
        <v>4</v>
      </c>
      <c r="B326" s="2">
        <v>45035</v>
      </c>
      <c r="C326">
        <v>34.819297790527337</v>
      </c>
      <c r="D326">
        <f>_xlfn.XLOOKUP(B326, Oil_Price!A:A, Oil_Price!B:B, "")</f>
        <v>79.160003662109375</v>
      </c>
      <c r="E326">
        <f t="shared" si="20"/>
        <v>7.3314466214860149E-4</v>
      </c>
      <c r="F326">
        <f t="shared" si="21"/>
        <v>-2.102395418513708E-2</v>
      </c>
      <c r="G326">
        <f t="shared" si="22"/>
        <v>2.550888061522727E-2</v>
      </c>
      <c r="H326">
        <f t="shared" si="23"/>
        <v>-1.6999969482421875</v>
      </c>
    </row>
    <row r="327" spans="1:8" x14ac:dyDescent="0.2">
      <c r="A327" t="s">
        <v>4</v>
      </c>
      <c r="B327" s="2">
        <v>45036</v>
      </c>
      <c r="C327">
        <v>34.241104125976562</v>
      </c>
      <c r="D327">
        <f>_xlfn.XLOOKUP(B327, Oil_Price!A:A, Oil_Price!B:B, "")</f>
        <v>77.290000915527344</v>
      </c>
      <c r="E327">
        <f t="shared" si="20"/>
        <v>-1.6605552128856341E-2</v>
      </c>
      <c r="F327">
        <f t="shared" si="21"/>
        <v>-2.3623075544109966E-2</v>
      </c>
      <c r="G327">
        <f t="shared" si="22"/>
        <v>-0.57819366455077414</v>
      </c>
      <c r="H327">
        <f t="shared" si="23"/>
        <v>-1.8700027465820312</v>
      </c>
    </row>
    <row r="328" spans="1:8" x14ac:dyDescent="0.2">
      <c r="A328" t="s">
        <v>4</v>
      </c>
      <c r="B328" s="2">
        <v>45037</v>
      </c>
      <c r="C328">
        <v>34.432411193847663</v>
      </c>
      <c r="D328">
        <f>_xlfn.XLOOKUP(B328, Oil_Price!A:A, Oil_Price!B:B, "")</f>
        <v>77.870002746582031</v>
      </c>
      <c r="E328">
        <f t="shared" si="20"/>
        <v>5.5870589677033304E-3</v>
      </c>
      <c r="F328">
        <f t="shared" si="21"/>
        <v>7.5042285442406664E-3</v>
      </c>
      <c r="G328">
        <f t="shared" si="22"/>
        <v>0.19130706787110086</v>
      </c>
      <c r="H328">
        <f t="shared" si="23"/>
        <v>0.5800018310546875</v>
      </c>
    </row>
    <row r="329" spans="1:8" x14ac:dyDescent="0.2">
      <c r="A329" t="s">
        <v>4</v>
      </c>
      <c r="B329" s="2">
        <v>45040</v>
      </c>
      <c r="C329">
        <v>34.781028747558587</v>
      </c>
      <c r="D329">
        <f>_xlfn.XLOOKUP(B329, Oil_Price!A:A, Oil_Price!B:B, "")</f>
        <v>78.760002136230469</v>
      </c>
      <c r="E329">
        <f t="shared" si="20"/>
        <v>1.0124691870931589E-2</v>
      </c>
      <c r="F329">
        <f t="shared" si="21"/>
        <v>1.1429297011133115E-2</v>
      </c>
      <c r="G329">
        <f t="shared" si="22"/>
        <v>0.34861755371092329</v>
      </c>
      <c r="H329">
        <f t="shared" si="23"/>
        <v>0.8899993896484375</v>
      </c>
    </row>
    <row r="330" spans="1:8" x14ac:dyDescent="0.2">
      <c r="A330" t="s">
        <v>4</v>
      </c>
      <c r="B330" s="2">
        <v>45041</v>
      </c>
      <c r="C330">
        <v>34.249599456787109</v>
      </c>
      <c r="D330">
        <f>_xlfn.XLOOKUP(B330, Oil_Price!A:A, Oil_Price!B:B, "")</f>
        <v>77.069999694824219</v>
      </c>
      <c r="E330">
        <f t="shared" si="20"/>
        <v>-1.5279286148451842E-2</v>
      </c>
      <c r="F330">
        <f t="shared" si="21"/>
        <v>-2.145762310268946E-2</v>
      </c>
      <c r="G330">
        <f t="shared" si="22"/>
        <v>-0.53142929077147727</v>
      </c>
      <c r="H330">
        <f t="shared" si="23"/>
        <v>-1.69000244140625</v>
      </c>
    </row>
    <row r="331" spans="1:8" x14ac:dyDescent="0.2">
      <c r="A331" t="s">
        <v>4</v>
      </c>
      <c r="B331" s="2">
        <v>45042</v>
      </c>
      <c r="C331">
        <v>34.126308441162109</v>
      </c>
      <c r="D331">
        <f>_xlfn.XLOOKUP(B331, Oil_Price!A:A, Oil_Price!B:B, "")</f>
        <v>74.300003051757812</v>
      </c>
      <c r="E331">
        <f t="shared" si="20"/>
        <v>-3.5997797807988058E-3</v>
      </c>
      <c r="F331">
        <f t="shared" si="21"/>
        <v>-3.594130860302093E-2</v>
      </c>
      <c r="G331">
        <f t="shared" si="22"/>
        <v>-0.123291015625</v>
      </c>
      <c r="H331">
        <f t="shared" si="23"/>
        <v>-2.7699966430664062</v>
      </c>
    </row>
    <row r="332" spans="1:8" x14ac:dyDescent="0.2">
      <c r="A332" t="s">
        <v>4</v>
      </c>
      <c r="B332" s="2">
        <v>45043</v>
      </c>
      <c r="C332">
        <v>34.389900207519531</v>
      </c>
      <c r="D332">
        <f>_xlfn.XLOOKUP(B332, Oil_Price!A:A, Oil_Price!B:B, "")</f>
        <v>74.760002136230469</v>
      </c>
      <c r="E332">
        <f t="shared" si="20"/>
        <v>7.7240046872308508E-3</v>
      </c>
      <c r="F332">
        <f t="shared" si="21"/>
        <v>6.1911045165397669E-3</v>
      </c>
      <c r="G332">
        <f t="shared" si="22"/>
        <v>0.26359176635742188</v>
      </c>
      <c r="H332">
        <f t="shared" si="23"/>
        <v>0.45999908447265625</v>
      </c>
    </row>
    <row r="333" spans="1:8" x14ac:dyDescent="0.2">
      <c r="A333" t="s">
        <v>4</v>
      </c>
      <c r="B333" s="2">
        <v>45044</v>
      </c>
      <c r="C333">
        <v>35.099895477294922</v>
      </c>
      <c r="D333">
        <f>_xlfn.XLOOKUP(B333, Oil_Price!A:A, Oil_Price!B:B, "")</f>
        <v>76.779998779296875</v>
      </c>
      <c r="E333">
        <f t="shared" si="20"/>
        <v>2.0645458855392273E-2</v>
      </c>
      <c r="F333">
        <f t="shared" si="21"/>
        <v>2.7019751007838294E-2</v>
      </c>
      <c r="G333">
        <f t="shared" si="22"/>
        <v>0.70999526977539062</v>
      </c>
      <c r="H333">
        <f t="shared" si="23"/>
        <v>2.0199966430664062</v>
      </c>
    </row>
    <row r="334" spans="1:8" x14ac:dyDescent="0.2">
      <c r="A334" t="s">
        <v>4</v>
      </c>
      <c r="B334" s="2">
        <v>45047</v>
      </c>
      <c r="C334">
        <v>34.691753387451172</v>
      </c>
      <c r="D334">
        <f>_xlfn.XLOOKUP(B334, Oil_Price!A:A, Oil_Price!B:B, "")</f>
        <v>75.660003662109375</v>
      </c>
      <c r="E334">
        <f t="shared" si="20"/>
        <v>-1.1628014394167214E-2</v>
      </c>
      <c r="F334">
        <f t="shared" si="21"/>
        <v>-1.4587068702708783E-2</v>
      </c>
      <c r="G334">
        <f t="shared" si="22"/>
        <v>-0.40814208984375</v>
      </c>
      <c r="H334">
        <f t="shared" si="23"/>
        <v>-1.1199951171875</v>
      </c>
    </row>
    <row r="335" spans="1:8" x14ac:dyDescent="0.2">
      <c r="A335" t="s">
        <v>4</v>
      </c>
      <c r="B335" s="2">
        <v>45048</v>
      </c>
      <c r="C335">
        <v>33.148483276367188</v>
      </c>
      <c r="D335">
        <f>_xlfn.XLOOKUP(B335, Oil_Price!A:A, Oil_Price!B:B, "")</f>
        <v>71.660003662109375</v>
      </c>
      <c r="E335">
        <f t="shared" si="20"/>
        <v>-4.4485215084061495E-2</v>
      </c>
      <c r="F335">
        <f t="shared" si="21"/>
        <v>-5.2868091546276322E-2</v>
      </c>
      <c r="G335">
        <f t="shared" si="22"/>
        <v>-1.5432701110839844</v>
      </c>
      <c r="H335">
        <f t="shared" si="23"/>
        <v>-4</v>
      </c>
    </row>
    <row r="336" spans="1:8" x14ac:dyDescent="0.2">
      <c r="A336" t="s">
        <v>4</v>
      </c>
      <c r="B336" s="2">
        <v>45049</v>
      </c>
      <c r="C336">
        <v>32.498012542724609</v>
      </c>
      <c r="D336">
        <f>_xlfn.XLOOKUP(B336, Oil_Price!A:A, Oil_Price!B:B, "")</f>
        <v>68.599998474121094</v>
      </c>
      <c r="E336">
        <f t="shared" si="20"/>
        <v>-1.9622941062474596E-2</v>
      </c>
      <c r="F336">
        <f t="shared" si="21"/>
        <v>-4.2701716879848223E-2</v>
      </c>
      <c r="G336">
        <f t="shared" si="22"/>
        <v>-0.65047073364257812</v>
      </c>
      <c r="H336">
        <f t="shared" si="23"/>
        <v>-3.0600051879882812</v>
      </c>
    </row>
    <row r="337" spans="1:8" x14ac:dyDescent="0.2">
      <c r="A337" t="s">
        <v>4</v>
      </c>
      <c r="B337" s="2">
        <v>45050</v>
      </c>
      <c r="C337">
        <v>31.537185668945309</v>
      </c>
      <c r="D337">
        <f>_xlfn.XLOOKUP(B337, Oil_Price!A:A, Oil_Price!B:B, "")</f>
        <v>68.55999755859375</v>
      </c>
      <c r="E337">
        <f t="shared" si="20"/>
        <v>-2.9565711826719156E-2</v>
      </c>
      <c r="F337">
        <f t="shared" si="21"/>
        <v>-5.8310373785844672E-4</v>
      </c>
      <c r="G337">
        <f t="shared" si="22"/>
        <v>-0.96082687377930043</v>
      </c>
      <c r="H337">
        <f t="shared" si="23"/>
        <v>-4.000091552734375E-2</v>
      </c>
    </row>
    <row r="338" spans="1:8" x14ac:dyDescent="0.2">
      <c r="A338" t="s">
        <v>4</v>
      </c>
      <c r="B338" s="2">
        <v>45051</v>
      </c>
      <c r="C338">
        <v>32.774349212646477</v>
      </c>
      <c r="D338">
        <f>_xlfn.XLOOKUP(B338, Oil_Price!A:A, Oil_Price!B:B, "")</f>
        <v>71.339996337890625</v>
      </c>
      <c r="E338">
        <f t="shared" si="20"/>
        <v>3.9228723725953908E-2</v>
      </c>
      <c r="F338">
        <f t="shared" si="21"/>
        <v>4.0548408376487932E-2</v>
      </c>
      <c r="G338">
        <f t="shared" si="22"/>
        <v>1.2371635437011683</v>
      </c>
      <c r="H338">
        <f t="shared" si="23"/>
        <v>2.779998779296875</v>
      </c>
    </row>
    <row r="339" spans="1:8" x14ac:dyDescent="0.2">
      <c r="A339" t="s">
        <v>4</v>
      </c>
      <c r="B339" s="2">
        <v>45054</v>
      </c>
      <c r="C339">
        <v>32.493755340576172</v>
      </c>
      <c r="D339">
        <f>_xlfn.XLOOKUP(B339, Oil_Price!A:A, Oil_Price!B:B, "")</f>
        <v>73.160003662109375</v>
      </c>
      <c r="E339">
        <f t="shared" si="20"/>
        <v>-8.5613865358471868E-3</v>
      </c>
      <c r="F339">
        <f t="shared" si="21"/>
        <v>2.5511738402656664E-2</v>
      </c>
      <c r="G339">
        <f t="shared" si="22"/>
        <v>-0.28059387207030539</v>
      </c>
      <c r="H339">
        <f t="shared" si="23"/>
        <v>1.82000732421875</v>
      </c>
    </row>
    <row r="340" spans="1:8" x14ac:dyDescent="0.2">
      <c r="A340" t="s">
        <v>4</v>
      </c>
      <c r="B340" s="2">
        <v>45055</v>
      </c>
      <c r="C340">
        <v>32.451236724853523</v>
      </c>
      <c r="D340">
        <f>_xlfn.XLOOKUP(B340, Oil_Price!A:A, Oil_Price!B:B, "")</f>
        <v>73.709999084472656</v>
      </c>
      <c r="E340">
        <f t="shared" si="20"/>
        <v>-1.3085165219285859E-3</v>
      </c>
      <c r="F340">
        <f t="shared" si="21"/>
        <v>7.517706326306977E-3</v>
      </c>
      <c r="G340">
        <f t="shared" si="22"/>
        <v>-4.2518615722649145E-2</v>
      </c>
      <c r="H340">
        <f t="shared" si="23"/>
        <v>0.54999542236328125</v>
      </c>
    </row>
    <row r="341" spans="1:8" x14ac:dyDescent="0.2">
      <c r="A341" t="s">
        <v>4</v>
      </c>
      <c r="B341" s="2">
        <v>45056</v>
      </c>
      <c r="C341">
        <v>32.174907684326172</v>
      </c>
      <c r="D341">
        <f>_xlfn.XLOOKUP(B341, Oil_Price!A:A, Oil_Price!B:B, "")</f>
        <v>72.55999755859375</v>
      </c>
      <c r="E341">
        <f t="shared" si="20"/>
        <v>-8.5152083068599331E-3</v>
      </c>
      <c r="F341">
        <f t="shared" si="21"/>
        <v>-1.5601703163243686E-2</v>
      </c>
      <c r="G341">
        <f t="shared" si="22"/>
        <v>-0.27632904052735086</v>
      </c>
      <c r="H341">
        <f t="shared" si="23"/>
        <v>-1.1500015258789062</v>
      </c>
    </row>
    <row r="342" spans="1:8" x14ac:dyDescent="0.2">
      <c r="A342" t="s">
        <v>4</v>
      </c>
      <c r="B342" s="2">
        <v>45057</v>
      </c>
      <c r="C342">
        <v>31.96657752990723</v>
      </c>
      <c r="D342">
        <f>_xlfn.XLOOKUP(B342, Oil_Price!A:A, Oil_Price!B:B, "")</f>
        <v>70.870002746582031</v>
      </c>
      <c r="E342">
        <f t="shared" si="20"/>
        <v>-6.4749262519385141E-3</v>
      </c>
      <c r="F342">
        <f t="shared" si="21"/>
        <v>-2.3290998744136007E-2</v>
      </c>
      <c r="G342">
        <f t="shared" si="22"/>
        <v>-0.20833015441894176</v>
      </c>
      <c r="H342">
        <f t="shared" si="23"/>
        <v>-1.6899948120117188</v>
      </c>
    </row>
    <row r="343" spans="1:8" x14ac:dyDescent="0.2">
      <c r="A343" t="s">
        <v>4</v>
      </c>
      <c r="B343" s="2">
        <v>45058</v>
      </c>
      <c r="C343">
        <v>31.96657752990723</v>
      </c>
      <c r="D343">
        <f>_xlfn.XLOOKUP(B343, Oil_Price!A:A, Oil_Price!B:B, "")</f>
        <v>70.040000915527344</v>
      </c>
      <c r="E343">
        <f t="shared" si="20"/>
        <v>0</v>
      </c>
      <c r="F343">
        <f t="shared" si="21"/>
        <v>-1.1711609974429096E-2</v>
      </c>
      <c r="G343">
        <f t="shared" si="22"/>
        <v>0</v>
      </c>
      <c r="H343">
        <f t="shared" si="23"/>
        <v>-0.8300018310546875</v>
      </c>
    </row>
    <row r="344" spans="1:8" x14ac:dyDescent="0.2">
      <c r="A344" t="s">
        <v>4</v>
      </c>
      <c r="B344" s="2">
        <v>45061</v>
      </c>
      <c r="C344">
        <v>32.395977020263672</v>
      </c>
      <c r="D344">
        <f>_xlfn.XLOOKUP(B344, Oil_Price!A:A, Oil_Price!B:B, "")</f>
        <v>71.110000610351562</v>
      </c>
      <c r="E344">
        <f t="shared" si="20"/>
        <v>1.343276395337302E-2</v>
      </c>
      <c r="F344">
        <f t="shared" si="21"/>
        <v>1.5276980023382722E-2</v>
      </c>
      <c r="G344">
        <f t="shared" si="22"/>
        <v>0.42939949035644176</v>
      </c>
      <c r="H344">
        <f t="shared" si="23"/>
        <v>1.0699996948242188</v>
      </c>
    </row>
    <row r="345" spans="1:8" x14ac:dyDescent="0.2">
      <c r="A345" t="s">
        <v>4</v>
      </c>
      <c r="B345" s="2">
        <v>45062</v>
      </c>
      <c r="C345">
        <v>31.60945892333984</v>
      </c>
      <c r="D345">
        <f>_xlfn.XLOOKUP(B345, Oil_Price!A:A, Oil_Price!B:B, "")</f>
        <v>70.860000610351562</v>
      </c>
      <c r="E345">
        <f t="shared" si="20"/>
        <v>-2.4278264441040469E-2</v>
      </c>
      <c r="F345">
        <f t="shared" si="21"/>
        <v>-3.5156799023231509E-3</v>
      </c>
      <c r="G345">
        <f t="shared" si="22"/>
        <v>-0.78651809692383168</v>
      </c>
      <c r="H345">
        <f t="shared" si="23"/>
        <v>-0.25</v>
      </c>
    </row>
    <row r="346" spans="1:8" x14ac:dyDescent="0.2">
      <c r="A346" t="s">
        <v>4</v>
      </c>
      <c r="B346" s="2">
        <v>45063</v>
      </c>
      <c r="C346">
        <v>32.030345916748047</v>
      </c>
      <c r="D346">
        <f>_xlfn.XLOOKUP(B346, Oil_Price!A:A, Oil_Price!B:B, "")</f>
        <v>72.830001831054688</v>
      </c>
      <c r="E346">
        <f t="shared" si="20"/>
        <v>1.3315222966294797E-2</v>
      </c>
      <c r="F346">
        <f t="shared" si="21"/>
        <v>2.7801315322248783E-2</v>
      </c>
      <c r="G346">
        <f t="shared" si="22"/>
        <v>0.42088699340820668</v>
      </c>
      <c r="H346">
        <f t="shared" si="23"/>
        <v>1.970001220703125</v>
      </c>
    </row>
    <row r="347" spans="1:8" x14ac:dyDescent="0.2">
      <c r="A347" t="s">
        <v>4</v>
      </c>
      <c r="B347" s="2">
        <v>45064</v>
      </c>
      <c r="C347">
        <v>32.179157257080078</v>
      </c>
      <c r="D347">
        <f>_xlfn.XLOOKUP(B347, Oil_Price!A:A, Oil_Price!B:B, "")</f>
        <v>71.860000610351562</v>
      </c>
      <c r="E347">
        <f t="shared" si="20"/>
        <v>4.6459485863441985E-3</v>
      </c>
      <c r="F347">
        <f t="shared" si="21"/>
        <v>-1.331870378025333E-2</v>
      </c>
      <c r="G347">
        <f t="shared" si="22"/>
        <v>0.14881134033203125</v>
      </c>
      <c r="H347">
        <f t="shared" si="23"/>
        <v>-0.970001220703125</v>
      </c>
    </row>
    <row r="348" spans="1:8" x14ac:dyDescent="0.2">
      <c r="A348" t="s">
        <v>4</v>
      </c>
      <c r="B348" s="2">
        <v>45065</v>
      </c>
      <c r="C348">
        <v>32.761600494384773</v>
      </c>
      <c r="D348">
        <f>_xlfn.XLOOKUP(B348, Oil_Price!A:A, Oil_Price!B:B, "")</f>
        <v>71.550003051757812</v>
      </c>
      <c r="E348">
        <f t="shared" si="20"/>
        <v>1.8100015256817984E-2</v>
      </c>
      <c r="F348">
        <f t="shared" si="21"/>
        <v>-4.313909768449046E-3</v>
      </c>
      <c r="G348">
        <f t="shared" si="22"/>
        <v>0.58244323730469461</v>
      </c>
      <c r="H348">
        <f t="shared" si="23"/>
        <v>-0.30999755859375</v>
      </c>
    </row>
    <row r="349" spans="1:8" x14ac:dyDescent="0.2">
      <c r="A349" t="s">
        <v>4</v>
      </c>
      <c r="B349" s="2">
        <v>45069</v>
      </c>
      <c r="C349">
        <v>33.352550506591797</v>
      </c>
      <c r="D349">
        <f>_xlfn.XLOOKUP(B349, Oil_Price!A:A, Oil_Price!B:B, "")</f>
        <v>72.910003662109375</v>
      </c>
      <c r="E349">
        <f t="shared" si="20"/>
        <v>1.8037885917945643E-2</v>
      </c>
      <c r="F349">
        <f t="shared" si="21"/>
        <v>1.9007694651917286E-2</v>
      </c>
      <c r="G349">
        <f t="shared" si="22"/>
        <v>0.59095001220702414</v>
      </c>
      <c r="H349">
        <f t="shared" si="23"/>
        <v>1.3600006103515625</v>
      </c>
    </row>
    <row r="350" spans="1:8" x14ac:dyDescent="0.2">
      <c r="A350" t="s">
        <v>4</v>
      </c>
      <c r="B350" s="2">
        <v>45070</v>
      </c>
      <c r="C350">
        <v>32.935905456542969</v>
      </c>
      <c r="D350">
        <f>_xlfn.XLOOKUP(B350, Oil_Price!A:A, Oil_Price!B:B, "")</f>
        <v>74.339996337890625</v>
      </c>
      <c r="E350">
        <f t="shared" si="20"/>
        <v>-1.2492149587375106E-2</v>
      </c>
      <c r="F350">
        <f t="shared" si="21"/>
        <v>1.9613120339539956E-2</v>
      </c>
      <c r="G350">
        <f t="shared" si="22"/>
        <v>-0.41664505004882812</v>
      </c>
      <c r="H350">
        <f t="shared" si="23"/>
        <v>1.42999267578125</v>
      </c>
    </row>
    <row r="351" spans="1:8" x14ac:dyDescent="0.2">
      <c r="A351" t="s">
        <v>4</v>
      </c>
      <c r="B351" s="2">
        <v>45071</v>
      </c>
      <c r="C351">
        <v>31.95808219909668</v>
      </c>
      <c r="D351">
        <f>_xlfn.XLOOKUP(B351, Oil_Price!A:A, Oil_Price!B:B, "")</f>
        <v>71.830001831054688</v>
      </c>
      <c r="E351">
        <f t="shared" si="20"/>
        <v>-2.9688670886442475E-2</v>
      </c>
      <c r="F351">
        <f t="shared" si="21"/>
        <v>-3.3763715771890739E-2</v>
      </c>
      <c r="G351">
        <f t="shared" si="22"/>
        <v>-0.97782325744628906</v>
      </c>
      <c r="H351">
        <f t="shared" si="23"/>
        <v>-2.5099945068359375</v>
      </c>
    </row>
    <row r="352" spans="1:8" x14ac:dyDescent="0.2">
      <c r="A352" t="s">
        <v>4</v>
      </c>
      <c r="B352" s="2">
        <v>45072</v>
      </c>
      <c r="C352">
        <v>32.234420776367188</v>
      </c>
      <c r="D352">
        <f>_xlfn.XLOOKUP(B352, Oil_Price!A:A, Oil_Price!B:B, "")</f>
        <v>72.669998168945312</v>
      </c>
      <c r="E352">
        <f t="shared" si="20"/>
        <v>8.6469073941589248E-3</v>
      </c>
      <c r="F352">
        <f t="shared" si="21"/>
        <v>1.1694226875648838E-2</v>
      </c>
      <c r="G352">
        <f t="shared" si="22"/>
        <v>0.27633857727050781</v>
      </c>
      <c r="H352">
        <f t="shared" si="23"/>
        <v>0.839996337890625</v>
      </c>
    </row>
    <row r="353" spans="1:8" x14ac:dyDescent="0.2">
      <c r="A353" t="s">
        <v>4</v>
      </c>
      <c r="B353" s="2">
        <v>45075</v>
      </c>
      <c r="C353">
        <v>32.374717712402337</v>
      </c>
      <c r="D353" t="str">
        <f>_xlfn.XLOOKUP(B353, Oil_Price!A:A, Oil_Price!B:B, "")</f>
        <v/>
      </c>
      <c r="E353">
        <f t="shared" si="20"/>
        <v>4.3523951309219272E-3</v>
      </c>
      <c r="F353" t="str">
        <f t="shared" si="21"/>
        <v/>
      </c>
      <c r="G353">
        <f t="shared" si="22"/>
        <v>0.14029693603514914</v>
      </c>
      <c r="H353" t="str">
        <f t="shared" si="23"/>
        <v/>
      </c>
    </row>
    <row r="354" spans="1:8" x14ac:dyDescent="0.2">
      <c r="A354" t="s">
        <v>4</v>
      </c>
      <c r="B354" s="2">
        <v>45076</v>
      </c>
      <c r="C354">
        <v>31.656223297119141</v>
      </c>
      <c r="D354">
        <f>_xlfn.XLOOKUP(B354, Oil_Price!A:A, Oil_Price!B:B, "")</f>
        <v>69.459999084472656</v>
      </c>
      <c r="E354">
        <f t="shared" si="20"/>
        <v>-2.2193071200369112E-2</v>
      </c>
      <c r="F354" t="str">
        <f t="shared" si="21"/>
        <v/>
      </c>
      <c r="G354">
        <f t="shared" si="22"/>
        <v>-0.71849441528319602</v>
      </c>
      <c r="H354" t="str">
        <f t="shared" si="23"/>
        <v/>
      </c>
    </row>
    <row r="355" spans="1:8" x14ac:dyDescent="0.2">
      <c r="A355" t="s">
        <v>4</v>
      </c>
      <c r="B355" s="2">
        <v>45077</v>
      </c>
      <c r="C355">
        <v>31.090780258178711</v>
      </c>
      <c r="D355">
        <f>_xlfn.XLOOKUP(B355, Oil_Price!A:A, Oil_Price!B:B, "")</f>
        <v>68.089996337890625</v>
      </c>
      <c r="E355">
        <f t="shared" si="20"/>
        <v>-1.7861986682153823E-2</v>
      </c>
      <c r="F355">
        <f t="shared" si="21"/>
        <v>-1.9723621719544289E-2</v>
      </c>
      <c r="G355">
        <f t="shared" si="22"/>
        <v>-0.56544303894042969</v>
      </c>
      <c r="H355">
        <f t="shared" si="23"/>
        <v>-1.3700027465820312</v>
      </c>
    </row>
    <row r="356" spans="1:8" x14ac:dyDescent="0.2">
      <c r="A356" t="s">
        <v>4</v>
      </c>
      <c r="B356" s="2">
        <v>45078</v>
      </c>
      <c r="C356">
        <v>31.384134292602539</v>
      </c>
      <c r="D356">
        <f>_xlfn.XLOOKUP(B356, Oil_Price!A:A, Oil_Price!B:B, "")</f>
        <v>70.099998474121094</v>
      </c>
      <c r="E356">
        <f t="shared" si="20"/>
        <v>9.4354027781807983E-3</v>
      </c>
      <c r="F356">
        <f t="shared" si="21"/>
        <v>2.9519786229037372E-2</v>
      </c>
      <c r="G356">
        <f t="shared" si="22"/>
        <v>0.29335403442382812</v>
      </c>
      <c r="H356">
        <f t="shared" si="23"/>
        <v>2.0100021362304688</v>
      </c>
    </row>
    <row r="357" spans="1:8" x14ac:dyDescent="0.2">
      <c r="A357" t="s">
        <v>4</v>
      </c>
      <c r="B357" s="2">
        <v>45079</v>
      </c>
      <c r="C357">
        <v>32.000591278076172</v>
      </c>
      <c r="D357">
        <f>_xlfn.XLOOKUP(B357, Oil_Price!A:A, Oil_Price!B:B, "")</f>
        <v>71.739997863769531</v>
      </c>
      <c r="E357">
        <f t="shared" si="20"/>
        <v>1.9642312887341171E-2</v>
      </c>
      <c r="F357">
        <f t="shared" si="21"/>
        <v>2.339514158839644E-2</v>
      </c>
      <c r="G357">
        <f t="shared" si="22"/>
        <v>0.61645698547363281</v>
      </c>
      <c r="H357">
        <f t="shared" si="23"/>
        <v>1.6399993896484375</v>
      </c>
    </row>
    <row r="358" spans="1:8" x14ac:dyDescent="0.2">
      <c r="A358" t="s">
        <v>4</v>
      </c>
      <c r="B358" s="2">
        <v>45082</v>
      </c>
      <c r="C358">
        <v>31.660482406616211</v>
      </c>
      <c r="D358">
        <f>_xlfn.XLOOKUP(B358, Oil_Price!A:A, Oil_Price!B:B, "")</f>
        <v>72.150001525878906</v>
      </c>
      <c r="E358">
        <f t="shared" si="20"/>
        <v>-1.062820585108913E-2</v>
      </c>
      <c r="F358">
        <f t="shared" si="21"/>
        <v>5.7151334585756513E-3</v>
      </c>
      <c r="G358">
        <f t="shared" si="22"/>
        <v>-0.34010887145996094</v>
      </c>
      <c r="H358">
        <f t="shared" si="23"/>
        <v>0.410003662109375</v>
      </c>
    </row>
    <row r="359" spans="1:8" x14ac:dyDescent="0.2">
      <c r="A359" t="s">
        <v>4</v>
      </c>
      <c r="B359" s="2">
        <v>45083</v>
      </c>
      <c r="C359">
        <v>31.839035034179691</v>
      </c>
      <c r="D359">
        <f>_xlfn.XLOOKUP(B359, Oil_Price!A:A, Oil_Price!B:B, "")</f>
        <v>71.739997863769531</v>
      </c>
      <c r="E359">
        <f t="shared" si="20"/>
        <v>5.6396054005218603E-3</v>
      </c>
      <c r="F359">
        <f t="shared" si="21"/>
        <v>-5.6826563193115671E-3</v>
      </c>
      <c r="G359">
        <f t="shared" si="22"/>
        <v>0.17855262756348012</v>
      </c>
      <c r="H359">
        <f t="shared" si="23"/>
        <v>-0.410003662109375</v>
      </c>
    </row>
    <row r="360" spans="1:8" x14ac:dyDescent="0.2">
      <c r="A360" t="s">
        <v>4</v>
      </c>
      <c r="B360" s="2">
        <v>45084</v>
      </c>
      <c r="C360">
        <v>31.96657752990723</v>
      </c>
      <c r="D360">
        <f>_xlfn.XLOOKUP(B360, Oil_Price!A:A, Oil_Price!B:B, "")</f>
        <v>72.529998779296875</v>
      </c>
      <c r="E360">
        <f t="shared" si="20"/>
        <v>4.0058530539829563E-3</v>
      </c>
      <c r="F360">
        <f t="shared" si="21"/>
        <v>1.1012000823132358E-2</v>
      </c>
      <c r="G360">
        <f t="shared" si="22"/>
        <v>0.12754249572753906</v>
      </c>
      <c r="H360">
        <f t="shared" si="23"/>
        <v>0.79000091552734375</v>
      </c>
    </row>
    <row r="361" spans="1:8" x14ac:dyDescent="0.2">
      <c r="A361" t="s">
        <v>4</v>
      </c>
      <c r="B361" s="2">
        <v>45085</v>
      </c>
      <c r="C361">
        <v>31.873050689697269</v>
      </c>
      <c r="D361">
        <f>_xlfn.XLOOKUP(B361, Oil_Price!A:A, Oil_Price!B:B, "")</f>
        <v>71.290000915527344</v>
      </c>
      <c r="E361">
        <f t="shared" si="20"/>
        <v>-2.9257695830108578E-3</v>
      </c>
      <c r="F361">
        <f t="shared" si="21"/>
        <v>-1.7096344748918968E-2</v>
      </c>
      <c r="G361">
        <f t="shared" si="22"/>
        <v>-9.3526840209960938E-2</v>
      </c>
      <c r="H361">
        <f t="shared" si="23"/>
        <v>-1.2399978637695312</v>
      </c>
    </row>
    <row r="362" spans="1:8" x14ac:dyDescent="0.2">
      <c r="A362" t="s">
        <v>4</v>
      </c>
      <c r="B362" s="2">
        <v>45086</v>
      </c>
      <c r="C362">
        <v>32.000591278076172</v>
      </c>
      <c r="D362">
        <f>_xlfn.XLOOKUP(B362, Oil_Price!A:A, Oil_Price!B:B, "")</f>
        <v>70.169998168945312</v>
      </c>
      <c r="E362">
        <f t="shared" si="20"/>
        <v>4.0015180730763643E-3</v>
      </c>
      <c r="F362">
        <f t="shared" si="21"/>
        <v>-1.571051665308772E-2</v>
      </c>
      <c r="G362">
        <f t="shared" si="22"/>
        <v>0.1275405883789027</v>
      </c>
      <c r="H362">
        <f t="shared" si="23"/>
        <v>-1.1200027465820312</v>
      </c>
    </row>
    <row r="363" spans="1:8" x14ac:dyDescent="0.2">
      <c r="A363" t="s">
        <v>4</v>
      </c>
      <c r="B363" s="2">
        <v>45089</v>
      </c>
      <c r="C363">
        <v>31.235332489013668</v>
      </c>
      <c r="D363">
        <f>_xlfn.XLOOKUP(B363, Oil_Price!A:A, Oil_Price!B:B, "")</f>
        <v>67.120002746582031</v>
      </c>
      <c r="E363">
        <f t="shared" si="20"/>
        <v>-2.3913895290640697E-2</v>
      </c>
      <c r="F363">
        <f t="shared" si="21"/>
        <v>-4.3465804502658488E-2</v>
      </c>
      <c r="G363">
        <f t="shared" si="22"/>
        <v>-0.76525878906250355</v>
      </c>
      <c r="H363">
        <f t="shared" si="23"/>
        <v>-3.0499954223632812</v>
      </c>
    </row>
    <row r="364" spans="1:8" x14ac:dyDescent="0.2">
      <c r="A364" t="s">
        <v>4</v>
      </c>
      <c r="B364" s="2">
        <v>45090</v>
      </c>
      <c r="C364">
        <v>31.749750137329102</v>
      </c>
      <c r="D364">
        <f>_xlfn.XLOOKUP(B364, Oil_Price!A:A, Oil_Price!B:B, "")</f>
        <v>69.419998168945312</v>
      </c>
      <c r="E364">
        <f t="shared" si="20"/>
        <v>1.646909468616568E-2</v>
      </c>
      <c r="F364">
        <f t="shared" si="21"/>
        <v>3.426691490235978E-2</v>
      </c>
      <c r="G364">
        <f t="shared" si="22"/>
        <v>0.51441764831543324</v>
      </c>
      <c r="H364">
        <f t="shared" si="23"/>
        <v>2.2999954223632812</v>
      </c>
    </row>
    <row r="365" spans="1:8" x14ac:dyDescent="0.2">
      <c r="A365" t="s">
        <v>4</v>
      </c>
      <c r="B365" s="2">
        <v>45091</v>
      </c>
      <c r="C365">
        <v>31.430902481079102</v>
      </c>
      <c r="D365">
        <f>_xlfn.XLOOKUP(B365, Oil_Price!A:A, Oil_Price!B:B, "")</f>
        <v>68.269996643066406</v>
      </c>
      <c r="E365">
        <f t="shared" si="20"/>
        <v>-1.0042524897703733E-2</v>
      </c>
      <c r="F365">
        <f t="shared" si="21"/>
        <v>-1.6565853589914869E-2</v>
      </c>
      <c r="G365">
        <f t="shared" si="22"/>
        <v>-0.31884765625</v>
      </c>
      <c r="H365">
        <f t="shared" si="23"/>
        <v>-1.1500015258789062</v>
      </c>
    </row>
    <row r="366" spans="1:8" x14ac:dyDescent="0.2">
      <c r="A366" t="s">
        <v>4</v>
      </c>
      <c r="B366" s="2">
        <v>45092</v>
      </c>
      <c r="C366">
        <v>31.641786575317379</v>
      </c>
      <c r="D366">
        <f>_xlfn.XLOOKUP(B366, Oil_Price!A:A, Oil_Price!B:B, "")</f>
        <v>70.620002746582031</v>
      </c>
      <c r="E366">
        <f t="shared" si="20"/>
        <v>6.709450814058761E-3</v>
      </c>
      <c r="F366">
        <f t="shared" si="21"/>
        <v>3.4422238451278654E-2</v>
      </c>
      <c r="G366">
        <f t="shared" si="22"/>
        <v>0.2108840942382777</v>
      </c>
      <c r="H366">
        <f t="shared" si="23"/>
        <v>2.350006103515625</v>
      </c>
    </row>
    <row r="367" spans="1:8" x14ac:dyDescent="0.2">
      <c r="A367" t="s">
        <v>4</v>
      </c>
      <c r="B367" s="2">
        <v>45093</v>
      </c>
      <c r="C367">
        <v>31.22861480712891</v>
      </c>
      <c r="D367">
        <f>_xlfn.XLOOKUP(B367, Oil_Price!A:A, Oil_Price!B:B, "")</f>
        <v>71.779998779296875</v>
      </c>
      <c r="E367">
        <f t="shared" si="20"/>
        <v>-1.3057788857939201E-2</v>
      </c>
      <c r="F367">
        <f t="shared" si="21"/>
        <v>1.6425884842817949E-2</v>
      </c>
      <c r="G367">
        <f t="shared" si="22"/>
        <v>-0.41317176818846946</v>
      </c>
      <c r="H367">
        <f t="shared" si="23"/>
        <v>1.1599960327148438</v>
      </c>
    </row>
    <row r="368" spans="1:8" x14ac:dyDescent="0.2">
      <c r="A368" t="s">
        <v>4</v>
      </c>
      <c r="B368" s="2">
        <v>45096</v>
      </c>
      <c r="C368">
        <v>31.220010757446289</v>
      </c>
      <c r="D368" t="str">
        <f>_xlfn.XLOOKUP(B368, Oil_Price!A:A, Oil_Price!B:B, "")</f>
        <v/>
      </c>
      <c r="E368">
        <f t="shared" si="20"/>
        <v>-2.7551813411386394E-4</v>
      </c>
      <c r="F368" t="str">
        <f t="shared" si="21"/>
        <v/>
      </c>
      <c r="G368">
        <f t="shared" si="22"/>
        <v>-8.6040496826207402E-3</v>
      </c>
      <c r="H368" t="str">
        <f t="shared" si="23"/>
        <v/>
      </c>
    </row>
    <row r="369" spans="1:8" x14ac:dyDescent="0.2">
      <c r="A369" t="s">
        <v>4</v>
      </c>
      <c r="B369" s="2">
        <v>45097</v>
      </c>
      <c r="C369">
        <v>30.36784744262695</v>
      </c>
      <c r="D369">
        <f>_xlfn.XLOOKUP(B369, Oil_Price!A:A, Oil_Price!B:B, "")</f>
        <v>70.5</v>
      </c>
      <c r="E369">
        <f t="shared" si="20"/>
        <v>-2.7295420281560599E-2</v>
      </c>
      <c r="F369" t="str">
        <f t="shared" si="21"/>
        <v/>
      </c>
      <c r="G369">
        <f t="shared" si="22"/>
        <v>-0.85216331481933949</v>
      </c>
      <c r="H369" t="str">
        <f t="shared" si="23"/>
        <v/>
      </c>
    </row>
    <row r="370" spans="1:8" x14ac:dyDescent="0.2">
      <c r="A370" t="s">
        <v>4</v>
      </c>
      <c r="B370" s="2">
        <v>45098</v>
      </c>
      <c r="C370">
        <v>30.978988647460941</v>
      </c>
      <c r="D370">
        <f>_xlfn.XLOOKUP(B370, Oil_Price!A:A, Oil_Price!B:B, "")</f>
        <v>72.529998779296875</v>
      </c>
      <c r="E370">
        <f t="shared" si="20"/>
        <v>2.0124613902536292E-2</v>
      </c>
      <c r="F370">
        <f t="shared" si="21"/>
        <v>2.8794308926196808E-2</v>
      </c>
      <c r="G370">
        <f t="shared" si="22"/>
        <v>0.61114120483399148</v>
      </c>
      <c r="H370">
        <f t="shared" si="23"/>
        <v>2.029998779296875</v>
      </c>
    </row>
    <row r="371" spans="1:8" x14ac:dyDescent="0.2">
      <c r="A371" t="s">
        <v>4</v>
      </c>
      <c r="B371" s="2">
        <v>45099</v>
      </c>
      <c r="C371">
        <v>30.570137023925781</v>
      </c>
      <c r="D371">
        <f>_xlfn.XLOOKUP(B371, Oil_Price!A:A, Oil_Price!B:B, "")</f>
        <v>69.510002136230469</v>
      </c>
      <c r="E371">
        <f t="shared" si="20"/>
        <v>-1.3197707265006844E-2</v>
      </c>
      <c r="F371">
        <f t="shared" si="21"/>
        <v>-4.1637897337569528E-2</v>
      </c>
      <c r="G371">
        <f t="shared" si="22"/>
        <v>-0.4088516235351598</v>
      </c>
      <c r="H371">
        <f t="shared" si="23"/>
        <v>-3.0199966430664062</v>
      </c>
    </row>
    <row r="372" spans="1:8" x14ac:dyDescent="0.2">
      <c r="A372" t="s">
        <v>4</v>
      </c>
      <c r="B372" s="2">
        <v>45100</v>
      </c>
      <c r="C372">
        <v>30.277469635009769</v>
      </c>
      <c r="D372">
        <f>_xlfn.XLOOKUP(B372, Oil_Price!A:A, Oil_Price!B:B, "")</f>
        <v>69.160003662109375</v>
      </c>
      <c r="E372">
        <f t="shared" si="20"/>
        <v>-9.5736368040141694E-3</v>
      </c>
      <c r="F372">
        <f t="shared" si="21"/>
        <v>-5.0352246204099192E-3</v>
      </c>
      <c r="G372">
        <f t="shared" si="22"/>
        <v>-0.29266738891601207</v>
      </c>
      <c r="H372">
        <f t="shared" si="23"/>
        <v>-0.34999847412109375</v>
      </c>
    </row>
    <row r="373" spans="1:8" x14ac:dyDescent="0.2">
      <c r="A373" t="s">
        <v>4</v>
      </c>
      <c r="B373" s="2">
        <v>45103</v>
      </c>
      <c r="C373">
        <v>30.948873519897461</v>
      </c>
      <c r="D373">
        <f>_xlfn.XLOOKUP(B373, Oil_Price!A:A, Oil_Price!B:B, "")</f>
        <v>69.370002746582031</v>
      </c>
      <c r="E373">
        <f t="shared" si="20"/>
        <v>2.2175032886874699E-2</v>
      </c>
      <c r="F373">
        <f t="shared" si="21"/>
        <v>3.0364238483652399E-3</v>
      </c>
      <c r="G373">
        <f t="shared" si="22"/>
        <v>0.67140388488769176</v>
      </c>
      <c r="H373">
        <f t="shared" si="23"/>
        <v>0.20999908447265625</v>
      </c>
    </row>
    <row r="374" spans="1:8" x14ac:dyDescent="0.2">
      <c r="A374" t="s">
        <v>4</v>
      </c>
      <c r="B374" s="2">
        <v>45104</v>
      </c>
      <c r="C374">
        <v>30.92735481262207</v>
      </c>
      <c r="D374">
        <f>_xlfn.XLOOKUP(B374, Oil_Price!A:A, Oil_Price!B:B, "")</f>
        <v>67.699996948242188</v>
      </c>
      <c r="E374">
        <f t="shared" si="20"/>
        <v>-6.952985626942431E-4</v>
      </c>
      <c r="F374">
        <f t="shared" si="21"/>
        <v>-2.4073889753768642E-2</v>
      </c>
      <c r="G374">
        <f t="shared" si="22"/>
        <v>-2.1518707275390625E-2</v>
      </c>
      <c r="H374">
        <f t="shared" si="23"/>
        <v>-1.6700057983398438</v>
      </c>
    </row>
    <row r="375" spans="1:8" x14ac:dyDescent="0.2">
      <c r="A375" t="s">
        <v>4</v>
      </c>
      <c r="B375" s="2">
        <v>45105</v>
      </c>
      <c r="C375">
        <v>31.357730865478519</v>
      </c>
      <c r="D375">
        <f>_xlfn.XLOOKUP(B375, Oil_Price!A:A, Oil_Price!B:B, "")</f>
        <v>69.55999755859375</v>
      </c>
      <c r="E375">
        <f t="shared" si="20"/>
        <v>1.3915708454988974E-2</v>
      </c>
      <c r="F375">
        <f t="shared" si="21"/>
        <v>2.7474160918700852E-2</v>
      </c>
      <c r="G375">
        <f t="shared" si="22"/>
        <v>0.43037605285644887</v>
      </c>
      <c r="H375">
        <f t="shared" si="23"/>
        <v>1.8600006103515625</v>
      </c>
    </row>
    <row r="376" spans="1:8" x14ac:dyDescent="0.2">
      <c r="A376" t="s">
        <v>4</v>
      </c>
      <c r="B376" s="2">
        <v>45106</v>
      </c>
      <c r="C376">
        <v>31.732160568237301</v>
      </c>
      <c r="D376">
        <f>_xlfn.XLOOKUP(B376, Oil_Price!A:A, Oil_Price!B:B, "")</f>
        <v>69.860000610351562</v>
      </c>
      <c r="E376">
        <f t="shared" si="20"/>
        <v>1.1940586656765674E-2</v>
      </c>
      <c r="F376">
        <f t="shared" si="21"/>
        <v>4.3128674854409736E-3</v>
      </c>
      <c r="G376">
        <f t="shared" si="22"/>
        <v>0.37442970275878196</v>
      </c>
      <c r="H376">
        <f t="shared" si="23"/>
        <v>0.3000030517578125</v>
      </c>
    </row>
    <row r="377" spans="1:8" x14ac:dyDescent="0.2">
      <c r="A377" t="s">
        <v>4</v>
      </c>
      <c r="B377" s="2">
        <v>45107</v>
      </c>
      <c r="C377">
        <v>32.054950714111328</v>
      </c>
      <c r="D377">
        <f>_xlfn.XLOOKUP(B377, Oil_Price!A:A, Oil_Price!B:B, "")</f>
        <v>70.639999389648438</v>
      </c>
      <c r="E377">
        <f t="shared" si="20"/>
        <v>1.0172334316155194E-2</v>
      </c>
      <c r="F377">
        <f t="shared" si="21"/>
        <v>1.1165169946782079E-2</v>
      </c>
      <c r="G377">
        <f t="shared" si="22"/>
        <v>0.32279014587402699</v>
      </c>
      <c r="H377">
        <f t="shared" si="23"/>
        <v>0.779998779296875</v>
      </c>
    </row>
    <row r="378" spans="1:8" x14ac:dyDescent="0.2">
      <c r="A378" t="s">
        <v>4</v>
      </c>
      <c r="B378" s="2">
        <v>45111</v>
      </c>
      <c r="C378">
        <v>32.054950714111328</v>
      </c>
      <c r="D378" t="str">
        <f>_xlfn.XLOOKUP(B378, Oil_Price!A:A, Oil_Price!B:B, "")</f>
        <v/>
      </c>
      <c r="E378">
        <f t="shared" si="20"/>
        <v>0</v>
      </c>
      <c r="F378" t="str">
        <f t="shared" si="21"/>
        <v/>
      </c>
      <c r="G378">
        <f t="shared" si="22"/>
        <v>0</v>
      </c>
      <c r="H378" t="str">
        <f t="shared" si="23"/>
        <v/>
      </c>
    </row>
    <row r="379" spans="1:8" x14ac:dyDescent="0.2">
      <c r="A379" t="s">
        <v>4</v>
      </c>
      <c r="B379" s="2">
        <v>45112</v>
      </c>
      <c r="C379">
        <v>31.757987976074219</v>
      </c>
      <c r="D379">
        <f>_xlfn.XLOOKUP(B379, Oil_Price!A:A, Oil_Price!B:B, "")</f>
        <v>71.790000915527344</v>
      </c>
      <c r="E379">
        <f t="shared" si="20"/>
        <v>-9.2641770279303388E-3</v>
      </c>
      <c r="F379" t="str">
        <f t="shared" si="21"/>
        <v/>
      </c>
      <c r="G379">
        <f t="shared" si="22"/>
        <v>-0.29696273803710938</v>
      </c>
      <c r="H379" t="str">
        <f t="shared" si="23"/>
        <v/>
      </c>
    </row>
    <row r="380" spans="1:8" x14ac:dyDescent="0.2">
      <c r="A380" t="s">
        <v>4</v>
      </c>
      <c r="B380" s="2">
        <v>45113</v>
      </c>
      <c r="C380">
        <v>31.082284927368161</v>
      </c>
      <c r="D380">
        <f>_xlfn.XLOOKUP(B380, Oil_Price!A:A, Oil_Price!B:B, "")</f>
        <v>71.800003051757812</v>
      </c>
      <c r="E380">
        <f t="shared" si="20"/>
        <v>-2.1276632802276967E-2</v>
      </c>
      <c r="F380">
        <f t="shared" si="21"/>
        <v>1.3932492133880727E-4</v>
      </c>
      <c r="G380">
        <f t="shared" si="22"/>
        <v>-0.67570304870605824</v>
      </c>
      <c r="H380">
        <f t="shared" si="23"/>
        <v>1.000213623046875E-2</v>
      </c>
    </row>
    <row r="381" spans="1:8" x14ac:dyDescent="0.2">
      <c r="A381" t="s">
        <v>4</v>
      </c>
      <c r="B381" s="2">
        <v>45114</v>
      </c>
      <c r="C381">
        <v>31.921539306640621</v>
      </c>
      <c r="D381">
        <f>_xlfn.XLOOKUP(B381, Oil_Price!A:A, Oil_Price!B:B, "")</f>
        <v>73.860000610351562</v>
      </c>
      <c r="E381">
        <f t="shared" si="20"/>
        <v>2.7001051603303843E-2</v>
      </c>
      <c r="F381">
        <f t="shared" si="21"/>
        <v>2.8690772577109478E-2</v>
      </c>
      <c r="G381">
        <f t="shared" si="22"/>
        <v>0.83925437927246094</v>
      </c>
      <c r="H381">
        <f t="shared" si="23"/>
        <v>2.05999755859375</v>
      </c>
    </row>
    <row r="382" spans="1:8" x14ac:dyDescent="0.2">
      <c r="A382" t="s">
        <v>4</v>
      </c>
      <c r="B382" s="2">
        <v>45117</v>
      </c>
      <c r="C382">
        <v>32.016223907470703</v>
      </c>
      <c r="D382">
        <f>_xlfn.XLOOKUP(B382, Oil_Price!A:A, Oil_Price!B:B, "")</f>
        <v>72.989997863769531</v>
      </c>
      <c r="E382">
        <f t="shared" si="20"/>
        <v>2.9661665097204283E-3</v>
      </c>
      <c r="F382">
        <f t="shared" si="21"/>
        <v>-1.1779078518719906E-2</v>
      </c>
      <c r="G382">
        <f t="shared" si="22"/>
        <v>9.4684600830081678E-2</v>
      </c>
      <c r="H382">
        <f t="shared" si="23"/>
        <v>-0.87000274658203125</v>
      </c>
    </row>
    <row r="383" spans="1:8" x14ac:dyDescent="0.2">
      <c r="A383" t="s">
        <v>4</v>
      </c>
      <c r="B383" s="2">
        <v>45118</v>
      </c>
      <c r="C383">
        <v>32.459510803222663</v>
      </c>
      <c r="D383">
        <f>_xlfn.XLOOKUP(B383, Oil_Price!A:A, Oil_Price!B:B, "")</f>
        <v>74.830001831054688</v>
      </c>
      <c r="E383">
        <f t="shared" si="20"/>
        <v>1.384569576453153E-2</v>
      </c>
      <c r="F383">
        <f t="shared" si="21"/>
        <v>2.5208987822131306E-2</v>
      </c>
      <c r="G383">
        <f t="shared" si="22"/>
        <v>0.44328689575196023</v>
      </c>
      <c r="H383">
        <f t="shared" si="23"/>
        <v>1.8400039672851562</v>
      </c>
    </row>
    <row r="384" spans="1:8" x14ac:dyDescent="0.2">
      <c r="A384" t="s">
        <v>4</v>
      </c>
      <c r="B384" s="2">
        <v>45119</v>
      </c>
      <c r="C384">
        <v>32.786605834960938</v>
      </c>
      <c r="D384">
        <f>_xlfn.XLOOKUP(B384, Oil_Price!A:A, Oil_Price!B:B, "")</f>
        <v>75.75</v>
      </c>
      <c r="E384">
        <f t="shared" si="20"/>
        <v>1.0077016678446038E-2</v>
      </c>
      <c r="F384">
        <f t="shared" si="21"/>
        <v>1.2294509507328522E-2</v>
      </c>
      <c r="G384">
        <f t="shared" si="22"/>
        <v>0.32709503173827414</v>
      </c>
      <c r="H384">
        <f t="shared" si="23"/>
        <v>0.9199981689453125</v>
      </c>
    </row>
    <row r="385" spans="1:8" x14ac:dyDescent="0.2">
      <c r="A385" t="s">
        <v>4</v>
      </c>
      <c r="B385" s="2">
        <v>45120</v>
      </c>
      <c r="C385">
        <v>33.079265594482422</v>
      </c>
      <c r="D385">
        <f>_xlfn.XLOOKUP(B385, Oil_Price!A:A, Oil_Price!B:B, "")</f>
        <v>76.889999389648438</v>
      </c>
      <c r="E385">
        <f t="shared" si="20"/>
        <v>8.926198734771627E-3</v>
      </c>
      <c r="F385">
        <f t="shared" si="21"/>
        <v>1.5049496893048679E-2</v>
      </c>
      <c r="G385">
        <f t="shared" si="22"/>
        <v>0.29265975952148438</v>
      </c>
      <c r="H385">
        <f t="shared" si="23"/>
        <v>1.1399993896484375</v>
      </c>
    </row>
    <row r="386" spans="1:8" x14ac:dyDescent="0.2">
      <c r="A386" t="s">
        <v>4</v>
      </c>
      <c r="B386" s="2">
        <v>45121</v>
      </c>
      <c r="C386">
        <v>32.222801208496087</v>
      </c>
      <c r="D386">
        <f>_xlfn.XLOOKUP(B386, Oil_Price!A:A, Oil_Price!B:B, "")</f>
        <v>75.419998168945312</v>
      </c>
      <c r="E386">
        <f t="shared" si="20"/>
        <v>-2.5891275715903207E-2</v>
      </c>
      <c r="F386">
        <f t="shared" si="21"/>
        <v>-1.9118236862686575E-2</v>
      </c>
      <c r="G386">
        <f t="shared" si="22"/>
        <v>-0.85646438598633523</v>
      </c>
      <c r="H386">
        <f t="shared" si="23"/>
        <v>-1.470001220703125</v>
      </c>
    </row>
    <row r="387" spans="1:8" x14ac:dyDescent="0.2">
      <c r="A387" t="s">
        <v>4</v>
      </c>
      <c r="B387" s="2">
        <v>45124</v>
      </c>
      <c r="C387">
        <v>31.710647583007809</v>
      </c>
      <c r="D387">
        <f>_xlfn.XLOOKUP(B387, Oil_Price!A:A, Oil_Price!B:B, "")</f>
        <v>74.150001525878906</v>
      </c>
      <c r="E387">
        <f t="shared" ref="E387:E450" si="24">IFERROR(IF(AND(A387=A386, C387&lt;&gt;"", C386&lt;&gt;""), (C387-C386)/C386, ""), "")</f>
        <v>-1.5894137265547222E-2</v>
      </c>
      <c r="F387">
        <f t="shared" ref="F387:F450" si="25">IFERROR(IF(AND(A387=A386, D387&lt;&gt;"", D386&lt;&gt;""), (D387-D386)/D386, ""), "")</f>
        <v>-1.6838990637755489E-2</v>
      </c>
      <c r="G387">
        <f t="shared" ref="G387:G450" si="26">IFERROR(IF(AND(A387=A386, C387&lt;&gt;"", C386&lt;&gt;""), C387-C386, ""), "")</f>
        <v>-0.5121536254882777</v>
      </c>
      <c r="H387">
        <f t="shared" ref="H387:H450" si="27">IFERROR(IF(AND(A387=A386, D387&lt;&gt;"", D386&lt;&gt;""), D387-D386, ""), "")</f>
        <v>-1.2699966430664062</v>
      </c>
    </row>
    <row r="388" spans="1:8" x14ac:dyDescent="0.2">
      <c r="A388" t="s">
        <v>4</v>
      </c>
      <c r="B388" s="2">
        <v>45125</v>
      </c>
      <c r="C388">
        <v>32.640274047851562</v>
      </c>
      <c r="D388">
        <f>_xlfn.XLOOKUP(B388, Oil_Price!A:A, Oil_Price!B:B, "")</f>
        <v>75.75</v>
      </c>
      <c r="E388">
        <f t="shared" si="24"/>
        <v>2.9315909188240452E-2</v>
      </c>
      <c r="F388">
        <f t="shared" si="25"/>
        <v>2.157786164795536E-2</v>
      </c>
      <c r="G388">
        <f t="shared" si="26"/>
        <v>0.92962646484375355</v>
      </c>
      <c r="H388">
        <f t="shared" si="27"/>
        <v>1.5999984741210938</v>
      </c>
    </row>
    <row r="389" spans="1:8" x14ac:dyDescent="0.2">
      <c r="A389" t="s">
        <v>4</v>
      </c>
      <c r="B389" s="2">
        <v>45126</v>
      </c>
      <c r="C389">
        <v>32.747879028320312</v>
      </c>
      <c r="D389">
        <f>_xlfn.XLOOKUP(B389, Oil_Price!A:A, Oil_Price!B:B, "")</f>
        <v>75.349998474121094</v>
      </c>
      <c r="E389">
        <f t="shared" si="24"/>
        <v>3.2966935360591049E-3</v>
      </c>
      <c r="F389">
        <f t="shared" si="25"/>
        <v>-5.2805481964212043E-3</v>
      </c>
      <c r="G389">
        <f t="shared" si="26"/>
        <v>0.10760498046875</v>
      </c>
      <c r="H389">
        <f t="shared" si="27"/>
        <v>-0.40000152587890625</v>
      </c>
    </row>
    <row r="390" spans="1:8" x14ac:dyDescent="0.2">
      <c r="A390" t="s">
        <v>4</v>
      </c>
      <c r="B390" s="2">
        <v>45127</v>
      </c>
      <c r="C390">
        <v>32.821037292480469</v>
      </c>
      <c r="D390">
        <f>_xlfn.XLOOKUP(B390, Oil_Price!A:A, Oil_Price!B:B, "")</f>
        <v>75.629997253417969</v>
      </c>
      <c r="E390">
        <f t="shared" si="24"/>
        <v>2.2339848054553123E-3</v>
      </c>
      <c r="F390">
        <f t="shared" si="25"/>
        <v>3.7159759119708593E-3</v>
      </c>
      <c r="G390">
        <f t="shared" si="26"/>
        <v>7.315826416015625E-2</v>
      </c>
      <c r="H390">
        <f t="shared" si="27"/>
        <v>0.279998779296875</v>
      </c>
    </row>
    <row r="391" spans="1:8" x14ac:dyDescent="0.2">
      <c r="A391" t="s">
        <v>4</v>
      </c>
      <c r="B391" s="2">
        <v>45128</v>
      </c>
      <c r="C391">
        <v>33.15673828125</v>
      </c>
      <c r="D391">
        <f>_xlfn.XLOOKUP(B391, Oil_Price!A:A, Oil_Price!B:B, "")</f>
        <v>77.069999694824219</v>
      </c>
      <c r="E391">
        <f t="shared" si="24"/>
        <v>1.022822605446546E-2</v>
      </c>
      <c r="F391">
        <f t="shared" si="25"/>
        <v>1.9040096439262685E-2</v>
      </c>
      <c r="G391">
        <f t="shared" si="26"/>
        <v>0.33570098876953125</v>
      </c>
      <c r="H391">
        <f t="shared" si="27"/>
        <v>1.44000244140625</v>
      </c>
    </row>
    <row r="392" spans="1:8" x14ac:dyDescent="0.2">
      <c r="A392" t="s">
        <v>4</v>
      </c>
      <c r="B392" s="2">
        <v>45131</v>
      </c>
      <c r="C392">
        <v>33.841045379638672</v>
      </c>
      <c r="D392">
        <f>_xlfn.XLOOKUP(B392, Oil_Price!A:A, Oil_Price!B:B, "")</f>
        <v>78.739997863769531</v>
      </c>
      <c r="E392">
        <f t="shared" si="24"/>
        <v>2.06385529416096E-2</v>
      </c>
      <c r="F392">
        <f t="shared" si="25"/>
        <v>2.1668589276735969E-2</v>
      </c>
      <c r="G392">
        <f t="shared" si="26"/>
        <v>0.68430709838867188</v>
      </c>
      <c r="H392">
        <f t="shared" si="27"/>
        <v>1.6699981689453125</v>
      </c>
    </row>
    <row r="393" spans="1:8" x14ac:dyDescent="0.2">
      <c r="A393" t="s">
        <v>4</v>
      </c>
      <c r="B393" s="2">
        <v>45132</v>
      </c>
      <c r="C393">
        <v>34.21978759765625</v>
      </c>
      <c r="D393">
        <f>_xlfn.XLOOKUP(B393, Oil_Price!A:A, Oil_Price!B:B, "")</f>
        <v>79.629997253417969</v>
      </c>
      <c r="E393">
        <f t="shared" si="24"/>
        <v>1.1191800187279617E-2</v>
      </c>
      <c r="F393">
        <f t="shared" si="25"/>
        <v>1.1303015161217714E-2</v>
      </c>
      <c r="G393">
        <f t="shared" si="26"/>
        <v>0.37874221801757812</v>
      </c>
      <c r="H393">
        <f t="shared" si="27"/>
        <v>0.8899993896484375</v>
      </c>
    </row>
    <row r="394" spans="1:8" x14ac:dyDescent="0.2">
      <c r="A394" t="s">
        <v>4</v>
      </c>
      <c r="B394" s="2">
        <v>45133</v>
      </c>
      <c r="C394">
        <v>34.064842224121087</v>
      </c>
      <c r="D394">
        <f>_xlfn.XLOOKUP(B394, Oil_Price!A:A, Oil_Price!B:B, "")</f>
        <v>78.779998779296875</v>
      </c>
      <c r="E394">
        <f t="shared" si="24"/>
        <v>-4.5279466768454093E-3</v>
      </c>
      <c r="F394">
        <f t="shared" si="25"/>
        <v>-1.0674350162489916E-2</v>
      </c>
      <c r="G394">
        <f t="shared" si="26"/>
        <v>-0.15494537353516336</v>
      </c>
      <c r="H394">
        <f t="shared" si="27"/>
        <v>-0.84999847412109375</v>
      </c>
    </row>
    <row r="395" spans="1:8" x14ac:dyDescent="0.2">
      <c r="A395" t="s">
        <v>4</v>
      </c>
      <c r="B395" s="2">
        <v>45134</v>
      </c>
      <c r="C395">
        <v>33.716236114501953</v>
      </c>
      <c r="D395">
        <f>_xlfn.XLOOKUP(B395, Oil_Price!A:A, Oil_Price!B:B, "")</f>
        <v>80.089996337890625</v>
      </c>
      <c r="E395">
        <f t="shared" si="24"/>
        <v>-1.0233604116689197E-2</v>
      </c>
      <c r="F395">
        <f t="shared" si="25"/>
        <v>1.6628555202999228E-2</v>
      </c>
      <c r="G395">
        <f t="shared" si="26"/>
        <v>-0.34860610961913352</v>
      </c>
      <c r="H395">
        <f t="shared" si="27"/>
        <v>1.30999755859375</v>
      </c>
    </row>
    <row r="396" spans="1:8" x14ac:dyDescent="0.2">
      <c r="A396" t="s">
        <v>4</v>
      </c>
      <c r="B396" s="2">
        <v>45135</v>
      </c>
      <c r="C396">
        <v>34.417762756347663</v>
      </c>
      <c r="D396">
        <f>_xlfn.XLOOKUP(B396, Oil_Price!A:A, Oil_Price!B:B, "")</f>
        <v>80.580001831054688</v>
      </c>
      <c r="E396">
        <f t="shared" si="24"/>
        <v>2.0806789923504276E-2</v>
      </c>
      <c r="F396">
        <f t="shared" si="25"/>
        <v>6.1181859853855509E-3</v>
      </c>
      <c r="G396">
        <f t="shared" si="26"/>
        <v>0.70152664184571023</v>
      </c>
      <c r="H396">
        <f t="shared" si="27"/>
        <v>0.4900054931640625</v>
      </c>
    </row>
    <row r="397" spans="1:8" x14ac:dyDescent="0.2">
      <c r="A397" t="s">
        <v>4</v>
      </c>
      <c r="B397" s="2">
        <v>45138</v>
      </c>
      <c r="C397">
        <v>34.512443542480469</v>
      </c>
      <c r="D397">
        <f>_xlfn.XLOOKUP(B397, Oil_Price!A:A, Oil_Price!B:B, "")</f>
        <v>81.800003051757812</v>
      </c>
      <c r="E397">
        <f t="shared" si="24"/>
        <v>2.7509279671393931E-3</v>
      </c>
      <c r="F397">
        <f t="shared" si="25"/>
        <v>1.5140248113433888E-2</v>
      </c>
      <c r="G397">
        <f t="shared" si="26"/>
        <v>9.4680786132805395E-2</v>
      </c>
      <c r="H397">
        <f t="shared" si="27"/>
        <v>1.220001220703125</v>
      </c>
    </row>
    <row r="398" spans="1:8" x14ac:dyDescent="0.2">
      <c r="A398" t="s">
        <v>4</v>
      </c>
      <c r="B398" s="2">
        <v>45139</v>
      </c>
      <c r="C398">
        <v>34.818016052246087</v>
      </c>
      <c r="D398">
        <f>_xlfn.XLOOKUP(B398, Oil_Price!A:A, Oil_Price!B:B, "")</f>
        <v>81.370002746582031</v>
      </c>
      <c r="E398">
        <f t="shared" si="24"/>
        <v>8.8539807211708045E-3</v>
      </c>
      <c r="F398">
        <f t="shared" si="25"/>
        <v>-5.2567272510210608E-3</v>
      </c>
      <c r="G398">
        <f t="shared" si="26"/>
        <v>0.30557250976561789</v>
      </c>
      <c r="H398">
        <f t="shared" si="27"/>
        <v>-0.43000030517578125</v>
      </c>
    </row>
    <row r="399" spans="1:8" x14ac:dyDescent="0.2">
      <c r="A399" t="s">
        <v>4</v>
      </c>
      <c r="B399" s="2">
        <v>45140</v>
      </c>
      <c r="C399">
        <v>34.034717559814453</v>
      </c>
      <c r="D399">
        <f>_xlfn.XLOOKUP(B399, Oil_Price!A:A, Oil_Price!B:B, "")</f>
        <v>79.489997863769531</v>
      </c>
      <c r="E399">
        <f t="shared" si="24"/>
        <v>-2.2496930648094854E-2</v>
      </c>
      <c r="F399">
        <f t="shared" si="25"/>
        <v>-2.3104397435840938E-2</v>
      </c>
      <c r="G399">
        <f t="shared" si="26"/>
        <v>-0.78329849243163352</v>
      </c>
      <c r="H399">
        <f t="shared" si="27"/>
        <v>-1.8800048828125</v>
      </c>
    </row>
    <row r="400" spans="1:8" x14ac:dyDescent="0.2">
      <c r="A400" t="s">
        <v>4</v>
      </c>
      <c r="B400" s="2">
        <v>45141</v>
      </c>
      <c r="C400">
        <v>34.430671691894531</v>
      </c>
      <c r="D400">
        <f>_xlfn.XLOOKUP(B400, Oil_Price!A:A, Oil_Price!B:B, "")</f>
        <v>81.550003051757812</v>
      </c>
      <c r="E400">
        <f t="shared" si="24"/>
        <v>1.1633830408147413E-2</v>
      </c>
      <c r="F400">
        <f t="shared" si="25"/>
        <v>2.5915275422685648E-2</v>
      </c>
      <c r="G400">
        <f t="shared" si="26"/>
        <v>0.39595413208007812</v>
      </c>
      <c r="H400">
        <f t="shared" si="27"/>
        <v>2.0600051879882812</v>
      </c>
    </row>
    <row r="401" spans="1:8" x14ac:dyDescent="0.2">
      <c r="A401" t="s">
        <v>4</v>
      </c>
      <c r="B401" s="2">
        <v>45142</v>
      </c>
      <c r="C401">
        <v>35.080551147460938</v>
      </c>
      <c r="D401">
        <f>_xlfn.XLOOKUP(B401, Oil_Price!A:A, Oil_Price!B:B, "")</f>
        <v>82.819999694824219</v>
      </c>
      <c r="E401">
        <f t="shared" si="24"/>
        <v>1.8875015317211981E-2</v>
      </c>
      <c r="F401">
        <f t="shared" si="25"/>
        <v>1.5573226186887695E-2</v>
      </c>
      <c r="G401">
        <f t="shared" si="26"/>
        <v>0.64987945556640625</v>
      </c>
      <c r="H401">
        <f t="shared" si="27"/>
        <v>1.2699966430664062</v>
      </c>
    </row>
    <row r="402" spans="1:8" x14ac:dyDescent="0.2">
      <c r="A402" t="s">
        <v>4</v>
      </c>
      <c r="B402" s="2">
        <v>45146</v>
      </c>
      <c r="C402">
        <v>35.192447662353523</v>
      </c>
      <c r="D402">
        <f>_xlfn.XLOOKUP(B402, Oil_Price!A:A, Oil_Price!B:B, "")</f>
        <v>82.919998168945312</v>
      </c>
      <c r="E402">
        <f t="shared" si="24"/>
        <v>3.189702306050687E-3</v>
      </c>
      <c r="F402">
        <f t="shared" si="25"/>
        <v>1.2074193973625805E-3</v>
      </c>
      <c r="G402">
        <f t="shared" si="26"/>
        <v>0.11189651489258523</v>
      </c>
      <c r="H402">
        <f t="shared" si="27"/>
        <v>9.999847412109375E-2</v>
      </c>
    </row>
    <row r="403" spans="1:8" x14ac:dyDescent="0.2">
      <c r="A403" t="s">
        <v>4</v>
      </c>
      <c r="B403" s="2">
        <v>45147</v>
      </c>
      <c r="C403">
        <v>35.424858093261719</v>
      </c>
      <c r="D403">
        <f>_xlfn.XLOOKUP(B403, Oil_Price!A:A, Oil_Price!B:B, "")</f>
        <v>84.400001525878906</v>
      </c>
      <c r="E403">
        <f t="shared" si="24"/>
        <v>6.6039859784124315E-3</v>
      </c>
      <c r="F403">
        <f t="shared" si="25"/>
        <v>1.7848569580502904E-2</v>
      </c>
      <c r="G403">
        <f t="shared" si="26"/>
        <v>0.23241043090819602</v>
      </c>
      <c r="H403">
        <f t="shared" si="27"/>
        <v>1.4800033569335938</v>
      </c>
    </row>
    <row r="404" spans="1:8" x14ac:dyDescent="0.2">
      <c r="A404" t="s">
        <v>4</v>
      </c>
      <c r="B404" s="2">
        <v>45148</v>
      </c>
      <c r="C404">
        <v>35.566879272460938</v>
      </c>
      <c r="D404">
        <f>_xlfn.XLOOKUP(B404, Oil_Price!A:A, Oil_Price!B:B, "")</f>
        <v>82.819999694824219</v>
      </c>
      <c r="E404">
        <f t="shared" si="24"/>
        <v>4.0090825155975167E-3</v>
      </c>
      <c r="F404">
        <f t="shared" si="25"/>
        <v>-1.8720400503431555E-2</v>
      </c>
      <c r="G404">
        <f t="shared" si="26"/>
        <v>0.14202117919921875</v>
      </c>
      <c r="H404">
        <f t="shared" si="27"/>
        <v>-1.5800018310546875</v>
      </c>
    </row>
    <row r="405" spans="1:8" x14ac:dyDescent="0.2">
      <c r="A405" t="s">
        <v>4</v>
      </c>
      <c r="B405" s="2">
        <v>45149</v>
      </c>
      <c r="C405">
        <v>35.816505432128913</v>
      </c>
      <c r="D405">
        <f>_xlfn.XLOOKUP(B405, Oil_Price!A:A, Oil_Price!B:B, "")</f>
        <v>83.19000244140625</v>
      </c>
      <c r="E405">
        <f t="shared" si="24"/>
        <v>7.0185004918679713E-3</v>
      </c>
      <c r="F405">
        <f t="shared" si="25"/>
        <v>4.4675531024561729E-3</v>
      </c>
      <c r="G405">
        <f t="shared" si="26"/>
        <v>0.24962615966797586</v>
      </c>
      <c r="H405">
        <f t="shared" si="27"/>
        <v>0.37000274658203125</v>
      </c>
    </row>
    <row r="406" spans="1:8" x14ac:dyDescent="0.2">
      <c r="A406" t="s">
        <v>4</v>
      </c>
      <c r="B406" s="2">
        <v>45152</v>
      </c>
      <c r="C406">
        <v>35.794990539550781</v>
      </c>
      <c r="D406">
        <f>_xlfn.XLOOKUP(B406, Oil_Price!A:A, Oil_Price!B:B, "")</f>
        <v>82.510002136230469</v>
      </c>
      <c r="E406">
        <f t="shared" si="24"/>
        <v>-6.0069770399298476E-4</v>
      </c>
      <c r="F406">
        <f t="shared" si="25"/>
        <v>-8.174062810669229E-3</v>
      </c>
      <c r="G406">
        <f t="shared" si="26"/>
        <v>-2.1514892578132105E-2</v>
      </c>
      <c r="H406">
        <f t="shared" si="27"/>
        <v>-0.68000030517578125</v>
      </c>
    </row>
    <row r="407" spans="1:8" x14ac:dyDescent="0.2">
      <c r="A407" t="s">
        <v>4</v>
      </c>
      <c r="B407" s="2">
        <v>45153</v>
      </c>
      <c r="C407">
        <v>34.749153137207031</v>
      </c>
      <c r="D407">
        <f>_xlfn.XLOOKUP(B407, Oil_Price!A:A, Oil_Price!B:B, "")</f>
        <v>80.989997863769531</v>
      </c>
      <c r="E407">
        <f t="shared" si="24"/>
        <v>-2.9217423627705057E-2</v>
      </c>
      <c r="F407">
        <f t="shared" si="25"/>
        <v>-1.842206075757084E-2</v>
      </c>
      <c r="G407">
        <f t="shared" si="26"/>
        <v>-1.04583740234375</v>
      </c>
      <c r="H407">
        <f t="shared" si="27"/>
        <v>-1.5200042724609375</v>
      </c>
    </row>
    <row r="408" spans="1:8" x14ac:dyDescent="0.2">
      <c r="A408" t="s">
        <v>4</v>
      </c>
      <c r="B408" s="2">
        <v>45154</v>
      </c>
      <c r="C408">
        <v>34.800804138183587</v>
      </c>
      <c r="D408">
        <f>_xlfn.XLOOKUP(B408, Oil_Price!A:A, Oil_Price!B:B, "")</f>
        <v>79.379997253417969</v>
      </c>
      <c r="E408">
        <f t="shared" si="24"/>
        <v>1.4863959640285741E-3</v>
      </c>
      <c r="F408">
        <f t="shared" si="25"/>
        <v>-1.987900546756019E-2</v>
      </c>
      <c r="G408">
        <f t="shared" si="26"/>
        <v>5.1651000976555395E-2</v>
      </c>
      <c r="H408">
        <f t="shared" si="27"/>
        <v>-1.6100006103515625</v>
      </c>
    </row>
    <row r="409" spans="1:8" x14ac:dyDescent="0.2">
      <c r="A409" t="s">
        <v>4</v>
      </c>
      <c r="B409" s="2">
        <v>45155</v>
      </c>
      <c r="C409">
        <v>35.235488891601562</v>
      </c>
      <c r="D409">
        <f>_xlfn.XLOOKUP(B409, Oil_Price!A:A, Oil_Price!B:B, "")</f>
        <v>80.389999389648438</v>
      </c>
      <c r="E409">
        <f t="shared" si="24"/>
        <v>1.2490652563428496E-2</v>
      </c>
      <c r="F409">
        <f t="shared" si="25"/>
        <v>1.2723635313390991E-2</v>
      </c>
      <c r="G409">
        <f t="shared" si="26"/>
        <v>0.43468475341797586</v>
      </c>
      <c r="H409">
        <f t="shared" si="27"/>
        <v>1.0100021362304688</v>
      </c>
    </row>
    <row r="410" spans="1:8" x14ac:dyDescent="0.2">
      <c r="A410" t="s">
        <v>4</v>
      </c>
      <c r="B410" s="2">
        <v>45156</v>
      </c>
      <c r="C410">
        <v>35.893978118896477</v>
      </c>
      <c r="D410">
        <f>_xlfn.XLOOKUP(B410, Oil_Price!A:A, Oil_Price!B:B, "")</f>
        <v>81.25</v>
      </c>
      <c r="E410">
        <f t="shared" si="24"/>
        <v>1.8688238705036581E-2</v>
      </c>
      <c r="F410">
        <f t="shared" si="25"/>
        <v>1.0697855664647536E-2</v>
      </c>
      <c r="G410">
        <f t="shared" si="26"/>
        <v>0.65848922729491477</v>
      </c>
      <c r="H410">
        <f t="shared" si="27"/>
        <v>0.8600006103515625</v>
      </c>
    </row>
    <row r="411" spans="1:8" x14ac:dyDescent="0.2">
      <c r="A411" t="s">
        <v>4</v>
      </c>
      <c r="B411" s="2">
        <v>45159</v>
      </c>
      <c r="C411">
        <v>35.8035888671875</v>
      </c>
      <c r="D411">
        <f>_xlfn.XLOOKUP(B411, Oil_Price!A:A, Oil_Price!B:B, "")</f>
        <v>80.720001220703125</v>
      </c>
      <c r="E411">
        <f t="shared" si="24"/>
        <v>-2.5182288630579961E-3</v>
      </c>
      <c r="F411">
        <f t="shared" si="25"/>
        <v>-6.5230618990384619E-3</v>
      </c>
      <c r="G411">
        <f t="shared" si="26"/>
        <v>-9.038925170897727E-2</v>
      </c>
      <c r="H411">
        <f t="shared" si="27"/>
        <v>-0.529998779296875</v>
      </c>
    </row>
    <row r="412" spans="1:8" x14ac:dyDescent="0.2">
      <c r="A412" t="s">
        <v>4</v>
      </c>
      <c r="B412" s="2">
        <v>45160</v>
      </c>
      <c r="C412">
        <v>35.769168853759773</v>
      </c>
      <c r="D412">
        <f>_xlfn.XLOOKUP(B412, Oil_Price!A:A, Oil_Price!B:B, "")</f>
        <v>80.349998474121094</v>
      </c>
      <c r="E412">
        <f t="shared" si="24"/>
        <v>-9.6135651527581303E-4</v>
      </c>
      <c r="F412">
        <f t="shared" si="25"/>
        <v>-4.583780240170917E-3</v>
      </c>
      <c r="G412">
        <f t="shared" si="26"/>
        <v>-3.442001342772727E-2</v>
      </c>
      <c r="H412">
        <f t="shared" si="27"/>
        <v>-0.37000274658203125</v>
      </c>
    </row>
    <row r="413" spans="1:8" x14ac:dyDescent="0.2">
      <c r="A413" t="s">
        <v>4</v>
      </c>
      <c r="B413" s="2">
        <v>45161</v>
      </c>
      <c r="C413">
        <v>35.541057586669922</v>
      </c>
      <c r="D413">
        <f>_xlfn.XLOOKUP(B413, Oil_Price!A:A, Oil_Price!B:B, "")</f>
        <v>78.889999389648438</v>
      </c>
      <c r="E413">
        <f t="shared" si="24"/>
        <v>-6.3773152801640679E-3</v>
      </c>
      <c r="F413">
        <f t="shared" si="25"/>
        <v>-1.8170492995626984E-2</v>
      </c>
      <c r="G413">
        <f t="shared" si="26"/>
        <v>-0.22811126708985086</v>
      </c>
      <c r="H413">
        <f t="shared" si="27"/>
        <v>-1.4599990844726562</v>
      </c>
    </row>
    <row r="414" spans="1:8" x14ac:dyDescent="0.2">
      <c r="A414" t="s">
        <v>4</v>
      </c>
      <c r="B414" s="2">
        <v>45162</v>
      </c>
      <c r="C414">
        <v>35.097766876220703</v>
      </c>
      <c r="D414">
        <f>_xlfn.XLOOKUP(B414, Oil_Price!A:A, Oil_Price!B:B, "")</f>
        <v>79.050003051757812</v>
      </c>
      <c r="E414">
        <f t="shared" si="24"/>
        <v>-1.2472637016166901E-2</v>
      </c>
      <c r="F414">
        <f t="shared" si="25"/>
        <v>2.0281868848685768E-3</v>
      </c>
      <c r="G414">
        <f t="shared" si="26"/>
        <v>-0.44329071044921875</v>
      </c>
      <c r="H414">
        <f t="shared" si="27"/>
        <v>0.160003662109375</v>
      </c>
    </row>
    <row r="415" spans="1:8" x14ac:dyDescent="0.2">
      <c r="A415" t="s">
        <v>4</v>
      </c>
      <c r="B415" s="2">
        <v>45163</v>
      </c>
      <c r="C415">
        <v>35.640045166015618</v>
      </c>
      <c r="D415">
        <f>_xlfn.XLOOKUP(B415, Oil_Price!A:A, Oil_Price!B:B, "")</f>
        <v>79.830001831054688</v>
      </c>
      <c r="E415">
        <f t="shared" si="24"/>
        <v>1.5450506914225275E-2</v>
      </c>
      <c r="F415">
        <f t="shared" si="25"/>
        <v>9.8671568524313982E-3</v>
      </c>
      <c r="G415">
        <f t="shared" si="26"/>
        <v>0.54227828979491477</v>
      </c>
      <c r="H415">
        <f t="shared" si="27"/>
        <v>0.779998779296875</v>
      </c>
    </row>
    <row r="416" spans="1:8" x14ac:dyDescent="0.2">
      <c r="A416" t="s">
        <v>4</v>
      </c>
      <c r="B416" s="2">
        <v>45166</v>
      </c>
      <c r="C416">
        <v>36.522327423095703</v>
      </c>
      <c r="D416">
        <f>_xlfn.XLOOKUP(B416, Oil_Price!A:A, Oil_Price!B:B, "")</f>
        <v>80.099998474121094</v>
      </c>
      <c r="E416">
        <f t="shared" si="24"/>
        <v>2.4755363046548014E-2</v>
      </c>
      <c r="F416">
        <f t="shared" si="25"/>
        <v>3.3821450190844767E-3</v>
      </c>
      <c r="G416">
        <f t="shared" si="26"/>
        <v>0.88228225708008523</v>
      </c>
      <c r="H416">
        <f t="shared" si="27"/>
        <v>0.26999664306640625</v>
      </c>
    </row>
    <row r="417" spans="1:8" x14ac:dyDescent="0.2">
      <c r="A417" t="s">
        <v>4</v>
      </c>
      <c r="B417" s="2">
        <v>45167</v>
      </c>
      <c r="C417">
        <v>37.361576080322273</v>
      </c>
      <c r="D417">
        <f>_xlfn.XLOOKUP(B417, Oil_Price!A:A, Oil_Price!B:B, "")</f>
        <v>81.160003662109375</v>
      </c>
      <c r="E417">
        <f t="shared" si="24"/>
        <v>2.2979057372336357E-2</v>
      </c>
      <c r="F417">
        <f t="shared" si="25"/>
        <v>1.3233523198265108E-2</v>
      </c>
      <c r="G417">
        <f t="shared" si="26"/>
        <v>0.83924865722656961</v>
      </c>
      <c r="H417">
        <f t="shared" si="27"/>
        <v>1.0600051879882812</v>
      </c>
    </row>
    <row r="418" spans="1:8" x14ac:dyDescent="0.2">
      <c r="A418" t="s">
        <v>4</v>
      </c>
      <c r="B418" s="2">
        <v>45168</v>
      </c>
      <c r="C418">
        <v>37.434749603271477</v>
      </c>
      <c r="D418">
        <f>_xlfn.XLOOKUP(B418, Oil_Price!A:A, Oil_Price!B:B, "")</f>
        <v>81.629997253417969</v>
      </c>
      <c r="E418">
        <f t="shared" si="24"/>
        <v>1.9585234517915271E-3</v>
      </c>
      <c r="F418">
        <f t="shared" si="25"/>
        <v>5.7909508391017547E-3</v>
      </c>
      <c r="G418">
        <f t="shared" si="26"/>
        <v>7.3173522949204539E-2</v>
      </c>
      <c r="H418">
        <f t="shared" si="27"/>
        <v>0.46999359130859375</v>
      </c>
    </row>
    <row r="419" spans="1:8" x14ac:dyDescent="0.2">
      <c r="A419" t="s">
        <v>4</v>
      </c>
      <c r="B419" s="2">
        <v>45169</v>
      </c>
      <c r="C419">
        <v>37.624114990234382</v>
      </c>
      <c r="D419">
        <f>_xlfn.XLOOKUP(B419, Oil_Price!A:A, Oil_Price!B:B, "")</f>
        <v>83.629997253417969</v>
      </c>
      <c r="E419">
        <f t="shared" si="24"/>
        <v>5.0585455751614248E-3</v>
      </c>
      <c r="F419">
        <f t="shared" si="25"/>
        <v>2.4500797100250511E-2</v>
      </c>
      <c r="G419">
        <f t="shared" si="26"/>
        <v>0.18936538696290484</v>
      </c>
      <c r="H419">
        <f t="shared" si="27"/>
        <v>2</v>
      </c>
    </row>
    <row r="420" spans="1:8" x14ac:dyDescent="0.2">
      <c r="A420" t="s">
        <v>4</v>
      </c>
      <c r="B420" s="2">
        <v>45170</v>
      </c>
      <c r="C420">
        <v>38.015758514404297</v>
      </c>
      <c r="D420">
        <f>_xlfn.XLOOKUP(B420, Oil_Price!A:A, Oil_Price!B:B, "")</f>
        <v>85.550003051757812</v>
      </c>
      <c r="E420">
        <f t="shared" si="24"/>
        <v>1.040937505829888E-2</v>
      </c>
      <c r="F420">
        <f t="shared" si="25"/>
        <v>2.2958338651163507E-2</v>
      </c>
      <c r="G420">
        <f t="shared" si="26"/>
        <v>0.39164352416991477</v>
      </c>
      <c r="H420">
        <f t="shared" si="27"/>
        <v>1.9200057983398438</v>
      </c>
    </row>
    <row r="421" spans="1:8" x14ac:dyDescent="0.2">
      <c r="A421" t="s">
        <v>4</v>
      </c>
      <c r="B421" s="2">
        <v>45174</v>
      </c>
      <c r="C421">
        <v>38.355766296386719</v>
      </c>
      <c r="D421">
        <f>_xlfn.XLOOKUP(B421, Oil_Price!A:A, Oil_Price!B:B, "")</f>
        <v>86.69000244140625</v>
      </c>
      <c r="E421">
        <f t="shared" si="24"/>
        <v>8.9438642097221816E-3</v>
      </c>
      <c r="F421">
        <f t="shared" si="25"/>
        <v>1.3325533009726919E-2</v>
      </c>
      <c r="G421">
        <f t="shared" si="26"/>
        <v>0.34000778198242188</v>
      </c>
      <c r="H421">
        <f t="shared" si="27"/>
        <v>1.1399993896484375</v>
      </c>
    </row>
    <row r="422" spans="1:8" x14ac:dyDescent="0.2">
      <c r="A422" t="s">
        <v>4</v>
      </c>
      <c r="B422" s="2">
        <v>45175</v>
      </c>
      <c r="C422">
        <v>38.394496917724609</v>
      </c>
      <c r="D422">
        <f>_xlfn.XLOOKUP(B422, Oil_Price!A:A, Oil_Price!B:B, "")</f>
        <v>87.540000915527344</v>
      </c>
      <c r="E422">
        <f t="shared" si="24"/>
        <v>1.0097731078713768E-3</v>
      </c>
      <c r="F422">
        <f t="shared" si="25"/>
        <v>9.8050346081788101E-3</v>
      </c>
      <c r="G422">
        <f t="shared" si="26"/>
        <v>3.8730621337890625E-2</v>
      </c>
      <c r="H422">
        <f t="shared" si="27"/>
        <v>0.84999847412109375</v>
      </c>
    </row>
    <row r="423" spans="1:8" x14ac:dyDescent="0.2">
      <c r="A423" t="s">
        <v>4</v>
      </c>
      <c r="B423" s="2">
        <v>45176</v>
      </c>
      <c r="C423">
        <v>38.467666625976562</v>
      </c>
      <c r="D423">
        <f>_xlfn.XLOOKUP(B423, Oil_Price!A:A, Oil_Price!B:B, "")</f>
        <v>86.870002746582031</v>
      </c>
      <c r="E423">
        <f t="shared" si="24"/>
        <v>1.9057342620935535E-3</v>
      </c>
      <c r="F423">
        <f t="shared" si="25"/>
        <v>-7.6536230516131062E-3</v>
      </c>
      <c r="G423">
        <f t="shared" si="26"/>
        <v>7.3169708251953125E-2</v>
      </c>
      <c r="H423">
        <f t="shared" si="27"/>
        <v>-0.6699981689453125</v>
      </c>
    </row>
    <row r="424" spans="1:8" x14ac:dyDescent="0.2">
      <c r="A424" t="s">
        <v>4</v>
      </c>
      <c r="B424" s="2">
        <v>45177</v>
      </c>
      <c r="C424">
        <v>38.127658843994141</v>
      </c>
      <c r="D424">
        <f>_xlfn.XLOOKUP(B424, Oil_Price!A:A, Oil_Price!B:B, "")</f>
        <v>87.510002136230469</v>
      </c>
      <c r="E424">
        <f t="shared" si="24"/>
        <v>-8.8387940263790366E-3</v>
      </c>
      <c r="F424">
        <f t="shared" si="25"/>
        <v>7.367323234873718E-3</v>
      </c>
      <c r="G424">
        <f t="shared" si="26"/>
        <v>-0.34000778198242188</v>
      </c>
      <c r="H424">
        <f t="shared" si="27"/>
        <v>0.6399993896484375</v>
      </c>
    </row>
    <row r="425" spans="1:8" x14ac:dyDescent="0.2">
      <c r="A425" t="s">
        <v>4</v>
      </c>
      <c r="B425" s="2">
        <v>45180</v>
      </c>
      <c r="C425">
        <v>37.038799285888672</v>
      </c>
      <c r="D425">
        <f>_xlfn.XLOOKUP(B425, Oil_Price!A:A, Oil_Price!B:B, "")</f>
        <v>87.290000915527344</v>
      </c>
      <c r="E425">
        <f t="shared" si="24"/>
        <v>-2.8558259046555273E-2</v>
      </c>
      <c r="F425">
        <f t="shared" si="25"/>
        <v>-2.5140122881112483E-3</v>
      </c>
      <c r="G425">
        <f t="shared" si="26"/>
        <v>-1.0888595581054688</v>
      </c>
      <c r="H425">
        <f t="shared" si="27"/>
        <v>-0.220001220703125</v>
      </c>
    </row>
    <row r="426" spans="1:8" x14ac:dyDescent="0.2">
      <c r="A426" t="s">
        <v>4</v>
      </c>
      <c r="B426" s="2">
        <v>45181</v>
      </c>
      <c r="C426">
        <v>37.774742126464837</v>
      </c>
      <c r="D426">
        <f>_xlfn.XLOOKUP(B426, Oil_Price!A:A, Oil_Price!B:B, "")</f>
        <v>88.839996337890625</v>
      </c>
      <c r="E426">
        <f t="shared" si="24"/>
        <v>1.9869511289923213E-2</v>
      </c>
      <c r="F426">
        <f t="shared" si="25"/>
        <v>1.7756849651808911E-2</v>
      </c>
      <c r="G426">
        <f t="shared" si="26"/>
        <v>0.73594284057616477</v>
      </c>
      <c r="H426">
        <f t="shared" si="27"/>
        <v>1.5499954223632812</v>
      </c>
    </row>
    <row r="427" spans="1:8" x14ac:dyDescent="0.2">
      <c r="A427" t="s">
        <v>4</v>
      </c>
      <c r="B427" s="2">
        <v>45182</v>
      </c>
      <c r="C427">
        <v>37.507915496826172</v>
      </c>
      <c r="D427">
        <f>_xlfn.XLOOKUP(B427, Oil_Price!A:A, Oil_Price!B:B, "")</f>
        <v>88.519996643066406</v>
      </c>
      <c r="E427">
        <f t="shared" si="24"/>
        <v>-7.0636254443607986E-3</v>
      </c>
      <c r="F427">
        <f t="shared" si="25"/>
        <v>-3.6019778029610021E-3</v>
      </c>
      <c r="G427">
        <f t="shared" si="26"/>
        <v>-0.26682662963866477</v>
      </c>
      <c r="H427">
        <f t="shared" si="27"/>
        <v>-0.31999969482421875</v>
      </c>
    </row>
    <row r="428" spans="1:8" x14ac:dyDescent="0.2">
      <c r="A428" t="s">
        <v>4</v>
      </c>
      <c r="B428" s="2">
        <v>45183</v>
      </c>
      <c r="C428">
        <v>38.016712188720703</v>
      </c>
      <c r="D428">
        <f>_xlfn.XLOOKUP(B428, Oil_Price!A:A, Oil_Price!B:B, "")</f>
        <v>90.160003662109375</v>
      </c>
      <c r="E428">
        <f t="shared" si="24"/>
        <v>1.3565048474570239E-2</v>
      </c>
      <c r="F428">
        <f t="shared" si="25"/>
        <v>1.8526966575200692E-2</v>
      </c>
      <c r="G428">
        <f t="shared" si="26"/>
        <v>0.50879669189453125</v>
      </c>
      <c r="H428">
        <f t="shared" si="27"/>
        <v>1.6400070190429688</v>
      </c>
    </row>
    <row r="429" spans="1:8" x14ac:dyDescent="0.2">
      <c r="A429" t="s">
        <v>4</v>
      </c>
      <c r="B429" s="2">
        <v>45184</v>
      </c>
      <c r="C429">
        <v>37.894950866699219</v>
      </c>
      <c r="D429">
        <f>_xlfn.XLOOKUP(B429, Oil_Price!A:A, Oil_Price!B:B, "")</f>
        <v>90.769996643066406</v>
      </c>
      <c r="E429">
        <f t="shared" si="24"/>
        <v>-3.2028367265702195E-3</v>
      </c>
      <c r="F429">
        <f t="shared" si="25"/>
        <v>6.7656716524001955E-3</v>
      </c>
      <c r="G429">
        <f t="shared" si="26"/>
        <v>-0.12176132202148438</v>
      </c>
      <c r="H429">
        <f t="shared" si="27"/>
        <v>0.60999298095703125</v>
      </c>
    </row>
    <row r="430" spans="1:8" x14ac:dyDescent="0.2">
      <c r="A430" t="s">
        <v>4</v>
      </c>
      <c r="B430" s="2">
        <v>45187</v>
      </c>
      <c r="C430">
        <v>37.921047210693359</v>
      </c>
      <c r="D430">
        <f>_xlfn.XLOOKUP(B430, Oil_Price!A:A, Oil_Price!B:B, "")</f>
        <v>91.480003356933594</v>
      </c>
      <c r="E430">
        <f t="shared" si="24"/>
        <v>6.8864963266315239E-4</v>
      </c>
      <c r="F430">
        <f t="shared" si="25"/>
        <v>7.8220418654320004E-3</v>
      </c>
      <c r="G430">
        <f t="shared" si="26"/>
        <v>2.6096343994140625E-2</v>
      </c>
      <c r="H430">
        <f t="shared" si="27"/>
        <v>0.7100067138671875</v>
      </c>
    </row>
    <row r="431" spans="1:8" x14ac:dyDescent="0.2">
      <c r="A431" t="s">
        <v>4</v>
      </c>
      <c r="B431" s="2">
        <v>45188</v>
      </c>
      <c r="C431">
        <v>37.373104095458977</v>
      </c>
      <c r="D431">
        <f>_xlfn.XLOOKUP(B431, Oil_Price!A:A, Oil_Price!B:B, "")</f>
        <v>91.199996948242188</v>
      </c>
      <c r="E431">
        <f t="shared" si="24"/>
        <v>-1.4449577623475218E-2</v>
      </c>
      <c r="F431">
        <f t="shared" si="25"/>
        <v>-3.0608482555350013E-3</v>
      </c>
      <c r="G431">
        <f t="shared" si="26"/>
        <v>-0.54794311523438211</v>
      </c>
      <c r="H431">
        <f t="shared" si="27"/>
        <v>-0.28000640869140625</v>
      </c>
    </row>
    <row r="432" spans="1:8" x14ac:dyDescent="0.2">
      <c r="A432" t="s">
        <v>4</v>
      </c>
      <c r="B432" s="2">
        <v>45189</v>
      </c>
      <c r="C432">
        <v>36.790370941162109</v>
      </c>
      <c r="D432">
        <f>_xlfn.XLOOKUP(B432, Oil_Price!A:A, Oil_Price!B:B, "")</f>
        <v>90.279998779296875</v>
      </c>
      <c r="E432">
        <f t="shared" si="24"/>
        <v>-1.5592313467151179E-2</v>
      </c>
      <c r="F432">
        <f t="shared" si="25"/>
        <v>-1.0087699558448777E-2</v>
      </c>
      <c r="G432">
        <f t="shared" si="26"/>
        <v>-0.58273315429686789</v>
      </c>
      <c r="H432">
        <f t="shared" si="27"/>
        <v>-0.9199981689453125</v>
      </c>
    </row>
    <row r="433" spans="1:8" x14ac:dyDescent="0.2">
      <c r="A433" t="s">
        <v>4</v>
      </c>
      <c r="B433" s="2">
        <v>45190</v>
      </c>
      <c r="C433">
        <v>36.151107788085938</v>
      </c>
      <c r="D433">
        <f>_xlfn.XLOOKUP(B433, Oil_Price!A:A, Oil_Price!B:B, "")</f>
        <v>89.629997253417969</v>
      </c>
      <c r="E433">
        <f t="shared" si="24"/>
        <v>-1.7375827878944979E-2</v>
      </c>
      <c r="F433">
        <f t="shared" si="25"/>
        <v>-7.1998397725717006E-3</v>
      </c>
      <c r="G433">
        <f t="shared" si="26"/>
        <v>-0.63926315307617188</v>
      </c>
      <c r="H433">
        <f t="shared" si="27"/>
        <v>-0.65000152587890625</v>
      </c>
    </row>
    <row r="434" spans="1:8" x14ac:dyDescent="0.2">
      <c r="A434" t="s">
        <v>4</v>
      </c>
      <c r="B434" s="2">
        <v>45191</v>
      </c>
      <c r="C434">
        <v>36.151107788085938</v>
      </c>
      <c r="D434">
        <f>_xlfn.XLOOKUP(B434, Oil_Price!A:A, Oil_Price!B:B, "")</f>
        <v>90.029998779296875</v>
      </c>
      <c r="E434">
        <f t="shared" si="24"/>
        <v>0</v>
      </c>
      <c r="F434">
        <f t="shared" si="25"/>
        <v>4.4628086370230536E-3</v>
      </c>
      <c r="G434">
        <f t="shared" si="26"/>
        <v>0</v>
      </c>
      <c r="H434">
        <f t="shared" si="27"/>
        <v>0.40000152587890625</v>
      </c>
    </row>
    <row r="435" spans="1:8" x14ac:dyDescent="0.2">
      <c r="A435" t="s">
        <v>4</v>
      </c>
      <c r="B435" s="2">
        <v>45194</v>
      </c>
      <c r="C435">
        <v>37.007804870605469</v>
      </c>
      <c r="D435">
        <f>_xlfn.XLOOKUP(B435, Oil_Price!A:A, Oil_Price!B:B, "")</f>
        <v>89.680000305175781</v>
      </c>
      <c r="E435">
        <f t="shared" si="24"/>
        <v>2.3697671660337524E-2</v>
      </c>
      <c r="F435">
        <f t="shared" si="25"/>
        <v>-3.8875761286978794E-3</v>
      </c>
      <c r="G435">
        <f t="shared" si="26"/>
        <v>0.85669708251953125</v>
      </c>
      <c r="H435">
        <f t="shared" si="27"/>
        <v>-0.34999847412109375</v>
      </c>
    </row>
    <row r="436" spans="1:8" x14ac:dyDescent="0.2">
      <c r="A436" t="s">
        <v>4</v>
      </c>
      <c r="B436" s="2">
        <v>45195</v>
      </c>
      <c r="C436">
        <v>37.881908416748047</v>
      </c>
      <c r="D436">
        <f>_xlfn.XLOOKUP(B436, Oil_Price!A:A, Oil_Price!B:B, "")</f>
        <v>90.389999389648438</v>
      </c>
      <c r="E436">
        <f t="shared" si="24"/>
        <v>2.3619437823961843E-2</v>
      </c>
      <c r="F436">
        <f t="shared" si="25"/>
        <v>7.9170281228431207E-3</v>
      </c>
      <c r="G436">
        <f t="shared" si="26"/>
        <v>0.87410354614257812</v>
      </c>
      <c r="H436">
        <f t="shared" si="27"/>
        <v>0.70999908447265625</v>
      </c>
    </row>
    <row r="437" spans="1:8" x14ac:dyDescent="0.2">
      <c r="A437" t="s">
        <v>4</v>
      </c>
      <c r="B437" s="2">
        <v>45196</v>
      </c>
      <c r="C437">
        <v>38.747299194335938</v>
      </c>
      <c r="D437">
        <f>_xlfn.XLOOKUP(B437, Oil_Price!A:A, Oil_Price!B:B, "")</f>
        <v>93.680000305175781</v>
      </c>
      <c r="E437">
        <f t="shared" si="24"/>
        <v>2.2844434553494958E-2</v>
      </c>
      <c r="F437">
        <f t="shared" si="25"/>
        <v>3.6397841992950805E-2</v>
      </c>
      <c r="G437">
        <f t="shared" si="26"/>
        <v>0.86539077758789062</v>
      </c>
      <c r="H437">
        <f t="shared" si="27"/>
        <v>3.2900009155273438</v>
      </c>
    </row>
    <row r="438" spans="1:8" x14ac:dyDescent="0.2">
      <c r="A438" t="s">
        <v>4</v>
      </c>
      <c r="B438" s="2">
        <v>45197</v>
      </c>
      <c r="C438">
        <v>38.816883087158203</v>
      </c>
      <c r="D438">
        <f>_xlfn.XLOOKUP(B438, Oil_Price!A:A, Oil_Price!B:B, "")</f>
        <v>91.709999084472656</v>
      </c>
      <c r="E438">
        <f t="shared" si="24"/>
        <v>1.7958385298874552E-3</v>
      </c>
      <c r="F438">
        <f t="shared" si="25"/>
        <v>-2.1029047974867304E-2</v>
      </c>
      <c r="G438">
        <f t="shared" si="26"/>
        <v>6.9583892822265625E-2</v>
      </c>
      <c r="H438">
        <f t="shared" si="27"/>
        <v>-1.970001220703125</v>
      </c>
    </row>
    <row r="439" spans="1:8" x14ac:dyDescent="0.2">
      <c r="A439" t="s">
        <v>4</v>
      </c>
      <c r="B439" s="2">
        <v>45198</v>
      </c>
      <c r="C439">
        <v>38.199359893798828</v>
      </c>
      <c r="D439">
        <f>_xlfn.XLOOKUP(B439, Oil_Price!A:A, Oil_Price!B:B, "")</f>
        <v>90.790000915527344</v>
      </c>
      <c r="E439">
        <f t="shared" si="24"/>
        <v>-1.5908623883396509E-2</v>
      </c>
      <c r="F439">
        <f t="shared" si="25"/>
        <v>-1.0031601549771214E-2</v>
      </c>
      <c r="G439">
        <f t="shared" si="26"/>
        <v>-0.617523193359375</v>
      </c>
      <c r="H439">
        <f t="shared" si="27"/>
        <v>-0.9199981689453125</v>
      </c>
    </row>
    <row r="440" spans="1:8" x14ac:dyDescent="0.2">
      <c r="A440" t="s">
        <v>4</v>
      </c>
      <c r="B440" s="2">
        <v>45201</v>
      </c>
      <c r="C440">
        <v>37.525306701660163</v>
      </c>
      <c r="D440">
        <f>_xlfn.XLOOKUP(B440, Oil_Price!A:A, Oil_Price!B:B, "")</f>
        <v>88.819999694824219</v>
      </c>
      <c r="E440">
        <f t="shared" si="24"/>
        <v>-1.7645667205226874E-2</v>
      </c>
      <c r="F440">
        <f t="shared" si="25"/>
        <v>-2.1698438163207528E-2</v>
      </c>
      <c r="G440">
        <f t="shared" si="26"/>
        <v>-0.67405319213866477</v>
      </c>
      <c r="H440">
        <f t="shared" si="27"/>
        <v>-1.970001220703125</v>
      </c>
    </row>
    <row r="441" spans="1:8" x14ac:dyDescent="0.2">
      <c r="A441" t="s">
        <v>4</v>
      </c>
      <c r="B441" s="2">
        <v>45202</v>
      </c>
      <c r="C441">
        <v>37.716651916503913</v>
      </c>
      <c r="D441">
        <f>_xlfn.XLOOKUP(B441, Oil_Price!A:A, Oil_Price!B:B, "")</f>
        <v>89.230003356933594</v>
      </c>
      <c r="E441">
        <f t="shared" si="24"/>
        <v>5.0990979598118692E-3</v>
      </c>
      <c r="F441">
        <f t="shared" si="25"/>
        <v>4.6161187065762513E-3</v>
      </c>
      <c r="G441">
        <f t="shared" si="26"/>
        <v>0.19134521484375</v>
      </c>
      <c r="H441">
        <f t="shared" si="27"/>
        <v>0.410003662109375</v>
      </c>
    </row>
    <row r="442" spans="1:8" x14ac:dyDescent="0.2">
      <c r="A442" t="s">
        <v>4</v>
      </c>
      <c r="B442" s="2">
        <v>45203</v>
      </c>
      <c r="C442">
        <v>35.964107513427727</v>
      </c>
      <c r="D442">
        <f>_xlfn.XLOOKUP(B442, Oil_Price!A:A, Oil_Price!B:B, "")</f>
        <v>84.220001220703125</v>
      </c>
      <c r="E442">
        <f t="shared" si="24"/>
        <v>-4.6466065093898598E-2</v>
      </c>
      <c r="F442">
        <f t="shared" si="25"/>
        <v>-5.6147057578712599E-2</v>
      </c>
      <c r="G442">
        <f t="shared" si="26"/>
        <v>-1.7525444030761861</v>
      </c>
      <c r="H442">
        <f t="shared" si="27"/>
        <v>-5.0100021362304688</v>
      </c>
    </row>
    <row r="443" spans="1:8" x14ac:dyDescent="0.2">
      <c r="A443" t="s">
        <v>4</v>
      </c>
      <c r="B443" s="2">
        <v>45204</v>
      </c>
      <c r="C443">
        <v>36.05108642578125</v>
      </c>
      <c r="D443">
        <f>_xlfn.XLOOKUP(B443, Oil_Price!A:A, Oil_Price!B:B, "")</f>
        <v>82.30999755859375</v>
      </c>
      <c r="E443">
        <f t="shared" si="24"/>
        <v>2.4184921680886389E-3</v>
      </c>
      <c r="F443">
        <f t="shared" si="25"/>
        <v>-2.2678741800348658E-2</v>
      </c>
      <c r="G443">
        <f t="shared" si="26"/>
        <v>8.697891235352273E-2</v>
      </c>
      <c r="H443">
        <f t="shared" si="27"/>
        <v>-1.910003662109375</v>
      </c>
    </row>
    <row r="444" spans="1:8" x14ac:dyDescent="0.2">
      <c r="A444" t="s">
        <v>4</v>
      </c>
      <c r="B444" s="2">
        <v>45205</v>
      </c>
      <c r="C444">
        <v>36.512050628662109</v>
      </c>
      <c r="D444">
        <f>_xlfn.XLOOKUP(B444, Oil_Price!A:A, Oil_Price!B:B, "")</f>
        <v>82.790000915527344</v>
      </c>
      <c r="E444">
        <f t="shared" si="24"/>
        <v>1.2786416404672055E-2</v>
      </c>
      <c r="F444">
        <f t="shared" si="25"/>
        <v>5.8316531547931991E-3</v>
      </c>
      <c r="G444">
        <f t="shared" si="26"/>
        <v>0.46096420288085938</v>
      </c>
      <c r="H444">
        <f t="shared" si="27"/>
        <v>0.48000335693359375</v>
      </c>
    </row>
    <row r="445" spans="1:8" x14ac:dyDescent="0.2">
      <c r="A445" t="s">
        <v>4</v>
      </c>
      <c r="B445" s="2">
        <v>45209</v>
      </c>
      <c r="C445">
        <v>38.503772735595703</v>
      </c>
      <c r="D445">
        <f>_xlfn.XLOOKUP(B445, Oil_Price!A:A, Oil_Price!B:B, "")</f>
        <v>85.970001220703125</v>
      </c>
      <c r="E445">
        <f t="shared" si="24"/>
        <v>5.4549719137661462E-2</v>
      </c>
      <c r="F445">
        <f t="shared" si="25"/>
        <v>3.8410439304384272E-2</v>
      </c>
      <c r="G445">
        <f t="shared" si="26"/>
        <v>1.9917221069335938</v>
      </c>
      <c r="H445">
        <f t="shared" si="27"/>
        <v>3.1800003051757812</v>
      </c>
    </row>
    <row r="446" spans="1:8" x14ac:dyDescent="0.2">
      <c r="A446" t="s">
        <v>4</v>
      </c>
      <c r="B446" s="2">
        <v>45210</v>
      </c>
      <c r="C446">
        <v>38.516819000244141</v>
      </c>
      <c r="D446">
        <f>_xlfn.XLOOKUP(B446, Oil_Price!A:A, Oil_Price!B:B, "")</f>
        <v>83.489997863769531</v>
      </c>
      <c r="E446">
        <f t="shared" si="24"/>
        <v>3.3883081374975441E-4</v>
      </c>
      <c r="F446">
        <f t="shared" si="25"/>
        <v>-2.884731094241702E-2</v>
      </c>
      <c r="G446">
        <f t="shared" si="26"/>
        <v>1.30462646484375E-2</v>
      </c>
      <c r="H446">
        <f t="shared" si="27"/>
        <v>-2.4800033569335938</v>
      </c>
    </row>
    <row r="447" spans="1:8" x14ac:dyDescent="0.2">
      <c r="A447" t="s">
        <v>4</v>
      </c>
      <c r="B447" s="2">
        <v>45211</v>
      </c>
      <c r="C447">
        <v>38.912551879882812</v>
      </c>
      <c r="D447">
        <f>_xlfn.XLOOKUP(B447, Oil_Price!A:A, Oil_Price!B:B, "")</f>
        <v>82.910003662109375</v>
      </c>
      <c r="E447">
        <f t="shared" si="24"/>
        <v>1.0274287698476957E-2</v>
      </c>
      <c r="F447">
        <f t="shared" si="25"/>
        <v>-6.9468704814980549E-3</v>
      </c>
      <c r="G447">
        <f t="shared" si="26"/>
        <v>0.39573287963867188</v>
      </c>
      <c r="H447">
        <f t="shared" si="27"/>
        <v>-0.57999420166015625</v>
      </c>
    </row>
    <row r="448" spans="1:8" x14ac:dyDescent="0.2">
      <c r="A448" t="s">
        <v>4</v>
      </c>
      <c r="B448" s="2">
        <v>45212</v>
      </c>
      <c r="C448">
        <v>39.656192779541023</v>
      </c>
      <c r="D448">
        <f>_xlfn.XLOOKUP(B448, Oil_Price!A:A, Oil_Price!B:B, "")</f>
        <v>87.69000244140625</v>
      </c>
      <c r="E448">
        <f t="shared" si="24"/>
        <v>1.9110566224330845E-2</v>
      </c>
      <c r="F448">
        <f t="shared" si="25"/>
        <v>5.7652859343454328E-2</v>
      </c>
      <c r="G448">
        <f t="shared" si="26"/>
        <v>0.74364089965821023</v>
      </c>
      <c r="H448">
        <f t="shared" si="27"/>
        <v>4.779998779296875</v>
      </c>
    </row>
    <row r="449" spans="1:8" x14ac:dyDescent="0.2">
      <c r="A449" t="s">
        <v>4</v>
      </c>
      <c r="B449" s="2">
        <v>45215</v>
      </c>
      <c r="C449">
        <v>39.912769317626953</v>
      </c>
      <c r="D449">
        <f>_xlfn.XLOOKUP(B449, Oil_Price!A:A, Oil_Price!B:B, "")</f>
        <v>86.660003662109375</v>
      </c>
      <c r="E449">
        <f t="shared" si="24"/>
        <v>6.4700244804715718E-3</v>
      </c>
      <c r="F449">
        <f t="shared" si="25"/>
        <v>-1.1745908890641346E-2</v>
      </c>
      <c r="G449">
        <f t="shared" si="26"/>
        <v>0.25657653808593039</v>
      </c>
      <c r="H449">
        <f t="shared" si="27"/>
        <v>-1.029998779296875</v>
      </c>
    </row>
    <row r="450" spans="1:8" x14ac:dyDescent="0.2">
      <c r="A450" t="s">
        <v>4</v>
      </c>
      <c r="B450" s="2">
        <v>45216</v>
      </c>
      <c r="C450">
        <v>39.786655426025391</v>
      </c>
      <c r="D450">
        <f>_xlfn.XLOOKUP(B450, Oil_Price!A:A, Oil_Price!B:B, "")</f>
        <v>86.660003662109375</v>
      </c>
      <c r="E450">
        <f t="shared" si="24"/>
        <v>-3.1597379424600823E-3</v>
      </c>
      <c r="F450">
        <f t="shared" si="25"/>
        <v>0</v>
      </c>
      <c r="G450">
        <f t="shared" si="26"/>
        <v>-0.1261138916015625</v>
      </c>
      <c r="H450">
        <f t="shared" si="27"/>
        <v>0</v>
      </c>
    </row>
    <row r="451" spans="1:8" x14ac:dyDescent="0.2">
      <c r="A451" t="s">
        <v>4</v>
      </c>
      <c r="B451" s="2">
        <v>45217</v>
      </c>
      <c r="C451">
        <v>39.869281768798828</v>
      </c>
      <c r="D451">
        <f>_xlfn.XLOOKUP(B451, Oil_Price!A:A, Oil_Price!B:B, "")</f>
        <v>88.319999694824219</v>
      </c>
      <c r="E451">
        <f t="shared" ref="E451:E514" si="28">IFERROR(IF(AND(A451=A450, C451&lt;&gt;"", C450&lt;&gt;""), (C451-C450)/C450, ""), "")</f>
        <v>2.0767350733228423E-3</v>
      </c>
      <c r="F451">
        <f t="shared" ref="F451:F514" si="29">IFERROR(IF(AND(A451=A450, D451&lt;&gt;"", D450&lt;&gt;""), (D451-D450)/D450, ""), "")</f>
        <v>1.9155273050613188E-2</v>
      </c>
      <c r="G451">
        <f t="shared" ref="G451:G514" si="30">IFERROR(IF(AND(A451=A450, C451&lt;&gt;"", C450&lt;&gt;""), C451-C450, ""), "")</f>
        <v>8.26263427734375E-2</v>
      </c>
      <c r="H451">
        <f t="shared" ref="H451:H514" si="31">IFERROR(IF(AND(A451=A450, D451&lt;&gt;"", D450&lt;&gt;""), D451-D450, ""), "")</f>
        <v>1.6599960327148438</v>
      </c>
    </row>
    <row r="452" spans="1:8" x14ac:dyDescent="0.2">
      <c r="A452" t="s">
        <v>4</v>
      </c>
      <c r="B452" s="2">
        <v>45218</v>
      </c>
      <c r="C452">
        <v>39.638797760009773</v>
      </c>
      <c r="D452">
        <f>_xlfn.XLOOKUP(B452, Oil_Price!A:A, Oil_Price!B:B, "")</f>
        <v>89.370002746582031</v>
      </c>
      <c r="E452">
        <f t="shared" si="28"/>
        <v>-5.780992246753467E-3</v>
      </c>
      <c r="F452">
        <f t="shared" si="29"/>
        <v>1.188862155101825E-2</v>
      </c>
      <c r="G452">
        <f t="shared" si="30"/>
        <v>-0.23048400878905539</v>
      </c>
      <c r="H452">
        <f t="shared" si="31"/>
        <v>1.0500030517578125</v>
      </c>
    </row>
    <row r="453" spans="1:8" x14ac:dyDescent="0.2">
      <c r="A453" t="s">
        <v>4</v>
      </c>
      <c r="B453" s="2">
        <v>45219</v>
      </c>
      <c r="C453">
        <v>39.038669586181641</v>
      </c>
      <c r="D453">
        <f>_xlfn.XLOOKUP(B453, Oil_Price!A:A, Oil_Price!B:B, "")</f>
        <v>88.75</v>
      </c>
      <c r="E453">
        <f t="shared" si="28"/>
        <v>-1.5139918659026055E-2</v>
      </c>
      <c r="F453">
        <f t="shared" si="29"/>
        <v>-6.9374815657118616E-3</v>
      </c>
      <c r="G453">
        <f t="shared" si="30"/>
        <v>-0.60012817382813211</v>
      </c>
      <c r="H453">
        <f t="shared" si="31"/>
        <v>-0.62000274658203125</v>
      </c>
    </row>
    <row r="454" spans="1:8" x14ac:dyDescent="0.2">
      <c r="A454" t="s">
        <v>4</v>
      </c>
      <c r="B454" s="2">
        <v>45222</v>
      </c>
      <c r="C454">
        <v>38.516819000244141</v>
      </c>
      <c r="D454">
        <f>_xlfn.XLOOKUP(B454, Oil_Price!A:A, Oil_Price!B:B, "")</f>
        <v>85.489997863769531</v>
      </c>
      <c r="E454">
        <f t="shared" si="28"/>
        <v>-1.3367529976539399E-2</v>
      </c>
      <c r="F454">
        <f t="shared" si="29"/>
        <v>-3.6732418436399648E-2</v>
      </c>
      <c r="G454">
        <f t="shared" si="30"/>
        <v>-0.5218505859375</v>
      </c>
      <c r="H454">
        <f t="shared" si="31"/>
        <v>-3.2600021362304688</v>
      </c>
    </row>
    <row r="455" spans="1:8" x14ac:dyDescent="0.2">
      <c r="A455" t="s">
        <v>4</v>
      </c>
      <c r="B455" s="2">
        <v>45223</v>
      </c>
      <c r="C455">
        <v>38.012374877929688</v>
      </c>
      <c r="D455">
        <f>_xlfn.XLOOKUP(B455, Oil_Price!A:A, Oil_Price!B:B, "")</f>
        <v>83.739997863769531</v>
      </c>
      <c r="E455">
        <f t="shared" si="28"/>
        <v>-1.3096723338218966E-2</v>
      </c>
      <c r="F455">
        <f t="shared" si="29"/>
        <v>-2.0470230947819992E-2</v>
      </c>
      <c r="G455">
        <f t="shared" si="30"/>
        <v>-0.50444412231445312</v>
      </c>
      <c r="H455">
        <f t="shared" si="31"/>
        <v>-1.75</v>
      </c>
    </row>
    <row r="456" spans="1:8" x14ac:dyDescent="0.2">
      <c r="A456" t="s">
        <v>4</v>
      </c>
      <c r="B456" s="2">
        <v>45224</v>
      </c>
      <c r="C456">
        <v>38.564655303955078</v>
      </c>
      <c r="D456">
        <f>_xlfn.XLOOKUP(B456, Oil_Price!A:A, Oil_Price!B:B, "")</f>
        <v>85.389999389648438</v>
      </c>
      <c r="E456">
        <f t="shared" si="28"/>
        <v>1.4528963996565482E-2</v>
      </c>
      <c r="F456">
        <f t="shared" si="29"/>
        <v>1.9703863959528313E-2</v>
      </c>
      <c r="G456">
        <f t="shared" si="30"/>
        <v>0.55228042602539062</v>
      </c>
      <c r="H456">
        <f t="shared" si="31"/>
        <v>1.6500015258789062</v>
      </c>
    </row>
    <row r="457" spans="1:8" x14ac:dyDescent="0.2">
      <c r="A457" t="s">
        <v>4</v>
      </c>
      <c r="B457" s="2">
        <v>45225</v>
      </c>
      <c r="C457">
        <v>38.590751647949219</v>
      </c>
      <c r="D457">
        <f>_xlfn.XLOOKUP(B457, Oil_Price!A:A, Oil_Price!B:B, "")</f>
        <v>83.209999084472656</v>
      </c>
      <c r="E457">
        <f t="shared" si="28"/>
        <v>6.7669071040456729E-4</v>
      </c>
      <c r="F457">
        <f t="shared" si="29"/>
        <v>-2.5529925292868148E-2</v>
      </c>
      <c r="G457">
        <f t="shared" si="30"/>
        <v>2.6096343994140625E-2</v>
      </c>
      <c r="H457">
        <f t="shared" si="31"/>
        <v>-2.1800003051757812</v>
      </c>
    </row>
    <row r="458" spans="1:8" x14ac:dyDescent="0.2">
      <c r="A458" t="s">
        <v>4</v>
      </c>
      <c r="B458" s="2">
        <v>45226</v>
      </c>
      <c r="C458">
        <v>38.268943786621087</v>
      </c>
      <c r="D458">
        <f>_xlfn.XLOOKUP(B458, Oil_Price!A:A, Oil_Price!B:B, "")</f>
        <v>85.540000915527344</v>
      </c>
      <c r="E458">
        <f t="shared" si="28"/>
        <v>-8.3389892030059365E-3</v>
      </c>
      <c r="F458">
        <f t="shared" si="29"/>
        <v>2.800146444767208E-2</v>
      </c>
      <c r="G458">
        <f t="shared" si="30"/>
        <v>-0.32180786132813211</v>
      </c>
      <c r="H458">
        <f t="shared" si="31"/>
        <v>2.3300018310546875</v>
      </c>
    </row>
    <row r="459" spans="1:8" x14ac:dyDescent="0.2">
      <c r="A459" t="s">
        <v>4</v>
      </c>
      <c r="B459" s="2">
        <v>45229</v>
      </c>
      <c r="C459">
        <v>38.312435150146477</v>
      </c>
      <c r="D459">
        <f>_xlfn.XLOOKUP(B459, Oil_Price!A:A, Oil_Price!B:B, "")</f>
        <v>82.30999755859375</v>
      </c>
      <c r="E459">
        <f t="shared" si="28"/>
        <v>1.1364662627714149E-3</v>
      </c>
      <c r="F459">
        <f t="shared" si="29"/>
        <v>-3.7760151068075086E-2</v>
      </c>
      <c r="G459">
        <f t="shared" si="30"/>
        <v>4.3491363525390625E-2</v>
      </c>
      <c r="H459">
        <f t="shared" si="31"/>
        <v>-3.2300033569335938</v>
      </c>
    </row>
    <row r="460" spans="1:8" x14ac:dyDescent="0.2">
      <c r="A460" t="s">
        <v>4</v>
      </c>
      <c r="B460" s="2">
        <v>45230</v>
      </c>
      <c r="C460">
        <v>38.295032501220703</v>
      </c>
      <c r="D460">
        <f>_xlfn.XLOOKUP(B460, Oil_Price!A:A, Oil_Price!B:B, "")</f>
        <v>81.019996643066406</v>
      </c>
      <c r="E460">
        <f t="shared" si="28"/>
        <v>-4.542297783362802E-4</v>
      </c>
      <c r="F460">
        <f t="shared" si="29"/>
        <v>-1.5672469369337971E-2</v>
      </c>
      <c r="G460">
        <f t="shared" si="30"/>
        <v>-1.7402648925774145E-2</v>
      </c>
      <c r="H460">
        <f t="shared" si="31"/>
        <v>-1.2900009155273438</v>
      </c>
    </row>
    <row r="461" spans="1:8" x14ac:dyDescent="0.2">
      <c r="A461" t="s">
        <v>4</v>
      </c>
      <c r="B461" s="2">
        <v>45231</v>
      </c>
      <c r="C461">
        <v>39.012577056884773</v>
      </c>
      <c r="D461">
        <f>_xlfn.XLOOKUP(B461, Oil_Price!A:A, Oil_Price!B:B, "")</f>
        <v>80.44000244140625</v>
      </c>
      <c r="E461">
        <f t="shared" si="28"/>
        <v>1.8737275014486458E-2</v>
      </c>
      <c r="F461">
        <f t="shared" si="29"/>
        <v>-7.1586549702701259E-3</v>
      </c>
      <c r="G461">
        <f t="shared" si="30"/>
        <v>0.71754455566406961</v>
      </c>
      <c r="H461">
        <f t="shared" si="31"/>
        <v>-0.57999420166015625</v>
      </c>
    </row>
    <row r="462" spans="1:8" x14ac:dyDescent="0.2">
      <c r="A462" t="s">
        <v>4</v>
      </c>
      <c r="B462" s="2">
        <v>45232</v>
      </c>
      <c r="C462">
        <v>40.569435119628913</v>
      </c>
      <c r="D462">
        <f>_xlfn.XLOOKUP(B462, Oil_Price!A:A, Oil_Price!B:B, "")</f>
        <v>82.459999084472656</v>
      </c>
      <c r="E462">
        <f t="shared" si="28"/>
        <v>3.9906568091466109E-2</v>
      </c>
      <c r="F462">
        <f t="shared" si="29"/>
        <v>2.5111842140206338E-2</v>
      </c>
      <c r="G462">
        <f t="shared" si="30"/>
        <v>1.5568580627441406</v>
      </c>
      <c r="H462">
        <f t="shared" si="31"/>
        <v>2.0199966430664062</v>
      </c>
    </row>
    <row r="463" spans="1:8" x14ac:dyDescent="0.2">
      <c r="A463" t="s">
        <v>4</v>
      </c>
      <c r="B463" s="2">
        <v>45233</v>
      </c>
      <c r="C463">
        <v>39.812744140625</v>
      </c>
      <c r="D463">
        <f>_xlfn.XLOOKUP(B463, Oil_Price!A:A, Oil_Price!B:B, "")</f>
        <v>80.510002136230469</v>
      </c>
      <c r="E463">
        <f t="shared" si="28"/>
        <v>-1.8651750431639601E-2</v>
      </c>
      <c r="F463">
        <f t="shared" si="29"/>
        <v>-2.3647792504152172E-2</v>
      </c>
      <c r="G463">
        <f t="shared" si="30"/>
        <v>-0.75669097900391336</v>
      </c>
      <c r="H463">
        <f t="shared" si="31"/>
        <v>-1.9499969482421875</v>
      </c>
    </row>
    <row r="464" spans="1:8" x14ac:dyDescent="0.2">
      <c r="A464" t="s">
        <v>4</v>
      </c>
      <c r="B464" s="2">
        <v>45236</v>
      </c>
      <c r="C464">
        <v>39.625755310058587</v>
      </c>
      <c r="D464">
        <f>_xlfn.XLOOKUP(B464, Oil_Price!A:A, Oil_Price!B:B, "")</f>
        <v>80.819999694824219</v>
      </c>
      <c r="E464">
        <f t="shared" si="28"/>
        <v>-4.6967079160868388E-3</v>
      </c>
      <c r="F464">
        <f t="shared" si="29"/>
        <v>3.8504229334040394E-3</v>
      </c>
      <c r="G464">
        <f t="shared" si="30"/>
        <v>-0.18698883056641336</v>
      </c>
      <c r="H464">
        <f t="shared" si="31"/>
        <v>0.30999755859375</v>
      </c>
    </row>
    <row r="465" spans="1:8" x14ac:dyDescent="0.2">
      <c r="A465" t="s">
        <v>4</v>
      </c>
      <c r="B465" s="2">
        <v>45237</v>
      </c>
      <c r="C465">
        <v>38.195014953613281</v>
      </c>
      <c r="D465">
        <f>_xlfn.XLOOKUP(B465, Oil_Price!A:A, Oil_Price!B:B, "")</f>
        <v>77.370002746582031</v>
      </c>
      <c r="E465">
        <f t="shared" si="28"/>
        <v>-3.6106323911058086E-2</v>
      </c>
      <c r="F465">
        <f t="shared" si="29"/>
        <v>-4.2687416001847972E-2</v>
      </c>
      <c r="G465">
        <f t="shared" si="30"/>
        <v>-1.4307403564453054</v>
      </c>
      <c r="H465">
        <f t="shared" si="31"/>
        <v>-3.4499969482421875</v>
      </c>
    </row>
    <row r="466" spans="1:8" x14ac:dyDescent="0.2">
      <c r="A466" t="s">
        <v>4</v>
      </c>
      <c r="B466" s="2">
        <v>45238</v>
      </c>
      <c r="C466">
        <v>37.42529296875</v>
      </c>
      <c r="D466">
        <f>_xlfn.XLOOKUP(B466, Oil_Price!A:A, Oil_Price!B:B, "")</f>
        <v>75.330001831054688</v>
      </c>
      <c r="E466">
        <f t="shared" si="28"/>
        <v>-2.0152420042198856E-2</v>
      </c>
      <c r="F466">
        <f t="shared" si="29"/>
        <v>-2.6366819737736982E-2</v>
      </c>
      <c r="G466">
        <f t="shared" si="30"/>
        <v>-0.76972198486328125</v>
      </c>
      <c r="H466">
        <f t="shared" si="31"/>
        <v>-2.0400009155273438</v>
      </c>
    </row>
    <row r="467" spans="1:8" x14ac:dyDescent="0.2">
      <c r="A467" t="s">
        <v>4</v>
      </c>
      <c r="B467" s="2">
        <v>45239</v>
      </c>
      <c r="C467">
        <v>38.1776123046875</v>
      </c>
      <c r="D467">
        <f>_xlfn.XLOOKUP(B467, Oil_Price!A:A, Oil_Price!B:B, "")</f>
        <v>75.739997863769531</v>
      </c>
      <c r="E467">
        <f t="shared" si="28"/>
        <v>2.0101895703680508E-2</v>
      </c>
      <c r="F467">
        <f t="shared" si="29"/>
        <v>5.442665906664341E-3</v>
      </c>
      <c r="G467">
        <f t="shared" si="30"/>
        <v>0.7523193359375</v>
      </c>
      <c r="H467">
        <f t="shared" si="31"/>
        <v>0.40999603271484375</v>
      </c>
    </row>
    <row r="468" spans="1:8" x14ac:dyDescent="0.2">
      <c r="A468" t="s">
        <v>4</v>
      </c>
      <c r="B468" s="2">
        <v>45240</v>
      </c>
      <c r="C468">
        <v>38.742950439453118</v>
      </c>
      <c r="D468">
        <f>_xlfn.XLOOKUP(B468, Oil_Price!A:A, Oil_Price!B:B, "")</f>
        <v>77.169998168945312</v>
      </c>
      <c r="E468">
        <f t="shared" si="28"/>
        <v>1.4808106129156874E-2</v>
      </c>
      <c r="F468">
        <f t="shared" si="29"/>
        <v>1.8880384809989895E-2</v>
      </c>
      <c r="G468">
        <f t="shared" si="30"/>
        <v>0.56533813476561789</v>
      </c>
      <c r="H468">
        <f t="shared" si="31"/>
        <v>1.4300003051757812</v>
      </c>
    </row>
    <row r="469" spans="1:8" x14ac:dyDescent="0.2">
      <c r="A469" t="s">
        <v>4</v>
      </c>
      <c r="B469" s="2">
        <v>45243</v>
      </c>
      <c r="C469">
        <v>39.112594604492188</v>
      </c>
      <c r="D469">
        <f>_xlfn.XLOOKUP(B469, Oil_Price!A:A, Oil_Price!B:B, "")</f>
        <v>78.260002136230469</v>
      </c>
      <c r="E469">
        <f t="shared" si="28"/>
        <v>9.5409399864045917E-3</v>
      </c>
      <c r="F469">
        <f t="shared" si="29"/>
        <v>1.4124711586734166E-2</v>
      </c>
      <c r="G469">
        <f t="shared" si="30"/>
        <v>0.36964416503906961</v>
      </c>
      <c r="H469">
        <f t="shared" si="31"/>
        <v>1.0900039672851562</v>
      </c>
    </row>
    <row r="470" spans="1:8" x14ac:dyDescent="0.2">
      <c r="A470" t="s">
        <v>4</v>
      </c>
      <c r="B470" s="2">
        <v>45244</v>
      </c>
      <c r="C470">
        <v>39.482242584228523</v>
      </c>
      <c r="D470">
        <f>_xlfn.XLOOKUP(B470, Oil_Price!A:A, Oil_Price!B:B, "")</f>
        <v>78.260002136230469</v>
      </c>
      <c r="E470">
        <f t="shared" si="28"/>
        <v>9.4508682810288472E-3</v>
      </c>
      <c r="F470">
        <f t="shared" si="29"/>
        <v>0</v>
      </c>
      <c r="G470">
        <f t="shared" si="30"/>
        <v>0.36964797973633523</v>
      </c>
      <c r="H470">
        <f t="shared" si="31"/>
        <v>0</v>
      </c>
    </row>
    <row r="471" spans="1:8" x14ac:dyDescent="0.2">
      <c r="A471" t="s">
        <v>4</v>
      </c>
      <c r="B471" s="2">
        <v>45245</v>
      </c>
      <c r="C471">
        <v>38.899509429931641</v>
      </c>
      <c r="D471">
        <f>_xlfn.XLOOKUP(B471, Oil_Price!A:A, Oil_Price!B:B, "")</f>
        <v>76.660003662109375</v>
      </c>
      <c r="E471">
        <f t="shared" si="28"/>
        <v>-1.4759373230984078E-2</v>
      </c>
      <c r="F471">
        <f t="shared" si="29"/>
        <v>-2.0444651551834989E-2</v>
      </c>
      <c r="G471">
        <f t="shared" si="30"/>
        <v>-0.58273315429688211</v>
      </c>
      <c r="H471">
        <f t="shared" si="31"/>
        <v>-1.5999984741210938</v>
      </c>
    </row>
    <row r="472" spans="1:8" x14ac:dyDescent="0.2">
      <c r="A472" t="s">
        <v>4</v>
      </c>
      <c r="B472" s="2">
        <v>45246</v>
      </c>
      <c r="C472">
        <v>38.264595031738281</v>
      </c>
      <c r="D472">
        <f>_xlfn.XLOOKUP(B472, Oil_Price!A:A, Oil_Price!B:B, "")</f>
        <v>72.900001525878906</v>
      </c>
      <c r="E472">
        <f t="shared" si="28"/>
        <v>-1.6321912730982095E-2</v>
      </c>
      <c r="F472">
        <f t="shared" si="29"/>
        <v>-4.9047768805272306E-2</v>
      </c>
      <c r="G472">
        <f t="shared" si="30"/>
        <v>-0.63491439819335938</v>
      </c>
      <c r="H472">
        <f t="shared" si="31"/>
        <v>-3.7600021362304688</v>
      </c>
    </row>
    <row r="473" spans="1:8" x14ac:dyDescent="0.2">
      <c r="A473" t="s">
        <v>4</v>
      </c>
      <c r="B473" s="2">
        <v>45247</v>
      </c>
      <c r="C473">
        <v>39.695331573486328</v>
      </c>
      <c r="D473">
        <f>_xlfn.XLOOKUP(B473, Oil_Price!A:A, Oil_Price!B:B, "")</f>
        <v>75.889999389648438</v>
      </c>
      <c r="E473">
        <f t="shared" si="28"/>
        <v>3.7390609793761916E-2</v>
      </c>
      <c r="F473">
        <f t="shared" si="29"/>
        <v>4.1015059001173082E-2</v>
      </c>
      <c r="G473">
        <f t="shared" si="30"/>
        <v>1.4307365417480469</v>
      </c>
      <c r="H473">
        <f t="shared" si="31"/>
        <v>2.9899978637695312</v>
      </c>
    </row>
    <row r="474" spans="1:8" x14ac:dyDescent="0.2">
      <c r="A474" t="s">
        <v>4</v>
      </c>
      <c r="B474" s="2">
        <v>45250</v>
      </c>
      <c r="C474">
        <v>39.873630523681641</v>
      </c>
      <c r="D474">
        <f>_xlfn.XLOOKUP(B474, Oil_Price!A:A, Oil_Price!B:B, "")</f>
        <v>77.599998474121094</v>
      </c>
      <c r="E474">
        <f t="shared" si="28"/>
        <v>4.491685624674403E-3</v>
      </c>
      <c r="F474">
        <f t="shared" si="29"/>
        <v>2.253260110983614E-2</v>
      </c>
      <c r="G474">
        <f t="shared" si="30"/>
        <v>0.1782989501953125</v>
      </c>
      <c r="H474">
        <f t="shared" si="31"/>
        <v>1.7099990844726562</v>
      </c>
    </row>
    <row r="475" spans="1:8" x14ac:dyDescent="0.2">
      <c r="A475" t="s">
        <v>4</v>
      </c>
      <c r="B475" s="2">
        <v>45251</v>
      </c>
      <c r="C475">
        <v>39.373519897460938</v>
      </c>
      <c r="D475">
        <f>_xlfn.XLOOKUP(B475, Oil_Price!A:A, Oil_Price!B:B, "")</f>
        <v>77.769996643066406</v>
      </c>
      <c r="E475">
        <f t="shared" si="28"/>
        <v>-1.2542390037036602E-2</v>
      </c>
      <c r="F475">
        <f t="shared" si="29"/>
        <v>2.1906980964955221E-3</v>
      </c>
      <c r="G475">
        <f t="shared" si="30"/>
        <v>-0.50011062622070312</v>
      </c>
      <c r="H475">
        <f t="shared" si="31"/>
        <v>0.1699981689453125</v>
      </c>
    </row>
    <row r="476" spans="1:8" x14ac:dyDescent="0.2">
      <c r="A476" t="s">
        <v>4</v>
      </c>
      <c r="B476" s="2">
        <v>45252</v>
      </c>
      <c r="C476">
        <v>38.638576507568359</v>
      </c>
      <c r="D476">
        <f>_xlfn.XLOOKUP(B476, Oil_Price!A:A, Oil_Price!B:B, "")</f>
        <v>77.099998474121094</v>
      </c>
      <c r="E476">
        <f t="shared" si="28"/>
        <v>-1.866593060022485E-2</v>
      </c>
      <c r="F476">
        <f t="shared" si="29"/>
        <v>-8.615124056393364E-3</v>
      </c>
      <c r="G476">
        <f t="shared" si="30"/>
        <v>-0.73494338989257812</v>
      </c>
      <c r="H476">
        <f t="shared" si="31"/>
        <v>-0.6699981689453125</v>
      </c>
    </row>
    <row r="477" spans="1:8" x14ac:dyDescent="0.2">
      <c r="A477" t="s">
        <v>4</v>
      </c>
      <c r="B477" s="2">
        <v>45253</v>
      </c>
      <c r="C477">
        <v>38.847328186035163</v>
      </c>
      <c r="D477" t="str">
        <f>_xlfn.XLOOKUP(B477, Oil_Price!A:A, Oil_Price!B:B, "")</f>
        <v/>
      </c>
      <c r="E477">
        <f t="shared" si="28"/>
        <v>5.4026751846283621E-3</v>
      </c>
      <c r="F477" t="str">
        <f t="shared" si="29"/>
        <v/>
      </c>
      <c r="G477">
        <f t="shared" si="30"/>
        <v>0.20875167846680398</v>
      </c>
      <c r="H477" t="str">
        <f t="shared" si="31"/>
        <v/>
      </c>
    </row>
    <row r="478" spans="1:8" x14ac:dyDescent="0.2">
      <c r="A478" t="s">
        <v>4</v>
      </c>
      <c r="B478" s="2">
        <v>45254</v>
      </c>
      <c r="C478">
        <v>38.825580596923828</v>
      </c>
      <c r="D478">
        <f>_xlfn.XLOOKUP(B478, Oil_Price!A:A, Oil_Price!B:B, "")</f>
        <v>75.540000915527344</v>
      </c>
      <c r="E478">
        <f t="shared" si="28"/>
        <v>-5.5982200390175237E-4</v>
      </c>
      <c r="F478" t="str">
        <f t="shared" si="29"/>
        <v/>
      </c>
      <c r="G478">
        <f t="shared" si="30"/>
        <v>-2.174758911133523E-2</v>
      </c>
      <c r="H478" t="str">
        <f t="shared" si="31"/>
        <v/>
      </c>
    </row>
    <row r="479" spans="1:8" x14ac:dyDescent="0.2">
      <c r="A479" t="s">
        <v>4</v>
      </c>
      <c r="B479" s="2">
        <v>45257</v>
      </c>
      <c r="C479">
        <v>37.855819702148438</v>
      </c>
      <c r="D479">
        <f>_xlfn.XLOOKUP(B479, Oil_Price!A:A, Oil_Price!B:B, "")</f>
        <v>74.860000610351562</v>
      </c>
      <c r="E479">
        <f t="shared" si="28"/>
        <v>-2.4977370070603022E-2</v>
      </c>
      <c r="F479">
        <f t="shared" si="29"/>
        <v>-9.0018572535654588E-3</v>
      </c>
      <c r="G479">
        <f t="shared" si="30"/>
        <v>-0.96976089477539062</v>
      </c>
      <c r="H479">
        <f t="shared" si="31"/>
        <v>-0.68000030517578125</v>
      </c>
    </row>
    <row r="480" spans="1:8" x14ac:dyDescent="0.2">
      <c r="A480" t="s">
        <v>4</v>
      </c>
      <c r="B480" s="2">
        <v>45258</v>
      </c>
      <c r="C480">
        <v>38.590751647949219</v>
      </c>
      <c r="D480">
        <f>_xlfn.XLOOKUP(B480, Oil_Price!A:A, Oil_Price!B:B, "")</f>
        <v>76.410003662109375</v>
      </c>
      <c r="E480">
        <f t="shared" si="28"/>
        <v>1.9413975224503499E-2</v>
      </c>
      <c r="F480">
        <f t="shared" si="29"/>
        <v>2.0705357188355134E-2</v>
      </c>
      <c r="G480">
        <f t="shared" si="30"/>
        <v>0.73493194580078125</v>
      </c>
      <c r="H480">
        <f t="shared" si="31"/>
        <v>1.5500030517578125</v>
      </c>
    </row>
    <row r="481" spans="1:8" x14ac:dyDescent="0.2">
      <c r="A481" t="s">
        <v>4</v>
      </c>
      <c r="B481" s="2">
        <v>45259</v>
      </c>
      <c r="C481">
        <v>39.216964721679688</v>
      </c>
      <c r="D481">
        <f>_xlfn.XLOOKUP(B481, Oil_Price!A:A, Oil_Price!B:B, "")</f>
        <v>77.860000610351562</v>
      </c>
      <c r="E481">
        <f t="shared" si="28"/>
        <v>1.6227024532800123E-2</v>
      </c>
      <c r="F481">
        <f t="shared" si="29"/>
        <v>1.8976532898155325E-2</v>
      </c>
      <c r="G481">
        <f t="shared" si="30"/>
        <v>0.62621307373046875</v>
      </c>
      <c r="H481">
        <f t="shared" si="31"/>
        <v>1.4499969482421875</v>
      </c>
    </row>
    <row r="482" spans="1:8" x14ac:dyDescent="0.2">
      <c r="A482" t="s">
        <v>4</v>
      </c>
      <c r="B482" s="2">
        <v>45260</v>
      </c>
      <c r="C482">
        <v>39.403957366943359</v>
      </c>
      <c r="D482">
        <f>_xlfn.XLOOKUP(B482, Oil_Price!A:A, Oil_Price!B:B, "")</f>
        <v>75.959999084472656</v>
      </c>
      <c r="E482">
        <f t="shared" si="28"/>
        <v>4.7681570103843282E-3</v>
      </c>
      <c r="F482">
        <f t="shared" si="29"/>
        <v>-2.4402793616550515E-2</v>
      </c>
      <c r="G482">
        <f t="shared" si="30"/>
        <v>0.18699264526367188</v>
      </c>
      <c r="H482">
        <f t="shared" si="31"/>
        <v>-1.9000015258789062</v>
      </c>
    </row>
    <row r="483" spans="1:8" x14ac:dyDescent="0.2">
      <c r="A483" t="s">
        <v>4</v>
      </c>
      <c r="B483" s="2">
        <v>45261</v>
      </c>
      <c r="C483">
        <v>39.847541809082031</v>
      </c>
      <c r="D483">
        <f>_xlfn.XLOOKUP(B483, Oil_Price!A:A, Oil_Price!B:B, "")</f>
        <v>74.069999694824219</v>
      </c>
      <c r="E483">
        <f t="shared" si="28"/>
        <v>1.125735768130747E-2</v>
      </c>
      <c r="F483">
        <f t="shared" si="29"/>
        <v>-2.488150885239783E-2</v>
      </c>
      <c r="G483">
        <f t="shared" si="30"/>
        <v>0.44358444213867188</v>
      </c>
      <c r="H483">
        <f t="shared" si="31"/>
        <v>-1.8899993896484375</v>
      </c>
    </row>
    <row r="484" spans="1:8" x14ac:dyDescent="0.2">
      <c r="A484" t="s">
        <v>4</v>
      </c>
      <c r="B484" s="2">
        <v>45264</v>
      </c>
      <c r="C484">
        <v>39.277854919433587</v>
      </c>
      <c r="D484">
        <f>_xlfn.XLOOKUP(B484, Oil_Price!A:A, Oil_Price!B:B, "")</f>
        <v>73.040000915527344</v>
      </c>
      <c r="E484">
        <f t="shared" si="28"/>
        <v>-1.4296663326885622E-2</v>
      </c>
      <c r="F484">
        <f t="shared" si="29"/>
        <v>-1.3905748393959399E-2</v>
      </c>
      <c r="G484">
        <f t="shared" si="30"/>
        <v>-0.56968688964844461</v>
      </c>
      <c r="H484">
        <f t="shared" si="31"/>
        <v>-1.029998779296875</v>
      </c>
    </row>
    <row r="485" spans="1:8" x14ac:dyDescent="0.2">
      <c r="A485" t="s">
        <v>4</v>
      </c>
      <c r="B485" s="2">
        <v>45265</v>
      </c>
      <c r="C485">
        <v>39.234363555908203</v>
      </c>
      <c r="D485">
        <f>_xlfn.XLOOKUP(B485, Oil_Price!A:A, Oil_Price!B:B, "")</f>
        <v>72.319999694824219</v>
      </c>
      <c r="E485">
        <f t="shared" si="28"/>
        <v>-1.1072744072860559E-3</v>
      </c>
      <c r="F485">
        <f t="shared" si="29"/>
        <v>-9.8576288564922818E-3</v>
      </c>
      <c r="G485">
        <f t="shared" si="30"/>
        <v>-4.349136352538352E-2</v>
      </c>
      <c r="H485">
        <f t="shared" si="31"/>
        <v>-0.720001220703125</v>
      </c>
    </row>
    <row r="486" spans="1:8" x14ac:dyDescent="0.2">
      <c r="A486" t="s">
        <v>4</v>
      </c>
      <c r="B486" s="2">
        <v>45266</v>
      </c>
      <c r="C486">
        <v>37.003456115722663</v>
      </c>
      <c r="D486">
        <f>_xlfn.XLOOKUP(B486, Oil_Price!A:A, Oil_Price!B:B, "")</f>
        <v>69.379997253417969</v>
      </c>
      <c r="E486">
        <f t="shared" si="28"/>
        <v>-5.6861058469995063E-2</v>
      </c>
      <c r="F486">
        <f t="shared" si="29"/>
        <v>-4.065268879718565E-2</v>
      </c>
      <c r="G486">
        <f t="shared" si="30"/>
        <v>-2.2309074401855398</v>
      </c>
      <c r="H486">
        <f t="shared" si="31"/>
        <v>-2.94000244140625</v>
      </c>
    </row>
    <row r="487" spans="1:8" x14ac:dyDescent="0.2">
      <c r="A487" t="s">
        <v>4</v>
      </c>
      <c r="B487" s="2">
        <v>45267</v>
      </c>
      <c r="C487">
        <v>36.642616271972663</v>
      </c>
      <c r="D487">
        <f>_xlfn.XLOOKUP(B487, Oil_Price!A:A, Oil_Price!B:B, "")</f>
        <v>69.339996337890625</v>
      </c>
      <c r="E487">
        <f t="shared" si="28"/>
        <v>-9.751517334530278E-3</v>
      </c>
      <c r="F487">
        <f t="shared" si="29"/>
        <v>-5.7654824316634185E-4</v>
      </c>
      <c r="G487">
        <f t="shared" si="30"/>
        <v>-0.36083984375</v>
      </c>
      <c r="H487">
        <f t="shared" si="31"/>
        <v>-4.000091552734375E-2</v>
      </c>
    </row>
    <row r="488" spans="1:8" x14ac:dyDescent="0.2">
      <c r="A488" t="s">
        <v>4</v>
      </c>
      <c r="B488" s="2">
        <v>45268</v>
      </c>
      <c r="C488">
        <v>37.315891265869141</v>
      </c>
      <c r="D488">
        <f>_xlfn.XLOOKUP(B488, Oil_Price!A:A, Oil_Price!B:B, "")</f>
        <v>71.230003356933594</v>
      </c>
      <c r="E488">
        <f t="shared" si="28"/>
        <v>1.8374097223277538E-2</v>
      </c>
      <c r="F488">
        <f t="shared" si="29"/>
        <v>2.7257097185772135E-2</v>
      </c>
      <c r="G488">
        <f t="shared" si="30"/>
        <v>0.67327499389647727</v>
      </c>
      <c r="H488">
        <f t="shared" si="31"/>
        <v>1.8900070190429688</v>
      </c>
    </row>
    <row r="489" spans="1:8" x14ac:dyDescent="0.2">
      <c r="A489" t="s">
        <v>4</v>
      </c>
      <c r="B489" s="2">
        <v>45271</v>
      </c>
      <c r="C489">
        <v>37.307086944580078</v>
      </c>
      <c r="D489">
        <f>_xlfn.XLOOKUP(B489, Oil_Price!A:A, Oil_Price!B:B, "")</f>
        <v>71.319999694824219</v>
      </c>
      <c r="E489">
        <f t="shared" si="28"/>
        <v>-2.3594026540417498E-4</v>
      </c>
      <c r="F489">
        <f t="shared" si="29"/>
        <v>1.2634610929281203E-3</v>
      </c>
      <c r="G489">
        <f t="shared" si="30"/>
        <v>-8.8043212890625E-3</v>
      </c>
      <c r="H489">
        <f t="shared" si="31"/>
        <v>8.9996337890625E-2</v>
      </c>
    </row>
    <row r="490" spans="1:8" x14ac:dyDescent="0.2">
      <c r="A490" t="s">
        <v>4</v>
      </c>
      <c r="B490" s="2">
        <v>45272</v>
      </c>
      <c r="C490">
        <v>36.757030487060547</v>
      </c>
      <c r="D490">
        <f>_xlfn.XLOOKUP(B490, Oil_Price!A:A, Oil_Price!B:B, "")</f>
        <v>68.610000610351562</v>
      </c>
      <c r="E490">
        <f t="shared" si="28"/>
        <v>-1.4744020575410879E-2</v>
      </c>
      <c r="F490">
        <f t="shared" si="29"/>
        <v>-3.799774391571295E-2</v>
      </c>
      <c r="G490">
        <f t="shared" si="30"/>
        <v>-0.55005645751953125</v>
      </c>
      <c r="H490">
        <f t="shared" si="31"/>
        <v>-2.7099990844726562</v>
      </c>
    </row>
    <row r="491" spans="1:8" x14ac:dyDescent="0.2">
      <c r="A491" t="s">
        <v>4</v>
      </c>
      <c r="B491" s="2">
        <v>45273</v>
      </c>
      <c r="C491">
        <v>37.716331481933587</v>
      </c>
      <c r="D491">
        <f>_xlfn.XLOOKUP(B491, Oil_Price!A:A, Oil_Price!B:B, "")</f>
        <v>69.470001220703125</v>
      </c>
      <c r="E491">
        <f t="shared" si="28"/>
        <v>2.6098435650582254E-2</v>
      </c>
      <c r="F491">
        <f t="shared" si="29"/>
        <v>1.2534624729646331E-2</v>
      </c>
      <c r="G491">
        <f t="shared" si="30"/>
        <v>0.95930099487303977</v>
      </c>
      <c r="H491">
        <f t="shared" si="31"/>
        <v>0.8600006103515625</v>
      </c>
    </row>
    <row r="492" spans="1:8" x14ac:dyDescent="0.2">
      <c r="A492" t="s">
        <v>4</v>
      </c>
      <c r="B492" s="2">
        <v>45274</v>
      </c>
      <c r="C492">
        <v>38.143184661865227</v>
      </c>
      <c r="D492">
        <f>_xlfn.XLOOKUP(B492, Oil_Price!A:A, Oil_Price!B:B, "")</f>
        <v>71.580001831054688</v>
      </c>
      <c r="E492">
        <f t="shared" si="28"/>
        <v>1.1317462837977936E-2</v>
      </c>
      <c r="F492">
        <f t="shared" si="29"/>
        <v>3.0372831053337452E-2</v>
      </c>
      <c r="G492">
        <f t="shared" si="30"/>
        <v>0.42685317993164062</v>
      </c>
      <c r="H492">
        <f t="shared" si="31"/>
        <v>2.1100006103515625</v>
      </c>
    </row>
    <row r="493" spans="1:8" x14ac:dyDescent="0.2">
      <c r="A493" t="s">
        <v>4</v>
      </c>
      <c r="B493" s="2">
        <v>45275</v>
      </c>
      <c r="C493">
        <v>36.721820831298828</v>
      </c>
      <c r="D493">
        <f>_xlfn.XLOOKUP(B493, Oil_Price!A:A, Oil_Price!B:B, "")</f>
        <v>71.430000305175781</v>
      </c>
      <c r="E493">
        <f t="shared" si="28"/>
        <v>-3.7263900305300135E-2</v>
      </c>
      <c r="F493">
        <f t="shared" si="29"/>
        <v>-2.0955786817796465E-3</v>
      </c>
      <c r="G493">
        <f t="shared" si="30"/>
        <v>-1.4213638305663991</v>
      </c>
      <c r="H493">
        <f t="shared" si="31"/>
        <v>-0.15000152587890625</v>
      </c>
    </row>
    <row r="494" spans="1:8" x14ac:dyDescent="0.2">
      <c r="A494" t="s">
        <v>4</v>
      </c>
      <c r="B494" s="2">
        <v>45278</v>
      </c>
      <c r="C494">
        <v>37.324691772460938</v>
      </c>
      <c r="D494">
        <f>_xlfn.XLOOKUP(B494, Oil_Price!A:A, Oil_Price!B:B, "")</f>
        <v>72.470001220703125</v>
      </c>
      <c r="E494">
        <f t="shared" si="28"/>
        <v>1.6417239873036716E-2</v>
      </c>
      <c r="F494">
        <f t="shared" si="29"/>
        <v>1.4559721560745757E-2</v>
      </c>
      <c r="G494">
        <f t="shared" si="30"/>
        <v>0.60287094116210938</v>
      </c>
      <c r="H494">
        <f t="shared" si="31"/>
        <v>1.0400009155273438</v>
      </c>
    </row>
    <row r="495" spans="1:8" x14ac:dyDescent="0.2">
      <c r="A495" t="s">
        <v>4</v>
      </c>
      <c r="B495" s="2">
        <v>45279</v>
      </c>
      <c r="C495">
        <v>37.738338470458977</v>
      </c>
      <c r="D495">
        <f>_xlfn.XLOOKUP(B495, Oil_Price!A:A, Oil_Price!B:B, "")</f>
        <v>73.44000244140625</v>
      </c>
      <c r="E495">
        <f t="shared" si="28"/>
        <v>1.1082387512259066E-2</v>
      </c>
      <c r="F495">
        <f t="shared" si="29"/>
        <v>1.338486552179078E-2</v>
      </c>
      <c r="G495">
        <f t="shared" si="30"/>
        <v>0.41364669799803977</v>
      </c>
      <c r="H495">
        <f t="shared" si="31"/>
        <v>0.970001220703125</v>
      </c>
    </row>
    <row r="496" spans="1:8" x14ac:dyDescent="0.2">
      <c r="A496" t="s">
        <v>4</v>
      </c>
      <c r="B496" s="2">
        <v>45280</v>
      </c>
      <c r="C496">
        <v>37.531517028808587</v>
      </c>
      <c r="D496">
        <f>_xlfn.XLOOKUP(B496, Oil_Price!A:A, Oil_Price!B:B, "")</f>
        <v>74.220001220703125</v>
      </c>
      <c r="E496">
        <f t="shared" si="28"/>
        <v>-5.4804066642278769E-3</v>
      </c>
      <c r="F496">
        <f t="shared" si="29"/>
        <v>1.0620898057828815E-2</v>
      </c>
      <c r="G496">
        <f t="shared" si="30"/>
        <v>-0.20682144165039062</v>
      </c>
      <c r="H496">
        <f t="shared" si="31"/>
        <v>0.779998779296875</v>
      </c>
    </row>
    <row r="497" spans="1:8" x14ac:dyDescent="0.2">
      <c r="A497" t="s">
        <v>4</v>
      </c>
      <c r="B497" s="2">
        <v>45281</v>
      </c>
      <c r="C497">
        <v>37.901149749755859</v>
      </c>
      <c r="D497">
        <f>_xlfn.XLOOKUP(B497, Oil_Price!A:A, Oil_Price!B:B, "")</f>
        <v>73.889999389648438</v>
      </c>
      <c r="E497">
        <f t="shared" si="28"/>
        <v>9.8485952663077431E-3</v>
      </c>
      <c r="F497">
        <f t="shared" si="29"/>
        <v>-4.4462655029253208E-3</v>
      </c>
      <c r="G497">
        <f t="shared" si="30"/>
        <v>0.36963272094727273</v>
      </c>
      <c r="H497">
        <f t="shared" si="31"/>
        <v>-0.3300018310546875</v>
      </c>
    </row>
    <row r="498" spans="1:8" x14ac:dyDescent="0.2">
      <c r="A498" t="s">
        <v>4</v>
      </c>
      <c r="B498" s="2">
        <v>45282</v>
      </c>
      <c r="C498">
        <v>38.05517578125</v>
      </c>
      <c r="D498">
        <f>_xlfn.XLOOKUP(B498, Oil_Price!A:A, Oil_Price!B:B, "")</f>
        <v>73.55999755859375</v>
      </c>
      <c r="E498">
        <f t="shared" si="28"/>
        <v>4.0638881013136752E-3</v>
      </c>
      <c r="F498">
        <f t="shared" si="29"/>
        <v>-4.4661230718716022E-3</v>
      </c>
      <c r="G498">
        <f t="shared" si="30"/>
        <v>0.15402603149414062</v>
      </c>
      <c r="H498">
        <f t="shared" si="31"/>
        <v>-0.3300018310546875</v>
      </c>
    </row>
    <row r="499" spans="1:8" x14ac:dyDescent="0.2">
      <c r="A499" t="s">
        <v>4</v>
      </c>
      <c r="B499" s="2">
        <v>45287</v>
      </c>
      <c r="C499">
        <v>38.671237945556641</v>
      </c>
      <c r="D499">
        <f>_xlfn.XLOOKUP(B499, Oil_Price!A:A, Oil_Price!B:B, "")</f>
        <v>74.110000610351562</v>
      </c>
      <c r="E499">
        <f t="shared" si="28"/>
        <v>1.6188656382719376E-2</v>
      </c>
      <c r="F499">
        <f t="shared" si="29"/>
        <v>7.476931348722668E-3</v>
      </c>
      <c r="G499">
        <f t="shared" si="30"/>
        <v>0.61606216430664062</v>
      </c>
      <c r="H499">
        <f t="shared" si="31"/>
        <v>0.5500030517578125</v>
      </c>
    </row>
    <row r="500" spans="1:8" x14ac:dyDescent="0.2">
      <c r="A500" t="s">
        <v>4</v>
      </c>
      <c r="B500" s="2">
        <v>45288</v>
      </c>
      <c r="C500">
        <v>38.037563323974609</v>
      </c>
      <c r="D500">
        <f>_xlfn.XLOOKUP(B500, Oil_Price!A:A, Oil_Price!B:B, "")</f>
        <v>71.769996643066406</v>
      </c>
      <c r="E500">
        <f t="shared" si="28"/>
        <v>-1.638619954380956E-2</v>
      </c>
      <c r="F500">
        <f t="shared" si="29"/>
        <v>-3.1574739549500262E-2</v>
      </c>
      <c r="G500">
        <f t="shared" si="30"/>
        <v>-0.63367462158203125</v>
      </c>
      <c r="H500">
        <f t="shared" si="31"/>
        <v>-2.3400039672851562</v>
      </c>
    </row>
    <row r="501" spans="1:8" x14ac:dyDescent="0.2">
      <c r="A501" t="s">
        <v>4</v>
      </c>
      <c r="B501" s="2">
        <v>45289</v>
      </c>
      <c r="C501">
        <v>38.200382232666023</v>
      </c>
      <c r="D501">
        <f>_xlfn.XLOOKUP(B501, Oil_Price!A:A, Oil_Price!B:B, "")</f>
        <v>71.650001525878906</v>
      </c>
      <c r="E501">
        <f t="shared" si="28"/>
        <v>4.2804768356124066E-3</v>
      </c>
      <c r="F501">
        <f t="shared" si="29"/>
        <v>-1.6719398467338865E-3</v>
      </c>
      <c r="G501">
        <f t="shared" si="30"/>
        <v>0.16281890869141336</v>
      </c>
      <c r="H501">
        <f t="shared" si="31"/>
        <v>-0.1199951171875</v>
      </c>
    </row>
    <row r="502" spans="1:8" x14ac:dyDescent="0.2">
      <c r="A502" t="s">
        <v>4</v>
      </c>
      <c r="B502" s="2">
        <v>45293</v>
      </c>
      <c r="C502">
        <v>38.552417755126953</v>
      </c>
      <c r="D502">
        <f>_xlfn.XLOOKUP(B502, Oil_Price!A:A, Oil_Price!B:B, "")</f>
        <v>70.379997253417969</v>
      </c>
      <c r="E502">
        <f t="shared" si="28"/>
        <v>9.2154973821151134E-3</v>
      </c>
      <c r="F502">
        <f t="shared" si="29"/>
        <v>-1.7725111589875279E-2</v>
      </c>
      <c r="G502">
        <f t="shared" si="30"/>
        <v>0.35203552246093039</v>
      </c>
      <c r="H502">
        <f t="shared" si="31"/>
        <v>-1.2700042724609375</v>
      </c>
    </row>
    <row r="503" spans="1:8" x14ac:dyDescent="0.2">
      <c r="A503" t="s">
        <v>4</v>
      </c>
      <c r="B503" s="2">
        <v>45294</v>
      </c>
      <c r="C503">
        <v>39.692134857177727</v>
      </c>
      <c r="D503">
        <f>_xlfn.XLOOKUP(B503, Oil_Price!A:A, Oil_Price!B:B, "")</f>
        <v>72.699996948242188</v>
      </c>
      <c r="E503">
        <f t="shared" si="28"/>
        <v>2.9562791866645177E-2</v>
      </c>
      <c r="F503">
        <f t="shared" si="29"/>
        <v>3.2963907152064417E-2</v>
      </c>
      <c r="G503">
        <f t="shared" si="30"/>
        <v>1.1397171020507741</v>
      </c>
      <c r="H503">
        <f t="shared" si="31"/>
        <v>2.3199996948242188</v>
      </c>
    </row>
    <row r="504" spans="1:8" x14ac:dyDescent="0.2">
      <c r="A504" t="s">
        <v>4</v>
      </c>
      <c r="B504" s="2">
        <v>45295</v>
      </c>
      <c r="C504">
        <v>39.155284881591797</v>
      </c>
      <c r="D504">
        <f>_xlfn.XLOOKUP(B504, Oil_Price!A:A, Oil_Price!B:B, "")</f>
        <v>72.19000244140625</v>
      </c>
      <c r="E504">
        <f t="shared" si="28"/>
        <v>-1.3525348977011478E-2</v>
      </c>
      <c r="F504">
        <f t="shared" si="29"/>
        <v>-7.0150554091360064E-3</v>
      </c>
      <c r="G504">
        <f t="shared" si="30"/>
        <v>-0.53684997558593039</v>
      </c>
      <c r="H504">
        <f t="shared" si="31"/>
        <v>-0.5099945068359375</v>
      </c>
    </row>
    <row r="505" spans="1:8" x14ac:dyDescent="0.2">
      <c r="A505" t="s">
        <v>4</v>
      </c>
      <c r="B505" s="2">
        <v>45296</v>
      </c>
      <c r="C505">
        <v>39.428112030029297</v>
      </c>
      <c r="D505">
        <f>_xlfn.XLOOKUP(B505, Oil_Price!A:A, Oil_Price!B:B, "")</f>
        <v>73.80999755859375</v>
      </c>
      <c r="E505">
        <f t="shared" si="28"/>
        <v>6.9678243757527892E-3</v>
      </c>
      <c r="F505">
        <f t="shared" si="29"/>
        <v>2.2440712874367687E-2</v>
      </c>
      <c r="G505">
        <f t="shared" si="30"/>
        <v>0.2728271484375</v>
      </c>
      <c r="H505">
        <f t="shared" si="31"/>
        <v>1.6199951171875</v>
      </c>
    </row>
    <row r="506" spans="1:8" x14ac:dyDescent="0.2">
      <c r="A506" t="s">
        <v>4</v>
      </c>
      <c r="B506" s="2">
        <v>45299</v>
      </c>
      <c r="C506">
        <v>38.477615356445312</v>
      </c>
      <c r="D506">
        <f>_xlfn.XLOOKUP(B506, Oil_Price!A:A, Oil_Price!B:B, "")</f>
        <v>70.769996643066406</v>
      </c>
      <c r="E506">
        <f t="shared" si="28"/>
        <v>-2.4107080573882556E-2</v>
      </c>
      <c r="F506">
        <f t="shared" si="29"/>
        <v>-4.1186844818875003E-2</v>
      </c>
      <c r="G506">
        <f t="shared" si="30"/>
        <v>-0.95049667358398438</v>
      </c>
      <c r="H506">
        <f t="shared" si="31"/>
        <v>-3.0400009155273438</v>
      </c>
    </row>
    <row r="507" spans="1:8" x14ac:dyDescent="0.2">
      <c r="A507" t="s">
        <v>4</v>
      </c>
      <c r="B507" s="2">
        <v>45300</v>
      </c>
      <c r="C507">
        <v>38.398410797119141</v>
      </c>
      <c r="D507">
        <f>_xlfn.XLOOKUP(B507, Oil_Price!A:A, Oil_Price!B:B, "")</f>
        <v>72.239997863769531</v>
      </c>
      <c r="E507">
        <f t="shared" si="28"/>
        <v>-2.0584581084987759E-3</v>
      </c>
      <c r="F507">
        <f t="shared" si="29"/>
        <v>2.0771531587279599E-2</v>
      </c>
      <c r="G507">
        <f t="shared" si="30"/>
        <v>-7.9204559326171875E-2</v>
      </c>
      <c r="H507">
        <f t="shared" si="31"/>
        <v>1.470001220703125</v>
      </c>
    </row>
    <row r="508" spans="1:8" x14ac:dyDescent="0.2">
      <c r="A508" t="s">
        <v>4</v>
      </c>
      <c r="B508" s="2">
        <v>45301</v>
      </c>
      <c r="C508">
        <v>37.997959136962891</v>
      </c>
      <c r="D508">
        <f>_xlfn.XLOOKUP(B508, Oil_Price!A:A, Oil_Price!B:B, "")</f>
        <v>71.370002746582031</v>
      </c>
      <c r="E508">
        <f t="shared" si="28"/>
        <v>-1.0428860253411687E-2</v>
      </c>
      <c r="F508">
        <f t="shared" si="29"/>
        <v>-1.204312213336634E-2</v>
      </c>
      <c r="G508">
        <f t="shared" si="30"/>
        <v>-0.40045166015625</v>
      </c>
      <c r="H508">
        <f t="shared" si="31"/>
        <v>-0.8699951171875</v>
      </c>
    </row>
    <row r="509" spans="1:8" x14ac:dyDescent="0.2">
      <c r="A509" t="s">
        <v>4</v>
      </c>
      <c r="B509" s="2">
        <v>45302</v>
      </c>
      <c r="C509">
        <v>38.336803436279297</v>
      </c>
      <c r="D509">
        <f>_xlfn.XLOOKUP(B509, Oil_Price!A:A, Oil_Price!B:B, "")</f>
        <v>72.019996643066406</v>
      </c>
      <c r="E509">
        <f t="shared" si="28"/>
        <v>8.917434173110422E-3</v>
      </c>
      <c r="F509">
        <f t="shared" si="29"/>
        <v>9.1073822540311405E-3</v>
      </c>
      <c r="G509">
        <f t="shared" si="30"/>
        <v>0.33884429931640625</v>
      </c>
      <c r="H509">
        <f t="shared" si="31"/>
        <v>0.649993896484375</v>
      </c>
    </row>
    <row r="510" spans="1:8" x14ac:dyDescent="0.2">
      <c r="A510" t="s">
        <v>4</v>
      </c>
      <c r="B510" s="2">
        <v>45303</v>
      </c>
      <c r="C510">
        <v>38.47320556640625</v>
      </c>
      <c r="D510">
        <f>_xlfn.XLOOKUP(B510, Oil_Price!A:A, Oil_Price!B:B, "")</f>
        <v>72.680000305175781</v>
      </c>
      <c r="E510">
        <f t="shared" si="28"/>
        <v>3.5579943527026458E-3</v>
      </c>
      <c r="F510">
        <f t="shared" si="29"/>
        <v>9.1641723531365321E-3</v>
      </c>
      <c r="G510">
        <f t="shared" si="30"/>
        <v>0.13640213012695312</v>
      </c>
      <c r="H510">
        <f t="shared" si="31"/>
        <v>0.660003662109375</v>
      </c>
    </row>
    <row r="511" spans="1:8" x14ac:dyDescent="0.2">
      <c r="A511" t="s">
        <v>4</v>
      </c>
      <c r="B511" s="2">
        <v>45306</v>
      </c>
      <c r="C511">
        <v>38.944061279296882</v>
      </c>
      <c r="D511" t="str">
        <f>_xlfn.XLOOKUP(B511, Oil_Price!A:A, Oil_Price!B:B, "")</f>
        <v/>
      </c>
      <c r="E511">
        <f t="shared" si="28"/>
        <v>1.2238536039787921E-2</v>
      </c>
      <c r="F511" t="str">
        <f t="shared" si="29"/>
        <v/>
      </c>
      <c r="G511">
        <f t="shared" si="30"/>
        <v>0.47085571289063211</v>
      </c>
      <c r="H511" t="str">
        <f t="shared" si="31"/>
        <v/>
      </c>
    </row>
    <row r="512" spans="1:8" x14ac:dyDescent="0.2">
      <c r="A512" t="s">
        <v>4</v>
      </c>
      <c r="B512" s="2">
        <v>45307</v>
      </c>
      <c r="C512">
        <v>37.738338470458977</v>
      </c>
      <c r="D512">
        <f>_xlfn.XLOOKUP(B512, Oil_Price!A:A, Oil_Price!B:B, "")</f>
        <v>72.400001525878906</v>
      </c>
      <c r="E512">
        <f t="shared" si="28"/>
        <v>-3.0960376736025762E-2</v>
      </c>
      <c r="F512" t="str">
        <f t="shared" si="29"/>
        <v/>
      </c>
      <c r="G512">
        <f t="shared" si="30"/>
        <v>-1.2057228088379048</v>
      </c>
      <c r="H512" t="str">
        <f t="shared" si="31"/>
        <v/>
      </c>
    </row>
    <row r="513" spans="1:8" x14ac:dyDescent="0.2">
      <c r="A513" t="s">
        <v>4</v>
      </c>
      <c r="B513" s="2">
        <v>45308</v>
      </c>
      <c r="C513">
        <v>37.412696838378913</v>
      </c>
      <c r="D513">
        <f>_xlfn.XLOOKUP(B513, Oil_Price!A:A, Oil_Price!B:B, "")</f>
        <v>72.55999755859375</v>
      </c>
      <c r="E513">
        <f t="shared" si="28"/>
        <v>-8.6289340039432706E-3</v>
      </c>
      <c r="F513">
        <f t="shared" si="29"/>
        <v>2.2098899080499911E-3</v>
      </c>
      <c r="G513">
        <f t="shared" si="30"/>
        <v>-0.32564163208006391</v>
      </c>
      <c r="H513">
        <f t="shared" si="31"/>
        <v>0.15999603271484375</v>
      </c>
    </row>
    <row r="514" spans="1:8" x14ac:dyDescent="0.2">
      <c r="A514" t="s">
        <v>4</v>
      </c>
      <c r="B514" s="2">
        <v>45309</v>
      </c>
      <c r="C514">
        <v>37.179473876953118</v>
      </c>
      <c r="D514">
        <f>_xlfn.XLOOKUP(B514, Oil_Price!A:A, Oil_Price!B:B, "")</f>
        <v>74.080001831054688</v>
      </c>
      <c r="E514">
        <f t="shared" si="28"/>
        <v>-6.2337917641518241E-3</v>
      </c>
      <c r="F514">
        <f t="shared" si="29"/>
        <v>2.094824040248212E-2</v>
      </c>
      <c r="G514">
        <f t="shared" si="30"/>
        <v>-0.23322296142579546</v>
      </c>
      <c r="H514">
        <f t="shared" si="31"/>
        <v>1.5200042724609375</v>
      </c>
    </row>
    <row r="515" spans="1:8" x14ac:dyDescent="0.2">
      <c r="A515" t="s">
        <v>4</v>
      </c>
      <c r="B515" s="2">
        <v>45310</v>
      </c>
      <c r="C515">
        <v>37.205883026123047</v>
      </c>
      <c r="D515">
        <f>_xlfn.XLOOKUP(B515, Oil_Price!A:A, Oil_Price!B:B, "")</f>
        <v>73.410003662109375</v>
      </c>
      <c r="E515">
        <f t="shared" ref="E515:E578" si="32">IFERROR(IF(AND(A515=A514, C515&lt;&gt;"", C514&lt;&gt;""), (C515-C514)/C514, ""), "")</f>
        <v>7.1031530078481111E-4</v>
      </c>
      <c r="F515">
        <f t="shared" ref="F515:F578" si="33">IFERROR(IF(AND(A515=A514, D515&lt;&gt;"", D514&lt;&gt;""), (D515-D514)/D514, ""), "")</f>
        <v>-9.0442515170733439E-3</v>
      </c>
      <c r="G515">
        <f t="shared" ref="G515:G578" si="34">IFERROR(IF(AND(A515=A514, C515&lt;&gt;"", C514&lt;&gt;""), C515-C514, ""), "")</f>
        <v>2.640914916992898E-2</v>
      </c>
      <c r="H515">
        <f t="shared" ref="H515:H578" si="35">IFERROR(IF(AND(A515=A514, D515&lt;&gt;"", D514&lt;&gt;""), D515-D514, ""), "")</f>
        <v>-0.6699981689453125</v>
      </c>
    </row>
    <row r="516" spans="1:8" x14ac:dyDescent="0.2">
      <c r="A516" t="s">
        <v>4</v>
      </c>
      <c r="B516" s="2">
        <v>45313</v>
      </c>
      <c r="C516">
        <v>37.016658782958977</v>
      </c>
      <c r="D516">
        <f>_xlfn.XLOOKUP(B516, Oil_Price!A:A, Oil_Price!B:B, "")</f>
        <v>75.19000244140625</v>
      </c>
      <c r="E516">
        <f t="shared" si="32"/>
        <v>-5.0858688942071661E-3</v>
      </c>
      <c r="F516">
        <f t="shared" si="33"/>
        <v>2.4247359903288256E-2</v>
      </c>
      <c r="G516">
        <f t="shared" si="34"/>
        <v>-0.18922424316406961</v>
      </c>
      <c r="H516">
        <f t="shared" si="35"/>
        <v>1.779998779296875</v>
      </c>
    </row>
    <row r="517" spans="1:8" x14ac:dyDescent="0.2">
      <c r="A517" t="s">
        <v>4</v>
      </c>
      <c r="B517" s="2">
        <v>45314</v>
      </c>
      <c r="C517">
        <v>37.166275024414062</v>
      </c>
      <c r="D517">
        <f>_xlfn.XLOOKUP(B517, Oil_Price!A:A, Oil_Price!B:B, "")</f>
        <v>74.370002746582031</v>
      </c>
      <c r="E517">
        <f t="shared" si="32"/>
        <v>4.0418624039607462E-3</v>
      </c>
      <c r="F517">
        <f t="shared" si="33"/>
        <v>-1.0905701133115731E-2</v>
      </c>
      <c r="G517">
        <f t="shared" si="34"/>
        <v>0.14961624145508523</v>
      </c>
      <c r="H517">
        <f t="shared" si="35"/>
        <v>-0.81999969482421875</v>
      </c>
    </row>
    <row r="518" spans="1:8" x14ac:dyDescent="0.2">
      <c r="A518" t="s">
        <v>4</v>
      </c>
      <c r="B518" s="2">
        <v>45315</v>
      </c>
      <c r="C518">
        <v>37.549114227294922</v>
      </c>
      <c r="D518">
        <f>_xlfn.XLOOKUP(B518, Oil_Price!A:A, Oil_Price!B:B, "")</f>
        <v>75.089996337890625</v>
      </c>
      <c r="E518">
        <f t="shared" si="32"/>
        <v>1.0300714898907062E-2</v>
      </c>
      <c r="F518">
        <f t="shared" si="33"/>
        <v>9.6812365835455601E-3</v>
      </c>
      <c r="G518">
        <f t="shared" si="34"/>
        <v>0.38283920288085938</v>
      </c>
      <c r="H518">
        <f t="shared" si="35"/>
        <v>0.71999359130859375</v>
      </c>
    </row>
    <row r="519" spans="1:8" x14ac:dyDescent="0.2">
      <c r="A519" t="s">
        <v>4</v>
      </c>
      <c r="B519" s="2">
        <v>45316</v>
      </c>
      <c r="C519">
        <v>38.200382232666023</v>
      </c>
      <c r="D519">
        <f>_xlfn.XLOOKUP(B519, Oil_Price!A:A, Oil_Price!B:B, "")</f>
        <v>77.360000610351562</v>
      </c>
      <c r="E519">
        <f t="shared" si="32"/>
        <v>1.7344430588396836E-2</v>
      </c>
      <c r="F519">
        <f t="shared" si="33"/>
        <v>3.0230448570623875E-2</v>
      </c>
      <c r="G519">
        <f t="shared" si="34"/>
        <v>0.65126800537110086</v>
      </c>
      <c r="H519">
        <f t="shared" si="35"/>
        <v>2.2700042724609375</v>
      </c>
    </row>
    <row r="520" spans="1:8" x14ac:dyDescent="0.2">
      <c r="A520" t="s">
        <v>4</v>
      </c>
      <c r="B520" s="2">
        <v>45317</v>
      </c>
      <c r="C520">
        <v>38.063976287841797</v>
      </c>
      <c r="D520">
        <f>_xlfn.XLOOKUP(B520, Oil_Price!A:A, Oil_Price!B:B, "")</f>
        <v>78.010002136230469</v>
      </c>
      <c r="E520">
        <f t="shared" si="32"/>
        <v>-3.5708005221890687E-3</v>
      </c>
      <c r="F520">
        <f t="shared" si="33"/>
        <v>8.402294735658641E-3</v>
      </c>
      <c r="G520">
        <f t="shared" si="34"/>
        <v>-0.13640594482422586</v>
      </c>
      <c r="H520">
        <f t="shared" si="35"/>
        <v>0.65000152587890625</v>
      </c>
    </row>
    <row r="521" spans="1:8" x14ac:dyDescent="0.2">
      <c r="A521" t="s">
        <v>4</v>
      </c>
      <c r="B521" s="2">
        <v>45320</v>
      </c>
      <c r="C521">
        <v>37.694328308105469</v>
      </c>
      <c r="D521">
        <f>_xlfn.XLOOKUP(B521, Oil_Price!A:A, Oil_Price!B:B, "")</f>
        <v>76.779998779296875</v>
      </c>
      <c r="E521">
        <f t="shared" si="32"/>
        <v>-9.7112287203268144E-3</v>
      </c>
      <c r="F521">
        <f t="shared" si="33"/>
        <v>-1.5767251932458783E-2</v>
      </c>
      <c r="G521">
        <f t="shared" si="34"/>
        <v>-0.36964797973632812</v>
      </c>
      <c r="H521">
        <f t="shared" si="35"/>
        <v>-1.2300033569335938</v>
      </c>
    </row>
    <row r="522" spans="1:8" x14ac:dyDescent="0.2">
      <c r="A522" t="s">
        <v>4</v>
      </c>
      <c r="B522" s="2">
        <v>45321</v>
      </c>
      <c r="C522">
        <v>38.3323974609375</v>
      </c>
      <c r="D522">
        <f>_xlfn.XLOOKUP(B522, Oil_Price!A:A, Oil_Price!B:B, "")</f>
        <v>77.819999694824219</v>
      </c>
      <c r="E522">
        <f t="shared" si="32"/>
        <v>1.6927457829108636E-2</v>
      </c>
      <c r="F522">
        <f t="shared" si="33"/>
        <v>1.3545206200338882E-2</v>
      </c>
      <c r="G522">
        <f t="shared" si="34"/>
        <v>0.63806915283203125</v>
      </c>
      <c r="H522">
        <f t="shared" si="35"/>
        <v>1.0400009155273438</v>
      </c>
    </row>
    <row r="523" spans="1:8" x14ac:dyDescent="0.2">
      <c r="A523" t="s">
        <v>4</v>
      </c>
      <c r="B523" s="2">
        <v>45322</v>
      </c>
      <c r="C523">
        <v>37.861549377441413</v>
      </c>
      <c r="D523">
        <f>_xlfn.XLOOKUP(B523, Oil_Price!A:A, Oil_Price!B:B, "")</f>
        <v>75.849998474121094</v>
      </c>
      <c r="E523">
        <f t="shared" si="32"/>
        <v>-1.2283293367598591E-2</v>
      </c>
      <c r="F523">
        <f t="shared" si="33"/>
        <v>-2.531484487829096E-2</v>
      </c>
      <c r="G523">
        <f t="shared" si="34"/>
        <v>-0.47084808349608664</v>
      </c>
      <c r="H523">
        <f t="shared" si="35"/>
        <v>-1.970001220703125</v>
      </c>
    </row>
    <row r="524" spans="1:8" x14ac:dyDescent="0.2">
      <c r="A524" t="s">
        <v>4</v>
      </c>
      <c r="B524" s="2">
        <v>45323</v>
      </c>
      <c r="C524">
        <v>37.175075531005859</v>
      </c>
      <c r="D524">
        <f>_xlfn.XLOOKUP(B524, Oil_Price!A:A, Oil_Price!B:B, "")</f>
        <v>73.819999694824219</v>
      </c>
      <c r="E524">
        <f t="shared" si="32"/>
        <v>-1.8131160972629592E-2</v>
      </c>
      <c r="F524">
        <f t="shared" si="33"/>
        <v>-2.6763333159320772E-2</v>
      </c>
      <c r="G524">
        <f t="shared" si="34"/>
        <v>-0.68647384643555398</v>
      </c>
      <c r="H524">
        <f t="shared" si="35"/>
        <v>-2.029998779296875</v>
      </c>
    </row>
    <row r="525" spans="1:8" x14ac:dyDescent="0.2">
      <c r="A525" t="s">
        <v>4</v>
      </c>
      <c r="B525" s="2">
        <v>45324</v>
      </c>
      <c r="C525">
        <v>35.916542053222663</v>
      </c>
      <c r="D525">
        <f>_xlfn.XLOOKUP(B525, Oil_Price!A:A, Oil_Price!B:B, "")</f>
        <v>72.279998779296875</v>
      </c>
      <c r="E525">
        <f t="shared" si="32"/>
        <v>-3.385422786117856E-2</v>
      </c>
      <c r="F525">
        <f t="shared" si="33"/>
        <v>-2.0861567622511366E-2</v>
      </c>
      <c r="G525">
        <f t="shared" si="34"/>
        <v>-1.258533477783196</v>
      </c>
      <c r="H525">
        <f t="shared" si="35"/>
        <v>-1.5400009155273438</v>
      </c>
    </row>
    <row r="526" spans="1:8" x14ac:dyDescent="0.2">
      <c r="A526" t="s">
        <v>4</v>
      </c>
      <c r="B526" s="2">
        <v>45327</v>
      </c>
      <c r="C526">
        <v>35.731723785400391</v>
      </c>
      <c r="D526">
        <f>_xlfn.XLOOKUP(B526, Oil_Price!A:A, Oil_Price!B:B, "")</f>
        <v>72.779998779296875</v>
      </c>
      <c r="E526">
        <f t="shared" si="32"/>
        <v>-5.145770089681828E-3</v>
      </c>
      <c r="F526">
        <f t="shared" si="33"/>
        <v>6.9175430055930598E-3</v>
      </c>
      <c r="G526">
        <f t="shared" si="34"/>
        <v>-0.18481826782227273</v>
      </c>
      <c r="H526">
        <f t="shared" si="35"/>
        <v>0.5</v>
      </c>
    </row>
    <row r="527" spans="1:8" x14ac:dyDescent="0.2">
      <c r="A527" t="s">
        <v>4</v>
      </c>
      <c r="B527" s="2">
        <v>45328</v>
      </c>
      <c r="C527">
        <v>36.184974670410163</v>
      </c>
      <c r="D527">
        <f>_xlfn.XLOOKUP(B527, Oil_Price!A:A, Oil_Price!B:B, "")</f>
        <v>73.30999755859375</v>
      </c>
      <c r="E527">
        <f t="shared" si="32"/>
        <v>1.2684831208590231E-2</v>
      </c>
      <c r="F527">
        <f t="shared" si="33"/>
        <v>7.2822037398500121E-3</v>
      </c>
      <c r="G527">
        <f t="shared" si="34"/>
        <v>0.45325088500977273</v>
      </c>
      <c r="H527">
        <f t="shared" si="35"/>
        <v>0.529998779296875</v>
      </c>
    </row>
    <row r="528" spans="1:8" x14ac:dyDescent="0.2">
      <c r="A528" t="s">
        <v>4</v>
      </c>
      <c r="B528" s="2">
        <v>45329</v>
      </c>
      <c r="C528">
        <v>35.753726959228523</v>
      </c>
      <c r="D528">
        <f>_xlfn.XLOOKUP(B528, Oil_Price!A:A, Oil_Price!B:B, "")</f>
        <v>73.860000610351562</v>
      </c>
      <c r="E528">
        <f t="shared" si="32"/>
        <v>-1.1917866880097289E-2</v>
      </c>
      <c r="F528">
        <f t="shared" si="33"/>
        <v>7.5024290011497692E-3</v>
      </c>
      <c r="G528">
        <f t="shared" si="34"/>
        <v>-0.43124771118164062</v>
      </c>
      <c r="H528">
        <f t="shared" si="35"/>
        <v>0.5500030517578125</v>
      </c>
    </row>
    <row r="529" spans="1:8" x14ac:dyDescent="0.2">
      <c r="A529" t="s">
        <v>4</v>
      </c>
      <c r="B529" s="2">
        <v>45330</v>
      </c>
      <c r="C529">
        <v>35.876937866210938</v>
      </c>
      <c r="D529">
        <f>_xlfn.XLOOKUP(B529, Oil_Price!A:A, Oil_Price!B:B, "")</f>
        <v>76.220001220703125</v>
      </c>
      <c r="E529">
        <f t="shared" si="32"/>
        <v>3.4460996785850421E-3</v>
      </c>
      <c r="F529">
        <f t="shared" si="33"/>
        <v>3.1952350268743511E-2</v>
      </c>
      <c r="G529">
        <f t="shared" si="34"/>
        <v>0.12321090698241477</v>
      </c>
      <c r="H529">
        <f t="shared" si="35"/>
        <v>2.3600006103515625</v>
      </c>
    </row>
    <row r="530" spans="1:8" x14ac:dyDescent="0.2">
      <c r="A530" t="s">
        <v>4</v>
      </c>
      <c r="B530" s="2">
        <v>45331</v>
      </c>
      <c r="C530">
        <v>36.022159576416023</v>
      </c>
      <c r="D530">
        <f>_xlfn.XLOOKUP(B530, Oil_Price!A:A, Oil_Price!B:B, "")</f>
        <v>76.839996337890625</v>
      </c>
      <c r="E530">
        <f t="shared" si="32"/>
        <v>4.0477732728092077E-3</v>
      </c>
      <c r="F530">
        <f t="shared" si="33"/>
        <v>8.1342837478083751E-3</v>
      </c>
      <c r="G530">
        <f t="shared" si="34"/>
        <v>0.14522171020508523</v>
      </c>
      <c r="H530">
        <f t="shared" si="35"/>
        <v>0.6199951171875</v>
      </c>
    </row>
    <row r="531" spans="1:8" x14ac:dyDescent="0.2">
      <c r="A531" t="s">
        <v>4</v>
      </c>
      <c r="B531" s="2">
        <v>45334</v>
      </c>
      <c r="C531">
        <v>36.114570617675781</v>
      </c>
      <c r="D531">
        <f>_xlfn.XLOOKUP(B531, Oil_Price!A:A, Oil_Price!B:B, "")</f>
        <v>76.919998168945312</v>
      </c>
      <c r="E531">
        <f t="shared" si="32"/>
        <v>2.5653942558252593E-3</v>
      </c>
      <c r="F531">
        <f t="shared" si="33"/>
        <v>1.0411482934342324E-3</v>
      </c>
      <c r="G531">
        <f t="shared" si="34"/>
        <v>9.241104125975852E-2</v>
      </c>
      <c r="H531">
        <f t="shared" si="35"/>
        <v>8.00018310546875E-2</v>
      </c>
    </row>
    <row r="532" spans="1:8" x14ac:dyDescent="0.2">
      <c r="A532" t="s">
        <v>4</v>
      </c>
      <c r="B532" s="2">
        <v>45335</v>
      </c>
      <c r="C532">
        <v>35.467697143554688</v>
      </c>
      <c r="D532">
        <f>_xlfn.XLOOKUP(B532, Oil_Price!A:A, Oil_Price!B:B, "")</f>
        <v>77.870002746582031</v>
      </c>
      <c r="E532">
        <f t="shared" si="32"/>
        <v>-1.7911703311363485E-2</v>
      </c>
      <c r="F532">
        <f t="shared" si="33"/>
        <v>1.2350553825419374E-2</v>
      </c>
      <c r="G532">
        <f t="shared" si="34"/>
        <v>-0.64687347412109375</v>
      </c>
      <c r="H532">
        <f t="shared" si="35"/>
        <v>0.95000457763671875</v>
      </c>
    </row>
    <row r="533" spans="1:8" x14ac:dyDescent="0.2">
      <c r="A533" t="s">
        <v>4</v>
      </c>
      <c r="B533" s="2">
        <v>45336</v>
      </c>
      <c r="C533">
        <v>35.819732666015618</v>
      </c>
      <c r="D533">
        <f>_xlfn.XLOOKUP(B533, Oil_Price!A:A, Oil_Price!B:B, "")</f>
        <v>76.639999389648438</v>
      </c>
      <c r="E533">
        <f t="shared" si="32"/>
        <v>9.9255252190768046E-3</v>
      </c>
      <c r="F533">
        <f t="shared" si="33"/>
        <v>-1.579559924938596E-2</v>
      </c>
      <c r="G533">
        <f t="shared" si="34"/>
        <v>0.35203552246093039</v>
      </c>
      <c r="H533">
        <f t="shared" si="35"/>
        <v>-1.2300033569335938</v>
      </c>
    </row>
    <row r="534" spans="1:8" x14ac:dyDescent="0.2">
      <c r="A534" t="s">
        <v>4</v>
      </c>
      <c r="B534" s="2">
        <v>45337</v>
      </c>
      <c r="C534">
        <v>37.29388427734375</v>
      </c>
      <c r="D534">
        <f>_xlfn.XLOOKUP(B534, Oil_Price!A:A, Oil_Price!B:B, "")</f>
        <v>78.029998779296875</v>
      </c>
      <c r="E534">
        <f t="shared" si="32"/>
        <v>4.1154735158778849E-2</v>
      </c>
      <c r="F534">
        <f t="shared" si="33"/>
        <v>1.8136735395592671E-2</v>
      </c>
      <c r="G534">
        <f t="shared" si="34"/>
        <v>1.4741516113281321</v>
      </c>
      <c r="H534">
        <f t="shared" si="35"/>
        <v>1.3899993896484375</v>
      </c>
    </row>
    <row r="535" spans="1:8" x14ac:dyDescent="0.2">
      <c r="A535" t="s">
        <v>4</v>
      </c>
      <c r="B535" s="2">
        <v>45338</v>
      </c>
      <c r="C535">
        <v>37.47430419921875</v>
      </c>
      <c r="D535">
        <f>_xlfn.XLOOKUP(B535, Oil_Price!A:A, Oil_Price!B:B, "")</f>
        <v>79.19000244140625</v>
      </c>
      <c r="E535">
        <f t="shared" si="32"/>
        <v>4.8377884302227576E-3</v>
      </c>
      <c r="F535">
        <f t="shared" si="33"/>
        <v>1.4866124314449563E-2</v>
      </c>
      <c r="G535">
        <f t="shared" si="34"/>
        <v>0.180419921875</v>
      </c>
      <c r="H535">
        <f t="shared" si="35"/>
        <v>1.160003662109375</v>
      </c>
    </row>
    <row r="536" spans="1:8" x14ac:dyDescent="0.2">
      <c r="A536" t="s">
        <v>4</v>
      </c>
      <c r="B536" s="2">
        <v>45342</v>
      </c>
      <c r="C536">
        <v>37.593124389648438</v>
      </c>
      <c r="D536">
        <f>_xlfn.XLOOKUP(B536, Oil_Price!A:A, Oil_Price!B:B, "")</f>
        <v>78.180000305175781</v>
      </c>
      <c r="E536">
        <f t="shared" si="32"/>
        <v>3.1707110503779445E-3</v>
      </c>
      <c r="F536">
        <f t="shared" si="33"/>
        <v>-1.275416220599037E-2</v>
      </c>
      <c r="G536">
        <f t="shared" si="34"/>
        <v>0.1188201904296875</v>
      </c>
      <c r="H536">
        <f t="shared" si="35"/>
        <v>-1.0100021362304688</v>
      </c>
    </row>
    <row r="537" spans="1:8" x14ac:dyDescent="0.2">
      <c r="A537" t="s">
        <v>4</v>
      </c>
      <c r="B537" s="2">
        <v>45343</v>
      </c>
      <c r="C537">
        <v>38.680030822753913</v>
      </c>
      <c r="D537">
        <f>_xlfn.XLOOKUP(B537, Oil_Price!A:A, Oil_Price!B:B, "")</f>
        <v>77.910003662109375</v>
      </c>
      <c r="E537">
        <f t="shared" si="32"/>
        <v>2.8912372960539671E-2</v>
      </c>
      <c r="F537">
        <f t="shared" si="33"/>
        <v>-3.4535257356417734E-3</v>
      </c>
      <c r="G537">
        <f t="shared" si="34"/>
        <v>1.0869064331054759</v>
      </c>
      <c r="H537">
        <f t="shared" si="35"/>
        <v>-0.26999664306640625</v>
      </c>
    </row>
    <row r="538" spans="1:8" x14ac:dyDescent="0.2">
      <c r="A538" t="s">
        <v>4</v>
      </c>
      <c r="B538" s="2">
        <v>45344</v>
      </c>
      <c r="C538">
        <v>39.326896667480469</v>
      </c>
      <c r="D538">
        <f>_xlfn.XLOOKUP(B538, Oil_Price!A:A, Oil_Price!B:B, "")</f>
        <v>78.610000610351562</v>
      </c>
      <c r="E538">
        <f t="shared" si="32"/>
        <v>1.6723509029523062E-2</v>
      </c>
      <c r="F538">
        <f t="shared" si="33"/>
        <v>8.9846863732419881E-3</v>
      </c>
      <c r="G538">
        <f t="shared" si="34"/>
        <v>0.64686584472655539</v>
      </c>
      <c r="H538">
        <f t="shared" si="35"/>
        <v>0.6999969482421875</v>
      </c>
    </row>
    <row r="539" spans="1:8" x14ac:dyDescent="0.2">
      <c r="A539" t="s">
        <v>4</v>
      </c>
      <c r="B539" s="2">
        <v>45345</v>
      </c>
      <c r="C539">
        <v>38.807651519775391</v>
      </c>
      <c r="D539">
        <f>_xlfn.XLOOKUP(B539, Oil_Price!A:A, Oil_Price!B:B, "")</f>
        <v>76.489997863769531</v>
      </c>
      <c r="E539">
        <f t="shared" si="32"/>
        <v>-1.320330846584301E-2</v>
      </c>
      <c r="F539">
        <f t="shared" si="33"/>
        <v>-2.6968613791142293E-2</v>
      </c>
      <c r="G539">
        <f t="shared" si="34"/>
        <v>-0.51924514770507812</v>
      </c>
      <c r="H539">
        <f t="shared" si="35"/>
        <v>-2.1200027465820312</v>
      </c>
    </row>
    <row r="540" spans="1:8" x14ac:dyDescent="0.2">
      <c r="A540" t="s">
        <v>4</v>
      </c>
      <c r="B540" s="2">
        <v>45348</v>
      </c>
      <c r="C540">
        <v>39.155284881591797</v>
      </c>
      <c r="D540">
        <f>_xlfn.XLOOKUP(B540, Oil_Price!A:A, Oil_Price!B:B, "")</f>
        <v>77.580001831054688</v>
      </c>
      <c r="E540">
        <f t="shared" si="32"/>
        <v>8.9578562010963515E-3</v>
      </c>
      <c r="F540">
        <f t="shared" si="33"/>
        <v>1.4250281052778674E-2</v>
      </c>
      <c r="G540">
        <f t="shared" si="34"/>
        <v>0.34763336181640625</v>
      </c>
      <c r="H540">
        <f t="shared" si="35"/>
        <v>1.0900039672851562</v>
      </c>
    </row>
    <row r="541" spans="1:8" x14ac:dyDescent="0.2">
      <c r="A541" t="s">
        <v>4</v>
      </c>
      <c r="B541" s="2">
        <v>45349</v>
      </c>
      <c r="C541">
        <v>39.375301361083977</v>
      </c>
      <c r="D541">
        <f>_xlfn.XLOOKUP(B541, Oil_Price!A:A, Oil_Price!B:B, "")</f>
        <v>78.870002746582031</v>
      </c>
      <c r="E541">
        <f t="shared" si="32"/>
        <v>5.6190749258375966E-3</v>
      </c>
      <c r="F541">
        <f t="shared" si="33"/>
        <v>1.662800831503675E-2</v>
      </c>
      <c r="G541">
        <f t="shared" si="34"/>
        <v>0.22001647949218039</v>
      </c>
      <c r="H541">
        <f t="shared" si="35"/>
        <v>1.2900009155273438</v>
      </c>
    </row>
    <row r="542" spans="1:8" x14ac:dyDescent="0.2">
      <c r="A542" t="s">
        <v>4</v>
      </c>
      <c r="B542" s="2">
        <v>45350</v>
      </c>
      <c r="C542">
        <v>39.564525604248047</v>
      </c>
      <c r="D542">
        <f>_xlfn.XLOOKUP(B542, Oil_Price!A:A, Oil_Price!B:B, "")</f>
        <v>78.540000915527344</v>
      </c>
      <c r="E542">
        <f t="shared" si="32"/>
        <v>4.8056582838267928E-3</v>
      </c>
      <c r="F542">
        <f t="shared" si="33"/>
        <v>-4.1841234888125916E-3</v>
      </c>
      <c r="G542">
        <f t="shared" si="34"/>
        <v>0.18922424316406961</v>
      </c>
      <c r="H542">
        <f t="shared" si="35"/>
        <v>-0.3300018310546875</v>
      </c>
    </row>
    <row r="543" spans="1:8" x14ac:dyDescent="0.2">
      <c r="A543" t="s">
        <v>4</v>
      </c>
      <c r="B543" s="2">
        <v>45351</v>
      </c>
      <c r="C543">
        <v>41.601936340332031</v>
      </c>
      <c r="D543">
        <f>_xlfn.XLOOKUP(B543, Oil_Price!A:A, Oil_Price!B:B, "")</f>
        <v>78.260002136230469</v>
      </c>
      <c r="E543">
        <f t="shared" si="32"/>
        <v>5.1495897018040512E-2</v>
      </c>
      <c r="F543">
        <f t="shared" si="33"/>
        <v>-3.5650468045960934E-3</v>
      </c>
      <c r="G543">
        <f t="shared" si="34"/>
        <v>2.0374107360839844</v>
      </c>
      <c r="H543">
        <f t="shared" si="35"/>
        <v>-0.279998779296875</v>
      </c>
    </row>
    <row r="544" spans="1:8" x14ac:dyDescent="0.2">
      <c r="A544" t="s">
        <v>4</v>
      </c>
      <c r="B544" s="2">
        <v>45352</v>
      </c>
      <c r="C544">
        <v>42.992481231689453</v>
      </c>
      <c r="D544">
        <f>_xlfn.XLOOKUP(B544, Oil_Price!A:A, Oil_Price!B:B, "")</f>
        <v>79.970001220703125</v>
      </c>
      <c r="E544">
        <f t="shared" si="32"/>
        <v>3.3425004066681474E-2</v>
      </c>
      <c r="F544">
        <f t="shared" si="33"/>
        <v>2.1850230485503809E-2</v>
      </c>
      <c r="G544">
        <f t="shared" si="34"/>
        <v>1.3905448913574219</v>
      </c>
      <c r="H544">
        <f t="shared" si="35"/>
        <v>1.7099990844726562</v>
      </c>
    </row>
    <row r="545" spans="1:8" x14ac:dyDescent="0.2">
      <c r="A545" t="s">
        <v>4</v>
      </c>
      <c r="B545" s="2">
        <v>45355</v>
      </c>
      <c r="C545">
        <v>42.129989624023438</v>
      </c>
      <c r="D545">
        <f>_xlfn.XLOOKUP(B545, Oil_Price!A:A, Oil_Price!B:B, "")</f>
        <v>78.739997863769531</v>
      </c>
      <c r="E545">
        <f t="shared" si="32"/>
        <v>-2.0061452211096835E-2</v>
      </c>
      <c r="F545">
        <f t="shared" si="33"/>
        <v>-1.538080953055135E-2</v>
      </c>
      <c r="G545">
        <f t="shared" si="34"/>
        <v>-0.86249160766601562</v>
      </c>
      <c r="H545">
        <f t="shared" si="35"/>
        <v>-1.2300033569335938</v>
      </c>
    </row>
    <row r="546" spans="1:8" x14ac:dyDescent="0.2">
      <c r="A546" t="s">
        <v>4</v>
      </c>
      <c r="B546" s="2">
        <v>45356</v>
      </c>
      <c r="C546">
        <v>42.666847229003913</v>
      </c>
      <c r="D546">
        <f>_xlfn.XLOOKUP(B546, Oil_Price!A:A, Oil_Price!B:B, "")</f>
        <v>78.150001525878906</v>
      </c>
      <c r="E546">
        <f t="shared" si="32"/>
        <v>1.2742884813680275E-2</v>
      </c>
      <c r="F546">
        <f t="shared" si="33"/>
        <v>-7.49296868043349E-3</v>
      </c>
      <c r="G546">
        <f t="shared" si="34"/>
        <v>0.53685760498047586</v>
      </c>
      <c r="H546">
        <f t="shared" si="35"/>
        <v>-0.589996337890625</v>
      </c>
    </row>
    <row r="547" spans="1:8" x14ac:dyDescent="0.2">
      <c r="A547" t="s">
        <v>4</v>
      </c>
      <c r="B547" s="2">
        <v>45357</v>
      </c>
      <c r="C547">
        <v>42.732852935791023</v>
      </c>
      <c r="D547">
        <f>_xlfn.XLOOKUP(B547, Oil_Price!A:A, Oil_Price!B:B, "")</f>
        <v>79.129997253417969</v>
      </c>
      <c r="E547">
        <f t="shared" si="32"/>
        <v>1.5470022060181717E-3</v>
      </c>
      <c r="F547">
        <f t="shared" si="33"/>
        <v>1.2539932289246889E-2</v>
      </c>
      <c r="G547">
        <f t="shared" si="34"/>
        <v>6.6005706787109375E-2</v>
      </c>
      <c r="H547">
        <f t="shared" si="35"/>
        <v>0.9799957275390625</v>
      </c>
    </row>
    <row r="548" spans="1:8" x14ac:dyDescent="0.2">
      <c r="A548" t="s">
        <v>4</v>
      </c>
      <c r="B548" s="2">
        <v>45358</v>
      </c>
      <c r="C548">
        <v>42.706459045410163</v>
      </c>
      <c r="D548">
        <f>_xlfn.XLOOKUP(B548, Oil_Price!A:A, Oil_Price!B:B, "")</f>
        <v>78.930000305175781</v>
      </c>
      <c r="E548">
        <f t="shared" si="32"/>
        <v>-6.1764868403516059E-4</v>
      </c>
      <c r="F548">
        <f t="shared" si="33"/>
        <v>-2.5274479361055298E-3</v>
      </c>
      <c r="G548">
        <f t="shared" si="34"/>
        <v>-2.6393890380859375E-2</v>
      </c>
      <c r="H548">
        <f t="shared" si="35"/>
        <v>-0.1999969482421875</v>
      </c>
    </row>
    <row r="549" spans="1:8" x14ac:dyDescent="0.2">
      <c r="A549" t="s">
        <v>4</v>
      </c>
      <c r="B549" s="2">
        <v>45359</v>
      </c>
      <c r="C549">
        <v>42.561241149902337</v>
      </c>
      <c r="D549">
        <f>_xlfn.XLOOKUP(B549, Oil_Price!A:A, Oil_Price!B:B, "")</f>
        <v>78.010002136230469</v>
      </c>
      <c r="E549">
        <f t="shared" si="32"/>
        <v>-3.4003731227966057E-3</v>
      </c>
      <c r="F549">
        <f t="shared" si="33"/>
        <v>-1.165587438728268E-2</v>
      </c>
      <c r="G549">
        <f t="shared" si="34"/>
        <v>-0.14521789550782671</v>
      </c>
      <c r="H549">
        <f t="shared" si="35"/>
        <v>-0.9199981689453125</v>
      </c>
    </row>
    <row r="550" spans="1:8" x14ac:dyDescent="0.2">
      <c r="A550" t="s">
        <v>4</v>
      </c>
      <c r="B550" s="2">
        <v>45362</v>
      </c>
      <c r="C550">
        <v>42.798862457275391</v>
      </c>
      <c r="D550">
        <f>_xlfn.XLOOKUP(B550, Oil_Price!A:A, Oil_Price!B:B, "")</f>
        <v>77.930000305175781</v>
      </c>
      <c r="E550">
        <f t="shared" si="32"/>
        <v>5.5830445953430384E-3</v>
      </c>
      <c r="F550">
        <f t="shared" si="33"/>
        <v>-1.0255329940252874E-3</v>
      </c>
      <c r="G550">
        <f t="shared" si="34"/>
        <v>0.23762130737305398</v>
      </c>
      <c r="H550">
        <f t="shared" si="35"/>
        <v>-8.00018310546875E-2</v>
      </c>
    </row>
    <row r="551" spans="1:8" x14ac:dyDescent="0.2">
      <c r="A551" t="s">
        <v>4</v>
      </c>
      <c r="B551" s="2">
        <v>45363</v>
      </c>
      <c r="C551">
        <v>42.794464111328118</v>
      </c>
      <c r="D551">
        <f>_xlfn.XLOOKUP(B551, Oil_Price!A:A, Oil_Price!B:B, "")</f>
        <v>77.55999755859375</v>
      </c>
      <c r="E551">
        <f t="shared" si="32"/>
        <v>-1.027678235995979E-4</v>
      </c>
      <c r="F551">
        <f t="shared" si="33"/>
        <v>-4.747885860812158E-3</v>
      </c>
      <c r="G551">
        <f t="shared" si="34"/>
        <v>-4.3983459472727304E-3</v>
      </c>
      <c r="H551">
        <f t="shared" si="35"/>
        <v>-0.37000274658203125</v>
      </c>
    </row>
    <row r="552" spans="1:8" x14ac:dyDescent="0.2">
      <c r="A552" t="s">
        <v>4</v>
      </c>
      <c r="B552" s="2">
        <v>45364</v>
      </c>
      <c r="C552">
        <v>43.824161529541023</v>
      </c>
      <c r="D552">
        <f>_xlfn.XLOOKUP(B552, Oil_Price!A:A, Oil_Price!B:B, "")</f>
        <v>79.720001220703125</v>
      </c>
      <c r="E552">
        <f t="shared" si="32"/>
        <v>2.406146307929426E-2</v>
      </c>
      <c r="F552">
        <f t="shared" si="33"/>
        <v>2.7849455003883555E-2</v>
      </c>
      <c r="G552">
        <f t="shared" si="34"/>
        <v>1.0296974182129048</v>
      </c>
      <c r="H552">
        <f t="shared" si="35"/>
        <v>2.160003662109375</v>
      </c>
    </row>
    <row r="553" spans="1:8" x14ac:dyDescent="0.2">
      <c r="A553" t="s">
        <v>4</v>
      </c>
      <c r="B553" s="2">
        <v>45365</v>
      </c>
      <c r="C553">
        <v>44.300029754638672</v>
      </c>
      <c r="D553">
        <f>_xlfn.XLOOKUP(B553, Oil_Price!A:A, Oil_Price!B:B, "")</f>
        <v>81.260002136230469</v>
      </c>
      <c r="E553">
        <f t="shared" si="32"/>
        <v>1.0858581396403342E-2</v>
      </c>
      <c r="F553">
        <f t="shared" si="33"/>
        <v>1.9317622829230573E-2</v>
      </c>
      <c r="G553">
        <f t="shared" si="34"/>
        <v>0.47586822509764914</v>
      </c>
      <c r="H553">
        <f t="shared" si="35"/>
        <v>1.5400009155273438</v>
      </c>
    </row>
    <row r="554" spans="1:8" x14ac:dyDescent="0.2">
      <c r="A554" t="s">
        <v>4</v>
      </c>
      <c r="B554" s="2">
        <v>45366</v>
      </c>
      <c r="C554">
        <v>43.708538055419922</v>
      </c>
      <c r="D554">
        <f>_xlfn.XLOOKUP(B554, Oil_Price!A:A, Oil_Price!B:B, "")</f>
        <v>81.040000915527344</v>
      </c>
      <c r="E554">
        <f t="shared" si="32"/>
        <v>-1.3351948124974221E-2</v>
      </c>
      <c r="F554">
        <f t="shared" si="33"/>
        <v>-2.707374045281197E-3</v>
      </c>
      <c r="G554">
        <f t="shared" si="34"/>
        <v>-0.59149169921875</v>
      </c>
      <c r="H554">
        <f t="shared" si="35"/>
        <v>-0.220001220703125</v>
      </c>
    </row>
    <row r="555" spans="1:8" x14ac:dyDescent="0.2">
      <c r="A555" t="s">
        <v>4</v>
      </c>
      <c r="B555" s="2">
        <v>45369</v>
      </c>
      <c r="C555">
        <v>44.188854217529297</v>
      </c>
      <c r="D555">
        <f>_xlfn.XLOOKUP(B555, Oil_Price!A:A, Oil_Price!B:B, "")</f>
        <v>82.720001220703125</v>
      </c>
      <c r="E555">
        <f t="shared" si="32"/>
        <v>1.0989069492563709E-2</v>
      </c>
      <c r="F555">
        <f t="shared" si="33"/>
        <v>2.073050698662926E-2</v>
      </c>
      <c r="G555">
        <f t="shared" si="34"/>
        <v>0.480316162109375</v>
      </c>
      <c r="H555">
        <f t="shared" si="35"/>
        <v>1.6800003051757812</v>
      </c>
    </row>
    <row r="556" spans="1:8" x14ac:dyDescent="0.2">
      <c r="A556" t="s">
        <v>4</v>
      </c>
      <c r="B556" s="2">
        <v>45370</v>
      </c>
      <c r="C556">
        <v>44.357845306396477</v>
      </c>
      <c r="D556">
        <f>_xlfn.XLOOKUP(B556, Oil_Price!A:A, Oil_Price!B:B, "")</f>
        <v>83.470001220703125</v>
      </c>
      <c r="E556">
        <f t="shared" si="32"/>
        <v>3.8242921627993521E-3</v>
      </c>
      <c r="F556">
        <f t="shared" si="33"/>
        <v>9.0667310074010292E-3</v>
      </c>
      <c r="G556">
        <f t="shared" si="34"/>
        <v>0.16899108886718039</v>
      </c>
      <c r="H556">
        <f t="shared" si="35"/>
        <v>0.75</v>
      </c>
    </row>
    <row r="557" spans="1:8" x14ac:dyDescent="0.2">
      <c r="A557" t="s">
        <v>4</v>
      </c>
      <c r="B557" s="2">
        <v>45371</v>
      </c>
      <c r="C557">
        <v>44.260005950927727</v>
      </c>
      <c r="D557">
        <f>_xlfn.XLOOKUP(B557, Oil_Price!A:A, Oil_Price!B:B, "")</f>
        <v>81.680000305175781</v>
      </c>
      <c r="E557">
        <f t="shared" si="32"/>
        <v>-2.2056832290418171E-3</v>
      </c>
      <c r="F557">
        <f t="shared" si="33"/>
        <v>-2.1444841132737022E-2</v>
      </c>
      <c r="G557">
        <f t="shared" si="34"/>
        <v>-9.783935546875E-2</v>
      </c>
      <c r="H557">
        <f t="shared" si="35"/>
        <v>-1.7900009155273438</v>
      </c>
    </row>
    <row r="558" spans="1:8" x14ac:dyDescent="0.2">
      <c r="A558" t="s">
        <v>4</v>
      </c>
      <c r="B558" s="2">
        <v>45372</v>
      </c>
      <c r="C558">
        <v>44.686958312988281</v>
      </c>
      <c r="D558">
        <f>_xlfn.XLOOKUP(B558, Oil_Price!A:A, Oil_Price!B:B, "")</f>
        <v>81.069999694824219</v>
      </c>
      <c r="E558">
        <f t="shared" si="32"/>
        <v>9.6464596623400296E-3</v>
      </c>
      <c r="F558">
        <f t="shared" si="33"/>
        <v>-7.4681759068616071E-3</v>
      </c>
      <c r="G558">
        <f t="shared" si="34"/>
        <v>0.42695236206055398</v>
      </c>
      <c r="H558">
        <f t="shared" si="35"/>
        <v>-0.6100006103515625</v>
      </c>
    </row>
    <row r="559" spans="1:8" x14ac:dyDescent="0.2">
      <c r="A559" t="s">
        <v>4</v>
      </c>
      <c r="B559" s="2">
        <v>45373</v>
      </c>
      <c r="C559">
        <v>44.824817657470703</v>
      </c>
      <c r="D559">
        <f>_xlfn.XLOOKUP(B559, Oil_Price!A:A, Oil_Price!B:B, "")</f>
        <v>80.629997253417969</v>
      </c>
      <c r="E559">
        <f t="shared" si="32"/>
        <v>3.0850017474192914E-3</v>
      </c>
      <c r="F559">
        <f t="shared" si="33"/>
        <v>-5.4274385477065847E-3</v>
      </c>
      <c r="G559">
        <f t="shared" si="34"/>
        <v>0.13785934448242188</v>
      </c>
      <c r="H559">
        <f t="shared" si="35"/>
        <v>-0.44000244140625</v>
      </c>
    </row>
    <row r="560" spans="1:8" x14ac:dyDescent="0.2">
      <c r="A560" t="s">
        <v>4</v>
      </c>
      <c r="B560" s="2">
        <v>45376</v>
      </c>
      <c r="C560">
        <v>45.785449981689453</v>
      </c>
      <c r="D560">
        <f>_xlfn.XLOOKUP(B560, Oil_Price!A:A, Oil_Price!B:B, "")</f>
        <v>81.949996948242188</v>
      </c>
      <c r="E560">
        <f t="shared" si="32"/>
        <v>2.1430813875461394E-2</v>
      </c>
      <c r="F560">
        <f t="shared" si="33"/>
        <v>1.6371074535392757E-2</v>
      </c>
      <c r="G560">
        <f t="shared" si="34"/>
        <v>0.96063232421875</v>
      </c>
      <c r="H560">
        <f t="shared" si="35"/>
        <v>1.3199996948242188</v>
      </c>
    </row>
    <row r="561" spans="1:8" x14ac:dyDescent="0.2">
      <c r="A561" t="s">
        <v>4</v>
      </c>
      <c r="B561" s="2">
        <v>45377</v>
      </c>
      <c r="C561">
        <v>45.380741119384773</v>
      </c>
      <c r="D561">
        <f>_xlfn.XLOOKUP(B561, Oil_Price!A:A, Oil_Price!B:B, "")</f>
        <v>81.620002746582031</v>
      </c>
      <c r="E561">
        <f t="shared" si="32"/>
        <v>-8.8392461462436615E-3</v>
      </c>
      <c r="F561">
        <f t="shared" si="33"/>
        <v>-4.0267750329334769E-3</v>
      </c>
      <c r="G561">
        <f t="shared" si="34"/>
        <v>-0.40470886230468039</v>
      </c>
      <c r="H561">
        <f t="shared" si="35"/>
        <v>-0.32999420166015625</v>
      </c>
    </row>
    <row r="562" spans="1:8" x14ac:dyDescent="0.2">
      <c r="A562" t="s">
        <v>4</v>
      </c>
      <c r="B562" s="2">
        <v>45378</v>
      </c>
      <c r="C562">
        <v>45.558635711669922</v>
      </c>
      <c r="D562">
        <f>_xlfn.XLOOKUP(B562, Oil_Price!A:A, Oil_Price!B:B, "")</f>
        <v>81.349998474121094</v>
      </c>
      <c r="E562">
        <f t="shared" si="32"/>
        <v>3.9200459908126078E-3</v>
      </c>
      <c r="F562">
        <f t="shared" si="33"/>
        <v>-3.308064976415899E-3</v>
      </c>
      <c r="G562">
        <f t="shared" si="34"/>
        <v>0.17789459228514914</v>
      </c>
      <c r="H562">
        <f t="shared" si="35"/>
        <v>-0.2700042724609375</v>
      </c>
    </row>
    <row r="563" spans="1:8" x14ac:dyDescent="0.2">
      <c r="A563" t="s">
        <v>4</v>
      </c>
      <c r="B563" s="2">
        <v>45379</v>
      </c>
      <c r="C563">
        <v>45.954456329345703</v>
      </c>
      <c r="D563">
        <f>_xlfn.XLOOKUP(B563, Oil_Price!A:A, Oil_Price!B:B, "")</f>
        <v>83.169998168945312</v>
      </c>
      <c r="E563">
        <f t="shared" si="32"/>
        <v>8.6881578320483193E-3</v>
      </c>
      <c r="F563">
        <f t="shared" si="33"/>
        <v>2.2372461327128279E-2</v>
      </c>
      <c r="G563">
        <f t="shared" si="34"/>
        <v>0.39582061767578125</v>
      </c>
      <c r="H563">
        <f t="shared" si="35"/>
        <v>1.8199996948242188</v>
      </c>
    </row>
    <row r="564" spans="1:8" x14ac:dyDescent="0.2">
      <c r="A564" t="s">
        <v>4</v>
      </c>
      <c r="B564" s="2">
        <v>45383</v>
      </c>
      <c r="C564">
        <v>46.559284210205078</v>
      </c>
      <c r="D564">
        <f>_xlfn.XLOOKUP(B564, Oil_Price!A:A, Oil_Price!B:B, "")</f>
        <v>83.709999084472656</v>
      </c>
      <c r="E564">
        <f t="shared" si="32"/>
        <v>1.3161463091298561E-2</v>
      </c>
      <c r="F564">
        <f t="shared" si="33"/>
        <v>6.492736893301672E-3</v>
      </c>
      <c r="G564">
        <f t="shared" si="34"/>
        <v>0.604827880859375</v>
      </c>
      <c r="H564">
        <f t="shared" si="35"/>
        <v>0.54000091552734375</v>
      </c>
    </row>
    <row r="565" spans="1:8" x14ac:dyDescent="0.2">
      <c r="A565" t="s">
        <v>4</v>
      </c>
      <c r="B565" s="2">
        <v>45384</v>
      </c>
      <c r="C565">
        <v>47.190807342529297</v>
      </c>
      <c r="D565">
        <f>_xlfn.XLOOKUP(B565, Oil_Price!A:A, Oil_Price!B:B, "")</f>
        <v>85.150001525878906</v>
      </c>
      <c r="E565">
        <f t="shared" si="32"/>
        <v>1.356384968190294E-2</v>
      </c>
      <c r="F565">
        <f t="shared" si="33"/>
        <v>1.7202275201952017E-2</v>
      </c>
      <c r="G565">
        <f t="shared" si="34"/>
        <v>0.63152313232421875</v>
      </c>
      <c r="H565">
        <f t="shared" si="35"/>
        <v>1.44000244140625</v>
      </c>
    </row>
    <row r="566" spans="1:8" x14ac:dyDescent="0.2">
      <c r="A566" t="s">
        <v>4</v>
      </c>
      <c r="B566" s="2">
        <v>45385</v>
      </c>
      <c r="C566">
        <v>47.777858734130859</v>
      </c>
      <c r="D566">
        <f>_xlfn.XLOOKUP(B566, Oil_Price!A:A, Oil_Price!B:B, "")</f>
        <v>85.430000305175781</v>
      </c>
      <c r="E566">
        <f t="shared" si="32"/>
        <v>1.2439952284361537E-2</v>
      </c>
      <c r="F566">
        <f t="shared" si="33"/>
        <v>3.2883003438558644E-3</v>
      </c>
      <c r="G566">
        <f t="shared" si="34"/>
        <v>0.5870513916015625</v>
      </c>
      <c r="H566">
        <f t="shared" si="35"/>
        <v>0.279998779296875</v>
      </c>
    </row>
    <row r="567" spans="1:8" x14ac:dyDescent="0.2">
      <c r="A567" t="s">
        <v>4</v>
      </c>
      <c r="B567" s="2">
        <v>45386</v>
      </c>
      <c r="C567">
        <v>48.267066955566413</v>
      </c>
      <c r="D567">
        <f>_xlfn.XLOOKUP(B567, Oil_Price!A:A, Oil_Price!B:B, "")</f>
        <v>86.589996337890625</v>
      </c>
      <c r="E567">
        <f t="shared" si="32"/>
        <v>1.0239224494296569E-2</v>
      </c>
      <c r="F567">
        <f t="shared" si="33"/>
        <v>1.3578321767190317E-2</v>
      </c>
      <c r="G567">
        <f t="shared" si="34"/>
        <v>0.48920822143555398</v>
      </c>
      <c r="H567">
        <f t="shared" si="35"/>
        <v>1.1599960327148438</v>
      </c>
    </row>
    <row r="568" spans="1:8" x14ac:dyDescent="0.2">
      <c r="A568" t="s">
        <v>4</v>
      </c>
      <c r="B568" s="2">
        <v>45387</v>
      </c>
      <c r="C568">
        <v>49.063140869140618</v>
      </c>
      <c r="D568">
        <f>_xlfn.XLOOKUP(B568, Oil_Price!A:A, Oil_Price!B:B, "")</f>
        <v>86.910003662109375</v>
      </c>
      <c r="E568">
        <f t="shared" si="32"/>
        <v>1.6493107283835011E-2</v>
      </c>
      <c r="F568">
        <f t="shared" si="33"/>
        <v>3.6956615977903565E-3</v>
      </c>
      <c r="G568">
        <f t="shared" si="34"/>
        <v>0.79607391357420454</v>
      </c>
      <c r="H568">
        <f t="shared" si="35"/>
        <v>0.32000732421875</v>
      </c>
    </row>
    <row r="569" spans="1:8" x14ac:dyDescent="0.2">
      <c r="A569" t="s">
        <v>4</v>
      </c>
      <c r="B569" s="2">
        <v>45390</v>
      </c>
      <c r="C569">
        <v>48.769622802734382</v>
      </c>
      <c r="D569">
        <f>_xlfn.XLOOKUP(B569, Oil_Price!A:A, Oil_Price!B:B, "")</f>
        <v>86.430000305175781</v>
      </c>
      <c r="E569">
        <f t="shared" si="32"/>
        <v>-5.982455692942615E-3</v>
      </c>
      <c r="F569">
        <f t="shared" si="33"/>
        <v>-5.5229931734873854E-3</v>
      </c>
      <c r="G569">
        <f t="shared" si="34"/>
        <v>-0.29351806640623579</v>
      </c>
      <c r="H569">
        <f t="shared" si="35"/>
        <v>-0.48000335693359375</v>
      </c>
    </row>
    <row r="570" spans="1:8" x14ac:dyDescent="0.2">
      <c r="A570" t="s">
        <v>4</v>
      </c>
      <c r="B570" s="2">
        <v>45391</v>
      </c>
      <c r="C570">
        <v>49.361122131347663</v>
      </c>
      <c r="D570">
        <f>_xlfn.XLOOKUP(B570, Oil_Price!A:A, Oil_Price!B:B, "")</f>
        <v>85.230003356933594</v>
      </c>
      <c r="E570">
        <f t="shared" si="32"/>
        <v>1.2128437634340643E-2</v>
      </c>
      <c r="F570">
        <f t="shared" si="33"/>
        <v>-1.3884032673899305E-2</v>
      </c>
      <c r="G570">
        <f t="shared" si="34"/>
        <v>0.59149932861328125</v>
      </c>
      <c r="H570">
        <f t="shared" si="35"/>
        <v>-1.1999969482421875</v>
      </c>
    </row>
    <row r="571" spans="1:8" x14ac:dyDescent="0.2">
      <c r="A571" t="s">
        <v>4</v>
      </c>
      <c r="B571" s="2">
        <v>45392</v>
      </c>
      <c r="C571">
        <v>50.081588745117188</v>
      </c>
      <c r="D571">
        <f>_xlfn.XLOOKUP(B571, Oil_Price!A:A, Oil_Price!B:B, "")</f>
        <v>86.209999084472656</v>
      </c>
      <c r="E571">
        <f t="shared" si="32"/>
        <v>1.4595831347844885E-2</v>
      </c>
      <c r="F571">
        <f t="shared" si="33"/>
        <v>1.1498248139624629E-2</v>
      </c>
      <c r="G571">
        <f t="shared" si="34"/>
        <v>0.72046661376952414</v>
      </c>
      <c r="H571">
        <f t="shared" si="35"/>
        <v>0.9799957275390625</v>
      </c>
    </row>
    <row r="572" spans="1:8" x14ac:dyDescent="0.2">
      <c r="A572" t="s">
        <v>4</v>
      </c>
      <c r="B572" s="2">
        <v>45393</v>
      </c>
      <c r="C572">
        <v>49.347774505615227</v>
      </c>
      <c r="D572">
        <f>_xlfn.XLOOKUP(B572, Oil_Price!A:A, Oil_Price!B:B, "")</f>
        <v>85.019996643066406</v>
      </c>
      <c r="E572">
        <f t="shared" si="32"/>
        <v>-1.4652375411582865E-2</v>
      </c>
      <c r="F572">
        <f t="shared" si="33"/>
        <v>-1.3803531539772191E-2</v>
      </c>
      <c r="G572">
        <f t="shared" si="34"/>
        <v>-0.73381423950196023</v>
      </c>
      <c r="H572">
        <f t="shared" si="35"/>
        <v>-1.19000244140625</v>
      </c>
    </row>
    <row r="573" spans="1:8" x14ac:dyDescent="0.2">
      <c r="A573" t="s">
        <v>4</v>
      </c>
      <c r="B573" s="2">
        <v>45394</v>
      </c>
      <c r="C573">
        <v>48.493885040283203</v>
      </c>
      <c r="D573">
        <f>_xlfn.XLOOKUP(B573, Oil_Price!A:A, Oil_Price!B:B, "")</f>
        <v>85.660003662109375</v>
      </c>
      <c r="E573">
        <f t="shared" si="32"/>
        <v>-1.7303505049348498E-2</v>
      </c>
      <c r="F573">
        <f t="shared" si="33"/>
        <v>7.5277234099392657E-3</v>
      </c>
      <c r="G573">
        <f t="shared" si="34"/>
        <v>-0.85388946533202414</v>
      </c>
      <c r="H573">
        <f t="shared" si="35"/>
        <v>0.64000701904296875</v>
      </c>
    </row>
    <row r="574" spans="1:8" x14ac:dyDescent="0.2">
      <c r="A574" t="s">
        <v>4</v>
      </c>
      <c r="B574" s="2">
        <v>45397</v>
      </c>
      <c r="C574">
        <v>47.519916534423828</v>
      </c>
      <c r="D574">
        <f>_xlfn.XLOOKUP(B574, Oil_Price!A:A, Oil_Price!B:B, "")</f>
        <v>85.410003662109375</v>
      </c>
      <c r="E574">
        <f t="shared" si="32"/>
        <v>-2.0084357131838638E-2</v>
      </c>
      <c r="F574">
        <f t="shared" si="33"/>
        <v>-2.9185149347662749E-3</v>
      </c>
      <c r="G574">
        <f t="shared" si="34"/>
        <v>-0.973968505859375</v>
      </c>
      <c r="H574">
        <f t="shared" si="35"/>
        <v>-0.25</v>
      </c>
    </row>
    <row r="575" spans="1:8" x14ac:dyDescent="0.2">
      <c r="A575" t="s">
        <v>4</v>
      </c>
      <c r="B575" s="2">
        <v>45398</v>
      </c>
      <c r="C575">
        <v>47.599964141845703</v>
      </c>
      <c r="D575">
        <f>_xlfn.XLOOKUP(B575, Oil_Price!A:A, Oil_Price!B:B, "")</f>
        <v>85.360000610351562</v>
      </c>
      <c r="E575">
        <f t="shared" si="32"/>
        <v>1.6845064819061254E-3</v>
      </c>
      <c r="F575">
        <f t="shared" si="33"/>
        <v>-5.8544724989861418E-4</v>
      </c>
      <c r="G575">
        <f t="shared" si="34"/>
        <v>8.0047607421875E-2</v>
      </c>
      <c r="H575">
        <f t="shared" si="35"/>
        <v>-5.00030517578125E-2</v>
      </c>
    </row>
    <row r="576" spans="1:8" x14ac:dyDescent="0.2">
      <c r="A576" t="s">
        <v>4</v>
      </c>
      <c r="B576" s="2">
        <v>45399</v>
      </c>
      <c r="C576">
        <v>47.275314331054688</v>
      </c>
      <c r="D576">
        <f>_xlfn.XLOOKUP(B576, Oil_Price!A:A, Oil_Price!B:B, "")</f>
        <v>82.69000244140625</v>
      </c>
      <c r="E576">
        <f t="shared" si="32"/>
        <v>-6.8203793142275091E-3</v>
      </c>
      <c r="F576">
        <f t="shared" si="33"/>
        <v>-3.1279266047961149E-2</v>
      </c>
      <c r="G576">
        <f t="shared" si="34"/>
        <v>-0.32464981079101562</v>
      </c>
      <c r="H576">
        <f t="shared" si="35"/>
        <v>-2.6699981689453125</v>
      </c>
    </row>
    <row r="577" spans="1:8" x14ac:dyDescent="0.2">
      <c r="A577" t="s">
        <v>4</v>
      </c>
      <c r="B577" s="2">
        <v>45400</v>
      </c>
      <c r="C577">
        <v>47.070728302001953</v>
      </c>
      <c r="D577">
        <f>_xlfn.XLOOKUP(B577, Oil_Price!A:A, Oil_Price!B:B, "")</f>
        <v>82.730003356933594</v>
      </c>
      <c r="E577">
        <f t="shared" si="32"/>
        <v>-4.3275445535926101E-3</v>
      </c>
      <c r="F577">
        <f t="shared" si="33"/>
        <v>4.837454873179888E-4</v>
      </c>
      <c r="G577">
        <f t="shared" si="34"/>
        <v>-0.20458602905273438</v>
      </c>
      <c r="H577">
        <f t="shared" si="35"/>
        <v>4.000091552734375E-2</v>
      </c>
    </row>
    <row r="578" spans="1:8" x14ac:dyDescent="0.2">
      <c r="A578" t="s">
        <v>4</v>
      </c>
      <c r="B578" s="2">
        <v>45401</v>
      </c>
      <c r="C578">
        <v>46.835018157958977</v>
      </c>
      <c r="D578">
        <f>_xlfn.XLOOKUP(B578, Oil_Price!A:A, Oil_Price!B:B, "")</f>
        <v>83.139999389648438</v>
      </c>
      <c r="E578">
        <f t="shared" si="32"/>
        <v>-5.007573762842138E-3</v>
      </c>
      <c r="F578">
        <f t="shared" si="33"/>
        <v>4.9558324196596571E-3</v>
      </c>
      <c r="G578">
        <f t="shared" si="34"/>
        <v>-0.23571014404297586</v>
      </c>
      <c r="H578">
        <f t="shared" si="35"/>
        <v>0.40999603271484375</v>
      </c>
    </row>
    <row r="579" spans="1:8" x14ac:dyDescent="0.2">
      <c r="A579" t="s">
        <v>4</v>
      </c>
      <c r="B579" s="2">
        <v>45404</v>
      </c>
      <c r="C579">
        <v>46.772754669189453</v>
      </c>
      <c r="D579">
        <f>_xlfn.XLOOKUP(B579, Oil_Price!A:A, Oil_Price!B:B, "")</f>
        <v>82.849998474121094</v>
      </c>
      <c r="E579">
        <f t="shared" ref="E579:E642" si="36">IFERROR(IF(AND(A579=A578, C579&lt;&gt;"", C578&lt;&gt;""), (C579-C578)/C578, ""), "")</f>
        <v>-1.329421685276817E-3</v>
      </c>
      <c r="F579">
        <f t="shared" ref="F579:F642" si="37">IFERROR(IF(AND(A579=A578, D579&lt;&gt;"", D578&lt;&gt;""), (D579-D578)/D578, ""), "")</f>
        <v>-3.4881034117911127E-3</v>
      </c>
      <c r="G579">
        <f t="shared" ref="G579:G642" si="38">IFERROR(IF(AND(A579=A578, C579&lt;&gt;"", C578&lt;&gt;""), C579-C578, ""), "")</f>
        <v>-6.2263488769524145E-2</v>
      </c>
      <c r="H579">
        <f t="shared" ref="H579:H642" si="39">IFERROR(IF(AND(A579=A578, D579&lt;&gt;"", D578&lt;&gt;""), D579-D578, ""), "")</f>
        <v>-0.29000091552734375</v>
      </c>
    </row>
    <row r="580" spans="1:8" x14ac:dyDescent="0.2">
      <c r="A580" t="s">
        <v>4</v>
      </c>
      <c r="B580" s="2">
        <v>45405</v>
      </c>
      <c r="C580">
        <v>46.812786102294922</v>
      </c>
      <c r="D580">
        <f>_xlfn.XLOOKUP(B580, Oil_Price!A:A, Oil_Price!B:B, "")</f>
        <v>83.360000610351562</v>
      </c>
      <c r="E580">
        <f t="shared" si="36"/>
        <v>8.5587076041596913E-4</v>
      </c>
      <c r="F580">
        <f t="shared" si="37"/>
        <v>6.155728975538512E-3</v>
      </c>
      <c r="G580">
        <f t="shared" si="38"/>
        <v>4.003143310546875E-2</v>
      </c>
      <c r="H580">
        <f t="shared" si="39"/>
        <v>0.51000213623046875</v>
      </c>
    </row>
    <row r="581" spans="1:8" x14ac:dyDescent="0.2">
      <c r="A581" t="s">
        <v>4</v>
      </c>
      <c r="B581" s="2">
        <v>45406</v>
      </c>
      <c r="C581">
        <v>46.888393402099609</v>
      </c>
      <c r="D581">
        <f>_xlfn.XLOOKUP(B581, Oil_Price!A:A, Oil_Price!B:B, "")</f>
        <v>82.80999755859375</v>
      </c>
      <c r="E581">
        <f t="shared" si="36"/>
        <v>1.6150993371655137E-3</v>
      </c>
      <c r="F581">
        <f t="shared" si="37"/>
        <v>-6.5979252366933604E-3</v>
      </c>
      <c r="G581">
        <f t="shared" si="38"/>
        <v>7.56072998046875E-2</v>
      </c>
      <c r="H581">
        <f t="shared" si="39"/>
        <v>-0.5500030517578125</v>
      </c>
    </row>
    <row r="582" spans="1:8" x14ac:dyDescent="0.2">
      <c r="A582" t="s">
        <v>4</v>
      </c>
      <c r="B582" s="2">
        <v>45407</v>
      </c>
      <c r="C582">
        <v>46.999568939208977</v>
      </c>
      <c r="D582">
        <f>_xlfn.XLOOKUP(B582, Oil_Price!A:A, Oil_Price!B:B, "")</f>
        <v>83.569999694824219</v>
      </c>
      <c r="E582">
        <f t="shared" si="36"/>
        <v>2.3710673162964371E-3</v>
      </c>
      <c r="F582">
        <f t="shared" si="37"/>
        <v>9.1776616186072836E-3</v>
      </c>
      <c r="G582">
        <f t="shared" si="38"/>
        <v>0.11117553710936789</v>
      </c>
      <c r="H582">
        <f t="shared" si="39"/>
        <v>0.76000213623046875</v>
      </c>
    </row>
    <row r="583" spans="1:8" x14ac:dyDescent="0.2">
      <c r="A583" t="s">
        <v>4</v>
      </c>
      <c r="B583" s="2">
        <v>45408</v>
      </c>
      <c r="C583">
        <v>47.373146057128913</v>
      </c>
      <c r="D583">
        <f>_xlfn.XLOOKUP(B583, Oil_Price!A:A, Oil_Price!B:B, "")</f>
        <v>83.849998474121094</v>
      </c>
      <c r="E583">
        <f t="shared" si="36"/>
        <v>7.9485222173661819E-3</v>
      </c>
      <c r="F583">
        <f t="shared" si="37"/>
        <v>3.3504700289500697E-3</v>
      </c>
      <c r="G583">
        <f t="shared" si="38"/>
        <v>0.37357711791993609</v>
      </c>
      <c r="H583">
        <f t="shared" si="39"/>
        <v>0.279998779296875</v>
      </c>
    </row>
    <row r="584" spans="1:8" x14ac:dyDescent="0.2">
      <c r="A584" t="s">
        <v>4</v>
      </c>
      <c r="B584" s="2">
        <v>45411</v>
      </c>
      <c r="C584">
        <v>47.511020660400391</v>
      </c>
      <c r="D584">
        <f>_xlfn.XLOOKUP(B584, Oil_Price!A:A, Oil_Price!B:B, "")</f>
        <v>82.629997253417969</v>
      </c>
      <c r="E584">
        <f t="shared" si="36"/>
        <v>2.9103957568114543E-3</v>
      </c>
      <c r="F584">
        <f t="shared" si="37"/>
        <v>-1.4549806116927457E-2</v>
      </c>
      <c r="G584">
        <f t="shared" si="38"/>
        <v>0.13787460327147727</v>
      </c>
      <c r="H584">
        <f t="shared" si="39"/>
        <v>-1.220001220703125</v>
      </c>
    </row>
    <row r="585" spans="1:8" x14ac:dyDescent="0.2">
      <c r="A585" t="s">
        <v>4</v>
      </c>
      <c r="B585" s="2">
        <v>45412</v>
      </c>
      <c r="C585">
        <v>46.394733428955078</v>
      </c>
      <c r="D585">
        <f>_xlfn.XLOOKUP(B585, Oil_Price!A:A, Oil_Price!B:B, "")</f>
        <v>81.930000305175781</v>
      </c>
      <c r="E585">
        <f t="shared" si="36"/>
        <v>-2.3495332576084153E-2</v>
      </c>
      <c r="F585">
        <f t="shared" si="37"/>
        <v>-8.4714628041843761E-3</v>
      </c>
      <c r="G585">
        <f t="shared" si="38"/>
        <v>-1.1162872314453125</v>
      </c>
      <c r="H585">
        <f t="shared" si="39"/>
        <v>-0.6999969482421875</v>
      </c>
    </row>
    <row r="586" spans="1:8" x14ac:dyDescent="0.2">
      <c r="A586" t="s">
        <v>4</v>
      </c>
      <c r="B586" s="2">
        <v>45413</v>
      </c>
      <c r="C586">
        <v>45.816581726074219</v>
      </c>
      <c r="D586">
        <f>_xlfn.XLOOKUP(B586, Oil_Price!A:A, Oil_Price!B:B, "")</f>
        <v>79</v>
      </c>
      <c r="E586">
        <f t="shared" si="36"/>
        <v>-1.2461580445681219E-2</v>
      </c>
      <c r="F586">
        <f t="shared" si="37"/>
        <v>-3.5762239646796187E-2</v>
      </c>
      <c r="G586">
        <f t="shared" si="38"/>
        <v>-0.57815170288085938</v>
      </c>
      <c r="H586">
        <f t="shared" si="39"/>
        <v>-2.9300003051757812</v>
      </c>
    </row>
    <row r="587" spans="1:8" x14ac:dyDescent="0.2">
      <c r="A587" t="s">
        <v>4</v>
      </c>
      <c r="B587" s="2">
        <v>45414</v>
      </c>
      <c r="C587">
        <v>45.536399841308587</v>
      </c>
      <c r="D587">
        <f>_xlfn.XLOOKUP(B587, Oil_Price!A:A, Oil_Price!B:B, "")</f>
        <v>78.949996948242188</v>
      </c>
      <c r="E587">
        <f t="shared" si="36"/>
        <v>-6.1152943805535057E-3</v>
      </c>
      <c r="F587">
        <f t="shared" si="37"/>
        <v>-6.3295002225079112E-4</v>
      </c>
      <c r="G587">
        <f t="shared" si="38"/>
        <v>-0.28018188476563211</v>
      </c>
      <c r="H587">
        <f t="shared" si="39"/>
        <v>-5.00030517578125E-2</v>
      </c>
    </row>
    <row r="588" spans="1:8" x14ac:dyDescent="0.2">
      <c r="A588" t="s">
        <v>4</v>
      </c>
      <c r="B588" s="2">
        <v>45415</v>
      </c>
      <c r="C588">
        <v>45.407417297363281</v>
      </c>
      <c r="D588">
        <f>_xlfn.XLOOKUP(B588, Oil_Price!A:A, Oil_Price!B:B, "")</f>
        <v>78.110000610351562</v>
      </c>
      <c r="E588">
        <f t="shared" si="36"/>
        <v>-2.8325151833434622E-3</v>
      </c>
      <c r="F588">
        <f t="shared" si="37"/>
        <v>-1.0639599371248962E-2</v>
      </c>
      <c r="G588">
        <f t="shared" si="38"/>
        <v>-0.12898254394530539</v>
      </c>
      <c r="H588">
        <f t="shared" si="39"/>
        <v>-0.839996337890625</v>
      </c>
    </row>
    <row r="589" spans="1:8" x14ac:dyDescent="0.2">
      <c r="A589" t="s">
        <v>4</v>
      </c>
      <c r="B589" s="2">
        <v>45418</v>
      </c>
      <c r="C589">
        <v>46.194610595703118</v>
      </c>
      <c r="D589">
        <f>_xlfn.XLOOKUP(B589, Oil_Price!A:A, Oil_Price!B:B, "")</f>
        <v>78.480003356933594</v>
      </c>
      <c r="E589">
        <f t="shared" si="36"/>
        <v>1.733622710106323E-2</v>
      </c>
      <c r="F589">
        <f t="shared" si="37"/>
        <v>4.7369446126082409E-3</v>
      </c>
      <c r="G589">
        <f t="shared" si="38"/>
        <v>0.78719329833983664</v>
      </c>
      <c r="H589">
        <f t="shared" si="39"/>
        <v>0.37000274658203125</v>
      </c>
    </row>
    <row r="590" spans="1:8" x14ac:dyDescent="0.2">
      <c r="A590" t="s">
        <v>4</v>
      </c>
      <c r="B590" s="2">
        <v>45419</v>
      </c>
      <c r="C590">
        <v>46.652687072753913</v>
      </c>
      <c r="D590">
        <f>_xlfn.XLOOKUP(B590, Oil_Price!A:A, Oil_Price!B:B, "")</f>
        <v>78.379997253417969</v>
      </c>
      <c r="E590">
        <f t="shared" si="36"/>
        <v>9.9162320267162148E-3</v>
      </c>
      <c r="F590">
        <f t="shared" si="37"/>
        <v>-1.2742877069052726E-3</v>
      </c>
      <c r="G590">
        <f t="shared" si="38"/>
        <v>0.45807647705079546</v>
      </c>
      <c r="H590">
        <f t="shared" si="39"/>
        <v>-0.100006103515625</v>
      </c>
    </row>
    <row r="591" spans="1:8" x14ac:dyDescent="0.2">
      <c r="A591" t="s">
        <v>4</v>
      </c>
      <c r="B591" s="2">
        <v>45420</v>
      </c>
      <c r="C591">
        <v>47.124099731445312</v>
      </c>
      <c r="D591">
        <f>_xlfn.XLOOKUP(B591, Oil_Price!A:A, Oil_Price!B:B, "")</f>
        <v>78.989997863769531</v>
      </c>
      <c r="E591">
        <f t="shared" si="36"/>
        <v>1.0104726828622771E-2</v>
      </c>
      <c r="F591">
        <f t="shared" si="37"/>
        <v>7.7826056612289793E-3</v>
      </c>
      <c r="G591">
        <f t="shared" si="38"/>
        <v>0.47141265869139914</v>
      </c>
      <c r="H591">
        <f t="shared" si="39"/>
        <v>0.6100006103515625</v>
      </c>
    </row>
    <row r="592" spans="1:8" x14ac:dyDescent="0.2">
      <c r="A592" t="s">
        <v>4</v>
      </c>
      <c r="B592" s="2">
        <v>45421</v>
      </c>
      <c r="C592">
        <v>47.177474975585938</v>
      </c>
      <c r="D592">
        <f>_xlfn.XLOOKUP(B592, Oil_Price!A:A, Oil_Price!B:B, "")</f>
        <v>79.260002136230469</v>
      </c>
      <c r="E592">
        <f t="shared" si="36"/>
        <v>1.1326528134182768E-3</v>
      </c>
      <c r="F592">
        <f t="shared" si="37"/>
        <v>3.4182083778075503E-3</v>
      </c>
      <c r="G592">
        <f t="shared" si="38"/>
        <v>5.3375244140625E-2</v>
      </c>
      <c r="H592">
        <f t="shared" si="39"/>
        <v>0.2700042724609375</v>
      </c>
    </row>
    <row r="593" spans="1:8" x14ac:dyDescent="0.2">
      <c r="A593" t="s">
        <v>4</v>
      </c>
      <c r="B593" s="2">
        <v>45422</v>
      </c>
      <c r="C593">
        <v>46.514816284179688</v>
      </c>
      <c r="D593">
        <f>_xlfn.XLOOKUP(B593, Oil_Price!A:A, Oil_Price!B:B, "")</f>
        <v>78.260002136230469</v>
      </c>
      <c r="E593">
        <f t="shared" si="36"/>
        <v>-1.4046082198107719E-2</v>
      </c>
      <c r="F593">
        <f t="shared" si="37"/>
        <v>-1.2616704176732427E-2</v>
      </c>
      <c r="G593">
        <f t="shared" si="38"/>
        <v>-0.66265869140625</v>
      </c>
      <c r="H593">
        <f t="shared" si="39"/>
        <v>-1</v>
      </c>
    </row>
    <row r="594" spans="1:8" x14ac:dyDescent="0.2">
      <c r="A594" t="s">
        <v>4</v>
      </c>
      <c r="B594" s="2">
        <v>45425</v>
      </c>
      <c r="C594">
        <v>46.452552795410163</v>
      </c>
      <c r="D594">
        <f>_xlfn.XLOOKUP(B594, Oil_Price!A:A, Oil_Price!B:B, "")</f>
        <v>79.120002746582031</v>
      </c>
      <c r="E594">
        <f t="shared" si="36"/>
        <v>-1.3385732492014763E-3</v>
      </c>
      <c r="F594">
        <f t="shared" si="37"/>
        <v>1.0989018488071638E-2</v>
      </c>
      <c r="G594">
        <f t="shared" si="38"/>
        <v>-6.2263488769524145E-2</v>
      </c>
      <c r="H594">
        <f t="shared" si="39"/>
        <v>0.8600006103515625</v>
      </c>
    </row>
    <row r="595" spans="1:8" x14ac:dyDescent="0.2">
      <c r="A595" t="s">
        <v>4</v>
      </c>
      <c r="B595" s="2">
        <v>45426</v>
      </c>
      <c r="C595">
        <v>46.030052185058587</v>
      </c>
      <c r="D595">
        <f>_xlfn.XLOOKUP(B595, Oil_Price!A:A, Oil_Price!B:B, "")</f>
        <v>78.019996643066406</v>
      </c>
      <c r="E595">
        <f t="shared" si="36"/>
        <v>-9.0953152179253909E-3</v>
      </c>
      <c r="F595">
        <f t="shared" si="37"/>
        <v>-1.3903008914684916E-2</v>
      </c>
      <c r="G595">
        <f t="shared" si="38"/>
        <v>-0.42250061035157671</v>
      </c>
      <c r="H595">
        <f t="shared" si="39"/>
        <v>-1.100006103515625</v>
      </c>
    </row>
    <row r="596" spans="1:8" x14ac:dyDescent="0.2">
      <c r="A596" t="s">
        <v>4</v>
      </c>
      <c r="B596" s="2">
        <v>45427</v>
      </c>
      <c r="C596">
        <v>46.016716003417969</v>
      </c>
      <c r="D596">
        <f>_xlfn.XLOOKUP(B596, Oil_Price!A:A, Oil_Price!B:B, "")</f>
        <v>78.629997253417969</v>
      </c>
      <c r="E596">
        <f t="shared" si="36"/>
        <v>-2.8972771064871477E-4</v>
      </c>
      <c r="F596">
        <f t="shared" si="37"/>
        <v>7.8185162342707289E-3</v>
      </c>
      <c r="G596">
        <f t="shared" si="38"/>
        <v>-1.3336181640617895E-2</v>
      </c>
      <c r="H596">
        <f t="shared" si="39"/>
        <v>0.6100006103515625</v>
      </c>
    </row>
    <row r="597" spans="1:8" x14ac:dyDescent="0.2">
      <c r="A597" t="s">
        <v>4</v>
      </c>
      <c r="B597" s="2">
        <v>45428</v>
      </c>
      <c r="C597">
        <v>45.887737274169922</v>
      </c>
      <c r="D597">
        <f>_xlfn.XLOOKUP(B597, Oil_Price!A:A, Oil_Price!B:B, "")</f>
        <v>79.230003356933594</v>
      </c>
      <c r="E597">
        <f t="shared" si="36"/>
        <v>-2.8028668807758197E-3</v>
      </c>
      <c r="F597">
        <f t="shared" si="37"/>
        <v>7.6307532045544278E-3</v>
      </c>
      <c r="G597">
        <f t="shared" si="38"/>
        <v>-0.12897872924804688</v>
      </c>
      <c r="H597">
        <f t="shared" si="39"/>
        <v>0.600006103515625</v>
      </c>
    </row>
    <row r="598" spans="1:8" x14ac:dyDescent="0.2">
      <c r="A598" t="s">
        <v>4</v>
      </c>
      <c r="B598" s="2">
        <v>45429</v>
      </c>
      <c r="C598">
        <v>46.652687072753913</v>
      </c>
      <c r="D598">
        <f>_xlfn.XLOOKUP(B598, Oil_Price!A:A, Oil_Price!B:B, "")</f>
        <v>80.05999755859375</v>
      </c>
      <c r="E598">
        <f t="shared" si="36"/>
        <v>1.6670026547911301E-2</v>
      </c>
      <c r="F598">
        <f t="shared" si="37"/>
        <v>1.0475756234932958E-2</v>
      </c>
      <c r="G598">
        <f t="shared" si="38"/>
        <v>0.76494979858399148</v>
      </c>
      <c r="H598">
        <f t="shared" si="39"/>
        <v>0.82999420166015625</v>
      </c>
    </row>
    <row r="599" spans="1:8" x14ac:dyDescent="0.2">
      <c r="A599" t="s">
        <v>4</v>
      </c>
      <c r="B599" s="2">
        <v>45433</v>
      </c>
      <c r="C599">
        <v>46.830577850341797</v>
      </c>
      <c r="D599">
        <f>_xlfn.XLOOKUP(B599, Oil_Price!A:A, Oil_Price!B:B, "")</f>
        <v>79.260002136230469</v>
      </c>
      <c r="E599">
        <f t="shared" si="36"/>
        <v>3.813087492912605E-3</v>
      </c>
      <c r="F599">
        <f t="shared" si="37"/>
        <v>-9.9924487479254066E-3</v>
      </c>
      <c r="G599">
        <f t="shared" si="38"/>
        <v>0.17789077758788352</v>
      </c>
      <c r="H599">
        <f t="shared" si="39"/>
        <v>-0.79999542236328125</v>
      </c>
    </row>
    <row r="600" spans="1:8" x14ac:dyDescent="0.2">
      <c r="A600" t="s">
        <v>4</v>
      </c>
      <c r="B600" s="2">
        <v>45434</v>
      </c>
      <c r="C600">
        <v>45.918869018554688</v>
      </c>
      <c r="D600">
        <f>_xlfn.XLOOKUP(B600, Oil_Price!A:A, Oil_Price!B:B, "")</f>
        <v>77.569999694824219</v>
      </c>
      <c r="E600">
        <f t="shared" si="36"/>
        <v>-1.9468237925670935E-2</v>
      </c>
      <c r="F600">
        <f t="shared" si="37"/>
        <v>-2.1322260861178232E-2</v>
      </c>
      <c r="G600">
        <f t="shared" si="38"/>
        <v>-0.91170883178710938</v>
      </c>
      <c r="H600">
        <f t="shared" si="39"/>
        <v>-1.69000244140625</v>
      </c>
    </row>
    <row r="601" spans="1:8" x14ac:dyDescent="0.2">
      <c r="A601" t="s">
        <v>4</v>
      </c>
      <c r="B601" s="2">
        <v>45435</v>
      </c>
      <c r="C601">
        <v>46.052291870117188</v>
      </c>
      <c r="D601">
        <f>_xlfn.XLOOKUP(B601, Oil_Price!A:A, Oil_Price!B:B, "")</f>
        <v>76.870002746582031</v>
      </c>
      <c r="E601">
        <f t="shared" si="36"/>
        <v>2.905621467039772E-3</v>
      </c>
      <c r="F601">
        <f t="shared" si="37"/>
        <v>-9.0240679514775619E-3</v>
      </c>
      <c r="G601">
        <f t="shared" si="38"/>
        <v>0.1334228515625</v>
      </c>
      <c r="H601">
        <f t="shared" si="39"/>
        <v>-0.6999969482421875</v>
      </c>
    </row>
    <row r="602" spans="1:8" x14ac:dyDescent="0.2">
      <c r="A602" t="s">
        <v>4</v>
      </c>
      <c r="B602" s="2">
        <v>45436</v>
      </c>
      <c r="C602">
        <v>46.545944213867188</v>
      </c>
      <c r="D602">
        <f>_xlfn.XLOOKUP(B602, Oil_Price!A:A, Oil_Price!B:B, "")</f>
        <v>77.720001220703125</v>
      </c>
      <c r="E602">
        <f t="shared" si="36"/>
        <v>1.0719387107644156E-2</v>
      </c>
      <c r="F602">
        <f t="shared" si="37"/>
        <v>1.1057609519324342E-2</v>
      </c>
      <c r="G602">
        <f t="shared" si="38"/>
        <v>0.49365234375</v>
      </c>
      <c r="H602">
        <f t="shared" si="39"/>
        <v>0.84999847412109375</v>
      </c>
    </row>
    <row r="603" spans="1:8" x14ac:dyDescent="0.2">
      <c r="A603" t="s">
        <v>4</v>
      </c>
      <c r="B603" s="2">
        <v>45439</v>
      </c>
      <c r="C603">
        <v>46.603759765625</v>
      </c>
      <c r="D603" t="str">
        <f>_xlfn.XLOOKUP(B603, Oil_Price!A:A, Oil_Price!B:B, "")</f>
        <v/>
      </c>
      <c r="E603">
        <f t="shared" si="36"/>
        <v>1.2421179274431351E-3</v>
      </c>
      <c r="F603" t="str">
        <f t="shared" si="37"/>
        <v/>
      </c>
      <c r="G603">
        <f t="shared" si="38"/>
        <v>5.78155517578125E-2</v>
      </c>
      <c r="H603" t="str">
        <f t="shared" si="39"/>
        <v/>
      </c>
    </row>
    <row r="604" spans="1:8" x14ac:dyDescent="0.2">
      <c r="A604" t="s">
        <v>4</v>
      </c>
      <c r="B604" s="2">
        <v>45440</v>
      </c>
      <c r="C604">
        <v>46.995124816894531</v>
      </c>
      <c r="D604">
        <f>_xlfn.XLOOKUP(B604, Oil_Price!A:A, Oil_Price!B:B, "")</f>
        <v>79.830001831054688</v>
      </c>
      <c r="E604">
        <f t="shared" si="36"/>
        <v>8.397714116580841E-3</v>
      </c>
      <c r="F604" t="str">
        <f t="shared" si="37"/>
        <v/>
      </c>
      <c r="G604">
        <f t="shared" si="38"/>
        <v>0.39136505126953125</v>
      </c>
      <c r="H604" t="str">
        <f t="shared" si="39"/>
        <v/>
      </c>
    </row>
    <row r="605" spans="1:8" x14ac:dyDescent="0.2">
      <c r="A605" t="s">
        <v>4</v>
      </c>
      <c r="B605" s="2">
        <v>45441</v>
      </c>
      <c r="C605">
        <v>45.821029663085938</v>
      </c>
      <c r="D605">
        <f>_xlfn.XLOOKUP(B605, Oil_Price!A:A, Oil_Price!B:B, "")</f>
        <v>79.230003356933594</v>
      </c>
      <c r="E605">
        <f t="shared" si="36"/>
        <v>-2.4983339407718987E-2</v>
      </c>
      <c r="F605">
        <f t="shared" si="37"/>
        <v>-7.5159521528119048E-3</v>
      </c>
      <c r="G605">
        <f t="shared" si="38"/>
        <v>-1.1740951538085938</v>
      </c>
      <c r="H605">
        <f t="shared" si="39"/>
        <v>-0.59999847412109375</v>
      </c>
    </row>
    <row r="606" spans="1:8" x14ac:dyDescent="0.2">
      <c r="A606" t="s">
        <v>4</v>
      </c>
      <c r="B606" s="2">
        <v>45442</v>
      </c>
      <c r="C606">
        <v>46.110103607177727</v>
      </c>
      <c r="D606">
        <f>_xlfn.XLOOKUP(B606, Oil_Price!A:A, Oil_Price!B:B, "")</f>
        <v>77.910003662109375</v>
      </c>
      <c r="E606">
        <f t="shared" si="36"/>
        <v>6.3087614184425839E-3</v>
      </c>
      <c r="F606">
        <f t="shared" si="37"/>
        <v>-1.6660351368124771E-2</v>
      </c>
      <c r="G606">
        <f t="shared" si="38"/>
        <v>0.28907394409178977</v>
      </c>
      <c r="H606">
        <f t="shared" si="39"/>
        <v>-1.3199996948242188</v>
      </c>
    </row>
    <row r="607" spans="1:8" x14ac:dyDescent="0.2">
      <c r="A607" t="s">
        <v>4</v>
      </c>
      <c r="B607" s="2">
        <v>45443</v>
      </c>
      <c r="C607">
        <v>46.563732147216797</v>
      </c>
      <c r="D607">
        <f>_xlfn.XLOOKUP(B607, Oil_Price!A:A, Oil_Price!B:B, "")</f>
        <v>76.989997863769531</v>
      </c>
      <c r="E607">
        <f t="shared" si="36"/>
        <v>9.8379423282938701E-3</v>
      </c>
      <c r="F607">
        <f t="shared" si="37"/>
        <v>-1.180857085220852E-2</v>
      </c>
      <c r="G607">
        <f t="shared" si="38"/>
        <v>0.45362854003906961</v>
      </c>
      <c r="H607">
        <f t="shared" si="39"/>
        <v>-0.92000579833984375</v>
      </c>
    </row>
    <row r="608" spans="1:8" x14ac:dyDescent="0.2">
      <c r="A608" t="s">
        <v>4</v>
      </c>
      <c r="B608" s="2">
        <v>45446</v>
      </c>
      <c r="C608">
        <v>44.433448791503913</v>
      </c>
      <c r="D608">
        <f>_xlfn.XLOOKUP(B608, Oil_Price!A:A, Oil_Price!B:B, "")</f>
        <v>74.220001220703125</v>
      </c>
      <c r="E608">
        <f t="shared" si="36"/>
        <v>-4.5749841292311758E-2</v>
      </c>
      <c r="F608">
        <f t="shared" si="37"/>
        <v>-3.5978655928368714E-2</v>
      </c>
      <c r="G608">
        <f t="shared" si="38"/>
        <v>-2.1302833557128835</v>
      </c>
      <c r="H608">
        <f t="shared" si="39"/>
        <v>-2.7699966430664062</v>
      </c>
    </row>
    <row r="609" spans="1:8" x14ac:dyDescent="0.2">
      <c r="A609" t="s">
        <v>4</v>
      </c>
      <c r="B609" s="2">
        <v>45447</v>
      </c>
      <c r="C609">
        <v>43.615146636962891</v>
      </c>
      <c r="D609">
        <f>_xlfn.XLOOKUP(B609, Oil_Price!A:A, Oil_Price!B:B, "")</f>
        <v>73.25</v>
      </c>
      <c r="E609">
        <f t="shared" si="36"/>
        <v>-1.8416354723684868E-2</v>
      </c>
      <c r="F609">
        <f t="shared" si="37"/>
        <v>-1.3069269802606124E-2</v>
      </c>
      <c r="G609">
        <f t="shared" si="38"/>
        <v>-0.81830215454102273</v>
      </c>
      <c r="H609">
        <f t="shared" si="39"/>
        <v>-0.970001220703125</v>
      </c>
    </row>
    <row r="610" spans="1:8" x14ac:dyDescent="0.2">
      <c r="A610" t="s">
        <v>4</v>
      </c>
      <c r="B610" s="2">
        <v>45448</v>
      </c>
      <c r="C610">
        <v>43.606246948242188</v>
      </c>
      <c r="D610">
        <f>_xlfn.XLOOKUP(B610, Oil_Price!A:A, Oil_Price!B:B, "")</f>
        <v>74.069999694824219</v>
      </c>
      <c r="E610">
        <f t="shared" si="36"/>
        <v>-2.0405041383400583E-4</v>
      </c>
      <c r="F610">
        <f t="shared" si="37"/>
        <v>1.1194535082924489E-2</v>
      </c>
      <c r="G610">
        <f t="shared" si="38"/>
        <v>-8.899688720703125E-3</v>
      </c>
      <c r="H610">
        <f t="shared" si="39"/>
        <v>0.81999969482421875</v>
      </c>
    </row>
    <row r="611" spans="1:8" x14ac:dyDescent="0.2">
      <c r="A611" t="s">
        <v>4</v>
      </c>
      <c r="B611" s="2">
        <v>45449</v>
      </c>
      <c r="C611">
        <v>43.770801544189453</v>
      </c>
      <c r="D611">
        <f>_xlfn.XLOOKUP(B611, Oil_Price!A:A, Oil_Price!B:B, "")</f>
        <v>75.550003051757812</v>
      </c>
      <c r="E611">
        <f t="shared" si="36"/>
        <v>3.7736472974292273E-3</v>
      </c>
      <c r="F611">
        <f t="shared" si="37"/>
        <v>1.9981144363863307E-2</v>
      </c>
      <c r="G611">
        <f t="shared" si="38"/>
        <v>0.16455459594726562</v>
      </c>
      <c r="H611">
        <f t="shared" si="39"/>
        <v>1.4800033569335938</v>
      </c>
    </row>
    <row r="612" spans="1:8" x14ac:dyDescent="0.2">
      <c r="A612" t="s">
        <v>4</v>
      </c>
      <c r="B612" s="2">
        <v>45450</v>
      </c>
      <c r="C612">
        <v>43.023654937744141</v>
      </c>
      <c r="D612">
        <f>_xlfn.XLOOKUP(B612, Oil_Price!A:A, Oil_Price!B:B, "")</f>
        <v>75.529998779296875</v>
      </c>
      <c r="E612">
        <f t="shared" si="36"/>
        <v>-1.706952077838967E-2</v>
      </c>
      <c r="F612">
        <f t="shared" si="37"/>
        <v>-2.6478188819175784E-4</v>
      </c>
      <c r="G612">
        <f t="shared" si="38"/>
        <v>-0.7471466064453125</v>
      </c>
      <c r="H612">
        <f t="shared" si="39"/>
        <v>-2.00042724609375E-2</v>
      </c>
    </row>
    <row r="613" spans="1:8" x14ac:dyDescent="0.2">
      <c r="A613" t="s">
        <v>4</v>
      </c>
      <c r="B613" s="2">
        <v>45453</v>
      </c>
      <c r="C613">
        <v>43.410564422607422</v>
      </c>
      <c r="D613">
        <f>_xlfn.XLOOKUP(B613, Oil_Price!A:A, Oil_Price!B:B, "")</f>
        <v>77.739997863769531</v>
      </c>
      <c r="E613">
        <f t="shared" si="36"/>
        <v>8.9929478428354102E-3</v>
      </c>
      <c r="F613">
        <f t="shared" si="37"/>
        <v>2.9259885081296032E-2</v>
      </c>
      <c r="G613">
        <f t="shared" si="38"/>
        <v>0.38690948486328125</v>
      </c>
      <c r="H613">
        <f t="shared" si="39"/>
        <v>2.2099990844726562</v>
      </c>
    </row>
    <row r="614" spans="1:8" x14ac:dyDescent="0.2">
      <c r="A614" t="s">
        <v>4</v>
      </c>
      <c r="B614" s="2">
        <v>45454</v>
      </c>
      <c r="C614">
        <v>43.512855529785163</v>
      </c>
      <c r="D614">
        <f>_xlfn.XLOOKUP(B614, Oil_Price!A:A, Oil_Price!B:B, "")</f>
        <v>77.900001525878906</v>
      </c>
      <c r="E614">
        <f t="shared" si="36"/>
        <v>2.3563643674826343E-3</v>
      </c>
      <c r="F614">
        <f t="shared" si="37"/>
        <v>2.0581896900712959E-3</v>
      </c>
      <c r="G614">
        <f t="shared" si="38"/>
        <v>0.10229110717774148</v>
      </c>
      <c r="H614">
        <f t="shared" si="39"/>
        <v>0.160003662109375</v>
      </c>
    </row>
    <row r="615" spans="1:8" x14ac:dyDescent="0.2">
      <c r="A615" t="s">
        <v>4</v>
      </c>
      <c r="B615" s="2">
        <v>45455</v>
      </c>
      <c r="C615">
        <v>43.174858093261719</v>
      </c>
      <c r="D615">
        <f>_xlfn.XLOOKUP(B615, Oil_Price!A:A, Oil_Price!B:B, "")</f>
        <v>78.5</v>
      </c>
      <c r="E615">
        <f t="shared" si="36"/>
        <v>-7.767760410301746E-3</v>
      </c>
      <c r="F615">
        <f t="shared" si="37"/>
        <v>7.702162546450916E-3</v>
      </c>
      <c r="G615">
        <f t="shared" si="38"/>
        <v>-0.33799743652344461</v>
      </c>
      <c r="H615">
        <f t="shared" si="39"/>
        <v>0.59999847412109375</v>
      </c>
    </row>
    <row r="616" spans="1:8" x14ac:dyDescent="0.2">
      <c r="A616" t="s">
        <v>4</v>
      </c>
      <c r="B616" s="2">
        <v>45456</v>
      </c>
      <c r="C616">
        <v>41.689437866210938</v>
      </c>
      <c r="D616">
        <f>_xlfn.XLOOKUP(B616, Oil_Price!A:A, Oil_Price!B:B, "")</f>
        <v>78.620002746582031</v>
      </c>
      <c r="E616">
        <f t="shared" si="36"/>
        <v>-3.4404750650068962E-2</v>
      </c>
      <c r="F616">
        <f t="shared" si="37"/>
        <v>1.5286974086882962E-3</v>
      </c>
      <c r="G616">
        <f t="shared" si="38"/>
        <v>-1.4854202270507812</v>
      </c>
      <c r="H616">
        <f t="shared" si="39"/>
        <v>0.12000274658203125</v>
      </c>
    </row>
    <row r="617" spans="1:8" x14ac:dyDescent="0.2">
      <c r="A617" t="s">
        <v>4</v>
      </c>
      <c r="B617" s="2">
        <v>45457</v>
      </c>
      <c r="C617">
        <v>41.467071533203118</v>
      </c>
      <c r="D617">
        <f>_xlfn.XLOOKUP(B617, Oil_Price!A:A, Oil_Price!B:B, "")</f>
        <v>78.449996948242188</v>
      </c>
      <c r="E617">
        <f t="shared" si="36"/>
        <v>-5.3338769815374819E-3</v>
      </c>
      <c r="F617">
        <f t="shared" si="37"/>
        <v>-2.1623733452137877E-3</v>
      </c>
      <c r="G617">
        <f t="shared" si="38"/>
        <v>-0.22236633300781961</v>
      </c>
      <c r="H617">
        <f t="shared" si="39"/>
        <v>-0.17000579833984375</v>
      </c>
    </row>
    <row r="618" spans="1:8" x14ac:dyDescent="0.2">
      <c r="A618" t="s">
        <v>4</v>
      </c>
      <c r="B618" s="2">
        <v>45460</v>
      </c>
      <c r="C618">
        <v>41.606513977050781</v>
      </c>
      <c r="D618">
        <f>_xlfn.XLOOKUP(B618, Oil_Price!A:A, Oil_Price!B:B, "")</f>
        <v>80.330001831054688</v>
      </c>
      <c r="E618">
        <f t="shared" si="36"/>
        <v>3.3627270673312519E-3</v>
      </c>
      <c r="F618">
        <f t="shared" si="37"/>
        <v>2.3964371650044083E-2</v>
      </c>
      <c r="G618">
        <f t="shared" si="38"/>
        <v>0.13944244384766336</v>
      </c>
      <c r="H618">
        <f t="shared" si="39"/>
        <v>1.8800048828125</v>
      </c>
    </row>
    <row r="619" spans="1:8" x14ac:dyDescent="0.2">
      <c r="A619" t="s">
        <v>4</v>
      </c>
      <c r="B619" s="2">
        <v>45461</v>
      </c>
      <c r="C619">
        <v>42.524105072021477</v>
      </c>
      <c r="D619">
        <f>_xlfn.XLOOKUP(B619, Oil_Price!A:A, Oil_Price!B:B, "")</f>
        <v>81.569999694824219</v>
      </c>
      <c r="E619">
        <f t="shared" si="36"/>
        <v>2.2054024893237118E-2</v>
      </c>
      <c r="F619">
        <f t="shared" si="37"/>
        <v>1.5436298213678888E-2</v>
      </c>
      <c r="G619">
        <f t="shared" si="38"/>
        <v>0.91759109497069602</v>
      </c>
      <c r="H619">
        <f t="shared" si="39"/>
        <v>1.2399978637695312</v>
      </c>
    </row>
    <row r="620" spans="1:8" x14ac:dyDescent="0.2">
      <c r="A620" t="s">
        <v>4</v>
      </c>
      <c r="B620" s="2">
        <v>45462</v>
      </c>
      <c r="C620">
        <v>42.488124847412109</v>
      </c>
      <c r="D620" t="str">
        <f>_xlfn.XLOOKUP(B620, Oil_Price!A:A, Oil_Price!B:B, "")</f>
        <v/>
      </c>
      <c r="E620">
        <f t="shared" si="36"/>
        <v>-8.4611362304814043E-4</v>
      </c>
      <c r="F620" t="str">
        <f t="shared" si="37"/>
        <v/>
      </c>
      <c r="G620">
        <f t="shared" si="38"/>
        <v>-3.5980224609367895E-2</v>
      </c>
      <c r="H620" t="str">
        <f t="shared" si="39"/>
        <v/>
      </c>
    </row>
    <row r="621" spans="1:8" x14ac:dyDescent="0.2">
      <c r="A621" t="s">
        <v>4</v>
      </c>
      <c r="B621" s="2">
        <v>45463</v>
      </c>
      <c r="C621">
        <v>43.072856903076172</v>
      </c>
      <c r="D621">
        <f>_xlfn.XLOOKUP(B621, Oil_Price!A:A, Oil_Price!B:B, "")</f>
        <v>82.169998168945312</v>
      </c>
      <c r="E621">
        <f t="shared" si="36"/>
        <v>1.3762246692788036E-2</v>
      </c>
      <c r="F621" t="str">
        <f t="shared" si="37"/>
        <v/>
      </c>
      <c r="G621">
        <f t="shared" si="38"/>
        <v>0.5847320556640625</v>
      </c>
      <c r="H621" t="str">
        <f t="shared" si="39"/>
        <v/>
      </c>
    </row>
    <row r="622" spans="1:8" x14ac:dyDescent="0.2">
      <c r="A622" t="s">
        <v>4</v>
      </c>
      <c r="B622" s="2">
        <v>45464</v>
      </c>
      <c r="C622">
        <v>42.461132049560547</v>
      </c>
      <c r="D622">
        <f>_xlfn.XLOOKUP(B622, Oil_Price!A:A, Oil_Price!B:B, "")</f>
        <v>80.730003356933594</v>
      </c>
      <c r="E622">
        <f t="shared" si="36"/>
        <v>-1.4202096111064714E-2</v>
      </c>
      <c r="F622">
        <f t="shared" si="37"/>
        <v>-1.7524581283925832E-2</v>
      </c>
      <c r="G622">
        <f t="shared" si="38"/>
        <v>-0.611724853515625</v>
      </c>
      <c r="H622">
        <f t="shared" si="39"/>
        <v>-1.4399948120117188</v>
      </c>
    </row>
    <row r="623" spans="1:8" x14ac:dyDescent="0.2">
      <c r="A623" t="s">
        <v>4</v>
      </c>
      <c r="B623" s="2">
        <v>45467</v>
      </c>
      <c r="C623">
        <v>43.8375244140625</v>
      </c>
      <c r="D623">
        <f>_xlfn.XLOOKUP(B623, Oil_Price!A:A, Oil_Price!B:B, "")</f>
        <v>81.629997253417969</v>
      </c>
      <c r="E623">
        <f t="shared" si="36"/>
        <v>3.2415347826700212E-2</v>
      </c>
      <c r="F623">
        <f t="shared" si="37"/>
        <v>1.1148195950212084E-2</v>
      </c>
      <c r="G623">
        <f t="shared" si="38"/>
        <v>1.3763923645019531</v>
      </c>
      <c r="H623">
        <f t="shared" si="39"/>
        <v>0.899993896484375</v>
      </c>
    </row>
    <row r="624" spans="1:8" x14ac:dyDescent="0.2">
      <c r="A624" t="s">
        <v>4</v>
      </c>
      <c r="B624" s="2">
        <v>45468</v>
      </c>
      <c r="C624">
        <v>43.513668060302727</v>
      </c>
      <c r="D624">
        <f>_xlfn.XLOOKUP(B624, Oil_Price!A:A, Oil_Price!B:B, "")</f>
        <v>80.830001831054688</v>
      </c>
      <c r="E624">
        <f t="shared" si="36"/>
        <v>-7.3876515174721834E-3</v>
      </c>
      <c r="F624">
        <f t="shared" si="37"/>
        <v>-9.8002627622259808E-3</v>
      </c>
      <c r="G624">
        <f t="shared" si="38"/>
        <v>-0.32385635375977273</v>
      </c>
      <c r="H624">
        <f t="shared" si="39"/>
        <v>-0.79999542236328125</v>
      </c>
    </row>
    <row r="625" spans="1:8" x14ac:dyDescent="0.2">
      <c r="A625" t="s">
        <v>4</v>
      </c>
      <c r="B625" s="2">
        <v>45469</v>
      </c>
      <c r="C625">
        <v>43.495670318603523</v>
      </c>
      <c r="D625">
        <f>_xlfn.XLOOKUP(B625, Oil_Price!A:A, Oil_Price!B:B, "")</f>
        <v>80.900001525878906</v>
      </c>
      <c r="E625">
        <f t="shared" si="36"/>
        <v>-4.1361122841362523E-4</v>
      </c>
      <c r="F625">
        <f t="shared" si="37"/>
        <v>8.6601129826184217E-4</v>
      </c>
      <c r="G625">
        <f t="shared" si="38"/>
        <v>-1.7997741699204539E-2</v>
      </c>
      <c r="H625">
        <f t="shared" si="39"/>
        <v>6.999969482421875E-2</v>
      </c>
    </row>
    <row r="626" spans="1:8" x14ac:dyDescent="0.2">
      <c r="A626" t="s">
        <v>4</v>
      </c>
      <c r="B626" s="2">
        <v>45470</v>
      </c>
      <c r="C626">
        <v>43.927486419677727</v>
      </c>
      <c r="D626">
        <f>_xlfn.XLOOKUP(B626, Oil_Price!A:A, Oil_Price!B:B, "")</f>
        <v>81.739997863769531</v>
      </c>
      <c r="E626">
        <f t="shared" si="36"/>
        <v>9.9277950635356122E-3</v>
      </c>
      <c r="F626">
        <f t="shared" si="37"/>
        <v>1.038314365942157E-2</v>
      </c>
      <c r="G626">
        <f t="shared" si="38"/>
        <v>0.43181610107420454</v>
      </c>
      <c r="H626">
        <f t="shared" si="39"/>
        <v>0.839996337890625</v>
      </c>
    </row>
    <row r="627" spans="1:8" x14ac:dyDescent="0.2">
      <c r="A627" t="s">
        <v>4</v>
      </c>
      <c r="B627" s="2">
        <v>45471</v>
      </c>
      <c r="C627">
        <v>43.8375244140625</v>
      </c>
      <c r="D627">
        <f>_xlfn.XLOOKUP(B627, Oil_Price!A:A, Oil_Price!B:B, "")</f>
        <v>81.540000915527344</v>
      </c>
      <c r="E627">
        <f t="shared" si="36"/>
        <v>-2.0479661584945127E-3</v>
      </c>
      <c r="F627">
        <f t="shared" si="37"/>
        <v>-2.4467452100440318E-3</v>
      </c>
      <c r="G627">
        <f t="shared" si="38"/>
        <v>-8.996200561522727E-2</v>
      </c>
      <c r="H627">
        <f t="shared" si="39"/>
        <v>-0.1999969482421875</v>
      </c>
    </row>
    <row r="628" spans="1:8" x14ac:dyDescent="0.2">
      <c r="A628" t="s">
        <v>4</v>
      </c>
      <c r="B628" s="2">
        <v>45475</v>
      </c>
      <c r="C628">
        <v>44.332302093505859</v>
      </c>
      <c r="D628">
        <f>_xlfn.XLOOKUP(B628, Oil_Price!A:A, Oil_Price!B:B, "")</f>
        <v>82.80999755859375</v>
      </c>
      <c r="E628">
        <f t="shared" si="36"/>
        <v>1.1286624554114676E-2</v>
      </c>
      <c r="F628">
        <f t="shared" si="37"/>
        <v>1.5575136482793021E-2</v>
      </c>
      <c r="G628">
        <f t="shared" si="38"/>
        <v>0.49477767944335938</v>
      </c>
      <c r="H628">
        <f t="shared" si="39"/>
        <v>1.2699966430664062</v>
      </c>
    </row>
    <row r="629" spans="1:8" x14ac:dyDescent="0.2">
      <c r="A629" t="s">
        <v>4</v>
      </c>
      <c r="B629" s="2">
        <v>45476</v>
      </c>
      <c r="C629">
        <v>44.818080902099609</v>
      </c>
      <c r="D629">
        <f>_xlfn.XLOOKUP(B629, Oil_Price!A:A, Oil_Price!B:B, "")</f>
        <v>83.879997253417969</v>
      </c>
      <c r="E629">
        <f t="shared" si="36"/>
        <v>1.0957671622131048E-2</v>
      </c>
      <c r="F629">
        <f t="shared" si="37"/>
        <v>1.2921141484965273E-2</v>
      </c>
      <c r="G629">
        <f t="shared" si="38"/>
        <v>0.48577880859375</v>
      </c>
      <c r="H629">
        <f t="shared" si="39"/>
        <v>1.0699996948242188</v>
      </c>
    </row>
    <row r="630" spans="1:8" x14ac:dyDescent="0.2">
      <c r="A630" t="s">
        <v>4</v>
      </c>
      <c r="B630" s="2">
        <v>45477</v>
      </c>
      <c r="C630">
        <v>44.818080902099609</v>
      </c>
      <c r="D630" t="str">
        <f>_xlfn.XLOOKUP(B630, Oil_Price!A:A, Oil_Price!B:B, "")</f>
        <v/>
      </c>
      <c r="E630">
        <f t="shared" si="36"/>
        <v>0</v>
      </c>
      <c r="F630" t="str">
        <f t="shared" si="37"/>
        <v/>
      </c>
      <c r="G630">
        <f t="shared" si="38"/>
        <v>0</v>
      </c>
      <c r="H630" t="str">
        <f t="shared" si="39"/>
        <v/>
      </c>
    </row>
    <row r="631" spans="1:8" x14ac:dyDescent="0.2">
      <c r="A631" t="s">
        <v>4</v>
      </c>
      <c r="B631" s="2">
        <v>45478</v>
      </c>
      <c r="C631">
        <v>44.125389099121087</v>
      </c>
      <c r="D631">
        <f>_xlfn.XLOOKUP(B631, Oil_Price!A:A, Oil_Price!B:B, "")</f>
        <v>83.160003662109375</v>
      </c>
      <c r="E631">
        <f t="shared" si="36"/>
        <v>-1.5455632839157822E-2</v>
      </c>
      <c r="F631" t="str">
        <f t="shared" si="37"/>
        <v/>
      </c>
      <c r="G631">
        <f t="shared" si="38"/>
        <v>-0.69269180297852273</v>
      </c>
      <c r="H631" t="str">
        <f t="shared" si="39"/>
        <v/>
      </c>
    </row>
    <row r="632" spans="1:8" x14ac:dyDescent="0.2">
      <c r="A632" t="s">
        <v>4</v>
      </c>
      <c r="B632" s="2">
        <v>45481</v>
      </c>
      <c r="C632">
        <v>44.143386840820312</v>
      </c>
      <c r="D632">
        <f>_xlfn.XLOOKUP(B632, Oil_Price!A:A, Oil_Price!B:B, "")</f>
        <v>82.330001831054688</v>
      </c>
      <c r="E632">
        <f t="shared" si="36"/>
        <v>4.0787723500401593E-4</v>
      </c>
      <c r="F632">
        <f t="shared" si="37"/>
        <v>-9.9807815596918443E-3</v>
      </c>
      <c r="G632">
        <f t="shared" si="38"/>
        <v>1.7997741699225855E-2</v>
      </c>
      <c r="H632">
        <f t="shared" si="39"/>
        <v>-0.8300018310546875</v>
      </c>
    </row>
    <row r="633" spans="1:8" x14ac:dyDescent="0.2">
      <c r="A633" t="s">
        <v>4</v>
      </c>
      <c r="B633" s="2">
        <v>45482</v>
      </c>
      <c r="C633">
        <v>43.477680206298828</v>
      </c>
      <c r="D633">
        <f>_xlfn.XLOOKUP(B633, Oil_Price!A:A, Oil_Price!B:B, "")</f>
        <v>81.410003662109375</v>
      </c>
      <c r="E633">
        <f t="shared" si="36"/>
        <v>-1.5080551859829013E-2</v>
      </c>
      <c r="F633">
        <f t="shared" si="37"/>
        <v>-1.1174518990454962E-2</v>
      </c>
      <c r="G633">
        <f t="shared" si="38"/>
        <v>-0.66570663452148438</v>
      </c>
      <c r="H633">
        <f t="shared" si="39"/>
        <v>-0.9199981689453125</v>
      </c>
    </row>
    <row r="634" spans="1:8" x14ac:dyDescent="0.2">
      <c r="A634" t="s">
        <v>4</v>
      </c>
      <c r="B634" s="2">
        <v>45483</v>
      </c>
      <c r="C634">
        <v>44.143386840820312</v>
      </c>
      <c r="D634">
        <f>_xlfn.XLOOKUP(B634, Oil_Price!A:A, Oil_Price!B:B, "")</f>
        <v>82.099998474121094</v>
      </c>
      <c r="E634">
        <f t="shared" si="36"/>
        <v>1.5311457082409842E-2</v>
      </c>
      <c r="F634">
        <f t="shared" si="37"/>
        <v>8.4755531381073106E-3</v>
      </c>
      <c r="G634">
        <f t="shared" si="38"/>
        <v>0.66570663452148438</v>
      </c>
      <c r="H634">
        <f t="shared" si="39"/>
        <v>0.68999481201171875</v>
      </c>
    </row>
    <row r="635" spans="1:8" x14ac:dyDescent="0.2">
      <c r="A635" t="s">
        <v>4</v>
      </c>
      <c r="B635" s="2">
        <v>45484</v>
      </c>
      <c r="C635">
        <v>44.854068756103523</v>
      </c>
      <c r="D635">
        <f>_xlfn.XLOOKUP(B635, Oil_Price!A:A, Oil_Price!B:B, "")</f>
        <v>82.620002746582031</v>
      </c>
      <c r="E635">
        <f t="shared" si="36"/>
        <v>1.6099397127046621E-2</v>
      </c>
      <c r="F635">
        <f t="shared" si="37"/>
        <v>6.3337914997020264E-3</v>
      </c>
      <c r="G635">
        <f t="shared" si="38"/>
        <v>0.71068191528321023</v>
      </c>
      <c r="H635">
        <f t="shared" si="39"/>
        <v>0.5200042724609375</v>
      </c>
    </row>
    <row r="636" spans="1:8" x14ac:dyDescent="0.2">
      <c r="A636" t="s">
        <v>4</v>
      </c>
      <c r="B636" s="2">
        <v>45485</v>
      </c>
      <c r="C636">
        <v>44.278324127197273</v>
      </c>
      <c r="D636">
        <f>_xlfn.XLOOKUP(B636, Oil_Price!A:A, Oil_Price!B:B, "")</f>
        <v>82.209999084472656</v>
      </c>
      <c r="E636">
        <f t="shared" si="36"/>
        <v>-1.2835951004509608E-2</v>
      </c>
      <c r="F636">
        <f t="shared" si="37"/>
        <v>-4.9625229784483003E-3</v>
      </c>
      <c r="G636">
        <f t="shared" si="38"/>
        <v>-0.57574462890625</v>
      </c>
      <c r="H636">
        <f t="shared" si="39"/>
        <v>-0.410003662109375</v>
      </c>
    </row>
    <row r="637" spans="1:8" x14ac:dyDescent="0.2">
      <c r="A637" t="s">
        <v>4</v>
      </c>
      <c r="B637" s="2">
        <v>45488</v>
      </c>
      <c r="C637">
        <v>45.123947143554688</v>
      </c>
      <c r="D637">
        <f>_xlfn.XLOOKUP(B637, Oil_Price!A:A, Oil_Price!B:B, "")</f>
        <v>81.910003662109375</v>
      </c>
      <c r="E637">
        <f t="shared" si="36"/>
        <v>1.9097900226038682E-2</v>
      </c>
      <c r="F637">
        <f t="shared" si="37"/>
        <v>-3.6491354543749487E-3</v>
      </c>
      <c r="G637">
        <f t="shared" si="38"/>
        <v>0.84562301635741477</v>
      </c>
      <c r="H637">
        <f t="shared" si="39"/>
        <v>-0.29999542236328125</v>
      </c>
    </row>
    <row r="638" spans="1:8" x14ac:dyDescent="0.2">
      <c r="A638" t="s">
        <v>4</v>
      </c>
      <c r="B638" s="2">
        <v>45489</v>
      </c>
      <c r="C638">
        <v>44.215354919433587</v>
      </c>
      <c r="D638">
        <f>_xlfn.XLOOKUP(B638, Oil_Price!A:A, Oil_Price!B:B, "")</f>
        <v>80.760002136230469</v>
      </c>
      <c r="E638">
        <f t="shared" si="36"/>
        <v>-2.0135477537693205E-2</v>
      </c>
      <c r="F638">
        <f t="shared" si="37"/>
        <v>-1.4039817781266731E-2</v>
      </c>
      <c r="G638">
        <f t="shared" si="38"/>
        <v>-0.90859222412110086</v>
      </c>
      <c r="H638">
        <f t="shared" si="39"/>
        <v>-1.1500015258789062</v>
      </c>
    </row>
    <row r="639" spans="1:8" x14ac:dyDescent="0.2">
      <c r="A639" t="s">
        <v>4</v>
      </c>
      <c r="B639" s="2">
        <v>45490</v>
      </c>
      <c r="C639">
        <v>43.927486419677727</v>
      </c>
      <c r="D639">
        <f>_xlfn.XLOOKUP(B639, Oil_Price!A:A, Oil_Price!B:B, "")</f>
        <v>82.849998474121094</v>
      </c>
      <c r="E639">
        <f t="shared" si="36"/>
        <v>-6.5106002265591916E-3</v>
      </c>
      <c r="F639">
        <f t="shared" si="37"/>
        <v>2.5879102062987849E-2</v>
      </c>
      <c r="G639">
        <f t="shared" si="38"/>
        <v>-0.28786849975585938</v>
      </c>
      <c r="H639">
        <f t="shared" si="39"/>
        <v>2.089996337890625</v>
      </c>
    </row>
    <row r="640" spans="1:8" x14ac:dyDescent="0.2">
      <c r="A640" t="s">
        <v>4</v>
      </c>
      <c r="B640" s="2">
        <v>45491</v>
      </c>
      <c r="C640">
        <v>44.008441925048828</v>
      </c>
      <c r="D640">
        <f>_xlfn.XLOOKUP(B640, Oil_Price!A:A, Oil_Price!B:B, "")</f>
        <v>82.819999694824219</v>
      </c>
      <c r="E640">
        <f t="shared" si="36"/>
        <v>1.8429350725343594E-3</v>
      </c>
      <c r="F640">
        <f t="shared" si="37"/>
        <v>-3.6208545382466573E-4</v>
      </c>
      <c r="G640">
        <f t="shared" si="38"/>
        <v>8.0955505371100855E-2</v>
      </c>
      <c r="H640">
        <f t="shared" si="39"/>
        <v>-2.9998779296875E-2</v>
      </c>
    </row>
    <row r="641" spans="1:8" x14ac:dyDescent="0.2">
      <c r="A641" t="s">
        <v>4</v>
      </c>
      <c r="B641" s="2">
        <v>45492</v>
      </c>
      <c r="C641">
        <v>43.468685150146477</v>
      </c>
      <c r="D641">
        <f>_xlfn.XLOOKUP(B641, Oil_Price!A:A, Oil_Price!B:B, "")</f>
        <v>80.129997253417969</v>
      </c>
      <c r="E641">
        <f t="shared" si="36"/>
        <v>-1.2264846272485981E-2</v>
      </c>
      <c r="F641">
        <f t="shared" si="37"/>
        <v>-3.2480106874165561E-2</v>
      </c>
      <c r="G641">
        <f t="shared" si="38"/>
        <v>-0.53975677490235086</v>
      </c>
      <c r="H641">
        <f t="shared" si="39"/>
        <v>-2.69000244140625</v>
      </c>
    </row>
    <row r="642" spans="1:8" x14ac:dyDescent="0.2">
      <c r="A642" t="s">
        <v>4</v>
      </c>
      <c r="B642" s="2">
        <v>45495</v>
      </c>
      <c r="C642">
        <v>43.810527801513672</v>
      </c>
      <c r="D642">
        <f>_xlfn.XLOOKUP(B642, Oil_Price!A:A, Oil_Price!B:B, "")</f>
        <v>79.779998779296875</v>
      </c>
      <c r="E642">
        <f t="shared" si="36"/>
        <v>7.864112985852361E-3</v>
      </c>
      <c r="F642">
        <f t="shared" si="37"/>
        <v>-4.367883266165524E-3</v>
      </c>
      <c r="G642">
        <f t="shared" si="38"/>
        <v>0.34184265136719461</v>
      </c>
      <c r="H642">
        <f t="shared" si="39"/>
        <v>-0.34999847412109375</v>
      </c>
    </row>
    <row r="643" spans="1:8" x14ac:dyDescent="0.2">
      <c r="A643" t="s">
        <v>4</v>
      </c>
      <c r="B643" s="2">
        <v>45496</v>
      </c>
      <c r="C643">
        <v>43.0098876953125</v>
      </c>
      <c r="D643">
        <f>_xlfn.XLOOKUP(B643, Oil_Price!A:A, Oil_Price!B:B, "")</f>
        <v>76.959999084472656</v>
      </c>
      <c r="E643">
        <f t="shared" ref="E643:E706" si="40">IFERROR(IF(AND(A643=A642, C643&lt;&gt;"", C642&lt;&gt;""), (C643-C642)/C642, ""), "")</f>
        <v>-1.827506187162414E-2</v>
      </c>
      <c r="F643">
        <f t="shared" ref="F643:F706" si="41">IFERROR(IF(AND(A643=A642, D643&lt;&gt;"", D642&lt;&gt;""), (D643-D642)/D642, ""), "")</f>
        <v>-3.5347201528862601E-2</v>
      </c>
      <c r="G643">
        <f t="shared" ref="G643:G706" si="42">IFERROR(IF(AND(A643=A642, C643&lt;&gt;"", C642&lt;&gt;""), C643-C642, ""), "")</f>
        <v>-0.80064010620117188</v>
      </c>
      <c r="H643">
        <f t="shared" ref="H643:H706" si="43">IFERROR(IF(AND(A643=A642, D643&lt;&gt;"", D642&lt;&gt;""), D643-D642, ""), "")</f>
        <v>-2.8199996948242188</v>
      </c>
    </row>
    <row r="644" spans="1:8" x14ac:dyDescent="0.2">
      <c r="A644" t="s">
        <v>4</v>
      </c>
      <c r="B644" s="2">
        <v>45497</v>
      </c>
      <c r="C644">
        <v>42.811973571777337</v>
      </c>
      <c r="D644">
        <f>_xlfn.XLOOKUP(B644, Oil_Price!A:A, Oil_Price!B:B, "")</f>
        <v>77.589996337890625</v>
      </c>
      <c r="E644">
        <f t="shared" si="40"/>
        <v>-4.6015959152744621E-3</v>
      </c>
      <c r="F644">
        <f t="shared" si="41"/>
        <v>8.186035095016992E-3</v>
      </c>
      <c r="G644">
        <f t="shared" si="42"/>
        <v>-0.19791412353516336</v>
      </c>
      <c r="H644">
        <f t="shared" si="43"/>
        <v>0.62999725341796875</v>
      </c>
    </row>
    <row r="645" spans="1:8" x14ac:dyDescent="0.2">
      <c r="A645" t="s">
        <v>4</v>
      </c>
      <c r="B645" s="2">
        <v>45498</v>
      </c>
      <c r="C645">
        <v>42.820968627929688</v>
      </c>
      <c r="D645">
        <f>_xlfn.XLOOKUP(B645, Oil_Price!A:A, Oil_Price!B:B, "")</f>
        <v>78.279998779296875</v>
      </c>
      <c r="E645">
        <f t="shared" si="40"/>
        <v>2.1010608486128304E-4</v>
      </c>
      <c r="F645">
        <f t="shared" si="41"/>
        <v>8.8929304546092793E-3</v>
      </c>
      <c r="G645">
        <f t="shared" si="42"/>
        <v>8.9950561523508554E-3</v>
      </c>
      <c r="H645">
        <f t="shared" si="43"/>
        <v>0.69000244140625</v>
      </c>
    </row>
    <row r="646" spans="1:8" x14ac:dyDescent="0.2">
      <c r="A646" t="s">
        <v>4</v>
      </c>
      <c r="B646" s="2">
        <v>45499</v>
      </c>
      <c r="C646">
        <v>42.84796142578125</v>
      </c>
      <c r="D646">
        <f>_xlfn.XLOOKUP(B646, Oil_Price!A:A, Oil_Price!B:B, "")</f>
        <v>77.160003662109375</v>
      </c>
      <c r="E646">
        <f t="shared" si="40"/>
        <v>6.3036401829445375E-4</v>
      </c>
      <c r="F646">
        <f t="shared" si="41"/>
        <v>-1.4307551541297559E-2</v>
      </c>
      <c r="G646">
        <f t="shared" si="42"/>
        <v>2.69927978515625E-2</v>
      </c>
      <c r="H646">
        <f t="shared" si="43"/>
        <v>-1.1199951171875</v>
      </c>
    </row>
    <row r="647" spans="1:8" x14ac:dyDescent="0.2">
      <c r="A647" t="s">
        <v>4</v>
      </c>
      <c r="B647" s="2">
        <v>45502</v>
      </c>
      <c r="C647">
        <v>42.497123718261719</v>
      </c>
      <c r="D647">
        <f>_xlfn.XLOOKUP(B647, Oil_Price!A:A, Oil_Price!B:B, "")</f>
        <v>75.80999755859375</v>
      </c>
      <c r="E647">
        <f t="shared" si="40"/>
        <v>-8.1879673115191707E-3</v>
      </c>
      <c r="F647">
        <f t="shared" si="41"/>
        <v>-1.7496190246794489E-2</v>
      </c>
      <c r="G647">
        <f t="shared" si="42"/>
        <v>-0.35083770751953125</v>
      </c>
      <c r="H647">
        <f t="shared" si="43"/>
        <v>-1.350006103515625</v>
      </c>
    </row>
    <row r="648" spans="1:8" x14ac:dyDescent="0.2">
      <c r="A648" t="s">
        <v>4</v>
      </c>
      <c r="B648" s="2">
        <v>45503</v>
      </c>
      <c r="C648">
        <v>42.614067077636719</v>
      </c>
      <c r="D648">
        <f>_xlfn.XLOOKUP(B648, Oil_Price!A:A, Oil_Price!B:B, "")</f>
        <v>74.730003356933594</v>
      </c>
      <c r="E648">
        <f t="shared" si="40"/>
        <v>2.7517946896897282E-3</v>
      </c>
      <c r="F648">
        <f t="shared" si="41"/>
        <v>-1.4246065643590423E-2</v>
      </c>
      <c r="G648">
        <f t="shared" si="42"/>
        <v>0.116943359375</v>
      </c>
      <c r="H648">
        <f t="shared" si="43"/>
        <v>-1.0799942016601562</v>
      </c>
    </row>
    <row r="649" spans="1:8" x14ac:dyDescent="0.2">
      <c r="A649" t="s">
        <v>4</v>
      </c>
      <c r="B649" s="2">
        <v>45504</v>
      </c>
      <c r="C649">
        <v>44.098411560058587</v>
      </c>
      <c r="D649">
        <f>_xlfn.XLOOKUP(B649, Oil_Price!A:A, Oil_Price!B:B, "")</f>
        <v>77.910003662109375</v>
      </c>
      <c r="E649">
        <f t="shared" si="40"/>
        <v>3.4832265123101371E-2</v>
      </c>
      <c r="F649">
        <f t="shared" si="41"/>
        <v>4.2553193661548722E-2</v>
      </c>
      <c r="G649">
        <f t="shared" si="42"/>
        <v>1.4843444824218679</v>
      </c>
      <c r="H649">
        <f t="shared" si="43"/>
        <v>3.1800003051757812</v>
      </c>
    </row>
    <row r="650" spans="1:8" x14ac:dyDescent="0.2">
      <c r="A650" t="s">
        <v>4</v>
      </c>
      <c r="B650" s="2">
        <v>45505</v>
      </c>
      <c r="C650">
        <v>43.612625122070312</v>
      </c>
      <c r="D650">
        <f>_xlfn.XLOOKUP(B650, Oil_Price!A:A, Oil_Price!B:B, "")</f>
        <v>76.30999755859375</v>
      </c>
      <c r="E650">
        <f t="shared" si="40"/>
        <v>-1.1015962271717453E-2</v>
      </c>
      <c r="F650">
        <f t="shared" si="41"/>
        <v>-2.0536593868673753E-2</v>
      </c>
      <c r="G650">
        <f t="shared" si="42"/>
        <v>-0.48578643798827414</v>
      </c>
      <c r="H650">
        <f t="shared" si="43"/>
        <v>-1.600006103515625</v>
      </c>
    </row>
    <row r="651" spans="1:8" x14ac:dyDescent="0.2">
      <c r="A651" t="s">
        <v>4</v>
      </c>
      <c r="B651" s="2">
        <v>45506</v>
      </c>
      <c r="C651">
        <v>41.606513977050781</v>
      </c>
      <c r="D651">
        <f>_xlfn.XLOOKUP(B651, Oil_Price!A:A, Oil_Price!B:B, "")</f>
        <v>73.519996643066406</v>
      </c>
      <c r="E651">
        <f t="shared" si="40"/>
        <v>-4.5998403888885195E-2</v>
      </c>
      <c r="F651">
        <f t="shared" si="41"/>
        <v>-3.6561407479866234E-2</v>
      </c>
      <c r="G651">
        <f t="shared" si="42"/>
        <v>-2.0061111450195312</v>
      </c>
      <c r="H651">
        <f t="shared" si="43"/>
        <v>-2.7900009155273438</v>
      </c>
    </row>
    <row r="652" spans="1:8" x14ac:dyDescent="0.2">
      <c r="A652" t="s">
        <v>4</v>
      </c>
      <c r="B652" s="2">
        <v>45510</v>
      </c>
      <c r="C652">
        <v>41.228683471679688</v>
      </c>
      <c r="D652">
        <f>_xlfn.XLOOKUP(B652, Oil_Price!A:A, Oil_Price!B:B, "")</f>
        <v>73.199996948242188</v>
      </c>
      <c r="E652">
        <f t="shared" si="40"/>
        <v>-9.0810421074809713E-3</v>
      </c>
      <c r="F652">
        <f t="shared" si="41"/>
        <v>-4.3525531751285465E-3</v>
      </c>
      <c r="G652">
        <f t="shared" si="42"/>
        <v>-0.37783050537109375</v>
      </c>
      <c r="H652">
        <f t="shared" si="43"/>
        <v>-0.31999969482421875</v>
      </c>
    </row>
    <row r="653" spans="1:8" x14ac:dyDescent="0.2">
      <c r="A653" t="s">
        <v>4</v>
      </c>
      <c r="B653" s="2">
        <v>45511</v>
      </c>
      <c r="C653">
        <v>41.489566802978523</v>
      </c>
      <c r="D653">
        <f>_xlfn.XLOOKUP(B653, Oil_Price!A:A, Oil_Price!B:B, "")</f>
        <v>75.230003356933594</v>
      </c>
      <c r="E653">
        <f t="shared" si="40"/>
        <v>6.3277143321357346E-3</v>
      </c>
      <c r="F653">
        <f t="shared" si="41"/>
        <v>2.7732329143767193E-2</v>
      </c>
      <c r="G653">
        <f t="shared" si="42"/>
        <v>0.26088333129883523</v>
      </c>
      <c r="H653">
        <f t="shared" si="43"/>
        <v>2.0300064086914062</v>
      </c>
    </row>
    <row r="654" spans="1:8" x14ac:dyDescent="0.2">
      <c r="A654" t="s">
        <v>4</v>
      </c>
      <c r="B654" s="2">
        <v>45512</v>
      </c>
      <c r="C654">
        <v>42.497123718261719</v>
      </c>
      <c r="D654">
        <f>_xlfn.XLOOKUP(B654, Oil_Price!A:A, Oil_Price!B:B, "")</f>
        <v>76.19000244140625</v>
      </c>
      <c r="E654">
        <f t="shared" si="40"/>
        <v>2.4284585087807276E-2</v>
      </c>
      <c r="F654">
        <f t="shared" si="41"/>
        <v>1.2760853936399268E-2</v>
      </c>
      <c r="G654">
        <f t="shared" si="42"/>
        <v>1.007556915283196</v>
      </c>
      <c r="H654">
        <f t="shared" si="43"/>
        <v>0.95999908447265625</v>
      </c>
    </row>
    <row r="655" spans="1:8" x14ac:dyDescent="0.2">
      <c r="A655" t="s">
        <v>4</v>
      </c>
      <c r="B655" s="2">
        <v>45513</v>
      </c>
      <c r="C655">
        <v>43.018886566162109</v>
      </c>
      <c r="D655">
        <f>_xlfn.XLOOKUP(B655, Oil_Price!A:A, Oil_Price!B:B, "")</f>
        <v>76.839996337890625</v>
      </c>
      <c r="E655">
        <f t="shared" si="40"/>
        <v>1.2277603805835464E-2</v>
      </c>
      <c r="F655">
        <f t="shared" si="41"/>
        <v>8.5312229381309095E-3</v>
      </c>
      <c r="G655">
        <f t="shared" si="42"/>
        <v>0.52176284790039062</v>
      </c>
      <c r="H655">
        <f t="shared" si="43"/>
        <v>0.649993896484375</v>
      </c>
    </row>
    <row r="656" spans="1:8" x14ac:dyDescent="0.2">
      <c r="A656" t="s">
        <v>4</v>
      </c>
      <c r="B656" s="2">
        <v>45516</v>
      </c>
      <c r="C656">
        <v>44.170375823974609</v>
      </c>
      <c r="D656">
        <f>_xlfn.XLOOKUP(B656, Oil_Price!A:A, Oil_Price!B:B, "")</f>
        <v>80.05999755859375</v>
      </c>
      <c r="E656">
        <f t="shared" si="40"/>
        <v>2.6767063253520861E-2</v>
      </c>
      <c r="F656">
        <f t="shared" si="41"/>
        <v>4.1905275561749444E-2</v>
      </c>
      <c r="G656">
        <f t="shared" si="42"/>
        <v>1.1514892578125</v>
      </c>
      <c r="H656">
        <f t="shared" si="43"/>
        <v>3.220001220703125</v>
      </c>
    </row>
    <row r="657" spans="1:8" x14ac:dyDescent="0.2">
      <c r="A657" t="s">
        <v>4</v>
      </c>
      <c r="B657" s="2">
        <v>45517</v>
      </c>
      <c r="C657">
        <v>44.152381896972663</v>
      </c>
      <c r="D657">
        <f>_xlfn.XLOOKUP(B657, Oil_Price!A:A, Oil_Price!B:B, "")</f>
        <v>78.349998474121094</v>
      </c>
      <c r="E657">
        <f t="shared" si="40"/>
        <v>-4.0737545620291851E-4</v>
      </c>
      <c r="F657">
        <f t="shared" si="41"/>
        <v>-2.1358969980247052E-2</v>
      </c>
      <c r="G657">
        <f t="shared" si="42"/>
        <v>-1.799392700194602E-2</v>
      </c>
      <c r="H657">
        <f t="shared" si="43"/>
        <v>-1.7099990844726562</v>
      </c>
    </row>
    <row r="658" spans="1:8" x14ac:dyDescent="0.2">
      <c r="A658" t="s">
        <v>4</v>
      </c>
      <c r="B658" s="2">
        <v>45518</v>
      </c>
      <c r="C658">
        <v>44.602180480957031</v>
      </c>
      <c r="D658">
        <f>_xlfn.XLOOKUP(B658, Oil_Price!A:A, Oil_Price!B:B, "")</f>
        <v>76.980003356933594</v>
      </c>
      <c r="E658">
        <f t="shared" si="40"/>
        <v>1.0187413785148669E-2</v>
      </c>
      <c r="F658">
        <f t="shared" si="41"/>
        <v>-1.7485579372921209E-2</v>
      </c>
      <c r="G658">
        <f t="shared" si="42"/>
        <v>0.44979858398436789</v>
      </c>
      <c r="H658">
        <f t="shared" si="43"/>
        <v>-1.3699951171875</v>
      </c>
    </row>
    <row r="659" spans="1:8" x14ac:dyDescent="0.2">
      <c r="A659" t="s">
        <v>4</v>
      </c>
      <c r="B659" s="2">
        <v>45519</v>
      </c>
      <c r="C659">
        <v>45.420822143554688</v>
      </c>
      <c r="D659">
        <f>_xlfn.XLOOKUP(B659, Oil_Price!A:A, Oil_Price!B:B, "")</f>
        <v>78.160003662109375</v>
      </c>
      <c r="E659">
        <f t="shared" si="40"/>
        <v>1.8354296892439521E-2</v>
      </c>
      <c r="F659">
        <f t="shared" si="41"/>
        <v>1.5328660089873828E-2</v>
      </c>
      <c r="G659">
        <f t="shared" si="42"/>
        <v>0.81864166259765625</v>
      </c>
      <c r="H659">
        <f t="shared" si="43"/>
        <v>1.1800003051757812</v>
      </c>
    </row>
    <row r="660" spans="1:8" x14ac:dyDescent="0.2">
      <c r="A660" t="s">
        <v>4</v>
      </c>
      <c r="B660" s="2">
        <v>45520</v>
      </c>
      <c r="C660">
        <v>44.980010986328118</v>
      </c>
      <c r="D660">
        <f>_xlfn.XLOOKUP(B660, Oil_Price!A:A, Oil_Price!B:B, "")</f>
        <v>76.650001525878906</v>
      </c>
      <c r="E660">
        <f t="shared" si="40"/>
        <v>-9.7050457570619225E-3</v>
      </c>
      <c r="F660">
        <f t="shared" si="41"/>
        <v>-1.9319371359785283E-2</v>
      </c>
      <c r="G660">
        <f t="shared" si="42"/>
        <v>-0.44081115722656961</v>
      </c>
      <c r="H660">
        <f t="shared" si="43"/>
        <v>-1.5100021362304688</v>
      </c>
    </row>
    <row r="661" spans="1:8" x14ac:dyDescent="0.2">
      <c r="A661" t="s">
        <v>4</v>
      </c>
      <c r="B661" s="2">
        <v>45523</v>
      </c>
      <c r="C661">
        <v>44.890060424804688</v>
      </c>
      <c r="D661">
        <f>_xlfn.XLOOKUP(B661, Oil_Price!A:A, Oil_Price!B:B, "")</f>
        <v>74.370002746582031</v>
      </c>
      <c r="E661">
        <f t="shared" si="40"/>
        <v>-1.9997896743682718E-3</v>
      </c>
      <c r="F661">
        <f t="shared" si="41"/>
        <v>-2.974558035105964E-2</v>
      </c>
      <c r="G661">
        <f t="shared" si="42"/>
        <v>-8.9950561523430395E-2</v>
      </c>
      <c r="H661">
        <f t="shared" si="43"/>
        <v>-2.279998779296875</v>
      </c>
    </row>
    <row r="662" spans="1:8" x14ac:dyDescent="0.2">
      <c r="A662" t="s">
        <v>4</v>
      </c>
      <c r="B662" s="2">
        <v>45524</v>
      </c>
      <c r="C662">
        <v>43.765552520751953</v>
      </c>
      <c r="D662">
        <f>_xlfn.XLOOKUP(B662, Oil_Price!A:A, Oil_Price!B:B, "")</f>
        <v>74.040000915527344</v>
      </c>
      <c r="E662">
        <f t="shared" si="40"/>
        <v>-2.505026487848901E-2</v>
      </c>
      <c r="F662">
        <f t="shared" si="41"/>
        <v>-4.437297550992144E-3</v>
      </c>
      <c r="G662">
        <f t="shared" si="42"/>
        <v>-1.1245079040527344</v>
      </c>
      <c r="H662">
        <f t="shared" si="43"/>
        <v>-0.3300018310546875</v>
      </c>
    </row>
    <row r="663" spans="1:8" x14ac:dyDescent="0.2">
      <c r="A663" t="s">
        <v>4</v>
      </c>
      <c r="B663" s="2">
        <v>45525</v>
      </c>
      <c r="C663">
        <v>43.630615234375</v>
      </c>
      <c r="D663">
        <f>_xlfn.XLOOKUP(B663, Oil_Price!A:A, Oil_Price!B:B, "")</f>
        <v>71.930000305175781</v>
      </c>
      <c r="E663">
        <f t="shared" si="40"/>
        <v>-3.0831848018592024E-3</v>
      </c>
      <c r="F663">
        <f t="shared" si="41"/>
        <v>-2.8498117021350043E-2</v>
      </c>
      <c r="G663">
        <f t="shared" si="42"/>
        <v>-0.13493728637695312</v>
      </c>
      <c r="H663">
        <f t="shared" si="43"/>
        <v>-2.1100006103515625</v>
      </c>
    </row>
    <row r="664" spans="1:8" x14ac:dyDescent="0.2">
      <c r="A664" t="s">
        <v>4</v>
      </c>
      <c r="B664" s="2">
        <v>45526</v>
      </c>
      <c r="C664">
        <v>43.846519470214837</v>
      </c>
      <c r="D664">
        <f>_xlfn.XLOOKUP(B664, Oil_Price!A:A, Oil_Price!B:B, "")</f>
        <v>73.010002136230469</v>
      </c>
      <c r="E664">
        <f t="shared" si="40"/>
        <v>4.9484572857852668E-3</v>
      </c>
      <c r="F664">
        <f t="shared" si="41"/>
        <v>1.5014622917733745E-2</v>
      </c>
      <c r="G664">
        <f t="shared" si="42"/>
        <v>0.21590423583983664</v>
      </c>
      <c r="H664">
        <f t="shared" si="43"/>
        <v>1.0800018310546875</v>
      </c>
    </row>
    <row r="665" spans="1:8" x14ac:dyDescent="0.2">
      <c r="A665" t="s">
        <v>4</v>
      </c>
      <c r="B665" s="2">
        <v>45527</v>
      </c>
      <c r="C665">
        <v>44.29632568359375</v>
      </c>
      <c r="D665">
        <f>_xlfn.XLOOKUP(B665, Oil_Price!A:A, Oil_Price!B:B, "")</f>
        <v>74.830001831054688</v>
      </c>
      <c r="E665">
        <f t="shared" si="40"/>
        <v>1.0258652655074915E-2</v>
      </c>
      <c r="F665">
        <f t="shared" si="41"/>
        <v>2.4928087132886995E-2</v>
      </c>
      <c r="G665">
        <f t="shared" si="42"/>
        <v>0.44980621337891336</v>
      </c>
      <c r="H665">
        <f t="shared" si="43"/>
        <v>1.8199996948242188</v>
      </c>
    </row>
    <row r="666" spans="1:8" x14ac:dyDescent="0.2">
      <c r="A666" t="s">
        <v>4</v>
      </c>
      <c r="B666" s="2">
        <v>45530</v>
      </c>
      <c r="C666">
        <v>45.393833160400391</v>
      </c>
      <c r="D666">
        <f>_xlfn.XLOOKUP(B666, Oil_Price!A:A, Oil_Price!B:B, "")</f>
        <v>77.419998168945312</v>
      </c>
      <c r="E666">
        <f t="shared" si="40"/>
        <v>2.4776490146069381E-2</v>
      </c>
      <c r="F666">
        <f t="shared" si="41"/>
        <v>3.4611736930571187E-2</v>
      </c>
      <c r="G666">
        <f t="shared" si="42"/>
        <v>1.0975074768066406</v>
      </c>
      <c r="H666">
        <f t="shared" si="43"/>
        <v>2.589996337890625</v>
      </c>
    </row>
    <row r="667" spans="1:8" x14ac:dyDescent="0.2">
      <c r="A667" t="s">
        <v>4</v>
      </c>
      <c r="B667" s="2">
        <v>45531</v>
      </c>
      <c r="C667">
        <v>44.683147430419922</v>
      </c>
      <c r="D667">
        <f>_xlfn.XLOOKUP(B667, Oil_Price!A:A, Oil_Price!B:B, "")</f>
        <v>75.529998779296875</v>
      </c>
      <c r="E667">
        <f t="shared" si="40"/>
        <v>-1.5655997312878176E-2</v>
      </c>
      <c r="F667">
        <f t="shared" si="41"/>
        <v>-2.4412289257926559E-2</v>
      </c>
      <c r="G667">
        <f t="shared" si="42"/>
        <v>-0.71068572998046875</v>
      </c>
      <c r="H667">
        <f t="shared" si="43"/>
        <v>-1.8899993896484375</v>
      </c>
    </row>
    <row r="668" spans="1:8" x14ac:dyDescent="0.2">
      <c r="A668" t="s">
        <v>4</v>
      </c>
      <c r="B668" s="2">
        <v>45532</v>
      </c>
      <c r="C668">
        <v>44.278324127197273</v>
      </c>
      <c r="D668">
        <f>_xlfn.XLOOKUP(B668, Oil_Price!A:A, Oil_Price!B:B, "")</f>
        <v>74.519996643066406</v>
      </c>
      <c r="E668">
        <f t="shared" si="40"/>
        <v>-9.0598654415075686E-3</v>
      </c>
      <c r="F668">
        <f t="shared" si="41"/>
        <v>-1.3372198498000176E-2</v>
      </c>
      <c r="G668">
        <f t="shared" si="42"/>
        <v>-0.40482330322264914</v>
      </c>
      <c r="H668">
        <f t="shared" si="43"/>
        <v>-1.0100021362304688</v>
      </c>
    </row>
    <row r="669" spans="1:8" x14ac:dyDescent="0.2">
      <c r="A669" t="s">
        <v>4</v>
      </c>
      <c r="B669" s="2">
        <v>45533</v>
      </c>
      <c r="C669">
        <v>44.791107177734382</v>
      </c>
      <c r="D669">
        <f>_xlfn.XLOOKUP(B669, Oil_Price!A:A, Oil_Price!B:B, "")</f>
        <v>75.910003662109375</v>
      </c>
      <c r="E669">
        <f t="shared" si="40"/>
        <v>1.158090466712448E-2</v>
      </c>
      <c r="F669">
        <f t="shared" si="41"/>
        <v>1.8652805712012867E-2</v>
      </c>
      <c r="G669">
        <f t="shared" si="42"/>
        <v>0.51278305053710938</v>
      </c>
      <c r="H669">
        <f t="shared" si="43"/>
        <v>1.3900070190429688</v>
      </c>
    </row>
    <row r="670" spans="1:8" x14ac:dyDescent="0.2">
      <c r="A670" t="s">
        <v>4</v>
      </c>
      <c r="B670" s="2">
        <v>45534</v>
      </c>
      <c r="C670">
        <v>43.882495880126953</v>
      </c>
      <c r="D670">
        <f>_xlfn.XLOOKUP(B670, Oil_Price!A:A, Oil_Price!B:B, "")</f>
        <v>73.550003051757812</v>
      </c>
      <c r="E670">
        <f t="shared" si="40"/>
        <v>-2.028552886629913E-2</v>
      </c>
      <c r="F670">
        <f t="shared" si="41"/>
        <v>-3.1089454571184026E-2</v>
      </c>
      <c r="G670">
        <f t="shared" si="42"/>
        <v>-0.90861129760742898</v>
      </c>
      <c r="H670">
        <f t="shared" si="43"/>
        <v>-2.3600006103515625</v>
      </c>
    </row>
    <row r="671" spans="1:8" x14ac:dyDescent="0.2">
      <c r="A671" t="s">
        <v>4</v>
      </c>
      <c r="B671" s="2">
        <v>45538</v>
      </c>
      <c r="C671">
        <v>42.398162841796882</v>
      </c>
      <c r="D671">
        <f>_xlfn.XLOOKUP(B671, Oil_Price!A:A, Oil_Price!B:B, "")</f>
        <v>70.339996337890625</v>
      </c>
      <c r="E671">
        <f t="shared" si="40"/>
        <v>-3.382517353581705E-2</v>
      </c>
      <c r="F671">
        <f t="shared" si="41"/>
        <v>-4.3643869213822822E-2</v>
      </c>
      <c r="G671">
        <f t="shared" si="42"/>
        <v>-1.484333038330071</v>
      </c>
      <c r="H671">
        <f t="shared" si="43"/>
        <v>-3.2100067138671875</v>
      </c>
    </row>
    <row r="672" spans="1:8" x14ac:dyDescent="0.2">
      <c r="A672" t="s">
        <v>4</v>
      </c>
      <c r="B672" s="2">
        <v>45539</v>
      </c>
      <c r="C672">
        <v>41.561531066894531</v>
      </c>
      <c r="D672">
        <f>_xlfn.XLOOKUP(B672, Oil_Price!A:A, Oil_Price!B:B, "")</f>
        <v>69.199996948242188</v>
      </c>
      <c r="E672">
        <f t="shared" si="40"/>
        <v>-1.9732736487289113E-2</v>
      </c>
      <c r="F672">
        <f t="shared" si="41"/>
        <v>-1.6206986764290526E-2</v>
      </c>
      <c r="G672">
        <f t="shared" si="42"/>
        <v>-0.83663177490235086</v>
      </c>
      <c r="H672">
        <f t="shared" si="43"/>
        <v>-1.1399993896484375</v>
      </c>
    </row>
    <row r="673" spans="1:8" x14ac:dyDescent="0.2">
      <c r="A673" t="s">
        <v>4</v>
      </c>
      <c r="B673" s="2">
        <v>45540</v>
      </c>
      <c r="C673">
        <v>41.057758331298828</v>
      </c>
      <c r="D673">
        <f>_xlfn.XLOOKUP(B673, Oil_Price!A:A, Oil_Price!B:B, "")</f>
        <v>69.150001525878906</v>
      </c>
      <c r="E673">
        <f t="shared" si="40"/>
        <v>-1.2121130349718488E-2</v>
      </c>
      <c r="F673">
        <f t="shared" si="41"/>
        <v>-7.2247723364316169E-4</v>
      </c>
      <c r="G673">
        <f t="shared" si="42"/>
        <v>-0.50377273559570312</v>
      </c>
      <c r="H673">
        <f t="shared" si="43"/>
        <v>-4.999542236328125E-2</v>
      </c>
    </row>
    <row r="674" spans="1:8" x14ac:dyDescent="0.2">
      <c r="A674" t="s">
        <v>4</v>
      </c>
      <c r="B674" s="2">
        <v>45541</v>
      </c>
      <c r="C674">
        <v>40.54498291015625</v>
      </c>
      <c r="D674">
        <f>_xlfn.XLOOKUP(B674, Oil_Price!A:A, Oil_Price!B:B, "")</f>
        <v>67.669998168945312</v>
      </c>
      <c r="E674">
        <f t="shared" si="40"/>
        <v>-1.2489123663424244E-2</v>
      </c>
      <c r="F674">
        <f t="shared" si="41"/>
        <v>-2.1402795723434842E-2</v>
      </c>
      <c r="G674">
        <f t="shared" si="42"/>
        <v>-0.51277542114257812</v>
      </c>
      <c r="H674">
        <f t="shared" si="43"/>
        <v>-1.4800033569335938</v>
      </c>
    </row>
    <row r="675" spans="1:8" x14ac:dyDescent="0.2">
      <c r="A675" t="s">
        <v>4</v>
      </c>
      <c r="B675" s="2">
        <v>45544</v>
      </c>
      <c r="C675">
        <v>40.841854095458977</v>
      </c>
      <c r="D675">
        <f>_xlfn.XLOOKUP(B675, Oil_Price!A:A, Oil_Price!B:B, "")</f>
        <v>68.709999084472656</v>
      </c>
      <c r="E675">
        <f t="shared" si="40"/>
        <v>7.3220202351685542E-3</v>
      </c>
      <c r="F675">
        <f t="shared" si="41"/>
        <v>1.5368714994359411E-2</v>
      </c>
      <c r="G675">
        <f t="shared" si="42"/>
        <v>0.29687118530272727</v>
      </c>
      <c r="H675">
        <f t="shared" si="43"/>
        <v>1.0400009155273438</v>
      </c>
    </row>
    <row r="676" spans="1:8" x14ac:dyDescent="0.2">
      <c r="A676" t="s">
        <v>4</v>
      </c>
      <c r="B676" s="2">
        <v>45545</v>
      </c>
      <c r="C676">
        <v>39.411487579345703</v>
      </c>
      <c r="D676">
        <f>_xlfn.XLOOKUP(B676, Oil_Price!A:A, Oil_Price!B:B, "")</f>
        <v>65.75</v>
      </c>
      <c r="E676">
        <f t="shared" si="40"/>
        <v>-3.5022075951059974E-2</v>
      </c>
      <c r="F676">
        <f t="shared" si="41"/>
        <v>-4.3079597204383722E-2</v>
      </c>
      <c r="G676">
        <f t="shared" si="42"/>
        <v>-1.4303665161132741</v>
      </c>
      <c r="H676">
        <f t="shared" si="43"/>
        <v>-2.9599990844726562</v>
      </c>
    </row>
    <row r="677" spans="1:8" x14ac:dyDescent="0.2">
      <c r="A677" t="s">
        <v>4</v>
      </c>
      <c r="B677" s="2">
        <v>45546</v>
      </c>
      <c r="C677">
        <v>39.537429809570312</v>
      </c>
      <c r="D677">
        <f>_xlfn.XLOOKUP(B677, Oil_Price!A:A, Oil_Price!B:B, "")</f>
        <v>67.30999755859375</v>
      </c>
      <c r="E677">
        <f t="shared" si="40"/>
        <v>3.1955715949836833E-3</v>
      </c>
      <c r="F677">
        <f t="shared" si="41"/>
        <v>2.3726198609790874E-2</v>
      </c>
      <c r="G677">
        <f t="shared" si="42"/>
        <v>0.12594223022460938</v>
      </c>
      <c r="H677">
        <f t="shared" si="43"/>
        <v>1.55999755859375</v>
      </c>
    </row>
    <row r="678" spans="1:8" x14ac:dyDescent="0.2">
      <c r="A678" t="s">
        <v>4</v>
      </c>
      <c r="B678" s="2">
        <v>45547</v>
      </c>
      <c r="C678">
        <v>39.852291107177727</v>
      </c>
      <c r="D678">
        <f>_xlfn.XLOOKUP(B678, Oil_Price!A:A, Oil_Price!B:B, "")</f>
        <v>68.970001220703125</v>
      </c>
      <c r="E678">
        <f t="shared" si="40"/>
        <v>7.9636258381975151E-3</v>
      </c>
      <c r="F678">
        <f t="shared" si="41"/>
        <v>2.4662066889310642E-2</v>
      </c>
      <c r="G678">
        <f t="shared" si="42"/>
        <v>0.31486129760741477</v>
      </c>
      <c r="H678">
        <f t="shared" si="43"/>
        <v>1.660003662109375</v>
      </c>
    </row>
    <row r="679" spans="1:8" x14ac:dyDescent="0.2">
      <c r="A679" t="s">
        <v>4</v>
      </c>
      <c r="B679" s="2">
        <v>45548</v>
      </c>
      <c r="C679">
        <v>39.510898590087891</v>
      </c>
      <c r="D679">
        <f>_xlfn.XLOOKUP(B679, Oil_Price!A:A, Oil_Price!B:B, "")</f>
        <v>68.650001525878906</v>
      </c>
      <c r="E679">
        <f t="shared" si="40"/>
        <v>-8.5664464352050527E-3</v>
      </c>
      <c r="F679">
        <f t="shared" si="41"/>
        <v>-4.6396939127233564E-3</v>
      </c>
      <c r="G679">
        <f t="shared" si="42"/>
        <v>-0.34139251708983664</v>
      </c>
      <c r="H679">
        <f t="shared" si="43"/>
        <v>-0.31999969482421875</v>
      </c>
    </row>
    <row r="680" spans="1:8" x14ac:dyDescent="0.2">
      <c r="A680" t="s">
        <v>4</v>
      </c>
      <c r="B680" s="2">
        <v>45551</v>
      </c>
      <c r="C680">
        <v>39.993396759033203</v>
      </c>
      <c r="D680">
        <f>_xlfn.XLOOKUP(B680, Oil_Price!A:A, Oil_Price!B:B, "")</f>
        <v>70.089996337890625</v>
      </c>
      <c r="E680">
        <f t="shared" si="40"/>
        <v>1.2211774122149603E-2</v>
      </c>
      <c r="F680">
        <f t="shared" si="41"/>
        <v>2.097588900225859E-2</v>
      </c>
      <c r="G680">
        <f t="shared" si="42"/>
        <v>0.4824981689453125</v>
      </c>
      <c r="H680">
        <f t="shared" si="43"/>
        <v>1.4399948120117188</v>
      </c>
    </row>
    <row r="681" spans="1:8" x14ac:dyDescent="0.2">
      <c r="A681" t="s">
        <v>4</v>
      </c>
      <c r="B681" s="2">
        <v>45552</v>
      </c>
      <c r="C681">
        <v>40.676197052001953</v>
      </c>
      <c r="D681">
        <f>_xlfn.XLOOKUP(B681, Oil_Price!A:A, Oil_Price!B:B, "")</f>
        <v>71.19000244140625</v>
      </c>
      <c r="E681">
        <f t="shared" si="40"/>
        <v>1.7072825723774707E-2</v>
      </c>
      <c r="F681">
        <f t="shared" si="41"/>
        <v>1.5694195477093529E-2</v>
      </c>
      <c r="G681">
        <f t="shared" si="42"/>
        <v>0.68280029296875</v>
      </c>
      <c r="H681">
        <f t="shared" si="43"/>
        <v>1.100006103515625</v>
      </c>
    </row>
    <row r="682" spans="1:8" x14ac:dyDescent="0.2">
      <c r="A682" t="s">
        <v>4</v>
      </c>
      <c r="B682" s="2">
        <v>45553</v>
      </c>
      <c r="C682">
        <v>40.712612152099609</v>
      </c>
      <c r="D682">
        <f>_xlfn.XLOOKUP(B682, Oil_Price!A:A, Oil_Price!B:B, "")</f>
        <v>70.910003662109375</v>
      </c>
      <c r="E682">
        <f t="shared" si="40"/>
        <v>8.9524347743477205E-4</v>
      </c>
      <c r="F682">
        <f t="shared" si="41"/>
        <v>-3.9331193945010921E-3</v>
      </c>
      <c r="G682">
        <f t="shared" si="42"/>
        <v>3.641510009765625E-2</v>
      </c>
      <c r="H682">
        <f t="shared" si="43"/>
        <v>-0.279998779296875</v>
      </c>
    </row>
    <row r="683" spans="1:8" x14ac:dyDescent="0.2">
      <c r="A683" t="s">
        <v>4</v>
      </c>
      <c r="B683" s="2">
        <v>45554</v>
      </c>
      <c r="C683">
        <v>41.695827484130859</v>
      </c>
      <c r="D683">
        <f>_xlfn.XLOOKUP(B683, Oil_Price!A:A, Oil_Price!B:B, "")</f>
        <v>71.949996948242188</v>
      </c>
      <c r="E683">
        <f t="shared" si="40"/>
        <v>2.4150141198457691E-2</v>
      </c>
      <c r="F683">
        <f t="shared" si="41"/>
        <v>1.4666383195923186E-2</v>
      </c>
      <c r="G683">
        <f t="shared" si="42"/>
        <v>0.98321533203125</v>
      </c>
      <c r="H683">
        <f t="shared" si="43"/>
        <v>1.0399932861328125</v>
      </c>
    </row>
    <row r="684" spans="1:8" x14ac:dyDescent="0.2">
      <c r="A684" t="s">
        <v>4</v>
      </c>
      <c r="B684" s="2">
        <v>45555</v>
      </c>
      <c r="C684">
        <v>41.195117950439453</v>
      </c>
      <c r="D684">
        <f>_xlfn.XLOOKUP(B684, Oil_Price!A:A, Oil_Price!B:B, "")</f>
        <v>71.919998168945312</v>
      </c>
      <c r="E684">
        <f t="shared" si="40"/>
        <v>-1.2008624457254693E-2</v>
      </c>
      <c r="F684">
        <f t="shared" si="41"/>
        <v>-4.1693927128940485E-4</v>
      </c>
      <c r="G684">
        <f t="shared" si="42"/>
        <v>-0.50070953369140625</v>
      </c>
      <c r="H684">
        <f t="shared" si="43"/>
        <v>-2.9998779296875E-2</v>
      </c>
    </row>
    <row r="685" spans="1:8" x14ac:dyDescent="0.2">
      <c r="A685" t="s">
        <v>4</v>
      </c>
      <c r="B685" s="2">
        <v>45558</v>
      </c>
      <c r="C685">
        <v>41.577480316162109</v>
      </c>
      <c r="D685">
        <f>_xlfn.XLOOKUP(B685, Oil_Price!A:A, Oil_Price!B:B, "")</f>
        <v>70.370002746582031</v>
      </c>
      <c r="E685">
        <f t="shared" si="40"/>
        <v>9.2817397969988669E-3</v>
      </c>
      <c r="F685">
        <f t="shared" si="41"/>
        <v>-2.1551661037618897E-2</v>
      </c>
      <c r="G685">
        <f t="shared" si="42"/>
        <v>0.38236236572265625</v>
      </c>
      <c r="H685">
        <f t="shared" si="43"/>
        <v>-1.5499954223632812</v>
      </c>
    </row>
    <row r="686" spans="1:8" x14ac:dyDescent="0.2">
      <c r="A686" t="s">
        <v>4</v>
      </c>
      <c r="B686" s="2">
        <v>45559</v>
      </c>
      <c r="C686">
        <v>42.351314544677727</v>
      </c>
      <c r="D686">
        <f>_xlfn.XLOOKUP(B686, Oil_Price!A:A, Oil_Price!B:B, "")</f>
        <v>71.55999755859375</v>
      </c>
      <c r="E686">
        <f t="shared" si="40"/>
        <v>1.8611859656507634E-2</v>
      </c>
      <c r="F686">
        <f t="shared" si="41"/>
        <v>1.6910540934567727E-2</v>
      </c>
      <c r="G686">
        <f t="shared" si="42"/>
        <v>0.77383422851561789</v>
      </c>
      <c r="H686">
        <f t="shared" si="43"/>
        <v>1.1899948120117188</v>
      </c>
    </row>
    <row r="687" spans="1:8" x14ac:dyDescent="0.2">
      <c r="A687" t="s">
        <v>4</v>
      </c>
      <c r="B687" s="2">
        <v>45560</v>
      </c>
      <c r="C687">
        <v>41.386295318603523</v>
      </c>
      <c r="D687">
        <f>_xlfn.XLOOKUP(B687, Oil_Price!A:A, Oil_Price!B:B, "")</f>
        <v>69.69000244140625</v>
      </c>
      <c r="E687">
        <f t="shared" si="40"/>
        <v>-2.2786051305589951E-2</v>
      </c>
      <c r="F687">
        <f t="shared" si="41"/>
        <v>-2.613184992993239E-2</v>
      </c>
      <c r="G687">
        <f t="shared" si="42"/>
        <v>-0.96501922607420454</v>
      </c>
      <c r="H687">
        <f t="shared" si="43"/>
        <v>-1.8699951171875</v>
      </c>
    </row>
    <row r="688" spans="1:8" x14ac:dyDescent="0.2">
      <c r="A688" t="s">
        <v>4</v>
      </c>
      <c r="B688" s="2">
        <v>45561</v>
      </c>
      <c r="C688">
        <v>40.029815673828118</v>
      </c>
      <c r="D688">
        <f>_xlfn.XLOOKUP(B688, Oil_Price!A:A, Oil_Price!B:B, "")</f>
        <v>67.669998168945312</v>
      </c>
      <c r="E688">
        <f t="shared" si="40"/>
        <v>-3.2776058700901764E-2</v>
      </c>
      <c r="F688">
        <f t="shared" si="41"/>
        <v>-2.8985567537600686E-2</v>
      </c>
      <c r="G688">
        <f t="shared" si="42"/>
        <v>-1.3564796447754048</v>
      </c>
      <c r="H688">
        <f t="shared" si="43"/>
        <v>-2.0200042724609375</v>
      </c>
    </row>
    <row r="689" spans="1:8" x14ac:dyDescent="0.2">
      <c r="A689" t="s">
        <v>4</v>
      </c>
      <c r="B689" s="2">
        <v>45562</v>
      </c>
      <c r="C689">
        <v>40.867378234863281</v>
      </c>
      <c r="D689">
        <f>_xlfn.XLOOKUP(B689, Oil_Price!A:A, Oil_Price!B:B, "")</f>
        <v>68.180000305175781</v>
      </c>
      <c r="E689">
        <f t="shared" si="40"/>
        <v>2.0923467843564664E-2</v>
      </c>
      <c r="F689">
        <f t="shared" si="41"/>
        <v>7.5366063252609297E-3</v>
      </c>
      <c r="G689">
        <f t="shared" si="42"/>
        <v>0.83756256103516336</v>
      </c>
      <c r="H689">
        <f t="shared" si="43"/>
        <v>0.51000213623046875</v>
      </c>
    </row>
    <row r="690" spans="1:8" x14ac:dyDescent="0.2">
      <c r="A690" t="s">
        <v>4</v>
      </c>
      <c r="B690" s="2">
        <v>45565</v>
      </c>
      <c r="C690">
        <v>40.885585784912109</v>
      </c>
      <c r="D690">
        <f>_xlfn.XLOOKUP(B690, Oil_Price!A:A, Oil_Price!B:B, "")</f>
        <v>68.169998168945312</v>
      </c>
      <c r="E690">
        <f t="shared" si="40"/>
        <v>4.4552772492989447E-4</v>
      </c>
      <c r="F690">
        <f t="shared" si="41"/>
        <v>-1.4670190944116867E-4</v>
      </c>
      <c r="G690">
        <f t="shared" si="42"/>
        <v>1.8207550048828125E-2</v>
      </c>
      <c r="H690">
        <f t="shared" si="43"/>
        <v>-1.000213623046875E-2</v>
      </c>
    </row>
    <row r="691" spans="1:8" x14ac:dyDescent="0.2">
      <c r="A691" t="s">
        <v>4</v>
      </c>
      <c r="B691" s="2">
        <v>45566</v>
      </c>
      <c r="C691">
        <v>42.715469360351562</v>
      </c>
      <c r="D691">
        <f>_xlfn.XLOOKUP(B691, Oil_Price!A:A, Oil_Price!B:B, "")</f>
        <v>69.830001831054688</v>
      </c>
      <c r="E691">
        <f t="shared" si="40"/>
        <v>4.4756202957833856E-2</v>
      </c>
      <c r="F691">
        <f t="shared" si="41"/>
        <v>2.4350941861482782E-2</v>
      </c>
      <c r="G691">
        <f t="shared" si="42"/>
        <v>1.8298835754394531</v>
      </c>
      <c r="H691">
        <f t="shared" si="43"/>
        <v>1.660003662109375</v>
      </c>
    </row>
    <row r="692" spans="1:8" x14ac:dyDescent="0.2">
      <c r="A692" t="s">
        <v>4</v>
      </c>
      <c r="B692" s="2">
        <v>45567</v>
      </c>
      <c r="C692">
        <v>42.597118377685547</v>
      </c>
      <c r="D692">
        <f>_xlfn.XLOOKUP(B692, Oil_Price!A:A, Oil_Price!B:B, "")</f>
        <v>70.099998474121094</v>
      </c>
      <c r="E692">
        <f t="shared" si="40"/>
        <v>-2.7706820137593721E-3</v>
      </c>
      <c r="F692">
        <f t="shared" si="41"/>
        <v>3.8664848344072901E-3</v>
      </c>
      <c r="G692">
        <f t="shared" si="42"/>
        <v>-0.11835098266601562</v>
      </c>
      <c r="H692">
        <f t="shared" si="43"/>
        <v>0.26999664306640625</v>
      </c>
    </row>
    <row r="693" spans="1:8" x14ac:dyDescent="0.2">
      <c r="A693" t="s">
        <v>4</v>
      </c>
      <c r="B693" s="2">
        <v>45568</v>
      </c>
      <c r="C693">
        <v>43.534820556640618</v>
      </c>
      <c r="D693">
        <f>_xlfn.XLOOKUP(B693, Oil_Price!A:A, Oil_Price!B:B, "")</f>
        <v>73.709999084472656</v>
      </c>
      <c r="E693">
        <f t="shared" si="40"/>
        <v>2.2013277298266385E-2</v>
      </c>
      <c r="F693">
        <f t="shared" si="41"/>
        <v>5.1497870027547445E-2</v>
      </c>
      <c r="G693">
        <f t="shared" si="42"/>
        <v>0.93770217895507102</v>
      </c>
      <c r="H693">
        <f t="shared" si="43"/>
        <v>3.6100006103515625</v>
      </c>
    </row>
    <row r="694" spans="1:8" x14ac:dyDescent="0.2">
      <c r="A694" t="s">
        <v>4</v>
      </c>
      <c r="B694" s="2">
        <v>45569</v>
      </c>
      <c r="C694">
        <v>43.898975372314453</v>
      </c>
      <c r="D694">
        <f>_xlfn.XLOOKUP(B694, Oil_Price!A:A, Oil_Price!B:B, "")</f>
        <v>74.379997253417969</v>
      </c>
      <c r="E694">
        <f t="shared" si="40"/>
        <v>8.3646793765936086E-3</v>
      </c>
      <c r="F694">
        <f t="shared" si="41"/>
        <v>9.0896510279085147E-3</v>
      </c>
      <c r="G694">
        <f t="shared" si="42"/>
        <v>0.36415481567383523</v>
      </c>
      <c r="H694">
        <f t="shared" si="43"/>
        <v>0.6699981689453125</v>
      </c>
    </row>
    <row r="695" spans="1:8" x14ac:dyDescent="0.2">
      <c r="A695" t="s">
        <v>4</v>
      </c>
      <c r="B695" s="2">
        <v>45572</v>
      </c>
      <c r="C695">
        <v>45.34649658203125</v>
      </c>
      <c r="D695">
        <f>_xlfn.XLOOKUP(B695, Oil_Price!A:A, Oil_Price!B:B, "")</f>
        <v>77.139999389648438</v>
      </c>
      <c r="E695">
        <f t="shared" si="40"/>
        <v>3.2973917897630427E-2</v>
      </c>
      <c r="F695">
        <f t="shared" si="41"/>
        <v>3.7106779216822823E-2</v>
      </c>
      <c r="G695">
        <f t="shared" si="42"/>
        <v>1.4475212097167969</v>
      </c>
      <c r="H695">
        <f t="shared" si="43"/>
        <v>2.7600021362304688</v>
      </c>
    </row>
    <row r="696" spans="1:8" x14ac:dyDescent="0.2">
      <c r="A696" t="s">
        <v>4</v>
      </c>
      <c r="B696" s="2">
        <v>45573</v>
      </c>
      <c r="C696">
        <v>45.164409637451172</v>
      </c>
      <c r="D696">
        <f>_xlfn.XLOOKUP(B696, Oil_Price!A:A, Oil_Price!B:B, "")</f>
        <v>73.569999694824219</v>
      </c>
      <c r="E696">
        <f t="shared" si="40"/>
        <v>-4.0154578259576261E-3</v>
      </c>
      <c r="F696">
        <f t="shared" si="41"/>
        <v>-4.6279488243077219E-2</v>
      </c>
      <c r="G696">
        <f t="shared" si="42"/>
        <v>-0.18208694458007812</v>
      </c>
      <c r="H696">
        <f t="shared" si="43"/>
        <v>-3.5699996948242188</v>
      </c>
    </row>
    <row r="697" spans="1:8" x14ac:dyDescent="0.2">
      <c r="A697" t="s">
        <v>4</v>
      </c>
      <c r="B697" s="2">
        <v>45574</v>
      </c>
      <c r="C697">
        <v>45.619609832763672</v>
      </c>
      <c r="D697">
        <f>_xlfn.XLOOKUP(B697, Oil_Price!A:A, Oil_Price!B:B, "")</f>
        <v>73.239997863769531</v>
      </c>
      <c r="E697">
        <f t="shared" si="40"/>
        <v>1.0078736752379455E-2</v>
      </c>
      <c r="F697">
        <f t="shared" si="41"/>
        <v>-4.485548897968851E-3</v>
      </c>
      <c r="G697">
        <f t="shared" si="42"/>
        <v>0.4552001953125</v>
      </c>
      <c r="H697">
        <f t="shared" si="43"/>
        <v>-0.3300018310546875</v>
      </c>
    </row>
    <row r="698" spans="1:8" x14ac:dyDescent="0.2">
      <c r="A698" t="s">
        <v>4</v>
      </c>
      <c r="B698" s="2">
        <v>45575</v>
      </c>
      <c r="C698">
        <v>46.857738494873047</v>
      </c>
      <c r="D698">
        <f>_xlfn.XLOOKUP(B698, Oil_Price!A:A, Oil_Price!B:B, "")</f>
        <v>75.849998474121094</v>
      </c>
      <c r="E698">
        <f t="shared" si="40"/>
        <v>2.7140272936314332E-2</v>
      </c>
      <c r="F698">
        <f t="shared" si="41"/>
        <v>3.5636273709432773E-2</v>
      </c>
      <c r="G698">
        <f t="shared" si="42"/>
        <v>1.238128662109375</v>
      </c>
      <c r="H698">
        <f t="shared" si="43"/>
        <v>2.6100006103515625</v>
      </c>
    </row>
    <row r="699" spans="1:8" x14ac:dyDescent="0.2">
      <c r="A699" t="s">
        <v>4</v>
      </c>
      <c r="B699" s="2">
        <v>45576</v>
      </c>
      <c r="C699">
        <v>47.076229095458977</v>
      </c>
      <c r="D699">
        <f>_xlfn.XLOOKUP(B699, Oil_Price!A:A, Oil_Price!B:B, "")</f>
        <v>75.55999755859375</v>
      </c>
      <c r="E699">
        <f t="shared" si="40"/>
        <v>4.6628498857202976E-3</v>
      </c>
      <c r="F699">
        <f t="shared" si="41"/>
        <v>-3.8233476778023641E-3</v>
      </c>
      <c r="G699">
        <f t="shared" si="42"/>
        <v>0.21849060058593039</v>
      </c>
      <c r="H699">
        <f t="shared" si="43"/>
        <v>-0.29000091552734375</v>
      </c>
    </row>
    <row r="700" spans="1:8" x14ac:dyDescent="0.2">
      <c r="A700" t="s">
        <v>4</v>
      </c>
      <c r="B700" s="2">
        <v>45580</v>
      </c>
      <c r="C700">
        <v>44.381481170654297</v>
      </c>
      <c r="D700">
        <f>_xlfn.XLOOKUP(B700, Oil_Price!A:A, Oil_Price!B:B, "")</f>
        <v>70.580001831054688</v>
      </c>
      <c r="E700">
        <f t="shared" si="40"/>
        <v>-5.7242221320242037E-2</v>
      </c>
      <c r="F700">
        <f t="shared" si="41"/>
        <v>-6.5907833356893319E-2</v>
      </c>
      <c r="G700">
        <f t="shared" si="42"/>
        <v>-2.6947479248046804</v>
      </c>
      <c r="H700">
        <f t="shared" si="43"/>
        <v>-4.9799957275390625</v>
      </c>
    </row>
    <row r="701" spans="1:8" x14ac:dyDescent="0.2">
      <c r="A701" t="s">
        <v>4</v>
      </c>
      <c r="B701" s="2">
        <v>45581</v>
      </c>
      <c r="C701">
        <v>44.135677337646477</v>
      </c>
      <c r="D701">
        <f>_xlfn.XLOOKUP(B701, Oil_Price!A:A, Oil_Price!B:B, "")</f>
        <v>70.389999389648438</v>
      </c>
      <c r="E701">
        <f t="shared" si="40"/>
        <v>-5.5384323939677077E-3</v>
      </c>
      <c r="F701">
        <f t="shared" si="41"/>
        <v>-2.6920152518705421E-3</v>
      </c>
      <c r="G701">
        <f t="shared" si="42"/>
        <v>-0.24580383300781961</v>
      </c>
      <c r="H701">
        <f t="shared" si="43"/>
        <v>-0.19000244140625</v>
      </c>
    </row>
    <row r="702" spans="1:8" x14ac:dyDescent="0.2">
      <c r="A702" t="s">
        <v>4</v>
      </c>
      <c r="B702" s="2">
        <v>45582</v>
      </c>
      <c r="C702">
        <v>44.836681365966797</v>
      </c>
      <c r="D702">
        <f>_xlfn.XLOOKUP(B702, Oil_Price!A:A, Oil_Price!B:B, "")</f>
        <v>70.669998168945312</v>
      </c>
      <c r="E702">
        <f t="shared" si="40"/>
        <v>1.5882933504282784E-2</v>
      </c>
      <c r="F702">
        <f t="shared" si="41"/>
        <v>3.9778204535409001E-3</v>
      </c>
      <c r="G702">
        <f t="shared" si="42"/>
        <v>0.70100402832031961</v>
      </c>
      <c r="H702">
        <f t="shared" si="43"/>
        <v>0.279998779296875</v>
      </c>
    </row>
    <row r="703" spans="1:8" x14ac:dyDescent="0.2">
      <c r="A703" t="s">
        <v>4</v>
      </c>
      <c r="B703" s="2">
        <v>45583</v>
      </c>
      <c r="C703">
        <v>44.663700103759773</v>
      </c>
      <c r="D703">
        <f>_xlfn.XLOOKUP(B703, Oil_Price!A:A, Oil_Price!B:B, "")</f>
        <v>69.220001220703125</v>
      </c>
      <c r="E703">
        <f t="shared" si="40"/>
        <v>-3.8580300088472933E-3</v>
      </c>
      <c r="F703">
        <f t="shared" si="41"/>
        <v>-2.0517857447453044E-2</v>
      </c>
      <c r="G703">
        <f t="shared" si="42"/>
        <v>-0.17298126220702414</v>
      </c>
      <c r="H703">
        <f t="shared" si="43"/>
        <v>-1.4499969482421875</v>
      </c>
    </row>
    <row r="704" spans="1:8" x14ac:dyDescent="0.2">
      <c r="A704" t="s">
        <v>4</v>
      </c>
      <c r="B704" s="2">
        <v>45586</v>
      </c>
      <c r="C704">
        <v>44.973232269287109</v>
      </c>
      <c r="D704">
        <f>_xlfn.XLOOKUP(B704, Oil_Price!A:A, Oil_Price!B:B, "")</f>
        <v>70.55999755859375</v>
      </c>
      <c r="E704">
        <f t="shared" si="40"/>
        <v>6.9302848802999277E-3</v>
      </c>
      <c r="F704">
        <f t="shared" si="41"/>
        <v>1.9358513641427721E-2</v>
      </c>
      <c r="G704">
        <f t="shared" si="42"/>
        <v>0.30953216552733664</v>
      </c>
      <c r="H704">
        <f t="shared" si="43"/>
        <v>1.339996337890625</v>
      </c>
    </row>
    <row r="705" spans="1:8" x14ac:dyDescent="0.2">
      <c r="A705" t="s">
        <v>4</v>
      </c>
      <c r="B705" s="2">
        <v>45587</v>
      </c>
      <c r="C705">
        <v>44.627288818359382</v>
      </c>
      <c r="D705">
        <f>_xlfn.XLOOKUP(B705, Oil_Price!A:A, Oil_Price!B:B, "")</f>
        <v>72.089996337890625</v>
      </c>
      <c r="E705">
        <f t="shared" si="40"/>
        <v>-7.6922078639203618E-3</v>
      </c>
      <c r="F705">
        <f t="shared" si="41"/>
        <v>2.1683656919437223E-2</v>
      </c>
      <c r="G705">
        <f t="shared" si="42"/>
        <v>-0.34594345092772727</v>
      </c>
      <c r="H705">
        <f t="shared" si="43"/>
        <v>1.529998779296875</v>
      </c>
    </row>
    <row r="706" spans="1:8" x14ac:dyDescent="0.2">
      <c r="A706" t="s">
        <v>4</v>
      </c>
      <c r="B706" s="2">
        <v>45588</v>
      </c>
      <c r="C706">
        <v>44.226715087890618</v>
      </c>
      <c r="D706">
        <f>_xlfn.XLOOKUP(B706, Oil_Price!A:A, Oil_Price!B:B, "")</f>
        <v>70.769996643066406</v>
      </c>
      <c r="E706">
        <f t="shared" si="40"/>
        <v>-8.9759817608272615E-3</v>
      </c>
      <c r="F706">
        <f t="shared" si="41"/>
        <v>-1.8310441973631016E-2</v>
      </c>
      <c r="G706">
        <f t="shared" si="42"/>
        <v>-0.40057373046876421</v>
      </c>
      <c r="H706">
        <f t="shared" si="43"/>
        <v>-1.3199996948242188</v>
      </c>
    </row>
    <row r="707" spans="1:8" x14ac:dyDescent="0.2">
      <c r="A707" t="s">
        <v>4</v>
      </c>
      <c r="B707" s="2">
        <v>45589</v>
      </c>
      <c r="C707">
        <v>44.254024505615227</v>
      </c>
      <c r="D707">
        <f>_xlfn.XLOOKUP(B707, Oil_Price!A:A, Oil_Price!B:B, "")</f>
        <v>70.19000244140625</v>
      </c>
      <c r="E707">
        <f t="shared" ref="E707:E770" si="44">IFERROR(IF(AND(A707=A706, C707&lt;&gt;"", C706&lt;&gt;""), (C707-C706)/C706, ""), "")</f>
        <v>6.1748691193406677E-4</v>
      </c>
      <c r="F707">
        <f t="shared" ref="F707:F770" si="45">IFERROR(IF(AND(A707=A706, D707&lt;&gt;"", D706&lt;&gt;""), (D707-D706)/D706, ""), "")</f>
        <v>-8.1954815482809598E-3</v>
      </c>
      <c r="G707">
        <f t="shared" ref="G707:G770" si="46">IFERROR(IF(AND(A707=A706, C707&lt;&gt;"", C706&lt;&gt;""), C707-C706, ""), "")</f>
        <v>2.7309417724609375E-2</v>
      </c>
      <c r="H707">
        <f t="shared" ref="H707:H770" si="47">IFERROR(IF(AND(A707=A706, D707&lt;&gt;"", D706&lt;&gt;""), D707-D706, ""), "")</f>
        <v>-0.57999420166015625</v>
      </c>
    </row>
    <row r="708" spans="1:8" x14ac:dyDescent="0.2">
      <c r="A708" t="s">
        <v>4</v>
      </c>
      <c r="B708" s="2">
        <v>45590</v>
      </c>
      <c r="C708">
        <v>44.964134216308587</v>
      </c>
      <c r="D708">
        <f>_xlfn.XLOOKUP(B708, Oil_Price!A:A, Oil_Price!B:B, "")</f>
        <v>71.779998779296875</v>
      </c>
      <c r="E708">
        <f t="shared" si="44"/>
        <v>1.6046217685879761E-2</v>
      </c>
      <c r="F708">
        <f t="shared" si="45"/>
        <v>2.2652746581935716E-2</v>
      </c>
      <c r="G708">
        <f t="shared" si="46"/>
        <v>0.71010971069335938</v>
      </c>
      <c r="H708">
        <f t="shared" si="47"/>
        <v>1.589996337890625</v>
      </c>
    </row>
    <row r="709" spans="1:8" x14ac:dyDescent="0.2">
      <c r="A709" t="s">
        <v>4</v>
      </c>
      <c r="B709" s="2">
        <v>45593</v>
      </c>
      <c r="C709">
        <v>43.898975372314453</v>
      </c>
      <c r="D709">
        <f>_xlfn.XLOOKUP(B709, Oil_Price!A:A, Oil_Price!B:B, "")</f>
        <v>67.379997253417969</v>
      </c>
      <c r="E709">
        <f t="shared" si="44"/>
        <v>-2.3689077140237654E-2</v>
      </c>
      <c r="F709">
        <f t="shared" si="45"/>
        <v>-6.1298434114044252E-2</v>
      </c>
      <c r="G709">
        <f t="shared" si="46"/>
        <v>-1.0651588439941335</v>
      </c>
      <c r="H709">
        <f t="shared" si="47"/>
        <v>-4.4000015258789062</v>
      </c>
    </row>
    <row r="710" spans="1:8" x14ac:dyDescent="0.2">
      <c r="A710" t="s">
        <v>4</v>
      </c>
      <c r="B710" s="2">
        <v>45594</v>
      </c>
      <c r="C710">
        <v>43.607650756835938</v>
      </c>
      <c r="D710">
        <f>_xlfn.XLOOKUP(B710, Oil_Price!A:A, Oil_Price!B:B, "")</f>
        <v>67.209999084472656</v>
      </c>
      <c r="E710">
        <f t="shared" si="44"/>
        <v>-6.6362509149187083E-3</v>
      </c>
      <c r="F710">
        <f t="shared" si="45"/>
        <v>-2.5229767865074977E-3</v>
      </c>
      <c r="G710">
        <f t="shared" si="46"/>
        <v>-0.29132461547851562</v>
      </c>
      <c r="H710">
        <f t="shared" si="47"/>
        <v>-0.1699981689453125</v>
      </c>
    </row>
    <row r="711" spans="1:8" x14ac:dyDescent="0.2">
      <c r="A711" t="s">
        <v>4</v>
      </c>
      <c r="B711" s="2">
        <v>45595</v>
      </c>
      <c r="C711">
        <v>43.243492126464837</v>
      </c>
      <c r="D711">
        <f>_xlfn.XLOOKUP(B711, Oil_Price!A:A, Oil_Price!B:B, "")</f>
        <v>68.610000610351562</v>
      </c>
      <c r="E711">
        <f t="shared" si="44"/>
        <v>-8.3507967994358272E-3</v>
      </c>
      <c r="F711">
        <f t="shared" si="45"/>
        <v>2.0830256583091442E-2</v>
      </c>
      <c r="G711">
        <f t="shared" si="46"/>
        <v>-0.36415863037110086</v>
      </c>
      <c r="H711">
        <f t="shared" si="47"/>
        <v>1.4000015258789062</v>
      </c>
    </row>
    <row r="712" spans="1:8" x14ac:dyDescent="0.2">
      <c r="A712" t="s">
        <v>4</v>
      </c>
      <c r="B712" s="2">
        <v>45596</v>
      </c>
      <c r="C712">
        <v>43.106929779052727</v>
      </c>
      <c r="D712">
        <f>_xlfn.XLOOKUP(B712, Oil_Price!A:A, Oil_Price!B:B, "")</f>
        <v>69.260002136230469</v>
      </c>
      <c r="E712">
        <f t="shared" si="44"/>
        <v>-3.1579861083544125E-3</v>
      </c>
      <c r="F712">
        <f t="shared" si="45"/>
        <v>9.47385978860984E-3</v>
      </c>
      <c r="G712">
        <f t="shared" si="46"/>
        <v>-0.13656234741210938</v>
      </c>
      <c r="H712">
        <f t="shared" si="47"/>
        <v>0.65000152587890625</v>
      </c>
    </row>
    <row r="713" spans="1:8" x14ac:dyDescent="0.2">
      <c r="A713" t="s">
        <v>4</v>
      </c>
      <c r="B713" s="2">
        <v>45597</v>
      </c>
      <c r="C713">
        <v>43.043212890625</v>
      </c>
      <c r="D713">
        <f>_xlfn.XLOOKUP(B713, Oil_Price!A:A, Oil_Price!B:B, "")</f>
        <v>69.489997863769531</v>
      </c>
      <c r="E713">
        <f t="shared" si="44"/>
        <v>-1.478112423090955E-3</v>
      </c>
      <c r="F713">
        <f t="shared" si="45"/>
        <v>3.3207583084775834E-3</v>
      </c>
      <c r="G713">
        <f t="shared" si="46"/>
        <v>-6.371688842772727E-2</v>
      </c>
      <c r="H713">
        <f t="shared" si="47"/>
        <v>0.2299957275390625</v>
      </c>
    </row>
    <row r="714" spans="1:8" x14ac:dyDescent="0.2">
      <c r="A714" t="s">
        <v>4</v>
      </c>
      <c r="B714" s="2">
        <v>45600</v>
      </c>
      <c r="C714">
        <v>43.361843109130859</v>
      </c>
      <c r="D714">
        <f>_xlfn.XLOOKUP(B714, Oil_Price!A:A, Oil_Price!B:B, "")</f>
        <v>71.470001220703125</v>
      </c>
      <c r="E714">
        <f t="shared" si="44"/>
        <v>7.4025658659709025E-3</v>
      </c>
      <c r="F714">
        <f t="shared" si="45"/>
        <v>2.8493357573780003E-2</v>
      </c>
      <c r="G714">
        <f t="shared" si="46"/>
        <v>0.31863021850585938</v>
      </c>
      <c r="H714">
        <f t="shared" si="47"/>
        <v>1.9800033569335938</v>
      </c>
    </row>
    <row r="715" spans="1:8" x14ac:dyDescent="0.2">
      <c r="A715" t="s">
        <v>4</v>
      </c>
      <c r="B715" s="2">
        <v>45601</v>
      </c>
      <c r="C715">
        <v>43.325424194335938</v>
      </c>
      <c r="D715">
        <f>_xlfn.XLOOKUP(B715, Oil_Price!A:A, Oil_Price!B:B, "")</f>
        <v>71.989997863769531</v>
      </c>
      <c r="E715">
        <f t="shared" si="44"/>
        <v>-8.3988392059960689E-4</v>
      </c>
      <c r="F715">
        <f t="shared" si="45"/>
        <v>7.2757329534755321E-3</v>
      </c>
      <c r="G715">
        <f t="shared" si="46"/>
        <v>-3.6418914794921875E-2</v>
      </c>
      <c r="H715">
        <f t="shared" si="47"/>
        <v>0.51999664306640625</v>
      </c>
    </row>
    <row r="716" spans="1:8" x14ac:dyDescent="0.2">
      <c r="A716" t="s">
        <v>4</v>
      </c>
      <c r="B716" s="2">
        <v>45602</v>
      </c>
      <c r="C716">
        <v>44.008216857910163</v>
      </c>
      <c r="D716">
        <f>_xlfn.XLOOKUP(B716, Oil_Price!A:A, Oil_Price!B:B, "")</f>
        <v>71.69000244140625</v>
      </c>
      <c r="E716">
        <f t="shared" si="44"/>
        <v>1.5759630200308329E-2</v>
      </c>
      <c r="F716">
        <f t="shared" si="45"/>
        <v>-4.1671819872946573E-3</v>
      </c>
      <c r="G716">
        <f t="shared" si="46"/>
        <v>0.68279266357422586</v>
      </c>
      <c r="H716">
        <f t="shared" si="47"/>
        <v>-0.29999542236328125</v>
      </c>
    </row>
    <row r="717" spans="1:8" x14ac:dyDescent="0.2">
      <c r="A717" t="s">
        <v>4</v>
      </c>
      <c r="B717" s="2">
        <v>45603</v>
      </c>
      <c r="C717">
        <v>43.935386657714837</v>
      </c>
      <c r="D717">
        <f>_xlfn.XLOOKUP(B717, Oil_Price!A:A, Oil_Price!B:B, "")</f>
        <v>72.360000610351562</v>
      </c>
      <c r="E717">
        <f t="shared" si="44"/>
        <v>-1.6549227711378177E-3</v>
      </c>
      <c r="F717">
        <f t="shared" si="45"/>
        <v>9.3457685329682641E-3</v>
      </c>
      <c r="G717">
        <f t="shared" si="46"/>
        <v>-7.2830200195326711E-2</v>
      </c>
      <c r="H717">
        <f t="shared" si="47"/>
        <v>0.6699981689453125</v>
      </c>
    </row>
    <row r="718" spans="1:8" x14ac:dyDescent="0.2">
      <c r="A718" t="s">
        <v>4</v>
      </c>
      <c r="B718" s="2">
        <v>45604</v>
      </c>
      <c r="C718">
        <v>43.307216644287109</v>
      </c>
      <c r="D718">
        <f>_xlfn.XLOOKUP(B718, Oil_Price!A:A, Oil_Price!B:B, "")</f>
        <v>70.379997253417969</v>
      </c>
      <c r="E718">
        <f t="shared" si="44"/>
        <v>-1.4297587007065151E-2</v>
      </c>
      <c r="F718">
        <f t="shared" si="45"/>
        <v>-2.7363230240912154E-2</v>
      </c>
      <c r="G718">
        <f t="shared" si="46"/>
        <v>-0.62817001342772727</v>
      </c>
      <c r="H718">
        <f t="shared" si="47"/>
        <v>-1.9800033569335938</v>
      </c>
    </row>
    <row r="719" spans="1:8" x14ac:dyDescent="0.2">
      <c r="A719" t="s">
        <v>4</v>
      </c>
      <c r="B719" s="2">
        <v>45607</v>
      </c>
      <c r="C719">
        <v>43.425575256347663</v>
      </c>
      <c r="D719">
        <f>_xlfn.XLOOKUP(B719, Oil_Price!A:A, Oil_Price!B:B, "")</f>
        <v>68.040000915527344</v>
      </c>
      <c r="E719">
        <f t="shared" si="44"/>
        <v>2.7329997453476914E-3</v>
      </c>
      <c r="F719">
        <f t="shared" si="45"/>
        <v>-3.3248031105556547E-2</v>
      </c>
      <c r="G719">
        <f t="shared" si="46"/>
        <v>0.11835861206055398</v>
      </c>
      <c r="H719">
        <f t="shared" si="47"/>
        <v>-2.339996337890625</v>
      </c>
    </row>
    <row r="720" spans="1:8" x14ac:dyDescent="0.2">
      <c r="A720" t="s">
        <v>4</v>
      </c>
      <c r="B720" s="2">
        <v>45608</v>
      </c>
      <c r="C720">
        <v>42.852020263671882</v>
      </c>
      <c r="D720">
        <f>_xlfn.XLOOKUP(B720, Oil_Price!A:A, Oil_Price!B:B, "")</f>
        <v>68.120002746582031</v>
      </c>
      <c r="E720">
        <f t="shared" si="44"/>
        <v>-1.3207769598675444E-2</v>
      </c>
      <c r="F720">
        <f t="shared" si="45"/>
        <v>1.175805849179969E-3</v>
      </c>
      <c r="G720">
        <f t="shared" si="46"/>
        <v>-0.57355499267578125</v>
      </c>
      <c r="H720">
        <f t="shared" si="47"/>
        <v>8.00018310546875E-2</v>
      </c>
    </row>
    <row r="721" spans="1:8" x14ac:dyDescent="0.2">
      <c r="A721" t="s">
        <v>4</v>
      </c>
      <c r="B721" s="2">
        <v>45609</v>
      </c>
      <c r="C721">
        <v>42.515182495117188</v>
      </c>
      <c r="D721">
        <f>_xlfn.XLOOKUP(B721, Oil_Price!A:A, Oil_Price!B:B, "")</f>
        <v>68.430000305175781</v>
      </c>
      <c r="E721">
        <f t="shared" si="44"/>
        <v>-7.8604874748519453E-3</v>
      </c>
      <c r="F721">
        <f t="shared" si="45"/>
        <v>4.5507566954598273E-3</v>
      </c>
      <c r="G721">
        <f t="shared" si="46"/>
        <v>-0.33683776855469461</v>
      </c>
      <c r="H721">
        <f t="shared" si="47"/>
        <v>0.30999755859375</v>
      </c>
    </row>
    <row r="722" spans="1:8" x14ac:dyDescent="0.2">
      <c r="A722" t="s">
        <v>4</v>
      </c>
      <c r="B722" s="2">
        <v>45610</v>
      </c>
      <c r="C722">
        <v>43.562126159667969</v>
      </c>
      <c r="D722">
        <f>_xlfn.XLOOKUP(B722, Oil_Price!A:A, Oil_Price!B:B, "")</f>
        <v>68.699996948242188</v>
      </c>
      <c r="E722">
        <f t="shared" si="44"/>
        <v>2.4625171600075369E-2</v>
      </c>
      <c r="F722">
        <f t="shared" si="45"/>
        <v>3.9455888040670481E-3</v>
      </c>
      <c r="G722">
        <f t="shared" si="46"/>
        <v>1.0469436645507812</v>
      </c>
      <c r="H722">
        <f t="shared" si="47"/>
        <v>0.26999664306640625</v>
      </c>
    </row>
    <row r="723" spans="1:8" x14ac:dyDescent="0.2">
      <c r="A723" t="s">
        <v>4</v>
      </c>
      <c r="B723" s="2">
        <v>45611</v>
      </c>
      <c r="C723">
        <v>42.433246612548828</v>
      </c>
      <c r="D723">
        <f>_xlfn.XLOOKUP(B723, Oil_Price!A:A, Oil_Price!B:B, "")</f>
        <v>67.019996643066406</v>
      </c>
      <c r="E723">
        <f t="shared" si="44"/>
        <v>-2.5914243556007022E-2</v>
      </c>
      <c r="F723">
        <f t="shared" si="45"/>
        <v>-2.4454154000057304E-2</v>
      </c>
      <c r="G723">
        <f t="shared" si="46"/>
        <v>-1.1288795471191406</v>
      </c>
      <c r="H723">
        <f t="shared" si="47"/>
        <v>-1.6800003051757812</v>
      </c>
    </row>
    <row r="724" spans="1:8" x14ac:dyDescent="0.2">
      <c r="A724" t="s">
        <v>4</v>
      </c>
      <c r="B724" s="2">
        <v>45614</v>
      </c>
      <c r="C724">
        <v>42.943058013916023</v>
      </c>
      <c r="D724">
        <f>_xlfn.XLOOKUP(B724, Oil_Price!A:A, Oil_Price!B:B, "")</f>
        <v>69.160003662109375</v>
      </c>
      <c r="E724">
        <f t="shared" si="44"/>
        <v>1.2014433069951041E-2</v>
      </c>
      <c r="F724">
        <f t="shared" si="45"/>
        <v>3.1930873265186357E-2</v>
      </c>
      <c r="G724">
        <f t="shared" si="46"/>
        <v>0.50981140136719461</v>
      </c>
      <c r="H724">
        <f t="shared" si="47"/>
        <v>2.1400070190429688</v>
      </c>
    </row>
    <row r="725" spans="1:8" x14ac:dyDescent="0.2">
      <c r="A725" t="s">
        <v>4</v>
      </c>
      <c r="B725" s="2">
        <v>45615</v>
      </c>
      <c r="C725">
        <v>42.824714660644531</v>
      </c>
      <c r="D725">
        <f>_xlfn.XLOOKUP(B725, Oil_Price!A:A, Oil_Price!B:B, "")</f>
        <v>69.389999389648438</v>
      </c>
      <c r="E725">
        <f t="shared" si="44"/>
        <v>-2.7558203524570006E-3</v>
      </c>
      <c r="F725">
        <f t="shared" si="45"/>
        <v>3.3255597941078486E-3</v>
      </c>
      <c r="G725">
        <f t="shared" si="46"/>
        <v>-0.11834335327149148</v>
      </c>
      <c r="H725">
        <f t="shared" si="47"/>
        <v>0.2299957275390625</v>
      </c>
    </row>
    <row r="726" spans="1:8" x14ac:dyDescent="0.2">
      <c r="A726" t="s">
        <v>4</v>
      </c>
      <c r="B726" s="2">
        <v>45616</v>
      </c>
      <c r="C726">
        <v>42.979476928710938</v>
      </c>
      <c r="D726">
        <f>_xlfn.XLOOKUP(B726, Oil_Price!A:A, Oil_Price!B:B, "")</f>
        <v>68.870002746582031</v>
      </c>
      <c r="E726">
        <f t="shared" si="44"/>
        <v>3.613854039490686E-3</v>
      </c>
      <c r="F726">
        <f t="shared" si="45"/>
        <v>-7.4938268862988211E-3</v>
      </c>
      <c r="G726">
        <f t="shared" si="46"/>
        <v>0.15476226806640625</v>
      </c>
      <c r="H726">
        <f t="shared" si="47"/>
        <v>-0.51999664306640625</v>
      </c>
    </row>
    <row r="727" spans="1:8" x14ac:dyDescent="0.2">
      <c r="A727" t="s">
        <v>4</v>
      </c>
      <c r="B727" s="2">
        <v>45617</v>
      </c>
      <c r="C727">
        <v>43.9718017578125</v>
      </c>
      <c r="D727">
        <f>_xlfn.XLOOKUP(B727, Oil_Price!A:A, Oil_Price!B:B, "")</f>
        <v>70.099998474121094</v>
      </c>
      <c r="E727">
        <f t="shared" si="44"/>
        <v>2.3088341227314346E-2</v>
      </c>
      <c r="F727">
        <f t="shared" si="45"/>
        <v>1.7859672985131487E-2</v>
      </c>
      <c r="G727">
        <f t="shared" si="46"/>
        <v>0.9923248291015625</v>
      </c>
      <c r="H727">
        <f t="shared" si="47"/>
        <v>1.2299957275390625</v>
      </c>
    </row>
    <row r="728" spans="1:8" x14ac:dyDescent="0.2">
      <c r="A728" t="s">
        <v>4</v>
      </c>
      <c r="B728" s="2">
        <v>45618</v>
      </c>
      <c r="C728">
        <v>44.345066070556641</v>
      </c>
      <c r="D728">
        <f>_xlfn.XLOOKUP(B728, Oil_Price!A:A, Oil_Price!B:B, "")</f>
        <v>71.239997863769531</v>
      </c>
      <c r="E728">
        <f t="shared" si="44"/>
        <v>8.4887199937815263E-3</v>
      </c>
      <c r="F728">
        <f t="shared" si="45"/>
        <v>1.6262473815449405E-2</v>
      </c>
      <c r="G728">
        <f t="shared" si="46"/>
        <v>0.37326431274414062</v>
      </c>
      <c r="H728">
        <f t="shared" si="47"/>
        <v>1.1399993896484375</v>
      </c>
    </row>
    <row r="729" spans="1:8" x14ac:dyDescent="0.2">
      <c r="A729" t="s">
        <v>4</v>
      </c>
      <c r="B729" s="2">
        <v>45621</v>
      </c>
      <c r="C729">
        <v>43.325424194335938</v>
      </c>
      <c r="D729">
        <f>_xlfn.XLOOKUP(B729, Oil_Price!A:A, Oil_Price!B:B, "")</f>
        <v>68.94000244140625</v>
      </c>
      <c r="E729">
        <f t="shared" si="44"/>
        <v>-2.2993355666634237E-2</v>
      </c>
      <c r="F729">
        <f t="shared" si="45"/>
        <v>-3.2285169726724378E-2</v>
      </c>
      <c r="G729">
        <f t="shared" si="46"/>
        <v>-1.0196418762207031</v>
      </c>
      <c r="H729">
        <f t="shared" si="47"/>
        <v>-2.2999954223632812</v>
      </c>
    </row>
    <row r="730" spans="1:8" x14ac:dyDescent="0.2">
      <c r="A730" t="s">
        <v>4</v>
      </c>
      <c r="B730" s="2">
        <v>45622</v>
      </c>
      <c r="C730">
        <v>42.515182495117188</v>
      </c>
      <c r="D730">
        <f>_xlfn.XLOOKUP(B730, Oil_Price!A:A, Oil_Price!B:B, "")</f>
        <v>68.769996643066406</v>
      </c>
      <c r="E730">
        <f t="shared" si="44"/>
        <v>-1.8701298701298701E-2</v>
      </c>
      <c r="F730">
        <f t="shared" si="45"/>
        <v>-2.4659964073011995E-3</v>
      </c>
      <c r="G730">
        <f t="shared" si="46"/>
        <v>-0.81024169921875</v>
      </c>
      <c r="H730">
        <f t="shared" si="47"/>
        <v>-0.17000579833984375</v>
      </c>
    </row>
    <row r="731" spans="1:8" x14ac:dyDescent="0.2">
      <c r="A731" t="s">
        <v>4</v>
      </c>
      <c r="B731" s="2">
        <v>45623</v>
      </c>
      <c r="C731">
        <v>42.806510925292969</v>
      </c>
      <c r="D731">
        <f>_xlfn.XLOOKUP(B731, Oil_Price!A:A, Oil_Price!B:B, "")</f>
        <v>68.720001220703125</v>
      </c>
      <c r="E731">
        <f t="shared" si="44"/>
        <v>6.8523386959291523E-3</v>
      </c>
      <c r="F731">
        <f t="shared" si="45"/>
        <v>-7.269946895994496E-4</v>
      </c>
      <c r="G731">
        <f t="shared" si="46"/>
        <v>0.29132843017578125</v>
      </c>
      <c r="H731">
        <f t="shared" si="47"/>
        <v>-4.999542236328125E-2</v>
      </c>
    </row>
    <row r="732" spans="1:8" x14ac:dyDescent="0.2">
      <c r="A732" t="s">
        <v>4</v>
      </c>
      <c r="B732" s="2">
        <v>45624</v>
      </c>
      <c r="C732">
        <v>43.261699676513672</v>
      </c>
      <c r="D732" t="str">
        <f>_xlfn.XLOOKUP(B732, Oil_Price!A:A, Oil_Price!B:B, "")</f>
        <v/>
      </c>
      <c r="E732">
        <f t="shared" si="44"/>
        <v>1.0633633561378322E-2</v>
      </c>
      <c r="F732" t="str">
        <f t="shared" si="45"/>
        <v/>
      </c>
      <c r="G732">
        <f t="shared" si="46"/>
        <v>0.45518875122070312</v>
      </c>
      <c r="H732" t="str">
        <f t="shared" si="47"/>
        <v/>
      </c>
    </row>
    <row r="733" spans="1:8" x14ac:dyDescent="0.2">
      <c r="A733" t="s">
        <v>4</v>
      </c>
      <c r="B733" s="2">
        <v>45625</v>
      </c>
      <c r="C733">
        <v>43.261699676513672</v>
      </c>
      <c r="D733">
        <f>_xlfn.XLOOKUP(B733, Oil_Price!A:A, Oil_Price!B:B, "")</f>
        <v>68</v>
      </c>
      <c r="E733">
        <f t="shared" si="44"/>
        <v>0</v>
      </c>
      <c r="F733" t="str">
        <f t="shared" si="45"/>
        <v/>
      </c>
      <c r="G733">
        <f t="shared" si="46"/>
        <v>0</v>
      </c>
      <c r="H733" t="str">
        <f t="shared" si="47"/>
        <v/>
      </c>
    </row>
    <row r="734" spans="1:8" x14ac:dyDescent="0.2">
      <c r="A734" t="s">
        <v>4</v>
      </c>
      <c r="B734" s="2">
        <v>45628</v>
      </c>
      <c r="C734">
        <v>42.997692108154297</v>
      </c>
      <c r="D734">
        <f>_xlfn.XLOOKUP(B734, Oil_Price!A:A, Oil_Price!B:B, "")</f>
        <v>68.099998474121094</v>
      </c>
      <c r="E734">
        <f t="shared" si="44"/>
        <v>-6.1025704106281789E-3</v>
      </c>
      <c r="F734">
        <f t="shared" si="45"/>
        <v>1.4705657958984375E-3</v>
      </c>
      <c r="G734">
        <f t="shared" si="46"/>
        <v>-0.264007568359375</v>
      </c>
      <c r="H734">
        <f t="shared" si="47"/>
        <v>9.999847412109375E-2</v>
      </c>
    </row>
    <row r="735" spans="1:8" x14ac:dyDescent="0.2">
      <c r="A735" t="s">
        <v>4</v>
      </c>
      <c r="B735" s="2">
        <v>45629</v>
      </c>
      <c r="C735">
        <v>43.826141357421882</v>
      </c>
      <c r="D735">
        <f>_xlfn.XLOOKUP(B735, Oil_Price!A:A, Oil_Price!B:B, "")</f>
        <v>69.94000244140625</v>
      </c>
      <c r="E735">
        <f t="shared" si="44"/>
        <v>1.9267295723308694E-2</v>
      </c>
      <c r="F735">
        <f t="shared" si="45"/>
        <v>2.7019148436315785E-2</v>
      </c>
      <c r="G735">
        <f t="shared" si="46"/>
        <v>0.82844924926758523</v>
      </c>
      <c r="H735">
        <f t="shared" si="47"/>
        <v>1.8400039672851562</v>
      </c>
    </row>
    <row r="736" spans="1:8" x14ac:dyDescent="0.2">
      <c r="A736" t="s">
        <v>4</v>
      </c>
      <c r="B736" s="2">
        <v>45630</v>
      </c>
      <c r="C736">
        <v>42.405933380126953</v>
      </c>
      <c r="D736">
        <f>_xlfn.XLOOKUP(B736, Oil_Price!A:A, Oil_Price!B:B, "")</f>
        <v>68.540000915527344</v>
      </c>
      <c r="E736">
        <f t="shared" si="44"/>
        <v>-3.2405498939833521E-2</v>
      </c>
      <c r="F736">
        <f t="shared" si="45"/>
        <v>-2.0017178681853605E-2</v>
      </c>
      <c r="G736">
        <f t="shared" si="46"/>
        <v>-1.420207977294929</v>
      </c>
      <c r="H736">
        <f t="shared" si="47"/>
        <v>-1.4000015258789062</v>
      </c>
    </row>
    <row r="737" spans="1:8" x14ac:dyDescent="0.2">
      <c r="A737" t="s">
        <v>4</v>
      </c>
      <c r="B737" s="2">
        <v>45631</v>
      </c>
      <c r="C737">
        <v>42.460559844970703</v>
      </c>
      <c r="D737">
        <f>_xlfn.XLOOKUP(B737, Oil_Price!A:A, Oil_Price!B:B, "")</f>
        <v>68.300003051757812</v>
      </c>
      <c r="E737">
        <f t="shared" si="44"/>
        <v>1.2881797543300875E-3</v>
      </c>
      <c r="F737">
        <f t="shared" si="45"/>
        <v>-3.5015736878281994E-3</v>
      </c>
      <c r="G737">
        <f t="shared" si="46"/>
        <v>5.462646484375E-2</v>
      </c>
      <c r="H737">
        <f t="shared" si="47"/>
        <v>-0.23999786376953125</v>
      </c>
    </row>
    <row r="738" spans="1:8" x14ac:dyDescent="0.2">
      <c r="A738" t="s">
        <v>4</v>
      </c>
      <c r="B738" s="2">
        <v>45632</v>
      </c>
      <c r="C738">
        <v>41.568374633789062</v>
      </c>
      <c r="D738">
        <f>_xlfn.XLOOKUP(B738, Oil_Price!A:A, Oil_Price!B:B, "")</f>
        <v>67.199996948242188</v>
      </c>
      <c r="E738">
        <f t="shared" si="44"/>
        <v>-2.1012092502763282E-2</v>
      </c>
      <c r="F738">
        <f t="shared" si="45"/>
        <v>-1.6105505920432233E-2</v>
      </c>
      <c r="G738">
        <f t="shared" si="46"/>
        <v>-0.89218521118164062</v>
      </c>
      <c r="H738">
        <f t="shared" si="47"/>
        <v>-1.100006103515625</v>
      </c>
    </row>
    <row r="739" spans="1:8" x14ac:dyDescent="0.2">
      <c r="A739" t="s">
        <v>4</v>
      </c>
      <c r="B739" s="2">
        <v>45635</v>
      </c>
      <c r="C739">
        <v>41.786869049072273</v>
      </c>
      <c r="D739">
        <f>_xlfn.XLOOKUP(B739, Oil_Price!A:A, Oil_Price!B:B, "")</f>
        <v>68.370002746582031</v>
      </c>
      <c r="E739">
        <f t="shared" si="44"/>
        <v>5.2562655434116E-3</v>
      </c>
      <c r="F739">
        <f t="shared" si="45"/>
        <v>1.7410801361211203E-2</v>
      </c>
      <c r="G739">
        <f t="shared" si="46"/>
        <v>0.21849441528321023</v>
      </c>
      <c r="H739">
        <f t="shared" si="47"/>
        <v>1.1700057983398438</v>
      </c>
    </row>
    <row r="740" spans="1:8" x14ac:dyDescent="0.2">
      <c r="A740" t="s">
        <v>4</v>
      </c>
      <c r="B740" s="2">
        <v>45636</v>
      </c>
      <c r="C740">
        <v>41.468235015869141</v>
      </c>
      <c r="D740">
        <f>_xlfn.XLOOKUP(B740, Oil_Price!A:A, Oil_Price!B:B, "")</f>
        <v>68.589996337890625</v>
      </c>
      <c r="E740">
        <f t="shared" si="44"/>
        <v>-7.6252191287398269E-3</v>
      </c>
      <c r="F740">
        <f t="shared" si="45"/>
        <v>3.2176917137770882E-3</v>
      </c>
      <c r="G740">
        <f t="shared" si="46"/>
        <v>-0.31863403320313211</v>
      </c>
      <c r="H740">
        <f t="shared" si="47"/>
        <v>0.21999359130859375</v>
      </c>
    </row>
    <row r="741" spans="1:8" x14ac:dyDescent="0.2">
      <c r="A741" t="s">
        <v>4</v>
      </c>
      <c r="B741" s="2">
        <v>45637</v>
      </c>
      <c r="C741">
        <v>41.932533264160163</v>
      </c>
      <c r="D741">
        <f>_xlfn.XLOOKUP(B741, Oil_Price!A:A, Oil_Price!B:B, "")</f>
        <v>70.290000915527344</v>
      </c>
      <c r="E741">
        <f t="shared" si="44"/>
        <v>1.119647962141008E-2</v>
      </c>
      <c r="F741">
        <f t="shared" si="45"/>
        <v>2.4785022137369599E-2</v>
      </c>
      <c r="G741">
        <f t="shared" si="46"/>
        <v>0.46429824829102273</v>
      </c>
      <c r="H741">
        <f t="shared" si="47"/>
        <v>1.7000045776367188</v>
      </c>
    </row>
    <row r="742" spans="1:8" x14ac:dyDescent="0.2">
      <c r="A742" t="s">
        <v>4</v>
      </c>
      <c r="B742" s="2">
        <v>45638</v>
      </c>
      <c r="C742">
        <v>40.985725402832031</v>
      </c>
      <c r="D742">
        <f>_xlfn.XLOOKUP(B742, Oil_Price!A:A, Oil_Price!B:B, "")</f>
        <v>70.019996643066406</v>
      </c>
      <c r="E742">
        <f t="shared" si="44"/>
        <v>-2.2579314618641728E-2</v>
      </c>
      <c r="F742">
        <f t="shared" si="45"/>
        <v>-3.8412899266486206E-3</v>
      </c>
      <c r="G742">
        <f t="shared" si="46"/>
        <v>-0.94680786132813211</v>
      </c>
      <c r="H742">
        <f t="shared" si="47"/>
        <v>-0.2700042724609375</v>
      </c>
    </row>
    <row r="743" spans="1:8" x14ac:dyDescent="0.2">
      <c r="A743" t="s">
        <v>4</v>
      </c>
      <c r="B743" s="2">
        <v>45639</v>
      </c>
      <c r="C743">
        <v>41.28350830078125</v>
      </c>
      <c r="D743">
        <f>_xlfn.XLOOKUP(B743, Oil_Price!A:A, Oil_Price!B:B, "")</f>
        <v>71.290000915527344</v>
      </c>
      <c r="E743">
        <f t="shared" si="44"/>
        <v>7.2655270834523899E-3</v>
      </c>
      <c r="F743">
        <f t="shared" si="45"/>
        <v>1.8137736837305279E-2</v>
      </c>
      <c r="G743">
        <f t="shared" si="46"/>
        <v>0.29778289794921875</v>
      </c>
      <c r="H743">
        <f t="shared" si="47"/>
        <v>1.2700042724609375</v>
      </c>
    </row>
    <row r="744" spans="1:8" x14ac:dyDescent="0.2">
      <c r="A744" t="s">
        <v>4</v>
      </c>
      <c r="B744" s="2">
        <v>45642</v>
      </c>
      <c r="C744">
        <v>40.518310546875</v>
      </c>
      <c r="D744">
        <f>_xlfn.XLOOKUP(B744, Oil_Price!A:A, Oil_Price!B:B, "")</f>
        <v>70.709999084472656</v>
      </c>
      <c r="E744">
        <f t="shared" si="44"/>
        <v>-1.8535192027073179E-2</v>
      </c>
      <c r="F744">
        <f t="shared" si="45"/>
        <v>-8.1358089999457421E-3</v>
      </c>
      <c r="G744">
        <f t="shared" si="46"/>
        <v>-0.76519775390625</v>
      </c>
      <c r="H744">
        <f t="shared" si="47"/>
        <v>-0.5800018310546875</v>
      </c>
    </row>
    <row r="745" spans="1:8" x14ac:dyDescent="0.2">
      <c r="A745" t="s">
        <v>4</v>
      </c>
      <c r="B745" s="2">
        <v>45643</v>
      </c>
      <c r="C745">
        <v>40.380023956298828</v>
      </c>
      <c r="D745">
        <f>_xlfn.XLOOKUP(B745, Oil_Price!A:A, Oil_Price!B:B, "")</f>
        <v>70.080001831054688</v>
      </c>
      <c r="E745">
        <f t="shared" si="44"/>
        <v>-3.4129406855744953E-3</v>
      </c>
      <c r="F745">
        <f t="shared" si="45"/>
        <v>-8.9095921591704711E-3</v>
      </c>
      <c r="G745">
        <f t="shared" si="46"/>
        <v>-0.13828659057617188</v>
      </c>
      <c r="H745">
        <f t="shared" si="47"/>
        <v>-0.62999725341796875</v>
      </c>
    </row>
    <row r="746" spans="1:8" x14ac:dyDescent="0.2">
      <c r="A746" t="s">
        <v>4</v>
      </c>
      <c r="B746" s="2">
        <v>45644</v>
      </c>
      <c r="C746">
        <v>39.494987487792969</v>
      </c>
      <c r="D746">
        <f>_xlfn.XLOOKUP(B746, Oil_Price!A:A, Oil_Price!B:B, "")</f>
        <v>70.580001831054688</v>
      </c>
      <c r="E746">
        <f t="shared" si="44"/>
        <v>-2.1917680620092937E-2</v>
      </c>
      <c r="F746">
        <f t="shared" si="45"/>
        <v>7.1347030099310586E-3</v>
      </c>
      <c r="G746">
        <f t="shared" si="46"/>
        <v>-0.88503646850585938</v>
      </c>
      <c r="H746">
        <f t="shared" si="47"/>
        <v>0.5</v>
      </c>
    </row>
    <row r="747" spans="1:8" x14ac:dyDescent="0.2">
      <c r="A747" t="s">
        <v>4</v>
      </c>
      <c r="B747" s="2">
        <v>45645</v>
      </c>
      <c r="C747">
        <v>39.163097381591797</v>
      </c>
      <c r="D747">
        <f>_xlfn.XLOOKUP(B747, Oil_Price!A:A, Oil_Price!B:B, "")</f>
        <v>69.910003662109375</v>
      </c>
      <c r="E747">
        <f t="shared" si="44"/>
        <v>-8.4033475464133714E-3</v>
      </c>
      <c r="F747">
        <f t="shared" si="45"/>
        <v>-9.4927479677468386E-3</v>
      </c>
      <c r="G747">
        <f t="shared" si="46"/>
        <v>-0.33189010620117188</v>
      </c>
      <c r="H747">
        <f t="shared" si="47"/>
        <v>-0.6699981689453125</v>
      </c>
    </row>
    <row r="748" spans="1:8" x14ac:dyDescent="0.2">
      <c r="A748" t="s">
        <v>4</v>
      </c>
      <c r="B748" s="2">
        <v>45646</v>
      </c>
      <c r="C748">
        <v>39.181529998779297</v>
      </c>
      <c r="D748">
        <f>_xlfn.XLOOKUP(B748, Oil_Price!A:A, Oil_Price!B:B, "")</f>
        <v>69.459999084472656</v>
      </c>
      <c r="E748">
        <f t="shared" si="44"/>
        <v>4.7066290512976785E-4</v>
      </c>
      <c r="F748">
        <f t="shared" si="45"/>
        <v>-6.4369125170081684E-3</v>
      </c>
      <c r="G748">
        <f t="shared" si="46"/>
        <v>1.84326171875E-2</v>
      </c>
      <c r="H748">
        <f t="shared" si="47"/>
        <v>-0.45000457763671875</v>
      </c>
    </row>
    <row r="749" spans="1:8" x14ac:dyDescent="0.2">
      <c r="A749" t="s">
        <v>4</v>
      </c>
      <c r="B749" s="2">
        <v>45649</v>
      </c>
      <c r="C749">
        <v>39.799217224121087</v>
      </c>
      <c r="D749">
        <f>_xlfn.XLOOKUP(B749, Oil_Price!A:A, Oil_Price!B:B, "")</f>
        <v>69.239997863769531</v>
      </c>
      <c r="E749">
        <f t="shared" si="44"/>
        <v>1.5764755111937534E-2</v>
      </c>
      <c r="F749">
        <f t="shared" si="45"/>
        <v>-3.1673081428575038E-3</v>
      </c>
      <c r="G749">
        <f t="shared" si="46"/>
        <v>0.61768722534178977</v>
      </c>
      <c r="H749">
        <f t="shared" si="47"/>
        <v>-0.220001220703125</v>
      </c>
    </row>
    <row r="750" spans="1:8" x14ac:dyDescent="0.2">
      <c r="A750" t="s">
        <v>4</v>
      </c>
      <c r="B750" s="2">
        <v>45650</v>
      </c>
      <c r="C750">
        <v>40.075794219970703</v>
      </c>
      <c r="D750">
        <f>_xlfn.XLOOKUP(B750, Oil_Price!A:A, Oil_Price!B:B, "")</f>
        <v>70.099998474121094</v>
      </c>
      <c r="E750">
        <f t="shared" si="44"/>
        <v>6.9493074271317987E-3</v>
      </c>
      <c r="F750">
        <f t="shared" si="45"/>
        <v>1.2420575344956298E-2</v>
      </c>
      <c r="G750">
        <f t="shared" si="46"/>
        <v>0.27657699584961648</v>
      </c>
      <c r="H750">
        <f t="shared" si="47"/>
        <v>0.8600006103515625</v>
      </c>
    </row>
    <row r="751" spans="1:8" x14ac:dyDescent="0.2">
      <c r="A751" t="s">
        <v>4</v>
      </c>
      <c r="B751" s="2">
        <v>45653</v>
      </c>
      <c r="C751">
        <v>40.085010528564453</v>
      </c>
      <c r="D751">
        <f>_xlfn.XLOOKUP(B751, Oil_Price!A:A, Oil_Price!B:B, "")</f>
        <v>70.599998474121094</v>
      </c>
      <c r="E751">
        <f t="shared" si="44"/>
        <v>2.2997195122728968E-4</v>
      </c>
      <c r="F751">
        <f t="shared" si="45"/>
        <v>7.1326677729470368E-3</v>
      </c>
      <c r="G751">
        <f t="shared" si="46"/>
        <v>9.21630859375E-3</v>
      </c>
      <c r="H751">
        <f t="shared" si="47"/>
        <v>0.5</v>
      </c>
    </row>
    <row r="752" spans="1:8" x14ac:dyDescent="0.2">
      <c r="A752" t="s">
        <v>4</v>
      </c>
      <c r="B752" s="2">
        <v>45656</v>
      </c>
      <c r="C752">
        <v>40.038909912109382</v>
      </c>
      <c r="D752">
        <f>_xlfn.XLOOKUP(B752, Oil_Price!A:A, Oil_Price!B:B, "")</f>
        <v>70.989997863769531</v>
      </c>
      <c r="E752">
        <f t="shared" si="44"/>
        <v>-1.1500712073461939E-3</v>
      </c>
      <c r="F752">
        <f t="shared" si="45"/>
        <v>5.5240707942988757E-3</v>
      </c>
      <c r="G752">
        <f t="shared" si="46"/>
        <v>-4.610061645507102E-2</v>
      </c>
      <c r="H752">
        <f t="shared" si="47"/>
        <v>0.3899993896484375</v>
      </c>
    </row>
    <row r="753" spans="1:8" x14ac:dyDescent="0.2">
      <c r="A753" t="s">
        <v>4</v>
      </c>
      <c r="B753" s="2">
        <v>45657</v>
      </c>
      <c r="C753">
        <v>40.914741516113281</v>
      </c>
      <c r="D753">
        <f>_xlfn.XLOOKUP(B753, Oil_Price!A:A, Oil_Price!B:B, "")</f>
        <v>71.720001220703125</v>
      </c>
      <c r="E753">
        <f t="shared" si="44"/>
        <v>2.1874511716888985E-2</v>
      </c>
      <c r="F753">
        <f t="shared" si="45"/>
        <v>1.0283186067063658E-2</v>
      </c>
      <c r="G753">
        <f t="shared" si="46"/>
        <v>0.87583160400389914</v>
      </c>
      <c r="H753">
        <f t="shared" si="47"/>
        <v>0.73000335693359375</v>
      </c>
    </row>
    <row r="754" spans="1:8" x14ac:dyDescent="0.2">
      <c r="A754" t="s">
        <v>4</v>
      </c>
      <c r="B754" s="2">
        <v>45659</v>
      </c>
      <c r="C754">
        <v>41.652278900146477</v>
      </c>
      <c r="D754">
        <f>_xlfn.XLOOKUP(B754, Oil_Price!A:A, Oil_Price!B:B, "")</f>
        <v>73.129997253417969</v>
      </c>
      <c r="E754">
        <f t="shared" si="44"/>
        <v>1.8026201723472572E-2</v>
      </c>
      <c r="F754">
        <f t="shared" si="45"/>
        <v>1.9659732413777845E-2</v>
      </c>
      <c r="G754">
        <f t="shared" si="46"/>
        <v>0.73753738403319602</v>
      </c>
      <c r="H754">
        <f t="shared" si="47"/>
        <v>1.4099960327148438</v>
      </c>
    </row>
    <row r="755" spans="1:8" x14ac:dyDescent="0.2">
      <c r="A755" t="s">
        <v>4</v>
      </c>
      <c r="B755" s="2">
        <v>45660</v>
      </c>
      <c r="C755">
        <v>42.048702239990227</v>
      </c>
      <c r="D755">
        <f>_xlfn.XLOOKUP(B755, Oil_Price!A:A, Oil_Price!B:B, "")</f>
        <v>73.959999084472656</v>
      </c>
      <c r="E755">
        <f t="shared" si="44"/>
        <v>9.5174465914362235E-3</v>
      </c>
      <c r="F755">
        <f t="shared" si="45"/>
        <v>1.1349676770511498E-2</v>
      </c>
      <c r="G755">
        <f t="shared" si="46"/>
        <v>0.39642333984375</v>
      </c>
      <c r="H755">
        <f t="shared" si="47"/>
        <v>0.8300018310546875</v>
      </c>
    </row>
    <row r="756" spans="1:8" x14ac:dyDescent="0.2">
      <c r="A756" t="s">
        <v>4</v>
      </c>
      <c r="B756" s="2">
        <v>45663</v>
      </c>
      <c r="C756">
        <v>42.620285034179688</v>
      </c>
      <c r="D756">
        <f>_xlfn.XLOOKUP(B756, Oil_Price!A:A, Oil_Price!B:B, "")</f>
        <v>73.55999755859375</v>
      </c>
      <c r="E756">
        <f t="shared" si="44"/>
        <v>1.3593351607552326E-2</v>
      </c>
      <c r="F756">
        <f t="shared" si="45"/>
        <v>-5.408349524478071E-3</v>
      </c>
      <c r="G756">
        <f t="shared" si="46"/>
        <v>0.57158279418946023</v>
      </c>
      <c r="H756">
        <f t="shared" si="47"/>
        <v>-0.40000152587890625</v>
      </c>
    </row>
    <row r="757" spans="1:8" x14ac:dyDescent="0.2">
      <c r="A757" t="s">
        <v>4</v>
      </c>
      <c r="B757" s="2">
        <v>45664</v>
      </c>
      <c r="C757">
        <v>43.339382171630859</v>
      </c>
      <c r="D757">
        <f>_xlfn.XLOOKUP(B757, Oil_Price!A:A, Oil_Price!B:B, "")</f>
        <v>74.25</v>
      </c>
      <c r="E757">
        <f t="shared" si="44"/>
        <v>1.6872180391906952E-2</v>
      </c>
      <c r="F757">
        <f t="shared" si="45"/>
        <v>9.3801313799206278E-3</v>
      </c>
      <c r="G757">
        <f t="shared" si="46"/>
        <v>0.71909713745117188</v>
      </c>
      <c r="H757">
        <f t="shared" si="47"/>
        <v>0.69000244140625</v>
      </c>
    </row>
    <row r="758" spans="1:8" x14ac:dyDescent="0.2">
      <c r="A758" t="s">
        <v>4</v>
      </c>
      <c r="B758" s="2">
        <v>45665</v>
      </c>
      <c r="C758">
        <v>43.320945739746087</v>
      </c>
      <c r="D758">
        <f>_xlfn.XLOOKUP(B758, Oil_Price!A:A, Oil_Price!B:B, "")</f>
        <v>73.319999694824219</v>
      </c>
      <c r="E758">
        <f t="shared" si="44"/>
        <v>-4.2539673989263444E-4</v>
      </c>
      <c r="F758">
        <f t="shared" si="45"/>
        <v>-1.2525256635364057E-2</v>
      </c>
      <c r="G758">
        <f t="shared" si="46"/>
        <v>-1.843643188477273E-2</v>
      </c>
      <c r="H758">
        <f t="shared" si="47"/>
        <v>-0.93000030517578125</v>
      </c>
    </row>
    <row r="759" spans="1:8" x14ac:dyDescent="0.2">
      <c r="A759" t="s">
        <v>4</v>
      </c>
      <c r="B759" s="2">
        <v>45666</v>
      </c>
      <c r="C759">
        <v>43.2471923828125</v>
      </c>
      <c r="D759">
        <f>_xlfn.XLOOKUP(B759, Oil_Price!A:A, Oil_Price!B:B, "")</f>
        <v>73.919998168945312</v>
      </c>
      <c r="E759">
        <f t="shared" si="44"/>
        <v>-1.7024872304650413E-3</v>
      </c>
      <c r="F759">
        <f t="shared" si="45"/>
        <v>8.1832852784838282E-3</v>
      </c>
      <c r="G759">
        <f t="shared" si="46"/>
        <v>-7.3753356933586645E-2</v>
      </c>
      <c r="H759">
        <f t="shared" si="47"/>
        <v>0.59999847412109375</v>
      </c>
    </row>
    <row r="760" spans="1:8" x14ac:dyDescent="0.2">
      <c r="A760" t="s">
        <v>4</v>
      </c>
      <c r="B760" s="2">
        <v>45667</v>
      </c>
      <c r="C760">
        <v>43.579082489013672</v>
      </c>
      <c r="D760">
        <f>_xlfn.XLOOKUP(B760, Oil_Price!A:A, Oil_Price!B:B, "")</f>
        <v>76.569999694824219</v>
      </c>
      <c r="E760">
        <f t="shared" si="44"/>
        <v>7.6742578631086621E-3</v>
      </c>
      <c r="F760">
        <f t="shared" si="45"/>
        <v>3.5849588629889927E-2</v>
      </c>
      <c r="G760">
        <f t="shared" si="46"/>
        <v>0.33189010620117188</v>
      </c>
      <c r="H760">
        <f t="shared" si="47"/>
        <v>2.6500015258789062</v>
      </c>
    </row>
    <row r="761" spans="1:8" x14ac:dyDescent="0.2">
      <c r="A761" t="s">
        <v>4</v>
      </c>
      <c r="B761" s="2">
        <v>45670</v>
      </c>
      <c r="C761">
        <v>41.901191711425781</v>
      </c>
      <c r="D761">
        <f>_xlfn.XLOOKUP(B761, Oil_Price!A:A, Oil_Price!B:B, "")</f>
        <v>78.819999694824219</v>
      </c>
      <c r="E761">
        <f t="shared" si="44"/>
        <v>-3.850220522680551E-2</v>
      </c>
      <c r="F761">
        <f t="shared" si="45"/>
        <v>2.9384876700634097E-2</v>
      </c>
      <c r="G761">
        <f t="shared" si="46"/>
        <v>-1.6778907775878906</v>
      </c>
      <c r="H761">
        <f t="shared" si="47"/>
        <v>2.25</v>
      </c>
    </row>
    <row r="762" spans="1:8" x14ac:dyDescent="0.2">
      <c r="A762" t="s">
        <v>4</v>
      </c>
      <c r="B762" s="2">
        <v>45671</v>
      </c>
      <c r="C762">
        <v>41.726020812988281</v>
      </c>
      <c r="D762">
        <f>_xlfn.XLOOKUP(B762, Oil_Price!A:A, Oil_Price!B:B, "")</f>
        <v>77.5</v>
      </c>
      <c r="E762">
        <f t="shared" si="44"/>
        <v>-4.1805707972199201E-3</v>
      </c>
      <c r="F762">
        <f t="shared" si="45"/>
        <v>-1.6747014716252246E-2</v>
      </c>
      <c r="G762">
        <f t="shared" si="46"/>
        <v>-0.1751708984375</v>
      </c>
      <c r="H762">
        <f t="shared" si="47"/>
        <v>-1.3199996948242188</v>
      </c>
    </row>
    <row r="763" spans="1:8" x14ac:dyDescent="0.2">
      <c r="A763" t="s">
        <v>4</v>
      </c>
      <c r="B763" s="2">
        <v>45672</v>
      </c>
      <c r="C763">
        <v>41.615398406982422</v>
      </c>
      <c r="D763">
        <f>_xlfn.XLOOKUP(B763, Oil_Price!A:A, Oil_Price!B:B, "")</f>
        <v>80.040000915527344</v>
      </c>
      <c r="E763">
        <f t="shared" si="44"/>
        <v>-2.6511611663536665E-3</v>
      </c>
      <c r="F763">
        <f t="shared" si="45"/>
        <v>3.2774205361643147E-2</v>
      </c>
      <c r="G763">
        <f t="shared" si="46"/>
        <v>-0.11062240600585938</v>
      </c>
      <c r="H763">
        <f t="shared" si="47"/>
        <v>2.5400009155273438</v>
      </c>
    </row>
    <row r="764" spans="1:8" x14ac:dyDescent="0.2">
      <c r="A764" t="s">
        <v>4</v>
      </c>
      <c r="B764" s="2">
        <v>45673</v>
      </c>
      <c r="C764">
        <v>40.868640899658203</v>
      </c>
      <c r="D764">
        <f>_xlfn.XLOOKUP(B764, Oil_Price!A:A, Oil_Price!B:B, "")</f>
        <v>78.680000305175781</v>
      </c>
      <c r="E764">
        <f t="shared" si="44"/>
        <v>-1.7944259478696337E-2</v>
      </c>
      <c r="F764">
        <f t="shared" si="45"/>
        <v>-1.699151167910256E-2</v>
      </c>
      <c r="G764">
        <f t="shared" si="46"/>
        <v>-0.74675750732421875</v>
      </c>
      <c r="H764">
        <f t="shared" si="47"/>
        <v>-1.3600006103515625</v>
      </c>
    </row>
    <row r="765" spans="1:8" x14ac:dyDescent="0.2">
      <c r="A765" t="s">
        <v>4</v>
      </c>
      <c r="B765" s="2">
        <v>45674</v>
      </c>
      <c r="C765">
        <v>41.49554443359375</v>
      </c>
      <c r="D765">
        <f>_xlfn.XLOOKUP(B765, Oil_Price!A:A, Oil_Price!B:B, "")</f>
        <v>77.879997253417969</v>
      </c>
      <c r="E765">
        <f t="shared" si="44"/>
        <v>1.5339475943786275E-2</v>
      </c>
      <c r="F765">
        <f t="shared" si="45"/>
        <v>-1.0167806922405237E-2</v>
      </c>
      <c r="G765">
        <f t="shared" si="46"/>
        <v>0.62690353393554688</v>
      </c>
      <c r="H765">
        <f t="shared" si="47"/>
        <v>-0.8000030517578125</v>
      </c>
    </row>
    <row r="766" spans="1:8" x14ac:dyDescent="0.2">
      <c r="A766" t="s">
        <v>4</v>
      </c>
      <c r="B766" s="2">
        <v>45677</v>
      </c>
      <c r="C766">
        <v>43.302509307861328</v>
      </c>
      <c r="D766" t="str">
        <f>_xlfn.XLOOKUP(B766, Oil_Price!A:A, Oil_Price!B:B, "")</f>
        <v/>
      </c>
      <c r="E766">
        <f t="shared" si="44"/>
        <v>4.354599750243799E-2</v>
      </c>
      <c r="F766" t="str">
        <f t="shared" si="45"/>
        <v/>
      </c>
      <c r="G766">
        <f t="shared" si="46"/>
        <v>1.8069648742675781</v>
      </c>
      <c r="H766" t="str">
        <f t="shared" si="47"/>
        <v/>
      </c>
    </row>
    <row r="767" spans="1:8" x14ac:dyDescent="0.2">
      <c r="A767" t="s">
        <v>4</v>
      </c>
      <c r="B767" s="2">
        <v>45678</v>
      </c>
      <c r="C767">
        <v>42.085575103759773</v>
      </c>
      <c r="D767">
        <f>_xlfn.XLOOKUP(B767, Oil_Price!A:A, Oil_Price!B:B, "")</f>
        <v>75.889999389648438</v>
      </c>
      <c r="E767">
        <f t="shared" si="44"/>
        <v>-2.8103087408854338E-2</v>
      </c>
      <c r="F767" t="str">
        <f t="shared" si="45"/>
        <v/>
      </c>
      <c r="G767">
        <f t="shared" si="46"/>
        <v>-1.2169342041015554</v>
      </c>
      <c r="H767" t="str">
        <f t="shared" si="47"/>
        <v/>
      </c>
    </row>
    <row r="768" spans="1:8" x14ac:dyDescent="0.2">
      <c r="A768" t="s">
        <v>4</v>
      </c>
      <c r="B768" s="2">
        <v>45679</v>
      </c>
      <c r="C768">
        <v>41.845874786376953</v>
      </c>
      <c r="D768">
        <f>_xlfn.XLOOKUP(B768, Oil_Price!A:A, Oil_Price!B:B, "")</f>
        <v>75.44000244140625</v>
      </c>
      <c r="E768">
        <f t="shared" si="44"/>
        <v>-5.6955457253904948E-3</v>
      </c>
      <c r="F768">
        <f t="shared" si="45"/>
        <v>-5.9295948328017519E-3</v>
      </c>
      <c r="G768">
        <f t="shared" si="46"/>
        <v>-0.23970031738281961</v>
      </c>
      <c r="H768">
        <f t="shared" si="47"/>
        <v>-0.4499969482421875</v>
      </c>
    </row>
    <row r="769" spans="1:8" x14ac:dyDescent="0.2">
      <c r="A769" t="s">
        <v>4</v>
      </c>
      <c r="B769" s="2">
        <v>45680</v>
      </c>
      <c r="C769">
        <v>41.901191711425781</v>
      </c>
      <c r="D769">
        <f>_xlfn.XLOOKUP(B769, Oil_Price!A:A, Oil_Price!B:B, "")</f>
        <v>74.620002746582031</v>
      </c>
      <c r="E769">
        <f t="shared" si="44"/>
        <v>1.3219206273311489E-3</v>
      </c>
      <c r="F769">
        <f t="shared" si="45"/>
        <v>-1.0869560820350014E-2</v>
      </c>
      <c r="G769">
        <f t="shared" si="46"/>
        <v>5.5316925048828125E-2</v>
      </c>
      <c r="H769">
        <f t="shared" si="47"/>
        <v>-0.81999969482421875</v>
      </c>
    </row>
    <row r="770" spans="1:8" x14ac:dyDescent="0.2">
      <c r="A770" t="s">
        <v>4</v>
      </c>
      <c r="B770" s="2">
        <v>45681</v>
      </c>
      <c r="C770">
        <v>41.440235137939453</v>
      </c>
      <c r="D770">
        <f>_xlfn.XLOOKUP(B770, Oil_Price!A:A, Oil_Price!B:B, "")</f>
        <v>74.660003662109375</v>
      </c>
      <c r="E770">
        <f t="shared" si="44"/>
        <v>-1.100103731323309E-2</v>
      </c>
      <c r="F770">
        <f t="shared" si="45"/>
        <v>5.3606156600116174E-4</v>
      </c>
      <c r="G770">
        <f t="shared" si="46"/>
        <v>-0.46095657348632812</v>
      </c>
      <c r="H770">
        <f t="shared" si="47"/>
        <v>4.000091552734375E-2</v>
      </c>
    </row>
    <row r="771" spans="1:8" x14ac:dyDescent="0.2">
      <c r="A771" t="s">
        <v>4</v>
      </c>
      <c r="B771" s="2">
        <v>45684</v>
      </c>
      <c r="C771">
        <v>41.053020477294922</v>
      </c>
      <c r="D771">
        <f>_xlfn.XLOOKUP(B771, Oil_Price!A:A, Oil_Price!B:B, "")</f>
        <v>73.169998168945312</v>
      </c>
      <c r="E771">
        <f t="shared" ref="E771:E834" si="48">IFERROR(IF(AND(A771=A770, C771&lt;&gt;"", C770&lt;&gt;""), (C771-C770)/C770, ""), "")</f>
        <v>-9.3439301045381284E-3</v>
      </c>
      <c r="F771">
        <f t="shared" ref="F771:F834" si="49">IFERROR(IF(AND(A771=A770, D771&lt;&gt;"", D770&lt;&gt;""), (D771-D770)/D770, ""), "")</f>
        <v>-1.995721162709042E-2</v>
      </c>
      <c r="G771">
        <f t="shared" ref="G771:G834" si="50">IFERROR(IF(AND(A771=A770, C771&lt;&gt;"", C770&lt;&gt;""), C771-C770, ""), "")</f>
        <v>-0.38721466064453125</v>
      </c>
      <c r="H771">
        <f t="shared" ref="H771:H834" si="51">IFERROR(IF(AND(A771=A770, D771&lt;&gt;"", D770&lt;&gt;""), D771-D770, ""), "")</f>
        <v>-1.4900054931640625</v>
      </c>
    </row>
    <row r="772" spans="1:8" x14ac:dyDescent="0.2">
      <c r="A772" t="s">
        <v>4</v>
      </c>
      <c r="B772" s="2">
        <v>45685</v>
      </c>
      <c r="C772">
        <v>40.361587524414062</v>
      </c>
      <c r="D772">
        <f>_xlfn.XLOOKUP(B772, Oil_Price!A:A, Oil_Price!B:B, "")</f>
        <v>73.769996643066406</v>
      </c>
      <c r="E772">
        <f t="shared" si="48"/>
        <v>-1.6842438018982508E-2</v>
      </c>
      <c r="F772">
        <f t="shared" si="49"/>
        <v>8.2000613521368663E-3</v>
      </c>
      <c r="G772">
        <f t="shared" si="50"/>
        <v>-0.69143295288085938</v>
      </c>
      <c r="H772">
        <f t="shared" si="51"/>
        <v>0.59999847412109375</v>
      </c>
    </row>
    <row r="773" spans="1:8" x14ac:dyDescent="0.2">
      <c r="A773" t="s">
        <v>4</v>
      </c>
      <c r="B773" s="2">
        <v>45686</v>
      </c>
      <c r="C773">
        <v>40.804103851318359</v>
      </c>
      <c r="D773">
        <f>_xlfn.XLOOKUP(B773, Oil_Price!A:A, Oil_Price!B:B, "")</f>
        <v>72.620002746582031</v>
      </c>
      <c r="E773">
        <f t="shared" si="48"/>
        <v>1.0963798850494323E-2</v>
      </c>
      <c r="F773">
        <f t="shared" si="49"/>
        <v>-1.558891078779061E-2</v>
      </c>
      <c r="G773">
        <f t="shared" si="50"/>
        <v>0.44251632690429688</v>
      </c>
      <c r="H773">
        <f t="shared" si="51"/>
        <v>-1.149993896484375</v>
      </c>
    </row>
    <row r="774" spans="1:8" x14ac:dyDescent="0.2">
      <c r="A774" t="s">
        <v>4</v>
      </c>
      <c r="B774" s="2">
        <v>45687</v>
      </c>
      <c r="C774">
        <v>41.30194091796875</v>
      </c>
      <c r="D774">
        <f>_xlfn.XLOOKUP(B774, Oil_Price!A:A, Oil_Price!B:B, "")</f>
        <v>72.730003356933594</v>
      </c>
      <c r="E774">
        <f t="shared" si="48"/>
        <v>1.2200661689922294E-2</v>
      </c>
      <c r="F774">
        <f t="shared" si="49"/>
        <v>1.5147425804351109E-3</v>
      </c>
      <c r="G774">
        <f t="shared" si="50"/>
        <v>0.49783706665039062</v>
      </c>
      <c r="H774">
        <f t="shared" si="51"/>
        <v>0.1100006103515625</v>
      </c>
    </row>
    <row r="775" spans="1:8" x14ac:dyDescent="0.2">
      <c r="A775" t="s">
        <v>4</v>
      </c>
      <c r="B775" s="2">
        <v>45688</v>
      </c>
      <c r="C775">
        <v>40.70269775390625</v>
      </c>
      <c r="D775">
        <f>_xlfn.XLOOKUP(B775, Oil_Price!A:A, Oil_Price!B:B, "")</f>
        <v>72.529998779296875</v>
      </c>
      <c r="E775">
        <f t="shared" si="48"/>
        <v>-1.4508837859525248E-2</v>
      </c>
      <c r="F775">
        <f t="shared" si="49"/>
        <v>-2.7499596920842386E-3</v>
      </c>
      <c r="G775">
        <f t="shared" si="50"/>
        <v>-0.5992431640625</v>
      </c>
      <c r="H775">
        <f t="shared" si="51"/>
        <v>-0.20000457763671875</v>
      </c>
    </row>
    <row r="776" spans="1:8" x14ac:dyDescent="0.2">
      <c r="A776" t="s">
        <v>4</v>
      </c>
      <c r="B776" s="2">
        <v>45691</v>
      </c>
      <c r="C776">
        <v>40.31549072265625</v>
      </c>
      <c r="D776">
        <f>_xlfn.XLOOKUP(B776, Oil_Price!A:A, Oil_Price!B:B, "")</f>
        <v>73.160003662109375</v>
      </c>
      <c r="E776">
        <f t="shared" si="48"/>
        <v>-9.5130557092579851E-3</v>
      </c>
      <c r="F776">
        <f t="shared" si="49"/>
        <v>8.6861284077717378E-3</v>
      </c>
      <c r="G776">
        <f t="shared" si="50"/>
        <v>-0.38720703125</v>
      </c>
      <c r="H776">
        <f t="shared" si="51"/>
        <v>0.6300048828125</v>
      </c>
    </row>
    <row r="777" spans="1:8" x14ac:dyDescent="0.2">
      <c r="A777" t="s">
        <v>4</v>
      </c>
      <c r="B777" s="2">
        <v>45692</v>
      </c>
      <c r="C777">
        <v>40.933177947998047</v>
      </c>
      <c r="D777">
        <f>_xlfn.XLOOKUP(B777, Oil_Price!A:A, Oil_Price!B:B, "")</f>
        <v>72.699996948242188</v>
      </c>
      <c r="E777">
        <f t="shared" si="48"/>
        <v>1.5321337140382935E-2</v>
      </c>
      <c r="F777">
        <f t="shared" si="49"/>
        <v>-6.2876803012713849E-3</v>
      </c>
      <c r="G777">
        <f t="shared" si="50"/>
        <v>0.61768722534179688</v>
      </c>
      <c r="H777">
        <f t="shared" si="51"/>
        <v>-0.4600067138671875</v>
      </c>
    </row>
    <row r="778" spans="1:8" x14ac:dyDescent="0.2">
      <c r="A778" t="s">
        <v>4</v>
      </c>
      <c r="B778" s="2">
        <v>45693</v>
      </c>
      <c r="C778">
        <v>41.080684661865227</v>
      </c>
      <c r="D778">
        <f>_xlfn.XLOOKUP(B778, Oil_Price!A:A, Oil_Price!B:B, "")</f>
        <v>71.029998779296875</v>
      </c>
      <c r="E778">
        <f t="shared" si="48"/>
        <v>3.6035978944653291E-3</v>
      </c>
      <c r="F778">
        <f t="shared" si="49"/>
        <v>-2.2971089945632954E-2</v>
      </c>
      <c r="G778">
        <f t="shared" si="50"/>
        <v>0.14750671386718039</v>
      </c>
      <c r="H778">
        <f t="shared" si="51"/>
        <v>-1.6699981689453125</v>
      </c>
    </row>
    <row r="779" spans="1:8" x14ac:dyDescent="0.2">
      <c r="A779" t="s">
        <v>4</v>
      </c>
      <c r="B779" s="2">
        <v>45694</v>
      </c>
      <c r="C779">
        <v>40.518310546875</v>
      </c>
      <c r="D779">
        <f>_xlfn.XLOOKUP(B779, Oil_Price!A:A, Oil_Price!B:B, "")</f>
        <v>70.610000610351562</v>
      </c>
      <c r="E779">
        <f t="shared" si="48"/>
        <v>-1.3689502003657532E-2</v>
      </c>
      <c r="F779">
        <f t="shared" si="49"/>
        <v>-5.9129688323707168E-3</v>
      </c>
      <c r="G779">
        <f t="shared" si="50"/>
        <v>-0.56237411499022727</v>
      </c>
      <c r="H779">
        <f t="shared" si="51"/>
        <v>-0.4199981689453125</v>
      </c>
    </row>
    <row r="780" spans="1:8" x14ac:dyDescent="0.2">
      <c r="A780" t="s">
        <v>4</v>
      </c>
      <c r="B780" s="2">
        <v>45695</v>
      </c>
      <c r="C780">
        <v>40.029689788818359</v>
      </c>
      <c r="D780">
        <f>_xlfn.XLOOKUP(B780, Oil_Price!A:A, Oil_Price!B:B, "")</f>
        <v>71</v>
      </c>
      <c r="E780">
        <f t="shared" si="48"/>
        <v>-1.2059257937010057E-2</v>
      </c>
      <c r="F780">
        <f t="shared" si="49"/>
        <v>5.5232882917049973E-3</v>
      </c>
      <c r="G780">
        <f t="shared" si="50"/>
        <v>-0.48862075805664062</v>
      </c>
      <c r="H780">
        <f t="shared" si="51"/>
        <v>0.3899993896484375</v>
      </c>
    </row>
    <row r="781" spans="1:8" x14ac:dyDescent="0.2">
      <c r="A781" t="s">
        <v>4</v>
      </c>
      <c r="B781" s="2">
        <v>45698</v>
      </c>
      <c r="C781">
        <v>40.499870300292969</v>
      </c>
      <c r="D781">
        <f>_xlfn.XLOOKUP(B781, Oil_Price!A:A, Oil_Price!B:B, "")</f>
        <v>72.319999694824219</v>
      </c>
      <c r="E781">
        <f t="shared" si="48"/>
        <v>1.1745794532885604E-2</v>
      </c>
      <c r="F781">
        <f t="shared" si="49"/>
        <v>1.8591544997524207E-2</v>
      </c>
      <c r="G781">
        <f t="shared" si="50"/>
        <v>0.47018051147460938</v>
      </c>
      <c r="H781">
        <f t="shared" si="51"/>
        <v>1.3199996948242188</v>
      </c>
    </row>
    <row r="782" spans="1:8" x14ac:dyDescent="0.2">
      <c r="A782" t="s">
        <v>4</v>
      </c>
      <c r="B782" s="2">
        <v>45699</v>
      </c>
      <c r="C782">
        <v>40.730358123779297</v>
      </c>
      <c r="D782">
        <f>_xlfn.XLOOKUP(B782, Oil_Price!A:A, Oil_Price!B:B, "")</f>
        <v>73.319999694824219</v>
      </c>
      <c r="E782">
        <f t="shared" si="48"/>
        <v>5.6910755954855691E-3</v>
      </c>
      <c r="F782">
        <f t="shared" si="49"/>
        <v>1.382743368666756E-2</v>
      </c>
      <c r="G782">
        <f t="shared" si="50"/>
        <v>0.23048782348632812</v>
      </c>
      <c r="H782">
        <f t="shared" si="51"/>
        <v>1</v>
      </c>
    </row>
    <row r="783" spans="1:8" x14ac:dyDescent="0.2">
      <c r="A783" t="s">
        <v>4</v>
      </c>
      <c r="B783" s="2">
        <v>45700</v>
      </c>
      <c r="C783">
        <v>39.550304412841797</v>
      </c>
      <c r="D783">
        <f>_xlfn.XLOOKUP(B783, Oil_Price!A:A, Oil_Price!B:B, "")</f>
        <v>71.370002746582031</v>
      </c>
      <c r="E783">
        <f t="shared" si="48"/>
        <v>-2.8972338209041135E-2</v>
      </c>
      <c r="F783">
        <f t="shared" si="49"/>
        <v>-2.6595703169101908E-2</v>
      </c>
      <c r="G783">
        <f t="shared" si="50"/>
        <v>-1.1800537109375</v>
      </c>
      <c r="H783">
        <f t="shared" si="51"/>
        <v>-1.9499969482421875</v>
      </c>
    </row>
    <row r="784" spans="1:8" x14ac:dyDescent="0.2">
      <c r="A784" t="s">
        <v>4</v>
      </c>
      <c r="B784" s="2">
        <v>45701</v>
      </c>
      <c r="C784">
        <v>39.762340545654297</v>
      </c>
      <c r="D784">
        <f>_xlfn.XLOOKUP(B784, Oil_Price!A:A, Oil_Price!B:B, "")</f>
        <v>71.290000915527344</v>
      </c>
      <c r="E784">
        <f t="shared" si="48"/>
        <v>5.3611757471998846E-3</v>
      </c>
      <c r="F784">
        <f t="shared" si="49"/>
        <v>-1.120944766371315E-3</v>
      </c>
      <c r="G784">
        <f t="shared" si="50"/>
        <v>0.2120361328125</v>
      </c>
      <c r="H784">
        <f t="shared" si="51"/>
        <v>-8.00018310546875E-2</v>
      </c>
    </row>
    <row r="785" spans="1:8" x14ac:dyDescent="0.2">
      <c r="A785" t="s">
        <v>4</v>
      </c>
      <c r="B785" s="2">
        <v>45702</v>
      </c>
      <c r="C785">
        <v>39.3382568359375</v>
      </c>
      <c r="D785">
        <f>_xlfn.XLOOKUP(B785, Oil_Price!A:A, Oil_Price!B:B, "")</f>
        <v>70.739997863769531</v>
      </c>
      <c r="E785">
        <f t="shared" si="48"/>
        <v>-1.0665461436553834E-2</v>
      </c>
      <c r="F785">
        <f t="shared" si="49"/>
        <v>-7.7150097446277198E-3</v>
      </c>
      <c r="G785">
        <f t="shared" si="50"/>
        <v>-0.42408370971679688</v>
      </c>
      <c r="H785">
        <f t="shared" si="51"/>
        <v>-0.5500030517578125</v>
      </c>
    </row>
    <row r="786" spans="1:8" x14ac:dyDescent="0.2">
      <c r="A786" t="s">
        <v>4</v>
      </c>
      <c r="B786" s="2">
        <v>45706</v>
      </c>
      <c r="C786">
        <v>39.734683990478523</v>
      </c>
      <c r="D786">
        <f>_xlfn.XLOOKUP(B786, Oil_Price!A:A, Oil_Price!B:B, "")</f>
        <v>71.849998474121094</v>
      </c>
      <c r="E786">
        <f t="shared" si="48"/>
        <v>1.0077395045600148E-2</v>
      </c>
      <c r="F786">
        <f t="shared" si="49"/>
        <v>1.5691272884813933E-2</v>
      </c>
      <c r="G786">
        <f t="shared" si="50"/>
        <v>0.39642715454102273</v>
      </c>
      <c r="H786">
        <f t="shared" si="51"/>
        <v>1.1100006103515625</v>
      </c>
    </row>
    <row r="787" spans="1:8" x14ac:dyDescent="0.2">
      <c r="A787" t="s">
        <v>4</v>
      </c>
      <c r="B787" s="2">
        <v>45707</v>
      </c>
      <c r="C787">
        <v>39.9190673828125</v>
      </c>
      <c r="D787">
        <f>_xlfn.XLOOKUP(B787, Oil_Price!A:A, Oil_Price!B:B, "")</f>
        <v>72.25</v>
      </c>
      <c r="E787">
        <f t="shared" si="48"/>
        <v>4.6403638790272093E-3</v>
      </c>
      <c r="F787">
        <f t="shared" si="49"/>
        <v>5.5671751478600052E-3</v>
      </c>
      <c r="G787">
        <f t="shared" si="50"/>
        <v>0.18438339233397727</v>
      </c>
      <c r="H787">
        <f t="shared" si="51"/>
        <v>0.40000152587890625</v>
      </c>
    </row>
    <row r="788" spans="1:8" x14ac:dyDescent="0.2">
      <c r="A788" t="s">
        <v>4</v>
      </c>
      <c r="B788" s="2">
        <v>45708</v>
      </c>
      <c r="C788">
        <v>40.103450775146477</v>
      </c>
      <c r="D788">
        <f>_xlfn.XLOOKUP(B788, Oil_Price!A:A, Oil_Price!B:B, "")</f>
        <v>72.569999694824219</v>
      </c>
      <c r="E788">
        <f t="shared" si="48"/>
        <v>4.6189303614183417E-3</v>
      </c>
      <c r="F788">
        <f t="shared" si="49"/>
        <v>4.4290615200583911E-3</v>
      </c>
      <c r="G788">
        <f t="shared" si="50"/>
        <v>0.18438339233397727</v>
      </c>
      <c r="H788">
        <f t="shared" si="51"/>
        <v>0.31999969482421875</v>
      </c>
    </row>
    <row r="789" spans="1:8" x14ac:dyDescent="0.2">
      <c r="A789" t="s">
        <v>4</v>
      </c>
      <c r="B789" s="2">
        <v>45709</v>
      </c>
      <c r="C789">
        <v>39.329036712646477</v>
      </c>
      <c r="D789">
        <f>_xlfn.XLOOKUP(B789, Oil_Price!A:A, Oil_Price!B:B, "")</f>
        <v>70.400001525878906</v>
      </c>
      <c r="E789">
        <f t="shared" si="48"/>
        <v>-1.9310409641355147E-2</v>
      </c>
      <c r="F789">
        <f t="shared" si="49"/>
        <v>-2.9902138322595025E-2</v>
      </c>
      <c r="G789">
        <f t="shared" si="50"/>
        <v>-0.7744140625</v>
      </c>
      <c r="H789">
        <f t="shared" si="51"/>
        <v>-2.1699981689453125</v>
      </c>
    </row>
    <row r="790" spans="1:8" x14ac:dyDescent="0.2">
      <c r="A790" t="s">
        <v>4</v>
      </c>
      <c r="B790" s="2">
        <v>45712</v>
      </c>
      <c r="C790">
        <v>38.619155883789062</v>
      </c>
      <c r="D790">
        <f>_xlfn.XLOOKUP(B790, Oil_Price!A:A, Oil_Price!B:B, "")</f>
        <v>70.699996948242188</v>
      </c>
      <c r="E790">
        <f t="shared" si="48"/>
        <v>-1.8049789371758208E-2</v>
      </c>
      <c r="F790">
        <f t="shared" si="49"/>
        <v>4.2612985207536322E-3</v>
      </c>
      <c r="G790">
        <f t="shared" si="50"/>
        <v>-0.70988082885741477</v>
      </c>
      <c r="H790">
        <f t="shared" si="51"/>
        <v>0.29999542236328125</v>
      </c>
    </row>
    <row r="791" spans="1:8" x14ac:dyDescent="0.2">
      <c r="A791" t="s">
        <v>4</v>
      </c>
      <c r="B791" s="2">
        <v>45713</v>
      </c>
      <c r="C791">
        <v>38.038349151611328</v>
      </c>
      <c r="D791">
        <f>_xlfn.XLOOKUP(B791, Oil_Price!A:A, Oil_Price!B:B, "")</f>
        <v>68.930000305175781</v>
      </c>
      <c r="E791">
        <f t="shared" si="48"/>
        <v>-1.5039343012195049E-2</v>
      </c>
      <c r="F791">
        <f t="shared" si="49"/>
        <v>-2.5035314278191261E-2</v>
      </c>
      <c r="G791">
        <f t="shared" si="50"/>
        <v>-0.58080673217773438</v>
      </c>
      <c r="H791">
        <f t="shared" si="51"/>
        <v>-1.7699966430664062</v>
      </c>
    </row>
    <row r="792" spans="1:8" x14ac:dyDescent="0.2">
      <c r="A792" t="s">
        <v>4</v>
      </c>
      <c r="B792" s="2">
        <v>45714</v>
      </c>
      <c r="C792">
        <v>37.872406005859382</v>
      </c>
      <c r="D792">
        <f>_xlfn.XLOOKUP(B792, Oil_Price!A:A, Oil_Price!B:B, "")</f>
        <v>68.620002746582031</v>
      </c>
      <c r="E792">
        <f t="shared" si="48"/>
        <v>-4.3625222821983738E-3</v>
      </c>
      <c r="F792">
        <f t="shared" si="49"/>
        <v>-4.4972806792585064E-3</v>
      </c>
      <c r="G792">
        <f t="shared" si="50"/>
        <v>-0.16594314575194602</v>
      </c>
      <c r="H792">
        <f t="shared" si="51"/>
        <v>-0.30999755859375</v>
      </c>
    </row>
    <row r="793" spans="1:8" x14ac:dyDescent="0.2">
      <c r="A793" t="s">
        <v>4</v>
      </c>
      <c r="B793" s="2">
        <v>45715</v>
      </c>
      <c r="C793">
        <v>37.614269256591797</v>
      </c>
      <c r="D793">
        <f>_xlfn.XLOOKUP(B793, Oil_Price!A:A, Oil_Price!B:B, "")</f>
        <v>70.349998474121094</v>
      </c>
      <c r="E793">
        <f t="shared" si="48"/>
        <v>-6.8159585432107988E-3</v>
      </c>
      <c r="F793">
        <f t="shared" si="49"/>
        <v>2.5211245384644549E-2</v>
      </c>
      <c r="G793">
        <f t="shared" si="50"/>
        <v>-0.25813674926758523</v>
      </c>
      <c r="H793">
        <f t="shared" si="51"/>
        <v>1.7299957275390625</v>
      </c>
    </row>
    <row r="794" spans="1:8" x14ac:dyDescent="0.2">
      <c r="A794" t="s">
        <v>4</v>
      </c>
      <c r="B794" s="2">
        <v>45716</v>
      </c>
      <c r="C794">
        <v>37.660366058349609</v>
      </c>
      <c r="D794">
        <f>_xlfn.XLOOKUP(B794, Oil_Price!A:A, Oil_Price!B:B, "")</f>
        <v>69.760002136230469</v>
      </c>
      <c r="E794">
        <f t="shared" si="48"/>
        <v>1.2255136858662797E-3</v>
      </c>
      <c r="F794">
        <f t="shared" si="49"/>
        <v>-8.3865863637176997E-3</v>
      </c>
      <c r="G794">
        <f t="shared" si="50"/>
        <v>4.60968017578125E-2</v>
      </c>
      <c r="H794">
        <f t="shared" si="51"/>
        <v>-0.589996337890625</v>
      </c>
    </row>
    <row r="795" spans="1:8" x14ac:dyDescent="0.2">
      <c r="A795" t="s">
        <v>4</v>
      </c>
      <c r="B795" s="2">
        <v>45719</v>
      </c>
      <c r="C795">
        <v>35.724338531494141</v>
      </c>
      <c r="D795">
        <f>_xlfn.XLOOKUP(B795, Oil_Price!A:A, Oil_Price!B:B, "")</f>
        <v>68.370002746582031</v>
      </c>
      <c r="E795">
        <f t="shared" si="48"/>
        <v>-5.1407559975807399E-2</v>
      </c>
      <c r="F795">
        <f t="shared" si="49"/>
        <v>-1.9925449356122213E-2</v>
      </c>
      <c r="G795">
        <f t="shared" si="50"/>
        <v>-1.9360275268554688</v>
      </c>
      <c r="H795">
        <f t="shared" si="51"/>
        <v>-1.3899993896484375</v>
      </c>
    </row>
    <row r="796" spans="1:8" x14ac:dyDescent="0.2">
      <c r="A796" t="s">
        <v>4</v>
      </c>
      <c r="B796" s="2">
        <v>45720</v>
      </c>
      <c r="C796">
        <v>35.936378479003913</v>
      </c>
      <c r="D796">
        <f>_xlfn.XLOOKUP(B796, Oil_Price!A:A, Oil_Price!B:B, "")</f>
        <v>68.260002136230469</v>
      </c>
      <c r="E796">
        <f t="shared" si="48"/>
        <v>5.9354478270560816E-3</v>
      </c>
      <c r="F796">
        <f t="shared" si="49"/>
        <v>-1.6089016517856097E-3</v>
      </c>
      <c r="G796">
        <f t="shared" si="50"/>
        <v>0.21203994750977273</v>
      </c>
      <c r="H796">
        <f t="shared" si="51"/>
        <v>-0.1100006103515625</v>
      </c>
    </row>
    <row r="797" spans="1:8" x14ac:dyDescent="0.2">
      <c r="A797" t="s">
        <v>4</v>
      </c>
      <c r="B797" s="2">
        <v>45721</v>
      </c>
      <c r="C797">
        <v>36.332805633544922</v>
      </c>
      <c r="D797">
        <f>_xlfn.XLOOKUP(B797, Oil_Price!A:A, Oil_Price!B:B, "")</f>
        <v>66.30999755859375</v>
      </c>
      <c r="E797">
        <f t="shared" si="48"/>
        <v>1.1031360735824393E-2</v>
      </c>
      <c r="F797">
        <f t="shared" si="49"/>
        <v>-2.8567309062560251E-2</v>
      </c>
      <c r="G797">
        <f t="shared" si="50"/>
        <v>0.39642715454100852</v>
      </c>
      <c r="H797">
        <f t="shared" si="51"/>
        <v>-1.9500045776367188</v>
      </c>
    </row>
    <row r="798" spans="1:8" x14ac:dyDescent="0.2">
      <c r="A798" t="s">
        <v>4</v>
      </c>
      <c r="B798" s="2">
        <v>45722</v>
      </c>
      <c r="C798">
        <v>36.830638885498047</v>
      </c>
      <c r="D798">
        <f>_xlfn.XLOOKUP(B798, Oil_Price!A:A, Oil_Price!B:B, "")</f>
        <v>66.360000610351562</v>
      </c>
      <c r="E798">
        <f t="shared" si="48"/>
        <v>1.3702031628779348E-2</v>
      </c>
      <c r="F798">
        <f t="shared" si="49"/>
        <v>7.5408013269233072E-4</v>
      </c>
      <c r="G798">
        <f t="shared" si="50"/>
        <v>0.497833251953125</v>
      </c>
      <c r="H798">
        <f t="shared" si="51"/>
        <v>5.00030517578125E-2</v>
      </c>
    </row>
    <row r="799" spans="1:8" x14ac:dyDescent="0.2">
      <c r="A799" t="s">
        <v>4</v>
      </c>
      <c r="B799" s="2">
        <v>45723</v>
      </c>
      <c r="C799">
        <v>37.5589599609375</v>
      </c>
      <c r="D799">
        <f>_xlfn.XLOOKUP(B799, Oil_Price!A:A, Oil_Price!B:B, "")</f>
        <v>67.040000915527344</v>
      </c>
      <c r="E799">
        <f t="shared" si="48"/>
        <v>1.9774869442360593E-2</v>
      </c>
      <c r="F799">
        <f t="shared" si="49"/>
        <v>1.0247141333957542E-2</v>
      </c>
      <c r="G799">
        <f t="shared" si="50"/>
        <v>0.72832107543945312</v>
      </c>
      <c r="H799">
        <f t="shared" si="51"/>
        <v>0.68000030517578125</v>
      </c>
    </row>
    <row r="800" spans="1:8" x14ac:dyDescent="0.2">
      <c r="A800" t="s">
        <v>4</v>
      </c>
      <c r="B800" s="2">
        <v>45726</v>
      </c>
      <c r="C800">
        <v>37.715682983398438</v>
      </c>
      <c r="D800">
        <f>_xlfn.XLOOKUP(B800, Oil_Price!A:A, Oil_Price!B:B, "")</f>
        <v>66.029998779296875</v>
      </c>
      <c r="E800">
        <f t="shared" si="48"/>
        <v>4.1727199747792374E-3</v>
      </c>
      <c r="F800">
        <f t="shared" si="49"/>
        <v>-1.50656641175036E-2</v>
      </c>
      <c r="G800">
        <f t="shared" si="50"/>
        <v>0.1567230224609375</v>
      </c>
      <c r="H800">
        <f t="shared" si="51"/>
        <v>-1.0100021362304688</v>
      </c>
    </row>
    <row r="801" spans="1:8" x14ac:dyDescent="0.2">
      <c r="A801" t="s">
        <v>4</v>
      </c>
      <c r="B801" s="2">
        <v>45727</v>
      </c>
      <c r="C801">
        <v>38.167423248291023</v>
      </c>
      <c r="D801">
        <f>_xlfn.XLOOKUP(B801, Oil_Price!A:A, Oil_Price!B:B, "")</f>
        <v>66.25</v>
      </c>
      <c r="E801">
        <f t="shared" si="48"/>
        <v>1.1977517816432776E-2</v>
      </c>
      <c r="F801">
        <f t="shared" si="49"/>
        <v>3.3318374189051847E-3</v>
      </c>
      <c r="G801">
        <f t="shared" si="50"/>
        <v>0.45174026489258523</v>
      </c>
      <c r="H801">
        <f t="shared" si="51"/>
        <v>0.220001220703125</v>
      </c>
    </row>
    <row r="802" spans="1:8" x14ac:dyDescent="0.2">
      <c r="A802" t="s">
        <v>4</v>
      </c>
      <c r="B802" s="2">
        <v>45728</v>
      </c>
      <c r="C802">
        <v>38.739009857177727</v>
      </c>
      <c r="D802">
        <f>_xlfn.XLOOKUP(B802, Oil_Price!A:A, Oil_Price!B:B, "")</f>
        <v>67.680000305175781</v>
      </c>
      <c r="E802">
        <f t="shared" si="48"/>
        <v>1.4975771488904423E-2</v>
      </c>
      <c r="F802">
        <f t="shared" si="49"/>
        <v>2.1584910266804244E-2</v>
      </c>
      <c r="G802">
        <f t="shared" si="50"/>
        <v>0.57158660888670454</v>
      </c>
      <c r="H802">
        <f t="shared" si="51"/>
        <v>1.4300003051757812</v>
      </c>
    </row>
    <row r="803" spans="1:8" x14ac:dyDescent="0.2">
      <c r="A803" t="s">
        <v>4</v>
      </c>
      <c r="B803" s="2">
        <v>45729</v>
      </c>
      <c r="C803">
        <v>38.158203125</v>
      </c>
      <c r="D803">
        <f>_xlfn.XLOOKUP(B803, Oil_Price!A:A, Oil_Price!B:B, "")</f>
        <v>66.550003051757812</v>
      </c>
      <c r="E803">
        <f t="shared" si="48"/>
        <v>-1.499281304088656E-2</v>
      </c>
      <c r="F803">
        <f t="shared" si="49"/>
        <v>-1.6696176836919326E-2</v>
      </c>
      <c r="G803">
        <f t="shared" si="50"/>
        <v>-0.58080673217772727</v>
      </c>
      <c r="H803">
        <f t="shared" si="51"/>
        <v>-1.1299972534179688</v>
      </c>
    </row>
    <row r="804" spans="1:8" x14ac:dyDescent="0.2">
      <c r="A804" t="s">
        <v>4</v>
      </c>
      <c r="B804" s="2">
        <v>45730</v>
      </c>
      <c r="C804">
        <v>38.914180755615227</v>
      </c>
      <c r="D804">
        <f>_xlfn.XLOOKUP(B804, Oil_Price!A:A, Oil_Price!B:B, "")</f>
        <v>67.180000305175781</v>
      </c>
      <c r="E804">
        <f t="shared" si="48"/>
        <v>1.9811667445103976E-2</v>
      </c>
      <c r="F804">
        <f t="shared" si="49"/>
        <v>9.4665247863024455E-3</v>
      </c>
      <c r="G804">
        <f t="shared" si="50"/>
        <v>0.75597763061522727</v>
      </c>
      <c r="H804">
        <f t="shared" si="51"/>
        <v>0.62999725341796875</v>
      </c>
    </row>
    <row r="805" spans="1:8" x14ac:dyDescent="0.2">
      <c r="A805" t="s">
        <v>4</v>
      </c>
      <c r="B805" s="2">
        <v>45733</v>
      </c>
      <c r="C805">
        <v>39.264503479003913</v>
      </c>
      <c r="D805">
        <f>_xlfn.XLOOKUP(B805, Oil_Price!A:A, Oil_Price!B:B, "")</f>
        <v>67.580001831054688</v>
      </c>
      <c r="E805">
        <f t="shared" si="48"/>
        <v>9.0024437515142941E-3</v>
      </c>
      <c r="F805">
        <f t="shared" si="49"/>
        <v>5.9541757079761238E-3</v>
      </c>
      <c r="G805">
        <f t="shared" si="50"/>
        <v>0.35032272338868609</v>
      </c>
      <c r="H805">
        <f t="shared" si="51"/>
        <v>0.40000152587890625</v>
      </c>
    </row>
    <row r="806" spans="1:8" x14ac:dyDescent="0.2">
      <c r="A806" t="s">
        <v>4</v>
      </c>
      <c r="B806" s="2">
        <v>45734</v>
      </c>
      <c r="C806">
        <v>39.504203796386719</v>
      </c>
      <c r="D806">
        <f>_xlfn.XLOOKUP(B806, Oil_Price!A:A, Oil_Price!B:B, "")</f>
        <v>66.900001525878906</v>
      </c>
      <c r="E806">
        <f t="shared" si="48"/>
        <v>6.1047586533465635E-3</v>
      </c>
      <c r="F806">
        <f t="shared" si="49"/>
        <v>-1.0062152807804516E-2</v>
      </c>
      <c r="G806">
        <f t="shared" si="50"/>
        <v>0.23970031738280539</v>
      </c>
      <c r="H806">
        <f t="shared" si="51"/>
        <v>-0.68000030517578125</v>
      </c>
    </row>
    <row r="807" spans="1:8" x14ac:dyDescent="0.2">
      <c r="A807" t="s">
        <v>4</v>
      </c>
      <c r="B807" s="2">
        <v>45735</v>
      </c>
      <c r="C807">
        <v>40.573631286621087</v>
      </c>
      <c r="D807">
        <f>_xlfn.XLOOKUP(B807, Oil_Price!A:A, Oil_Price!B:B, "")</f>
        <v>67.160003662109375</v>
      </c>
      <c r="E807">
        <f t="shared" si="48"/>
        <v>2.7071232614797918E-2</v>
      </c>
      <c r="F807">
        <f t="shared" si="49"/>
        <v>3.8864294514237372E-3</v>
      </c>
      <c r="G807">
        <f t="shared" si="50"/>
        <v>1.0694274902343679</v>
      </c>
      <c r="H807">
        <f t="shared" si="51"/>
        <v>0.26000213623046875</v>
      </c>
    </row>
    <row r="808" spans="1:8" x14ac:dyDescent="0.2">
      <c r="A808" t="s">
        <v>4</v>
      </c>
      <c r="B808" s="2">
        <v>45736</v>
      </c>
      <c r="C808">
        <v>40.684257507324219</v>
      </c>
      <c r="D808">
        <f>_xlfn.XLOOKUP(B808, Oil_Price!A:A, Oil_Price!B:B, "")</f>
        <v>68.260002136230469</v>
      </c>
      <c r="E808">
        <f t="shared" si="48"/>
        <v>2.7265545921104292E-3</v>
      </c>
      <c r="F808">
        <f t="shared" si="49"/>
        <v>1.6378773289759299E-2</v>
      </c>
      <c r="G808">
        <f t="shared" si="50"/>
        <v>0.11062622070313211</v>
      </c>
      <c r="H808">
        <f t="shared" si="51"/>
        <v>1.0999984741210938</v>
      </c>
    </row>
    <row r="809" spans="1:8" x14ac:dyDescent="0.2">
      <c r="A809" t="s">
        <v>4</v>
      </c>
      <c r="B809" s="2">
        <v>45737</v>
      </c>
      <c r="C809">
        <v>40.616985321044922</v>
      </c>
      <c r="D809">
        <f>_xlfn.XLOOKUP(B809, Oil_Price!A:A, Oil_Price!B:B, "")</f>
        <v>68.279998779296875</v>
      </c>
      <c r="E809">
        <f t="shared" si="48"/>
        <v>-1.6535188399883207E-3</v>
      </c>
      <c r="F809">
        <f t="shared" si="49"/>
        <v>2.9294817522123397E-4</v>
      </c>
      <c r="G809">
        <f t="shared" si="50"/>
        <v>-6.7272186279296875E-2</v>
      </c>
      <c r="H809">
        <f t="shared" si="51"/>
        <v>1.999664306640625E-2</v>
      </c>
    </row>
    <row r="810" spans="1:8" x14ac:dyDescent="0.2">
      <c r="A810" t="s">
        <v>4</v>
      </c>
      <c r="B810" s="2">
        <v>45740</v>
      </c>
      <c r="C810">
        <v>41.186954498291023</v>
      </c>
      <c r="D810">
        <f>_xlfn.XLOOKUP(B810, Oil_Price!A:A, Oil_Price!B:B, "")</f>
        <v>69.110000610351562</v>
      </c>
      <c r="E810">
        <f t="shared" si="48"/>
        <v>1.4032778965276434E-2</v>
      </c>
      <c r="F810">
        <f t="shared" si="49"/>
        <v>1.2155855973833903E-2</v>
      </c>
      <c r="G810">
        <f t="shared" si="50"/>
        <v>0.56996917724610086</v>
      </c>
      <c r="H810">
        <f t="shared" si="51"/>
        <v>0.8300018310546875</v>
      </c>
    </row>
    <row r="811" spans="1:8" x14ac:dyDescent="0.2">
      <c r="A811" t="s">
        <v>4</v>
      </c>
      <c r="B811" s="2">
        <v>45741</v>
      </c>
      <c r="C811">
        <v>41.532661437988281</v>
      </c>
      <c r="D811">
        <f>_xlfn.XLOOKUP(B811, Oil_Price!A:A, Oil_Price!B:B, "")</f>
        <v>69</v>
      </c>
      <c r="E811">
        <f t="shared" si="48"/>
        <v>8.393602875192023E-3</v>
      </c>
      <c r="F811">
        <f t="shared" si="49"/>
        <v>-1.5916742783979399E-3</v>
      </c>
      <c r="G811">
        <f t="shared" si="50"/>
        <v>0.34570693969725852</v>
      </c>
      <c r="H811">
        <f t="shared" si="51"/>
        <v>-0.1100006103515625</v>
      </c>
    </row>
    <row r="812" spans="1:8" x14ac:dyDescent="0.2">
      <c r="A812" t="s">
        <v>4</v>
      </c>
      <c r="B812" s="2">
        <v>45742</v>
      </c>
      <c r="C812">
        <v>41.756916046142578</v>
      </c>
      <c r="D812">
        <f>_xlfn.XLOOKUP(B812, Oil_Price!A:A, Oil_Price!B:B, "")</f>
        <v>69.650001525878906</v>
      </c>
      <c r="E812">
        <f t="shared" si="48"/>
        <v>5.3994759880516604E-3</v>
      </c>
      <c r="F812">
        <f t="shared" si="49"/>
        <v>9.4203119692595101E-3</v>
      </c>
      <c r="G812">
        <f t="shared" si="50"/>
        <v>0.22425460815429688</v>
      </c>
      <c r="H812">
        <f t="shared" si="51"/>
        <v>0.65000152587890625</v>
      </c>
    </row>
    <row r="813" spans="1:8" x14ac:dyDescent="0.2">
      <c r="A813" t="s">
        <v>4</v>
      </c>
      <c r="B813" s="2">
        <v>45743</v>
      </c>
      <c r="C813">
        <v>41.373817443847663</v>
      </c>
      <c r="D813">
        <f>_xlfn.XLOOKUP(B813, Oil_Price!A:A, Oil_Price!B:B, "")</f>
        <v>69.919998168945312</v>
      </c>
      <c r="E813">
        <f t="shared" si="48"/>
        <v>-9.174494636327548E-3</v>
      </c>
      <c r="F813">
        <f t="shared" si="49"/>
        <v>3.8764772024604661E-3</v>
      </c>
      <c r="G813">
        <f t="shared" si="50"/>
        <v>-0.38309860229491477</v>
      </c>
      <c r="H813">
        <f t="shared" si="51"/>
        <v>0.26999664306640625</v>
      </c>
    </row>
    <row r="814" spans="1:8" x14ac:dyDescent="0.2">
      <c r="A814" t="s">
        <v>4</v>
      </c>
      <c r="B814" s="2">
        <v>45744</v>
      </c>
      <c r="C814">
        <v>40.85992431640625</v>
      </c>
      <c r="D814">
        <f>_xlfn.XLOOKUP(B814, Oil_Price!A:A, Oil_Price!B:B, "")</f>
        <v>69.360000610351562</v>
      </c>
      <c r="E814">
        <f t="shared" si="48"/>
        <v>-1.2420732704659572E-2</v>
      </c>
      <c r="F814">
        <f t="shared" si="49"/>
        <v>-8.0091186106819815E-3</v>
      </c>
      <c r="G814">
        <f t="shared" si="50"/>
        <v>-0.51389312744141336</v>
      </c>
      <c r="H814">
        <f t="shared" si="51"/>
        <v>-0.55999755859375</v>
      </c>
    </row>
    <row r="815" spans="1:8" x14ac:dyDescent="0.2">
      <c r="A815" t="s">
        <v>4</v>
      </c>
      <c r="B815" s="2">
        <v>45747</v>
      </c>
      <c r="C815">
        <v>41.373817443847663</v>
      </c>
      <c r="D815">
        <f>_xlfn.XLOOKUP(B815, Oil_Price!A:A, Oil_Price!B:B, "")</f>
        <v>71.480003356933594</v>
      </c>
      <c r="E815">
        <f t="shared" si="48"/>
        <v>1.2576947609153373E-2</v>
      </c>
      <c r="F815">
        <f t="shared" si="49"/>
        <v>3.0565206573334915E-2</v>
      </c>
      <c r="G815">
        <f t="shared" si="50"/>
        <v>0.51389312744141336</v>
      </c>
      <c r="H815">
        <f t="shared" si="51"/>
        <v>2.1200027465820312</v>
      </c>
    </row>
    <row r="816" spans="1:8" x14ac:dyDescent="0.2">
      <c r="A816" t="s">
        <v>4</v>
      </c>
      <c r="B816" s="2">
        <v>45748</v>
      </c>
      <c r="C816">
        <v>41.878376007080078</v>
      </c>
      <c r="D816">
        <f>_xlfn.XLOOKUP(B816, Oil_Price!A:A, Oil_Price!B:B, "")</f>
        <v>71.199996948242188</v>
      </c>
      <c r="E816">
        <f t="shared" si="48"/>
        <v>1.2195117453621463E-2</v>
      </c>
      <c r="F816">
        <f t="shared" si="49"/>
        <v>-3.9172691038247623E-3</v>
      </c>
      <c r="G816">
        <f t="shared" si="50"/>
        <v>0.50455856323241477</v>
      </c>
      <c r="H816">
        <f t="shared" si="51"/>
        <v>-0.28000640869140625</v>
      </c>
    </row>
    <row r="817" spans="1:8" x14ac:dyDescent="0.2">
      <c r="A817" t="s">
        <v>4</v>
      </c>
      <c r="B817" s="2">
        <v>45749</v>
      </c>
      <c r="C817">
        <v>42.102634429931641</v>
      </c>
      <c r="D817">
        <f>_xlfn.XLOOKUP(B817, Oil_Price!A:A, Oil_Price!B:B, "")</f>
        <v>71.709999084472656</v>
      </c>
      <c r="E817">
        <f t="shared" si="48"/>
        <v>5.3549932980602863E-3</v>
      </c>
      <c r="F817">
        <f t="shared" si="49"/>
        <v>7.1629516585682926E-3</v>
      </c>
      <c r="G817">
        <f t="shared" si="50"/>
        <v>0.2242584228515625</v>
      </c>
      <c r="H817">
        <f t="shared" si="51"/>
        <v>0.51000213623046875</v>
      </c>
    </row>
    <row r="818" spans="1:8" x14ac:dyDescent="0.2">
      <c r="A818" t="s">
        <v>4</v>
      </c>
      <c r="B818" s="2">
        <v>45750</v>
      </c>
      <c r="C818">
        <v>39.290176391601562</v>
      </c>
      <c r="D818">
        <f>_xlfn.XLOOKUP(B818, Oil_Price!A:A, Oil_Price!B:B, "")</f>
        <v>66.949996948242188</v>
      </c>
      <c r="E818">
        <f t="shared" si="48"/>
        <v>-6.6800048890305136E-2</v>
      </c>
      <c r="F818">
        <f t="shared" si="49"/>
        <v>-6.6378499470112956E-2</v>
      </c>
      <c r="G818">
        <f t="shared" si="50"/>
        <v>-2.8124580383300781</v>
      </c>
      <c r="H818">
        <f t="shared" si="51"/>
        <v>-4.7600021362304688</v>
      </c>
    </row>
    <row r="819" spans="1:8" x14ac:dyDescent="0.2">
      <c r="A819" t="s">
        <v>4</v>
      </c>
      <c r="B819" s="2">
        <v>45751</v>
      </c>
      <c r="C819">
        <v>36.664608001708977</v>
      </c>
      <c r="D819">
        <f>_xlfn.XLOOKUP(B819, Oil_Price!A:A, Oil_Price!B:B, "")</f>
        <v>61.990001678466797</v>
      </c>
      <c r="E819">
        <f t="shared" si="48"/>
        <v>-6.6825059875623552E-2</v>
      </c>
      <c r="F819">
        <f t="shared" si="49"/>
        <v>-7.4085070886707766E-2</v>
      </c>
      <c r="G819">
        <f t="shared" si="50"/>
        <v>-2.6255683898925852</v>
      </c>
      <c r="H819">
        <f t="shared" si="51"/>
        <v>-4.9599952697753906</v>
      </c>
    </row>
    <row r="820" spans="1:8" x14ac:dyDescent="0.2">
      <c r="A820" t="s">
        <v>4</v>
      </c>
      <c r="B820" s="2">
        <v>45754</v>
      </c>
      <c r="C820">
        <v>35.356491088867188</v>
      </c>
      <c r="D820">
        <f>_xlfn.XLOOKUP(B820, Oil_Price!A:A, Oil_Price!B:B, "")</f>
        <v>60.700000762939453</v>
      </c>
      <c r="E820">
        <f t="shared" si="48"/>
        <v>-3.5677918956090217E-2</v>
      </c>
      <c r="F820">
        <f t="shared" si="49"/>
        <v>-2.0809822239050622E-2</v>
      </c>
      <c r="G820">
        <f t="shared" si="50"/>
        <v>-1.3081169128417898</v>
      </c>
      <c r="H820">
        <f t="shared" si="51"/>
        <v>-1.2900009155273438</v>
      </c>
    </row>
    <row r="821" spans="1:8" x14ac:dyDescent="0.2">
      <c r="A821" t="s">
        <v>4</v>
      </c>
      <c r="B821" s="2">
        <v>45755</v>
      </c>
      <c r="C821">
        <v>33.497093200683587</v>
      </c>
      <c r="D821">
        <f>_xlfn.XLOOKUP(B821, Oil_Price!A:A, Oil_Price!B:B, "")</f>
        <v>59.580001831054688</v>
      </c>
      <c r="E821">
        <f t="shared" si="48"/>
        <v>-5.2590000617144826E-2</v>
      </c>
      <c r="F821">
        <f t="shared" si="49"/>
        <v>-1.8451382500946918E-2</v>
      </c>
      <c r="G821">
        <f t="shared" si="50"/>
        <v>-1.8593978881836009</v>
      </c>
      <c r="H821">
        <f t="shared" si="51"/>
        <v>-1.1199989318847656</v>
      </c>
    </row>
    <row r="822" spans="1:8" x14ac:dyDescent="0.2">
      <c r="A822" t="s">
        <v>4</v>
      </c>
      <c r="B822" s="2">
        <v>45756</v>
      </c>
      <c r="C822">
        <v>36.683292388916023</v>
      </c>
      <c r="D822">
        <f>_xlfn.XLOOKUP(B822, Oil_Price!A:A, Oil_Price!B:B, "")</f>
        <v>62.349998474121087</v>
      </c>
      <c r="E822">
        <f t="shared" si="48"/>
        <v>9.5118676989184664E-2</v>
      </c>
      <c r="F822">
        <f t="shared" si="49"/>
        <v>4.6492053674671137E-2</v>
      </c>
      <c r="G822">
        <f t="shared" si="50"/>
        <v>3.1861991882324361</v>
      </c>
      <c r="H822">
        <f t="shared" si="51"/>
        <v>2.7699966430663991</v>
      </c>
    </row>
    <row r="823" spans="1:8" x14ac:dyDescent="0.2">
      <c r="A823" t="s">
        <v>4</v>
      </c>
      <c r="B823" s="2">
        <v>45757</v>
      </c>
      <c r="C823">
        <v>34.207225799560547</v>
      </c>
      <c r="D823">
        <f>_xlfn.XLOOKUP(B823, Oil_Price!A:A, Oil_Price!B:B, "")</f>
        <v>60.069999694824219</v>
      </c>
      <c r="E823">
        <f t="shared" si="48"/>
        <v>-6.7498483045203089E-2</v>
      </c>
      <c r="F823">
        <f t="shared" si="49"/>
        <v>-3.6567743946989854E-2</v>
      </c>
      <c r="G823">
        <f t="shared" si="50"/>
        <v>-2.4760665893554759</v>
      </c>
      <c r="H823">
        <f t="shared" si="51"/>
        <v>-2.2799987792968679</v>
      </c>
    </row>
    <row r="824" spans="1:8" x14ac:dyDescent="0.2">
      <c r="A824" t="s">
        <v>4</v>
      </c>
      <c r="B824" s="2">
        <v>45758</v>
      </c>
      <c r="C824">
        <v>35.244369506835938</v>
      </c>
      <c r="D824">
        <f>_xlfn.XLOOKUP(B824, Oil_Price!A:A, Oil_Price!B:B, "")</f>
        <v>61.5</v>
      </c>
      <c r="E824">
        <f t="shared" si="48"/>
        <v>3.0319433483223728E-2</v>
      </c>
      <c r="F824">
        <f t="shared" si="49"/>
        <v>2.3805565381066478E-2</v>
      </c>
      <c r="G824">
        <f t="shared" si="50"/>
        <v>1.0371437072753906</v>
      </c>
      <c r="H824">
        <f t="shared" si="51"/>
        <v>1.4300003051757812</v>
      </c>
    </row>
    <row r="825" spans="1:8" x14ac:dyDescent="0.2">
      <c r="A825" t="s">
        <v>4</v>
      </c>
      <c r="B825" s="2">
        <v>45761</v>
      </c>
      <c r="C825">
        <v>35.49664306640625</v>
      </c>
      <c r="D825">
        <f>_xlfn.XLOOKUP(B825, Oil_Price!A:A, Oil_Price!B:B, "")</f>
        <v>61.529998779296882</v>
      </c>
      <c r="E825">
        <f t="shared" si="48"/>
        <v>7.1578400493554567E-3</v>
      </c>
      <c r="F825">
        <f t="shared" si="49"/>
        <v>4.8778502921759521E-4</v>
      </c>
      <c r="G825">
        <f t="shared" si="50"/>
        <v>0.2522735595703125</v>
      </c>
      <c r="H825">
        <f t="shared" si="51"/>
        <v>2.9998779296882105E-2</v>
      </c>
    </row>
    <row r="826" spans="1:8" x14ac:dyDescent="0.2">
      <c r="A826" t="s">
        <v>4</v>
      </c>
      <c r="B826" s="2">
        <v>45762</v>
      </c>
      <c r="C826">
        <v>35.70220947265625</v>
      </c>
      <c r="D826">
        <f>_xlfn.XLOOKUP(B826, Oil_Price!A:A, Oil_Price!B:B, "")</f>
        <v>61.330001831054688</v>
      </c>
      <c r="E826">
        <f t="shared" si="48"/>
        <v>5.7911506129025049E-3</v>
      </c>
      <c r="F826">
        <f t="shared" si="49"/>
        <v>-3.250397403054849E-3</v>
      </c>
      <c r="G826">
        <f t="shared" si="50"/>
        <v>0.20556640625</v>
      </c>
      <c r="H826">
        <f t="shared" si="51"/>
        <v>-0.19999694824219461</v>
      </c>
    </row>
    <row r="827" spans="1:8" x14ac:dyDescent="0.2">
      <c r="A827" t="s">
        <v>4</v>
      </c>
      <c r="B827" s="2">
        <v>45763</v>
      </c>
      <c r="C827">
        <v>36.505760192871087</v>
      </c>
      <c r="D827">
        <f>_xlfn.XLOOKUP(B827, Oil_Price!A:A, Oil_Price!B:B, "")</f>
        <v>62.470001220703118</v>
      </c>
      <c r="E827">
        <f t="shared" si="48"/>
        <v>2.2507030575523994E-2</v>
      </c>
      <c r="F827">
        <f t="shared" si="49"/>
        <v>1.8587956230439687E-2</v>
      </c>
      <c r="G827">
        <f t="shared" si="50"/>
        <v>0.80355072021483664</v>
      </c>
      <c r="H827">
        <f t="shared" si="51"/>
        <v>1.1399993896484304</v>
      </c>
    </row>
    <row r="828" spans="1:8" x14ac:dyDescent="0.2">
      <c r="A828" t="s">
        <v>4</v>
      </c>
      <c r="B828" s="2">
        <v>45764</v>
      </c>
      <c r="C828">
        <v>37.262603759765618</v>
      </c>
      <c r="D828">
        <f>_xlfn.XLOOKUP(B828, Oil_Price!A:A, Oil_Price!B:B, "")</f>
        <v>64.680000305175781</v>
      </c>
      <c r="E828">
        <f t="shared" si="48"/>
        <v>2.0732168372768995E-2</v>
      </c>
      <c r="F828">
        <f t="shared" si="49"/>
        <v>3.5376965604096228E-2</v>
      </c>
      <c r="G828">
        <f t="shared" si="50"/>
        <v>0.75684356689453125</v>
      </c>
      <c r="H828">
        <f t="shared" si="51"/>
        <v>2.2099990844726634</v>
      </c>
    </row>
    <row r="829" spans="1:8" x14ac:dyDescent="0.2">
      <c r="A829" t="s">
        <v>4</v>
      </c>
      <c r="B829" s="2">
        <v>45768</v>
      </c>
      <c r="C829">
        <v>37.019668579101562</v>
      </c>
      <c r="D829">
        <f>_xlfn.XLOOKUP(B829, Oil_Price!A:A, Oil_Price!B:B, "")</f>
        <v>63.080001831054688</v>
      </c>
      <c r="E829">
        <f t="shared" si="48"/>
        <v>-6.519543889908338E-3</v>
      </c>
      <c r="F829">
        <f t="shared" si="49"/>
        <v>-2.4737143886393267E-2</v>
      </c>
      <c r="G829">
        <f t="shared" si="50"/>
        <v>-0.24293518066405539</v>
      </c>
      <c r="H829">
        <f t="shared" si="51"/>
        <v>-1.5999984741210938</v>
      </c>
    </row>
    <row r="830" spans="1:8" x14ac:dyDescent="0.2">
      <c r="A830" t="s">
        <v>4</v>
      </c>
      <c r="B830" s="2">
        <v>45769</v>
      </c>
      <c r="C830">
        <v>37.860595703125</v>
      </c>
      <c r="D830">
        <f>_xlfn.XLOOKUP(B830, Oil_Price!A:A, Oil_Price!B:B, "")</f>
        <v>64.30999755859375</v>
      </c>
      <c r="E830">
        <f t="shared" si="48"/>
        <v>2.2715684831877716E-2</v>
      </c>
      <c r="F830">
        <f t="shared" si="49"/>
        <v>1.9498980530046967E-2</v>
      </c>
      <c r="G830">
        <f t="shared" si="50"/>
        <v>0.8409271240234375</v>
      </c>
      <c r="H830">
        <f t="shared" si="51"/>
        <v>1.2299957275390625</v>
      </c>
    </row>
    <row r="831" spans="1:8" x14ac:dyDescent="0.2">
      <c r="A831" t="s">
        <v>4</v>
      </c>
      <c r="B831" s="2">
        <v>45770</v>
      </c>
      <c r="C831">
        <v>37.580291748046882</v>
      </c>
      <c r="D831">
        <f>_xlfn.XLOOKUP(B831, Oil_Price!A:A, Oil_Price!B:B, "")</f>
        <v>62.270000457763672</v>
      </c>
      <c r="E831">
        <f t="shared" si="48"/>
        <v>-7.4035801569540998E-3</v>
      </c>
      <c r="F831">
        <f t="shared" si="49"/>
        <v>-3.1721305835401531E-2</v>
      </c>
      <c r="G831">
        <f t="shared" si="50"/>
        <v>-0.28030395507811789</v>
      </c>
      <c r="H831">
        <f t="shared" si="51"/>
        <v>-2.0399971008300781</v>
      </c>
    </row>
    <row r="832" spans="1:8" x14ac:dyDescent="0.2">
      <c r="A832" t="s">
        <v>4</v>
      </c>
      <c r="B832" s="2">
        <v>45771</v>
      </c>
      <c r="C832">
        <v>38.019439697265618</v>
      </c>
      <c r="D832">
        <f>_xlfn.XLOOKUP(B832, Oil_Price!A:A, Oil_Price!B:B, "")</f>
        <v>62.790000915527337</v>
      </c>
      <c r="E832">
        <f t="shared" si="48"/>
        <v>1.1685591803356852E-2</v>
      </c>
      <c r="F832">
        <f t="shared" si="49"/>
        <v>8.3507379788180548E-3</v>
      </c>
      <c r="G832">
        <f t="shared" si="50"/>
        <v>0.43914794921873579</v>
      </c>
      <c r="H832">
        <f t="shared" si="51"/>
        <v>0.52000045776366477</v>
      </c>
    </row>
    <row r="833" spans="1:8" x14ac:dyDescent="0.2">
      <c r="A833" t="s">
        <v>4</v>
      </c>
      <c r="B833" s="2">
        <v>45772</v>
      </c>
      <c r="C833">
        <v>38.010097503662109</v>
      </c>
      <c r="D833">
        <f>_xlfn.XLOOKUP(B833, Oil_Price!A:A, Oil_Price!B:B, "")</f>
        <v>63.020000457763672</v>
      </c>
      <c r="E833">
        <f t="shared" si="48"/>
        <v>-2.4572149610559401E-4</v>
      </c>
      <c r="F833">
        <f t="shared" si="49"/>
        <v>3.6629963192030893E-3</v>
      </c>
      <c r="G833">
        <f t="shared" si="50"/>
        <v>-9.3421936035085196E-3</v>
      </c>
      <c r="H833">
        <f t="shared" si="51"/>
        <v>0.22999954223633523</v>
      </c>
    </row>
    <row r="834" spans="1:8" x14ac:dyDescent="0.2">
      <c r="A834" t="s">
        <v>4</v>
      </c>
      <c r="B834" s="2">
        <v>45775</v>
      </c>
      <c r="C834">
        <v>38.215660095214837</v>
      </c>
      <c r="D834">
        <f>_xlfn.XLOOKUP(B834, Oil_Price!A:A, Oil_Price!B:B, "")</f>
        <v>62.049999237060547</v>
      </c>
      <c r="E834">
        <f t="shared" si="48"/>
        <v>5.4081048209077128E-3</v>
      </c>
      <c r="F834">
        <f t="shared" si="49"/>
        <v>-1.5391958325249852E-2</v>
      </c>
      <c r="G834">
        <f t="shared" si="50"/>
        <v>0.20556259155272727</v>
      </c>
      <c r="H834">
        <f t="shared" si="51"/>
        <v>-0.970001220703125</v>
      </c>
    </row>
    <row r="835" spans="1:8" x14ac:dyDescent="0.2">
      <c r="A835" t="s">
        <v>4</v>
      </c>
      <c r="B835" s="2">
        <v>45776</v>
      </c>
      <c r="C835">
        <v>37.888629913330078</v>
      </c>
      <c r="D835">
        <f>_xlfn.XLOOKUP(B835, Oil_Price!A:A, Oil_Price!B:B, "")</f>
        <v>60.419998168945312</v>
      </c>
      <c r="E835">
        <f t="shared" ref="E835:E898" si="52">IFERROR(IF(AND(A835=A834, C835&lt;&gt;"", C834&lt;&gt;""), (C835-C834)/C834, ""), "")</f>
        <v>-8.5574913810191524E-3</v>
      </c>
      <c r="F835">
        <f t="shared" ref="F835:F898" si="53">IFERROR(IF(AND(A835=A834, D835&lt;&gt;"", D834&lt;&gt;""), (D835-D834)/D834, ""), "")</f>
        <v>-2.6269155328880085E-2</v>
      </c>
      <c r="G835">
        <f t="shared" ref="G835:G898" si="54">IFERROR(IF(AND(A835=A834, C835&lt;&gt;"", C834&lt;&gt;""), C835-C834, ""), "")</f>
        <v>-0.32703018188475852</v>
      </c>
      <c r="H835">
        <f t="shared" ref="H835:H898" si="55">IFERROR(IF(AND(A835=A834, D835&lt;&gt;"", D834&lt;&gt;""), D835-D834, ""), "")</f>
        <v>-1.6300010681152344</v>
      </c>
    </row>
    <row r="836" spans="1:8" x14ac:dyDescent="0.2">
      <c r="A836" t="s">
        <v>4</v>
      </c>
      <c r="B836" s="2">
        <v>45777</v>
      </c>
      <c r="C836">
        <v>36.963603973388672</v>
      </c>
      <c r="D836">
        <f>_xlfn.XLOOKUP(B836, Oil_Price!A:A, Oil_Price!B:B, "")</f>
        <v>58.209999084472663</v>
      </c>
      <c r="E836">
        <f t="shared" si="52"/>
        <v>-2.4414341243201333E-2</v>
      </c>
      <c r="F836">
        <f t="shared" si="53"/>
        <v>-3.6577278243092454E-2</v>
      </c>
      <c r="G836">
        <f t="shared" si="54"/>
        <v>-0.92502593994140625</v>
      </c>
      <c r="H836">
        <f t="shared" si="55"/>
        <v>-2.2099990844726491</v>
      </c>
    </row>
    <row r="837" spans="1:8" x14ac:dyDescent="0.2">
      <c r="A837" t="s">
        <v>4</v>
      </c>
      <c r="B837" s="2">
        <v>45778</v>
      </c>
      <c r="C837">
        <v>37.374732971191413</v>
      </c>
      <c r="D837">
        <f>_xlfn.XLOOKUP(B837, Oil_Price!A:A, Oil_Price!B:B, "")</f>
        <v>59.240001678466797</v>
      </c>
      <c r="E837">
        <f t="shared" si="52"/>
        <v>1.112253551084269E-2</v>
      </c>
      <c r="F837">
        <f t="shared" si="53"/>
        <v>1.7694599041299136E-2</v>
      </c>
      <c r="G837">
        <f t="shared" si="54"/>
        <v>0.41112899780274148</v>
      </c>
      <c r="H837">
        <f t="shared" si="55"/>
        <v>1.0300025939941335</v>
      </c>
    </row>
    <row r="838" spans="1:8" x14ac:dyDescent="0.2">
      <c r="A838" t="s">
        <v>4</v>
      </c>
      <c r="B838" s="2">
        <v>45779</v>
      </c>
      <c r="C838">
        <v>37.412101745605469</v>
      </c>
      <c r="D838">
        <f>_xlfn.XLOOKUP(B838, Oil_Price!A:A, Oil_Price!B:B, "")</f>
        <v>58.290000915527337</v>
      </c>
      <c r="E838">
        <f t="shared" si="52"/>
        <v>9.9984057258307069E-4</v>
      </c>
      <c r="F838">
        <f t="shared" si="53"/>
        <v>-1.6036474274523475E-2</v>
      </c>
      <c r="G838">
        <f t="shared" si="54"/>
        <v>3.7368774414055395E-2</v>
      </c>
      <c r="H838">
        <f t="shared" si="55"/>
        <v>-0.95000076293946023</v>
      </c>
    </row>
    <row r="839" spans="1:8" x14ac:dyDescent="0.2">
      <c r="A839" t="s">
        <v>4</v>
      </c>
      <c r="B839" s="2">
        <v>45782</v>
      </c>
      <c r="C839">
        <v>36.13201904296875</v>
      </c>
      <c r="D839">
        <f>_xlfn.XLOOKUP(B839, Oil_Price!A:A, Oil_Price!B:B, "")</f>
        <v>57.130001068115227</v>
      </c>
      <c r="E839">
        <f t="shared" si="52"/>
        <v>-3.4215738836086133E-2</v>
      </c>
      <c r="F839">
        <f t="shared" si="53"/>
        <v>-1.990049458213523E-2</v>
      </c>
      <c r="G839">
        <f t="shared" si="54"/>
        <v>-1.2800827026367188</v>
      </c>
      <c r="H839">
        <f t="shared" si="55"/>
        <v>-1.1599998474121094</v>
      </c>
    </row>
    <row r="840" spans="1:8" x14ac:dyDescent="0.2">
      <c r="A840" t="s">
        <v>4</v>
      </c>
      <c r="B840" s="2">
        <v>45783</v>
      </c>
      <c r="C840">
        <v>36.701980590820312</v>
      </c>
      <c r="D840">
        <f>_xlfn.XLOOKUP(B840, Oil_Price!A:A, Oil_Price!B:B, "")</f>
        <v>59.090000152587891</v>
      </c>
      <c r="E840">
        <f t="shared" si="52"/>
        <v>1.57744173436241E-2</v>
      </c>
      <c r="F840">
        <f t="shared" si="53"/>
        <v>3.430770257006973E-2</v>
      </c>
      <c r="G840">
        <f t="shared" si="54"/>
        <v>0.5699615478515625</v>
      </c>
      <c r="H840">
        <f t="shared" si="55"/>
        <v>1.9599990844726634</v>
      </c>
    </row>
    <row r="841" spans="1:8" x14ac:dyDescent="0.2">
      <c r="A841" t="s">
        <v>4</v>
      </c>
      <c r="B841" s="2">
        <v>45784</v>
      </c>
      <c r="C841">
        <v>37.20654296875</v>
      </c>
      <c r="D841">
        <f>_xlfn.XLOOKUP(B841, Oil_Price!A:A, Oil_Price!B:B, "")</f>
        <v>58.069999694824219</v>
      </c>
      <c r="E841">
        <f t="shared" si="52"/>
        <v>1.3747551761712983E-2</v>
      </c>
      <c r="F841">
        <f t="shared" si="53"/>
        <v>-1.7261811730068174E-2</v>
      </c>
      <c r="G841">
        <f t="shared" si="54"/>
        <v>0.5045623779296875</v>
      </c>
      <c r="H841">
        <f t="shared" si="55"/>
        <v>-1.0200004577636719</v>
      </c>
    </row>
    <row r="842" spans="1:8" x14ac:dyDescent="0.2">
      <c r="A842" t="s">
        <v>4</v>
      </c>
      <c r="B842" s="2">
        <v>45785</v>
      </c>
      <c r="C842">
        <v>39.075275421142578</v>
      </c>
      <c r="D842">
        <f>_xlfn.XLOOKUP(B842, Oil_Price!A:A, Oil_Price!B:B, "")</f>
        <v>59.909999847412109</v>
      </c>
      <c r="E842">
        <f t="shared" si="52"/>
        <v>5.0225909296709934E-2</v>
      </c>
      <c r="F842">
        <f t="shared" si="53"/>
        <v>3.1685899126186662E-2</v>
      </c>
      <c r="G842">
        <f t="shared" si="54"/>
        <v>1.8687324523925781</v>
      </c>
      <c r="H842">
        <f t="shared" si="55"/>
        <v>1.8400001525878906</v>
      </c>
    </row>
    <row r="843" spans="1:8" x14ac:dyDescent="0.2">
      <c r="A843" t="s">
        <v>4</v>
      </c>
      <c r="B843" s="2">
        <v>45786</v>
      </c>
      <c r="C843">
        <v>39.738681793212891</v>
      </c>
      <c r="D843">
        <f>_xlfn.XLOOKUP(B843, Oil_Price!A:A, Oil_Price!B:B, "")</f>
        <v>61.020000457763672</v>
      </c>
      <c r="E843">
        <f t="shared" si="52"/>
        <v>1.6977650571116925E-2</v>
      </c>
      <c r="F843">
        <f t="shared" si="53"/>
        <v>1.852780192252847E-2</v>
      </c>
      <c r="G843">
        <f t="shared" si="54"/>
        <v>0.6634063720703125</v>
      </c>
      <c r="H843">
        <f t="shared" si="55"/>
        <v>1.1100006103515625</v>
      </c>
    </row>
    <row r="844" spans="1:8" x14ac:dyDescent="0.2">
      <c r="A844" t="s">
        <v>4</v>
      </c>
      <c r="B844" s="2">
        <v>45789</v>
      </c>
      <c r="C844">
        <v>41.074821472167969</v>
      </c>
      <c r="D844">
        <f>_xlfn.XLOOKUP(B844, Oil_Price!A:A, Oil_Price!B:B, "")</f>
        <v>61.950000762939453</v>
      </c>
      <c r="E844">
        <f t="shared" si="52"/>
        <v>3.3623150508814363E-2</v>
      </c>
      <c r="F844">
        <f t="shared" si="53"/>
        <v>1.5240909508342291E-2</v>
      </c>
      <c r="G844">
        <f t="shared" si="54"/>
        <v>1.3361396789550781</v>
      </c>
      <c r="H844">
        <f t="shared" si="55"/>
        <v>0.93000030517578125</v>
      </c>
    </row>
    <row r="845" spans="1:8" x14ac:dyDescent="0.2">
      <c r="A845" t="s">
        <v>4</v>
      </c>
      <c r="B845" s="2">
        <v>45790</v>
      </c>
      <c r="C845">
        <v>41.981166839599609</v>
      </c>
      <c r="D845">
        <f>_xlfn.XLOOKUP(B845, Oil_Price!A:A, Oil_Price!B:B, "")</f>
        <v>63.669998168945312</v>
      </c>
      <c r="E845">
        <f t="shared" si="52"/>
        <v>2.2065716537460166E-2</v>
      </c>
      <c r="F845">
        <f t="shared" si="53"/>
        <v>2.7764283855099142E-2</v>
      </c>
      <c r="G845">
        <f t="shared" si="54"/>
        <v>0.90634536743164062</v>
      </c>
      <c r="H845">
        <f t="shared" si="55"/>
        <v>1.7199974060058594</v>
      </c>
    </row>
    <row r="846" spans="1:8" x14ac:dyDescent="0.2">
      <c r="A846" t="s">
        <v>4</v>
      </c>
      <c r="B846" s="2">
        <v>45791</v>
      </c>
      <c r="C846">
        <v>41.018768310546882</v>
      </c>
      <c r="D846">
        <f>_xlfn.XLOOKUP(B846, Oil_Price!A:A, Oil_Price!B:B, "")</f>
        <v>63.150001525878913</v>
      </c>
      <c r="E846">
        <f t="shared" si="52"/>
        <v>-2.2924530247809233E-2</v>
      </c>
      <c r="F846">
        <f t="shared" si="53"/>
        <v>-8.1670591804732396E-3</v>
      </c>
      <c r="G846">
        <f t="shared" si="54"/>
        <v>-0.96239852905272727</v>
      </c>
      <c r="H846">
        <f t="shared" si="55"/>
        <v>-0.51999664306639914</v>
      </c>
    </row>
    <row r="847" spans="1:8" x14ac:dyDescent="0.2">
      <c r="A847" t="s">
        <v>4</v>
      </c>
      <c r="B847" s="2">
        <v>45792</v>
      </c>
      <c r="C847">
        <v>40.317985534667969</v>
      </c>
      <c r="D847">
        <f>_xlfn.XLOOKUP(B847, Oil_Price!A:A, Oil_Price!B:B, "")</f>
        <v>61.619998931884773</v>
      </c>
      <c r="E847">
        <f t="shared" si="52"/>
        <v>-1.7084442189326435E-2</v>
      </c>
      <c r="F847">
        <f t="shared" si="53"/>
        <v>-2.4228068994854173E-2</v>
      </c>
      <c r="G847">
        <f t="shared" si="54"/>
        <v>-0.70078277587891336</v>
      </c>
      <c r="H847">
        <f t="shared" si="55"/>
        <v>-1.5300025939941406</v>
      </c>
    </row>
    <row r="848" spans="1:8" x14ac:dyDescent="0.2">
      <c r="A848" t="s">
        <v>4</v>
      </c>
      <c r="B848" s="2">
        <v>45793</v>
      </c>
      <c r="C848">
        <v>40.084392547607422</v>
      </c>
      <c r="D848">
        <f>_xlfn.XLOOKUP(B848, Oil_Price!A:A, Oil_Price!B:B, "")</f>
        <v>62.490001678466797</v>
      </c>
      <c r="E848">
        <f t="shared" si="52"/>
        <v>-5.7937663294136748E-3</v>
      </c>
      <c r="F848">
        <f t="shared" si="53"/>
        <v>1.4118837417438647E-2</v>
      </c>
      <c r="G848">
        <f t="shared" si="54"/>
        <v>-0.23359298706054688</v>
      </c>
      <c r="H848">
        <f t="shared" si="55"/>
        <v>0.87000274658202414</v>
      </c>
    </row>
    <row r="849" spans="1:8" x14ac:dyDescent="0.2">
      <c r="A849" t="s">
        <v>4</v>
      </c>
      <c r="B849" s="2">
        <v>45797</v>
      </c>
      <c r="C849">
        <v>39.925552368164062</v>
      </c>
      <c r="D849">
        <f>_xlfn.XLOOKUP(B849, Oil_Price!A:A, Oil_Price!B:B, "")</f>
        <v>62.560001373291023</v>
      </c>
      <c r="E849">
        <f t="shared" si="52"/>
        <v>-3.9626440454276091E-3</v>
      </c>
      <c r="F849">
        <f t="shared" si="53"/>
        <v>1.1201743149952066E-3</v>
      </c>
      <c r="G849">
        <f t="shared" si="54"/>
        <v>-0.15884017944335938</v>
      </c>
      <c r="H849">
        <f t="shared" si="55"/>
        <v>6.9999694824225855E-2</v>
      </c>
    </row>
    <row r="850" spans="1:8" x14ac:dyDescent="0.2">
      <c r="A850" t="s">
        <v>4</v>
      </c>
      <c r="B850" s="2">
        <v>45798</v>
      </c>
      <c r="C850">
        <v>39.813426971435547</v>
      </c>
      <c r="D850">
        <f>_xlfn.XLOOKUP(B850, Oil_Price!A:A, Oil_Price!B:B, "")</f>
        <v>61.569999694824219</v>
      </c>
      <c r="E850">
        <f t="shared" si="52"/>
        <v>-2.8083618153752197E-3</v>
      </c>
      <c r="F850">
        <f t="shared" si="53"/>
        <v>-1.5824834666475392E-2</v>
      </c>
      <c r="G850">
        <f t="shared" si="54"/>
        <v>-0.11212539672851562</v>
      </c>
      <c r="H850">
        <f t="shared" si="55"/>
        <v>-0.99000167846680398</v>
      </c>
    </row>
    <row r="851" spans="1:8" x14ac:dyDescent="0.2">
      <c r="A851" t="s">
        <v>4</v>
      </c>
      <c r="B851" s="2">
        <v>45799</v>
      </c>
      <c r="C851">
        <v>39.962928771972663</v>
      </c>
      <c r="D851">
        <f>_xlfn.XLOOKUP(B851, Oil_Price!A:A, Oil_Price!B:B, "")</f>
        <v>61.200000762939453</v>
      </c>
      <c r="E851">
        <f t="shared" si="52"/>
        <v>3.7550598355770206E-3</v>
      </c>
      <c r="F851">
        <f t="shared" si="53"/>
        <v>-6.009402853966052E-3</v>
      </c>
      <c r="G851">
        <f t="shared" si="54"/>
        <v>0.14950180053711648</v>
      </c>
      <c r="H851">
        <f t="shared" si="55"/>
        <v>-0.36999893188476562</v>
      </c>
    </row>
    <row r="852" spans="1:8" x14ac:dyDescent="0.2">
      <c r="A852" t="s">
        <v>4</v>
      </c>
      <c r="B852" s="2">
        <v>45800</v>
      </c>
      <c r="C852">
        <v>39.813426971435547</v>
      </c>
      <c r="D852">
        <f>_xlfn.XLOOKUP(B852, Oil_Price!A:A, Oil_Price!B:B, "")</f>
        <v>61.529998779296882</v>
      </c>
      <c r="E852">
        <f t="shared" si="52"/>
        <v>-3.7410121112536449E-3</v>
      </c>
      <c r="F852">
        <f t="shared" si="53"/>
        <v>5.3921243830647803E-3</v>
      </c>
      <c r="G852">
        <f t="shared" si="54"/>
        <v>-0.14950180053711648</v>
      </c>
      <c r="H852">
        <f t="shared" si="55"/>
        <v>0.32999801635742898</v>
      </c>
    </row>
    <row r="853" spans="1:8" x14ac:dyDescent="0.2">
      <c r="A853" t="s">
        <v>4</v>
      </c>
      <c r="B853" s="2">
        <v>45803</v>
      </c>
      <c r="C853">
        <v>39.990959167480469</v>
      </c>
      <c r="D853" t="str">
        <f>_xlfn.XLOOKUP(B853, Oil_Price!A:A, Oil_Price!B:B, "")</f>
        <v/>
      </c>
      <c r="E853">
        <f t="shared" si="52"/>
        <v>4.4591036127659576E-3</v>
      </c>
      <c r="F853" t="str">
        <f t="shared" si="53"/>
        <v/>
      </c>
      <c r="G853">
        <f t="shared" si="54"/>
        <v>0.17753219604492188</v>
      </c>
      <c r="H853" t="str">
        <f t="shared" si="55"/>
        <v/>
      </c>
    </row>
    <row r="854" spans="1:8" x14ac:dyDescent="0.2">
      <c r="A854" t="s">
        <v>4</v>
      </c>
      <c r="B854" s="2">
        <v>45804</v>
      </c>
      <c r="C854">
        <v>40.22454833984375</v>
      </c>
      <c r="D854">
        <f>_xlfn.XLOOKUP(B854, Oil_Price!A:A, Oil_Price!B:B, "")</f>
        <v>60.889999389648438</v>
      </c>
      <c r="E854">
        <f t="shared" si="52"/>
        <v>5.841049507840498E-3</v>
      </c>
      <c r="F854" t="str">
        <f t="shared" si="53"/>
        <v/>
      </c>
      <c r="G854">
        <f t="shared" si="54"/>
        <v>0.23358917236328125</v>
      </c>
      <c r="H854" t="str">
        <f t="shared" si="55"/>
        <v/>
      </c>
    </row>
    <row r="855" spans="1:8" x14ac:dyDescent="0.2">
      <c r="A855" t="s">
        <v>4</v>
      </c>
      <c r="B855" s="2">
        <v>45805</v>
      </c>
      <c r="C855">
        <v>39.757362365722663</v>
      </c>
      <c r="D855">
        <f>_xlfn.XLOOKUP(B855, Oil_Price!A:A, Oil_Price!B:B, "")</f>
        <v>61.840000152587891</v>
      </c>
      <c r="E855">
        <f t="shared" si="52"/>
        <v>-1.1614449220759141E-2</v>
      </c>
      <c r="F855">
        <f t="shared" si="53"/>
        <v>1.5601917760914895E-2</v>
      </c>
      <c r="G855">
        <f t="shared" si="54"/>
        <v>-0.46718597412108664</v>
      </c>
      <c r="H855">
        <f t="shared" si="55"/>
        <v>0.95000076293945312</v>
      </c>
    </row>
    <row r="856" spans="1:8" x14ac:dyDescent="0.2">
      <c r="A856" t="s">
        <v>4</v>
      </c>
      <c r="B856" s="2">
        <v>45806</v>
      </c>
      <c r="C856">
        <v>39.701309204101562</v>
      </c>
      <c r="D856">
        <f>_xlfn.XLOOKUP(B856, Oil_Price!A:A, Oil_Price!B:B, "")</f>
        <v>60.939998626708977</v>
      </c>
      <c r="E856">
        <f t="shared" si="52"/>
        <v>-1.4098812970909718E-3</v>
      </c>
      <c r="F856">
        <f t="shared" si="53"/>
        <v>-1.4553711572739218E-2</v>
      </c>
      <c r="G856">
        <f t="shared" si="54"/>
        <v>-5.6053161621100855E-2</v>
      </c>
      <c r="H856">
        <f t="shared" si="55"/>
        <v>-0.90000152587891336</v>
      </c>
    </row>
    <row r="857" spans="1:8" x14ac:dyDescent="0.2">
      <c r="A857" t="s">
        <v>4</v>
      </c>
      <c r="B857" s="2">
        <v>45807</v>
      </c>
      <c r="C857">
        <v>38.935123443603523</v>
      </c>
      <c r="D857">
        <f>_xlfn.XLOOKUP(B857, Oil_Price!A:A, Oil_Price!B:B, "")</f>
        <v>60.790000915527337</v>
      </c>
      <c r="E857">
        <f t="shared" si="52"/>
        <v>-1.9298753009860056E-2</v>
      </c>
      <c r="F857">
        <f t="shared" si="53"/>
        <v>-2.4613999764007076E-3</v>
      </c>
      <c r="G857">
        <f t="shared" si="54"/>
        <v>-0.76618576049803977</v>
      </c>
      <c r="H857">
        <f t="shared" si="55"/>
        <v>-0.14999771118164062</v>
      </c>
    </row>
    <row r="858" spans="1:8" x14ac:dyDescent="0.2">
      <c r="A858" t="s">
        <v>4</v>
      </c>
      <c r="B858" s="2">
        <v>45810</v>
      </c>
      <c r="C858">
        <v>39.449028015136719</v>
      </c>
      <c r="D858">
        <f>_xlfn.XLOOKUP(B858, Oil_Price!A:A, Oil_Price!B:B, "")</f>
        <v>62.520000457763672</v>
      </c>
      <c r="E858">
        <f t="shared" si="52"/>
        <v>1.3198996846062988E-2</v>
      </c>
      <c r="F858">
        <f t="shared" si="53"/>
        <v>2.8458620104979283E-2</v>
      </c>
      <c r="G858">
        <f t="shared" si="54"/>
        <v>0.51390457153319602</v>
      </c>
      <c r="H858">
        <f t="shared" si="55"/>
        <v>1.7299995422363352</v>
      </c>
    </row>
    <row r="859" spans="1:8" x14ac:dyDescent="0.2">
      <c r="A859" t="s">
        <v>4</v>
      </c>
      <c r="B859" s="2">
        <v>45811</v>
      </c>
      <c r="C859">
        <v>40.308639526367188</v>
      </c>
      <c r="D859">
        <f>_xlfn.XLOOKUP(B859, Oil_Price!A:A, Oil_Price!B:B, "")</f>
        <v>63.409999847412109</v>
      </c>
      <c r="E859">
        <f t="shared" si="52"/>
        <v>2.1790435771969669E-2</v>
      </c>
      <c r="F859">
        <f t="shared" si="53"/>
        <v>1.4235434790978449E-2</v>
      </c>
      <c r="G859">
        <f t="shared" si="54"/>
        <v>0.85961151123046875</v>
      </c>
      <c r="H859">
        <f t="shared" si="55"/>
        <v>0.8899993896484375</v>
      </c>
    </row>
    <row r="860" spans="1:8" x14ac:dyDescent="0.2">
      <c r="A860" t="s">
        <v>4</v>
      </c>
      <c r="B860" s="2">
        <v>45812</v>
      </c>
      <c r="C860">
        <v>39.533119201660163</v>
      </c>
      <c r="D860">
        <f>_xlfn.XLOOKUP(B860, Oil_Price!A:A, Oil_Price!B:B, "")</f>
        <v>62.849998474121087</v>
      </c>
      <c r="E860">
        <f t="shared" si="52"/>
        <v>-1.9239555931917056E-2</v>
      </c>
      <c r="F860">
        <f t="shared" si="53"/>
        <v>-8.8314362819522617E-3</v>
      </c>
      <c r="G860">
        <f t="shared" si="54"/>
        <v>-0.77552032470702414</v>
      </c>
      <c r="H860">
        <f t="shared" si="55"/>
        <v>-0.56000137329102273</v>
      </c>
    </row>
    <row r="861" spans="1:8" x14ac:dyDescent="0.2">
      <c r="A861" t="s">
        <v>4</v>
      </c>
      <c r="B861" s="2">
        <v>45813</v>
      </c>
      <c r="C861">
        <v>39.579837799072273</v>
      </c>
      <c r="D861">
        <f>_xlfn.XLOOKUP(B861, Oil_Price!A:A, Oil_Price!B:B, "")</f>
        <v>63.369998931884773</v>
      </c>
      <c r="E861">
        <f t="shared" si="52"/>
        <v>1.1817584434406952E-3</v>
      </c>
      <c r="F861">
        <f t="shared" si="53"/>
        <v>8.2736749465125246E-3</v>
      </c>
      <c r="G861">
        <f t="shared" si="54"/>
        <v>4.6718597412109375E-2</v>
      </c>
      <c r="H861">
        <f t="shared" si="55"/>
        <v>0.52000045776368609</v>
      </c>
    </row>
    <row r="862" spans="1:8" x14ac:dyDescent="0.2">
      <c r="A862" t="s">
        <v>4</v>
      </c>
      <c r="B862" s="2">
        <v>45814</v>
      </c>
      <c r="C862">
        <v>40.411422729492188</v>
      </c>
      <c r="D862">
        <f>_xlfn.XLOOKUP(B862, Oil_Price!A:A, Oil_Price!B:B, "")</f>
        <v>64.580001831054688</v>
      </c>
      <c r="E862">
        <f t="shared" si="52"/>
        <v>2.1010316784052272E-2</v>
      </c>
      <c r="F862">
        <f t="shared" si="53"/>
        <v>1.909425468778253E-2</v>
      </c>
      <c r="G862">
        <f t="shared" si="54"/>
        <v>0.83158493041991477</v>
      </c>
      <c r="H862">
        <f t="shared" si="55"/>
        <v>1.2100028991699148</v>
      </c>
    </row>
    <row r="863" spans="1:8" x14ac:dyDescent="0.2">
      <c r="A863" t="s">
        <v>4</v>
      </c>
      <c r="B863" s="2">
        <v>45817</v>
      </c>
      <c r="C863">
        <v>40.439453125</v>
      </c>
      <c r="D863">
        <f>_xlfn.XLOOKUP(B863, Oil_Price!A:A, Oil_Price!B:B, "")</f>
        <v>65.290000915527344</v>
      </c>
      <c r="E863">
        <f t="shared" si="52"/>
        <v>6.9362555472109037E-4</v>
      </c>
      <c r="F863">
        <f t="shared" si="53"/>
        <v>1.0994101336975154E-2</v>
      </c>
      <c r="G863">
        <f t="shared" si="54"/>
        <v>2.80303955078125E-2</v>
      </c>
      <c r="H863">
        <f t="shared" si="55"/>
        <v>0.70999908447265625</v>
      </c>
    </row>
    <row r="864" spans="1:8" x14ac:dyDescent="0.2">
      <c r="A864" t="s">
        <v>4</v>
      </c>
      <c r="B864" s="2">
        <v>45818</v>
      </c>
      <c r="C864">
        <v>41.140224456787109</v>
      </c>
      <c r="D864">
        <f>_xlfn.XLOOKUP(B864, Oil_Price!A:A, Oil_Price!B:B, "")</f>
        <v>64.980003356933594</v>
      </c>
      <c r="E864">
        <f t="shared" si="52"/>
        <v>1.7328902288094663E-2</v>
      </c>
      <c r="F864">
        <f t="shared" si="53"/>
        <v>-4.7480097143026076E-3</v>
      </c>
      <c r="G864">
        <f t="shared" si="54"/>
        <v>0.70077133178710938</v>
      </c>
      <c r="H864">
        <f t="shared" si="55"/>
        <v>-0.30999755859375</v>
      </c>
    </row>
    <row r="865" spans="1:8" x14ac:dyDescent="0.2">
      <c r="A865" t="s">
        <v>4</v>
      </c>
      <c r="B865" s="2">
        <v>45819</v>
      </c>
      <c r="C865">
        <v>41.794284820556641</v>
      </c>
      <c r="D865">
        <f>_xlfn.XLOOKUP(B865, Oil_Price!A:A, Oil_Price!B:B, "")</f>
        <v>68.150001525878906</v>
      </c>
      <c r="E865">
        <f t="shared" si="52"/>
        <v>1.5898317824117453E-2</v>
      </c>
      <c r="F865">
        <f t="shared" si="53"/>
        <v>4.8784210606031962E-2</v>
      </c>
      <c r="G865">
        <f t="shared" si="54"/>
        <v>0.65406036376953125</v>
      </c>
      <c r="H865">
        <f t="shared" si="55"/>
        <v>3.1699981689453125</v>
      </c>
    </row>
    <row r="866" spans="1:8" x14ac:dyDescent="0.2">
      <c r="A866" t="s">
        <v>4</v>
      </c>
      <c r="B866" s="2">
        <v>45820</v>
      </c>
      <c r="C866">
        <v>42.111968994140618</v>
      </c>
      <c r="D866">
        <f>_xlfn.XLOOKUP(B866, Oil_Price!A:A, Oil_Price!B:B, "")</f>
        <v>68.040000915527344</v>
      </c>
      <c r="E866">
        <f t="shared" si="52"/>
        <v>7.6011391257907917E-3</v>
      </c>
      <c r="F866">
        <f t="shared" si="53"/>
        <v>-1.6140954935971862E-3</v>
      </c>
      <c r="G866">
        <f t="shared" si="54"/>
        <v>0.31768417358397727</v>
      </c>
      <c r="H866">
        <f t="shared" si="55"/>
        <v>-0.1100006103515625</v>
      </c>
    </row>
    <row r="867" spans="1:8" x14ac:dyDescent="0.2">
      <c r="A867" t="s">
        <v>4</v>
      </c>
      <c r="B867" s="2">
        <v>45821</v>
      </c>
      <c r="C867">
        <v>43.454421997070312</v>
      </c>
      <c r="D867">
        <f>_xlfn.XLOOKUP(B867, Oil_Price!A:A, Oil_Price!B:B, "")</f>
        <v>72.980003356933594</v>
      </c>
      <c r="E867">
        <f t="shared" si="52"/>
        <v>3.1878181785242127E-2</v>
      </c>
      <c r="F867">
        <f t="shared" si="53"/>
        <v>7.2604385287109788E-2</v>
      </c>
      <c r="G867">
        <f t="shared" si="54"/>
        <v>1.3424530029296946</v>
      </c>
      <c r="H867">
        <f t="shared" si="55"/>
        <v>4.94000244140625</v>
      </c>
    </row>
    <row r="868" spans="1:8" x14ac:dyDescent="0.2">
      <c r="A868" t="s">
        <v>4</v>
      </c>
      <c r="B868" s="2">
        <v>45824</v>
      </c>
      <c r="C868">
        <v>42.82958984375</v>
      </c>
      <c r="D868">
        <f>_xlfn.XLOOKUP(B868, Oil_Price!A:A, Oil_Price!B:B, "")</f>
        <v>71.769996643066406</v>
      </c>
      <c r="E868">
        <f t="shared" si="52"/>
        <v>-1.4379023459624858E-2</v>
      </c>
      <c r="F868">
        <f t="shared" si="53"/>
        <v>-1.6579976133314724E-2</v>
      </c>
      <c r="G868">
        <f t="shared" si="54"/>
        <v>-0.6248321533203125</v>
      </c>
      <c r="H868">
        <f t="shared" si="55"/>
        <v>-1.2100067138671875</v>
      </c>
    </row>
    <row r="869" spans="1:8" x14ac:dyDescent="0.2">
      <c r="A869" t="s">
        <v>4</v>
      </c>
      <c r="B869" s="2">
        <v>45825</v>
      </c>
      <c r="C869">
        <v>43.956184387207031</v>
      </c>
      <c r="D869">
        <f>_xlfn.XLOOKUP(B869, Oil_Price!A:A, Oil_Price!B:B, "")</f>
        <v>74.839996337890625</v>
      </c>
      <c r="E869">
        <f t="shared" si="52"/>
        <v>2.6304117026734311E-2</v>
      </c>
      <c r="F869">
        <f t="shared" si="53"/>
        <v>4.2775530701112369E-2</v>
      </c>
      <c r="G869">
        <f t="shared" si="54"/>
        <v>1.1265945434570312</v>
      </c>
      <c r="H869">
        <f t="shared" si="55"/>
        <v>3.0699996948242188</v>
      </c>
    </row>
    <row r="870" spans="1:8" x14ac:dyDescent="0.2">
      <c r="A870" t="s">
        <v>4</v>
      </c>
      <c r="B870" s="2">
        <v>45826</v>
      </c>
      <c r="C870">
        <v>43.549091339111328</v>
      </c>
      <c r="D870">
        <f>_xlfn.XLOOKUP(B870, Oil_Price!A:A, Oil_Price!B:B, "")</f>
        <v>75.139999389648438</v>
      </c>
      <c r="E870">
        <f t="shared" si="52"/>
        <v>-9.2613372559739986E-3</v>
      </c>
      <c r="F870">
        <f t="shared" si="53"/>
        <v>4.0085925499427693E-3</v>
      </c>
      <c r="G870">
        <f t="shared" si="54"/>
        <v>-0.40709304809570312</v>
      </c>
      <c r="H870">
        <f t="shared" si="55"/>
        <v>0.3000030517578125</v>
      </c>
    </row>
    <row r="871" spans="1:8" x14ac:dyDescent="0.2">
      <c r="A871" t="s">
        <v>4</v>
      </c>
      <c r="B871" s="2">
        <v>45827</v>
      </c>
      <c r="C871">
        <v>43.586963653564453</v>
      </c>
      <c r="D871" t="str">
        <f>_xlfn.XLOOKUP(B871, Oil_Price!A:A, Oil_Price!B:B, "")</f>
        <v/>
      </c>
      <c r="E871">
        <f t="shared" si="52"/>
        <v>8.696464906286568E-4</v>
      </c>
      <c r="F871" t="str">
        <f t="shared" si="53"/>
        <v/>
      </c>
      <c r="G871">
        <f t="shared" si="54"/>
        <v>3.7872314453125E-2</v>
      </c>
      <c r="H871" t="str">
        <f t="shared" si="55"/>
        <v/>
      </c>
    </row>
    <row r="872" spans="1:8" x14ac:dyDescent="0.2">
      <c r="A872" t="s">
        <v>4</v>
      </c>
      <c r="B872" s="2">
        <v>45828</v>
      </c>
      <c r="C872">
        <v>43.549091339111328</v>
      </c>
      <c r="D872">
        <f>_xlfn.XLOOKUP(B872, Oil_Price!A:A, Oil_Price!B:B, "")</f>
        <v>74.930000305175781</v>
      </c>
      <c r="E872">
        <f t="shared" si="52"/>
        <v>-8.6889086273913641E-4</v>
      </c>
      <c r="F872" t="str">
        <f t="shared" si="53"/>
        <v/>
      </c>
      <c r="G872">
        <f t="shared" si="54"/>
        <v>-3.7872314453125E-2</v>
      </c>
      <c r="H872" t="str">
        <f t="shared" si="55"/>
        <v/>
      </c>
    </row>
    <row r="873" spans="1:8" x14ac:dyDescent="0.2">
      <c r="A873" t="s">
        <v>4</v>
      </c>
      <c r="B873" s="2">
        <v>45831</v>
      </c>
      <c r="C873">
        <v>41.769260406494141</v>
      </c>
      <c r="D873">
        <f>_xlfn.XLOOKUP(B873, Oil_Price!A:A, Oil_Price!B:B, "")</f>
        <v>68.510002136230469</v>
      </c>
      <c r="E873">
        <f t="shared" si="52"/>
        <v>-4.0869530864785827E-2</v>
      </c>
      <c r="F873">
        <f t="shared" si="53"/>
        <v>-8.5679943184276908E-2</v>
      </c>
      <c r="G873">
        <f t="shared" si="54"/>
        <v>-1.7798309326171875</v>
      </c>
      <c r="H873">
        <f t="shared" si="55"/>
        <v>-6.4199981689453125</v>
      </c>
    </row>
    <row r="874" spans="1:8" x14ac:dyDescent="0.2">
      <c r="A874" t="s">
        <v>4</v>
      </c>
      <c r="B874" s="2">
        <v>45832</v>
      </c>
      <c r="C874">
        <v>40.955085754394531</v>
      </c>
      <c r="D874">
        <f>_xlfn.XLOOKUP(B874, Oil_Price!A:A, Oil_Price!B:B, "")</f>
        <v>64.370002746582031</v>
      </c>
      <c r="E874">
        <f t="shared" si="52"/>
        <v>-1.9492196993103193E-2</v>
      </c>
      <c r="F874">
        <f t="shared" si="53"/>
        <v>-6.0429123639729999E-2</v>
      </c>
      <c r="G874">
        <f t="shared" si="54"/>
        <v>-0.81417465209960938</v>
      </c>
      <c r="H874">
        <f t="shared" si="55"/>
        <v>-4.1399993896484375</v>
      </c>
    </row>
    <row r="875" spans="1:8" x14ac:dyDescent="0.2">
      <c r="A875" t="s">
        <v>4</v>
      </c>
      <c r="B875" s="2">
        <v>45833</v>
      </c>
      <c r="C875">
        <v>40.746803283691413</v>
      </c>
      <c r="D875">
        <f>_xlfn.XLOOKUP(B875, Oil_Price!A:A, Oil_Price!B:B, "")</f>
        <v>64.919998168945312</v>
      </c>
      <c r="E875">
        <f t="shared" si="52"/>
        <v>-5.0856314146715941E-3</v>
      </c>
      <c r="F875">
        <f t="shared" si="53"/>
        <v>8.5442814804367138E-3</v>
      </c>
      <c r="G875">
        <f t="shared" si="54"/>
        <v>-0.20828247070311789</v>
      </c>
      <c r="H875">
        <f t="shared" si="55"/>
        <v>0.54999542236328125</v>
      </c>
    </row>
    <row r="876" spans="1:8" x14ac:dyDescent="0.2">
      <c r="A876" t="s">
        <v>4</v>
      </c>
      <c r="B876" s="2">
        <v>45834</v>
      </c>
      <c r="C876">
        <v>41.239097595214837</v>
      </c>
      <c r="D876">
        <f>_xlfn.XLOOKUP(B876, Oil_Price!A:A, Oil_Price!B:B, "")</f>
        <v>65.239997863769531</v>
      </c>
      <c r="E876">
        <f t="shared" si="52"/>
        <v>1.2081789781051615E-2</v>
      </c>
      <c r="F876">
        <f t="shared" si="53"/>
        <v>4.9291389995339161E-3</v>
      </c>
      <c r="G876">
        <f t="shared" si="54"/>
        <v>0.49229431152342329</v>
      </c>
      <c r="H876">
        <f t="shared" si="55"/>
        <v>0.31999969482421875</v>
      </c>
    </row>
    <row r="877" spans="1:8" x14ac:dyDescent="0.2">
      <c r="A877" t="s">
        <v>4</v>
      </c>
      <c r="B877" s="2">
        <v>45835</v>
      </c>
      <c r="C877">
        <v>40.813076019287109</v>
      </c>
      <c r="D877">
        <f>_xlfn.XLOOKUP(B877, Oil_Price!A:A, Oil_Price!B:B, "")</f>
        <v>65.519996643066406</v>
      </c>
      <c r="E877">
        <f t="shared" si="52"/>
        <v>-1.0330526145585701E-2</v>
      </c>
      <c r="F877">
        <f t="shared" si="53"/>
        <v>4.2918269231331458E-3</v>
      </c>
      <c r="G877">
        <f t="shared" si="54"/>
        <v>-0.42602157592772727</v>
      </c>
      <c r="H877">
        <f t="shared" si="55"/>
        <v>0.279998779296875</v>
      </c>
    </row>
    <row r="878" spans="1:8" x14ac:dyDescent="0.2">
      <c r="A878" t="s">
        <v>4</v>
      </c>
      <c r="B878" s="2">
        <v>45838</v>
      </c>
      <c r="C878">
        <v>40.51959228515625</v>
      </c>
      <c r="D878">
        <f>_xlfn.XLOOKUP(B878, Oil_Price!A:A, Oil_Price!B:B, "")</f>
        <v>65.110000610351562</v>
      </c>
      <c r="E878">
        <f t="shared" si="52"/>
        <v>-7.1909241536258434E-3</v>
      </c>
      <c r="F878">
        <f t="shared" si="53"/>
        <v>-6.257571027489227E-3</v>
      </c>
      <c r="G878">
        <f t="shared" si="54"/>
        <v>-0.29348373413085938</v>
      </c>
      <c r="H878">
        <f t="shared" si="55"/>
        <v>-0.40999603271484375</v>
      </c>
    </row>
    <row r="879" spans="1:8" x14ac:dyDescent="0.2">
      <c r="A879" t="s">
        <v>4</v>
      </c>
      <c r="B879" s="2">
        <v>45840</v>
      </c>
      <c r="C879">
        <v>41.712459564208977</v>
      </c>
      <c r="D879">
        <f>_xlfn.XLOOKUP(B879, Oil_Price!A:A, Oil_Price!B:B, "")</f>
        <v>67.449996948242188</v>
      </c>
      <c r="E879">
        <f t="shared" si="52"/>
        <v>2.9439271517293041E-2</v>
      </c>
      <c r="F879">
        <f t="shared" si="53"/>
        <v>3.5939123267625939E-2</v>
      </c>
      <c r="G879">
        <f t="shared" si="54"/>
        <v>1.1928672790527273</v>
      </c>
      <c r="H879">
        <f t="shared" si="55"/>
        <v>2.339996337890625</v>
      </c>
    </row>
    <row r="880" spans="1:8" x14ac:dyDescent="0.2">
      <c r="A880" t="s">
        <v>4</v>
      </c>
      <c r="B880" s="2">
        <v>45841</v>
      </c>
      <c r="C880">
        <v>41.456844329833977</v>
      </c>
      <c r="D880">
        <f>_xlfn.XLOOKUP(B880, Oil_Price!A:A, Oil_Price!B:B, "")</f>
        <v>67</v>
      </c>
      <c r="E880">
        <f t="shared" si="52"/>
        <v>-6.128030738190478E-3</v>
      </c>
      <c r="F880">
        <f t="shared" si="53"/>
        <v>-6.6715636560738915E-3</v>
      </c>
      <c r="G880">
        <f t="shared" si="54"/>
        <v>-0.255615234375</v>
      </c>
      <c r="H880">
        <f t="shared" si="55"/>
        <v>-0.4499969482421875</v>
      </c>
    </row>
    <row r="881" spans="1:8" x14ac:dyDescent="0.2">
      <c r="A881" t="s">
        <v>4</v>
      </c>
      <c r="B881" s="2">
        <v>45842</v>
      </c>
      <c r="C881">
        <v>41.437908172607422</v>
      </c>
      <c r="D881">
        <f>_xlfn.XLOOKUP(B881, Oil_Price!A:A, Oil_Price!B:B, "")</f>
        <v>66.5</v>
      </c>
      <c r="E881">
        <f t="shared" si="52"/>
        <v>-4.5676793621573819E-4</v>
      </c>
      <c r="F881">
        <f t="shared" si="53"/>
        <v>-7.462686567164179E-3</v>
      </c>
      <c r="G881">
        <f t="shared" si="54"/>
        <v>-1.8936157226555395E-2</v>
      </c>
      <c r="H881">
        <f t="shared" si="55"/>
        <v>-0.5</v>
      </c>
    </row>
    <row r="882" spans="1:8" x14ac:dyDescent="0.2">
      <c r="A882" t="s">
        <v>4</v>
      </c>
      <c r="B882" s="2">
        <v>45845</v>
      </c>
      <c r="C882">
        <v>41.078151702880859</v>
      </c>
      <c r="D882">
        <f>_xlfn.XLOOKUP(B882, Oil_Price!A:A, Oil_Price!B:B, "")</f>
        <v>67.930000305175781</v>
      </c>
      <c r="E882">
        <f t="shared" si="52"/>
        <v>-8.6818202363887643E-3</v>
      </c>
      <c r="F882">
        <f t="shared" si="53"/>
        <v>2.1503763987605732E-2</v>
      </c>
      <c r="G882">
        <f t="shared" si="54"/>
        <v>-0.3597564697265625</v>
      </c>
      <c r="H882">
        <f t="shared" si="55"/>
        <v>1.4300003051757812</v>
      </c>
    </row>
    <row r="883" spans="1:8" x14ac:dyDescent="0.2">
      <c r="A883" t="s">
        <v>4</v>
      </c>
      <c r="B883" s="2">
        <v>45846</v>
      </c>
      <c r="C883">
        <v>41.627254486083977</v>
      </c>
      <c r="D883">
        <f>_xlfn.XLOOKUP(B883, Oil_Price!A:A, Oil_Price!B:B, "")</f>
        <v>68.330001831054688</v>
      </c>
      <c r="E883">
        <f t="shared" si="52"/>
        <v>1.3367270932119583E-2</v>
      </c>
      <c r="F883">
        <f t="shared" si="53"/>
        <v>5.8884369804489602E-3</v>
      </c>
      <c r="G883">
        <f t="shared" si="54"/>
        <v>0.54910278320311789</v>
      </c>
      <c r="H883">
        <f t="shared" si="55"/>
        <v>0.40000152587890625</v>
      </c>
    </row>
    <row r="884" spans="1:8" x14ac:dyDescent="0.2">
      <c r="A884" t="s">
        <v>4</v>
      </c>
      <c r="B884" s="2">
        <v>45847</v>
      </c>
      <c r="C884">
        <v>41.447376251220703</v>
      </c>
      <c r="D884">
        <f>_xlfn.XLOOKUP(B884, Oil_Price!A:A, Oil_Price!B:B, "")</f>
        <v>68.379997253417969</v>
      </c>
      <c r="E884">
        <f t="shared" si="52"/>
        <v>-4.3211649935598704E-3</v>
      </c>
      <c r="F884">
        <f t="shared" si="53"/>
        <v>7.3167599917375208E-4</v>
      </c>
      <c r="G884">
        <f t="shared" si="54"/>
        <v>-0.17987823486327414</v>
      </c>
      <c r="H884">
        <f t="shared" si="55"/>
        <v>4.999542236328125E-2</v>
      </c>
    </row>
    <row r="885" spans="1:8" x14ac:dyDescent="0.2">
      <c r="A885" t="s">
        <v>4</v>
      </c>
      <c r="B885" s="2">
        <v>45848</v>
      </c>
      <c r="C885">
        <v>41.144428253173828</v>
      </c>
      <c r="D885">
        <f>_xlfn.XLOOKUP(B885, Oil_Price!A:A, Oil_Price!B:B, "")</f>
        <v>66.569999694824219</v>
      </c>
      <c r="E885">
        <f t="shared" si="52"/>
        <v>-7.3092201593328264E-3</v>
      </c>
      <c r="F885">
        <f t="shared" si="53"/>
        <v>-2.6469693350320768E-2</v>
      </c>
      <c r="G885">
        <f t="shared" si="54"/>
        <v>-0.302947998046875</v>
      </c>
      <c r="H885">
        <f t="shared" si="55"/>
        <v>-1.80999755859375</v>
      </c>
    </row>
    <row r="886" spans="1:8" x14ac:dyDescent="0.2">
      <c r="A886" t="s">
        <v>4</v>
      </c>
      <c r="B886" s="2">
        <v>45849</v>
      </c>
      <c r="C886">
        <v>41.570449829101562</v>
      </c>
      <c r="D886">
        <f>_xlfn.XLOOKUP(B886, Oil_Price!A:A, Oil_Price!B:B, "")</f>
        <v>68.449996948242188</v>
      </c>
      <c r="E886">
        <f t="shared" si="52"/>
        <v>1.0354295685099759E-2</v>
      </c>
      <c r="F886">
        <f t="shared" si="53"/>
        <v>2.8240908247505032E-2</v>
      </c>
      <c r="G886">
        <f t="shared" si="54"/>
        <v>0.42602157592773438</v>
      </c>
      <c r="H886">
        <f t="shared" si="55"/>
        <v>1.8799972534179688</v>
      </c>
    </row>
    <row r="887" spans="1:8" x14ac:dyDescent="0.2">
      <c r="A887" t="s">
        <v>4</v>
      </c>
      <c r="B887" s="2">
        <v>45852</v>
      </c>
      <c r="C887">
        <v>41.248565673828118</v>
      </c>
      <c r="D887">
        <f>_xlfn.XLOOKUP(B887, Oil_Price!A:A, Oil_Price!B:B, "")</f>
        <v>66.980003356933594</v>
      </c>
      <c r="E887">
        <f t="shared" si="52"/>
        <v>-7.7431001251304305E-3</v>
      </c>
      <c r="F887">
        <f t="shared" si="53"/>
        <v>-2.1475436915214408E-2</v>
      </c>
      <c r="G887">
        <f t="shared" si="54"/>
        <v>-0.32188415527344461</v>
      </c>
      <c r="H887">
        <f t="shared" si="55"/>
        <v>-1.4699935913085938</v>
      </c>
    </row>
    <row r="888" spans="1:8" x14ac:dyDescent="0.2">
      <c r="A888" t="s">
        <v>4</v>
      </c>
      <c r="B888" s="2">
        <v>45853</v>
      </c>
      <c r="C888">
        <v>40.680534362792969</v>
      </c>
      <c r="D888">
        <f>_xlfn.XLOOKUP(B888, Oil_Price!A:A, Oil_Price!B:B, "")</f>
        <v>66.519996643066406</v>
      </c>
      <c r="E888">
        <f t="shared" si="52"/>
        <v>-1.3770934861755943E-2</v>
      </c>
      <c r="F888">
        <f t="shared" si="53"/>
        <v>-6.8678216006623832E-3</v>
      </c>
      <c r="G888">
        <f t="shared" si="54"/>
        <v>-0.56803131103514914</v>
      </c>
      <c r="H888">
        <f t="shared" si="55"/>
        <v>-0.4600067138671875</v>
      </c>
    </row>
    <row r="889" spans="1:8" x14ac:dyDescent="0.2">
      <c r="A889" t="s">
        <v>4</v>
      </c>
      <c r="B889" s="2">
        <v>45854</v>
      </c>
      <c r="C889">
        <v>40.074634552001953</v>
      </c>
      <c r="D889">
        <f>_xlfn.XLOOKUP(B889, Oil_Price!A:A, Oil_Price!B:B, "")</f>
        <v>66.379997253417969</v>
      </c>
      <c r="E889">
        <f t="shared" si="52"/>
        <v>-1.4894096655357132E-2</v>
      </c>
      <c r="F889">
        <f t="shared" si="53"/>
        <v>-2.1046211171604156E-3</v>
      </c>
      <c r="G889">
        <f t="shared" si="54"/>
        <v>-0.60589981079101562</v>
      </c>
      <c r="H889">
        <f t="shared" si="55"/>
        <v>-0.1399993896484375</v>
      </c>
    </row>
    <row r="890" spans="1:8" x14ac:dyDescent="0.2">
      <c r="A890" t="s">
        <v>4</v>
      </c>
      <c r="B890" s="2">
        <v>45855</v>
      </c>
      <c r="C890">
        <v>40.349178314208977</v>
      </c>
      <c r="D890">
        <f>_xlfn.XLOOKUP(B890, Oil_Price!A:A, Oil_Price!B:B, "")</f>
        <v>67.540000915527344</v>
      </c>
      <c r="E890">
        <f t="shared" si="52"/>
        <v>6.8508113742314627E-3</v>
      </c>
      <c r="F890">
        <f t="shared" si="53"/>
        <v>1.7475199007328149E-2</v>
      </c>
      <c r="G890">
        <f t="shared" si="54"/>
        <v>0.27454376220702414</v>
      </c>
      <c r="H890">
        <f t="shared" si="55"/>
        <v>1.160003662109375</v>
      </c>
    </row>
    <row r="891" spans="1:8" x14ac:dyDescent="0.2">
      <c r="A891" t="s">
        <v>4</v>
      </c>
      <c r="B891" s="2">
        <v>45856</v>
      </c>
      <c r="C891">
        <v>40.046234130859382</v>
      </c>
      <c r="D891">
        <f>_xlfn.XLOOKUP(B891, Oil_Price!A:A, Oil_Price!B:B, "")</f>
        <v>67.339996337890625</v>
      </c>
      <c r="E891">
        <f t="shared" si="52"/>
        <v>-7.5080632619205848E-3</v>
      </c>
      <c r="F891">
        <f t="shared" si="53"/>
        <v>-2.9612759094697909E-3</v>
      </c>
      <c r="G891">
        <f t="shared" si="54"/>
        <v>-0.30294418334959516</v>
      </c>
      <c r="H891">
        <f t="shared" si="55"/>
        <v>-0.20000457763671875</v>
      </c>
    </row>
    <row r="892" spans="1:8" x14ac:dyDescent="0.2">
      <c r="A892" t="s">
        <v>4</v>
      </c>
      <c r="B892" s="2">
        <v>45859</v>
      </c>
      <c r="C892">
        <v>39.601276397705078</v>
      </c>
      <c r="D892">
        <f>_xlfn.XLOOKUP(B892, Oil_Price!A:A, Oil_Price!B:B, "")</f>
        <v>67.199996948242188</v>
      </c>
      <c r="E892">
        <f t="shared" si="52"/>
        <v>-1.1111100526963714E-2</v>
      </c>
      <c r="F892">
        <f t="shared" si="53"/>
        <v>-2.0789931283329037E-3</v>
      </c>
      <c r="G892">
        <f t="shared" si="54"/>
        <v>-0.44495773315430398</v>
      </c>
      <c r="H892">
        <f t="shared" si="55"/>
        <v>-0.1399993896484375</v>
      </c>
    </row>
    <row r="893" spans="1:8" x14ac:dyDescent="0.2">
      <c r="A893" t="s">
        <v>4</v>
      </c>
      <c r="B893" s="2">
        <v>45860</v>
      </c>
      <c r="C893">
        <v>40.17877197265625</v>
      </c>
      <c r="D893">
        <f>_xlfn.XLOOKUP(B893, Oil_Price!A:A, Oil_Price!B:B, "")</f>
        <v>66.209999084472656</v>
      </c>
      <c r="E893">
        <f t="shared" si="52"/>
        <v>1.4582751554559441E-2</v>
      </c>
      <c r="F893">
        <f t="shared" si="53"/>
        <v>-1.4732111737029291E-2</v>
      </c>
      <c r="G893">
        <f t="shared" si="54"/>
        <v>0.57749557495117188</v>
      </c>
      <c r="H893">
        <f t="shared" si="55"/>
        <v>-0.98999786376953125</v>
      </c>
    </row>
    <row r="894" spans="1:8" x14ac:dyDescent="0.2">
      <c r="A894" t="s">
        <v>4</v>
      </c>
      <c r="B894" s="2">
        <v>45861</v>
      </c>
      <c r="C894">
        <v>40.405982971191413</v>
      </c>
      <c r="D894">
        <f>_xlfn.XLOOKUP(B894, Oil_Price!A:A, Oil_Price!B:B, "")</f>
        <v>65.25</v>
      </c>
      <c r="E894">
        <f t="shared" si="52"/>
        <v>5.6550010709583726E-3</v>
      </c>
      <c r="F894">
        <f t="shared" si="53"/>
        <v>-1.4499306717220481E-2</v>
      </c>
      <c r="G894">
        <f t="shared" si="54"/>
        <v>0.22721099853516336</v>
      </c>
      <c r="H894">
        <f t="shared" si="55"/>
        <v>-0.95999908447265625</v>
      </c>
    </row>
    <row r="895" spans="1:8" x14ac:dyDescent="0.2">
      <c r="A895" t="s">
        <v>4</v>
      </c>
      <c r="B895" s="2">
        <v>45862</v>
      </c>
      <c r="C895">
        <v>40.841476440429688</v>
      </c>
      <c r="D895">
        <f>_xlfn.XLOOKUP(B895, Oil_Price!A:A, Oil_Price!B:B, "")</f>
        <v>66.029998779296875</v>
      </c>
      <c r="E895">
        <f t="shared" si="52"/>
        <v>1.0777945175811501E-2</v>
      </c>
      <c r="F895">
        <f t="shared" si="53"/>
        <v>1.1954004280411877E-2</v>
      </c>
      <c r="G895">
        <f t="shared" si="54"/>
        <v>0.43549346923827414</v>
      </c>
      <c r="H895">
        <f t="shared" si="55"/>
        <v>0.779998779296875</v>
      </c>
    </row>
    <row r="896" spans="1:8" x14ac:dyDescent="0.2">
      <c r="A896" t="s">
        <v>4</v>
      </c>
      <c r="B896" s="2">
        <v>45863</v>
      </c>
      <c r="C896">
        <v>40.718402862548828</v>
      </c>
      <c r="D896">
        <f>_xlfn.XLOOKUP(B896, Oil_Price!A:A, Oil_Price!B:B, "")</f>
        <v>65.160003662109375</v>
      </c>
      <c r="E896">
        <f t="shared" si="52"/>
        <v>-3.0134458547396367E-3</v>
      </c>
      <c r="F896">
        <f t="shared" si="53"/>
        <v>-1.3175755463746568E-2</v>
      </c>
      <c r="G896">
        <f t="shared" si="54"/>
        <v>-0.12307357788085938</v>
      </c>
      <c r="H896">
        <f t="shared" si="55"/>
        <v>-0.8699951171875</v>
      </c>
    </row>
    <row r="897" spans="1:8" x14ac:dyDescent="0.2">
      <c r="A897" t="s">
        <v>4</v>
      </c>
      <c r="B897" s="2">
        <v>45866</v>
      </c>
      <c r="C897">
        <v>41.532581329345703</v>
      </c>
      <c r="D897">
        <f>_xlfn.XLOOKUP(B897, Oil_Price!A:A, Oil_Price!B:B, "")</f>
        <v>66.709999084472656</v>
      </c>
      <c r="E897">
        <f t="shared" si="52"/>
        <v>1.9995343863197641E-2</v>
      </c>
      <c r="F897">
        <f t="shared" si="53"/>
        <v>2.3787528165296983E-2</v>
      </c>
      <c r="G897">
        <f t="shared" si="54"/>
        <v>0.814178466796875</v>
      </c>
      <c r="H897">
        <f t="shared" si="55"/>
        <v>1.5499954223632812</v>
      </c>
    </row>
    <row r="898" spans="1:8" x14ac:dyDescent="0.2">
      <c r="A898" t="s">
        <v>4</v>
      </c>
      <c r="B898" s="2">
        <v>45867</v>
      </c>
      <c r="C898">
        <v>42.024871826171882</v>
      </c>
      <c r="D898">
        <f>_xlfn.XLOOKUP(B898, Oil_Price!A:A, Oil_Price!B:B, "")</f>
        <v>69.209999084472656</v>
      </c>
      <c r="E898">
        <f t="shared" si="52"/>
        <v>1.1853115820622999E-2</v>
      </c>
      <c r="F898">
        <f t="shared" si="53"/>
        <v>3.7475641347773564E-2</v>
      </c>
      <c r="G898">
        <f t="shared" si="54"/>
        <v>0.49229049682617898</v>
      </c>
      <c r="H898">
        <f t="shared" si="55"/>
        <v>2.5</v>
      </c>
    </row>
    <row r="899" spans="1:8" x14ac:dyDescent="0.2">
      <c r="A899" t="s">
        <v>4</v>
      </c>
      <c r="B899" s="2">
        <v>45868</v>
      </c>
      <c r="C899">
        <v>41.769260406494141</v>
      </c>
      <c r="D899">
        <f>_xlfn.XLOOKUP(B899, Oil_Price!A:A, Oil_Price!B:B, "")</f>
        <v>70</v>
      </c>
      <c r="E899">
        <f t="shared" ref="E899:E962" si="56">IFERROR(IF(AND(A899=A898, C899&lt;&gt;"", C898&lt;&gt;""), (C899-C898)/C898, ""), "")</f>
        <v>-6.082384277935002E-3</v>
      </c>
      <c r="F899">
        <f t="shared" ref="F899:F962" si="57">IFERROR(IF(AND(A899=A898, D899&lt;&gt;"", D898&lt;&gt;""), (D899-D898)/D898, ""), "")</f>
        <v>1.1414548850999498E-2</v>
      </c>
      <c r="G899">
        <f t="shared" ref="G899:G962" si="58">IFERROR(IF(AND(A899=A898, C899&lt;&gt;"", C898&lt;&gt;""), C899-C898, ""), "")</f>
        <v>-0.25561141967774148</v>
      </c>
      <c r="H899">
        <f t="shared" ref="H899:H962" si="59">IFERROR(IF(AND(A899=A898, D899&lt;&gt;"", D898&lt;&gt;""), D899-D898, ""), "")</f>
        <v>0.79000091552734375</v>
      </c>
    </row>
    <row r="900" spans="1:8" x14ac:dyDescent="0.2">
      <c r="A900" t="s">
        <v>4</v>
      </c>
      <c r="B900" s="2">
        <v>45869</v>
      </c>
      <c r="C900">
        <v>41.523109436035163</v>
      </c>
      <c r="D900">
        <f>_xlfn.XLOOKUP(B900, Oil_Price!A:A, Oil_Price!B:B, "")</f>
        <v>69.260002136230469</v>
      </c>
      <c r="E900">
        <f t="shared" si="56"/>
        <v>-5.8931129750314313E-3</v>
      </c>
      <c r="F900">
        <f t="shared" si="57"/>
        <v>-1.0571398053850446E-2</v>
      </c>
      <c r="G900">
        <f t="shared" si="58"/>
        <v>-0.24615097045897727</v>
      </c>
      <c r="H900">
        <f t="shared" si="59"/>
        <v>-0.73999786376953125</v>
      </c>
    </row>
    <row r="901" spans="1:8" x14ac:dyDescent="0.2">
      <c r="A901" t="s">
        <v>4</v>
      </c>
      <c r="B901" s="2">
        <v>45870</v>
      </c>
      <c r="C901">
        <v>40.443855285644531</v>
      </c>
      <c r="D901">
        <f>_xlfn.XLOOKUP(B901, Oil_Price!A:A, Oil_Price!B:B, "")</f>
        <v>67.330001831054688</v>
      </c>
      <c r="E901">
        <f t="shared" si="56"/>
        <v>-2.5991650554330083E-2</v>
      </c>
      <c r="F901">
        <f t="shared" si="57"/>
        <v>-2.78660156749574E-2</v>
      </c>
      <c r="G901">
        <f t="shared" si="58"/>
        <v>-1.0792541503906321</v>
      </c>
      <c r="H901">
        <f t="shared" si="59"/>
        <v>-1.9300003051757812</v>
      </c>
    </row>
    <row r="902" spans="1:8" x14ac:dyDescent="0.2">
      <c r="A902" t="s">
        <v>4</v>
      </c>
      <c r="B902" s="2">
        <v>45874</v>
      </c>
      <c r="C902">
        <v>40.992946624755859</v>
      </c>
      <c r="D902">
        <f>_xlfn.XLOOKUP(B902, Oil_Price!A:A, Oil_Price!B:B, "")</f>
        <v>65.160003662109375</v>
      </c>
      <c r="E902">
        <f t="shared" si="56"/>
        <v>1.357663198113131E-2</v>
      </c>
      <c r="F902">
        <f t="shared" si="57"/>
        <v>-3.2229290211372635E-2</v>
      </c>
      <c r="G902">
        <f t="shared" si="58"/>
        <v>0.54909133911132812</v>
      </c>
      <c r="H902">
        <f t="shared" si="59"/>
        <v>-2.1699981689453125</v>
      </c>
    </row>
    <row r="903" spans="1:8" x14ac:dyDescent="0.2">
      <c r="A903" t="s">
        <v>4</v>
      </c>
      <c r="B903" s="2">
        <v>45875</v>
      </c>
      <c r="C903">
        <v>40.822540283203118</v>
      </c>
      <c r="D903">
        <f>_xlfn.XLOOKUP(B903, Oil_Price!A:A, Oil_Price!B:B, "")</f>
        <v>64.349998474121094</v>
      </c>
      <c r="E903">
        <f t="shared" si="56"/>
        <v>-4.1569673708167195E-3</v>
      </c>
      <c r="F903">
        <f t="shared" si="57"/>
        <v>-1.2431018147092283E-2</v>
      </c>
      <c r="G903">
        <f t="shared" si="58"/>
        <v>-0.17040634155274148</v>
      </c>
      <c r="H903">
        <f t="shared" si="59"/>
        <v>-0.81000518798828125</v>
      </c>
    </row>
    <row r="904" spans="1:8" x14ac:dyDescent="0.2">
      <c r="A904" t="s">
        <v>4</v>
      </c>
      <c r="B904" s="2">
        <v>45876</v>
      </c>
      <c r="C904">
        <v>39.582340240478523</v>
      </c>
      <c r="D904">
        <f>_xlfn.XLOOKUP(B904, Oil_Price!A:A, Oil_Price!B:B, "")</f>
        <v>63.880001068115227</v>
      </c>
      <c r="E904">
        <f t="shared" si="56"/>
        <v>-3.0380276046537188E-2</v>
      </c>
      <c r="F904">
        <f t="shared" si="57"/>
        <v>-7.3037671662864135E-3</v>
      </c>
      <c r="G904">
        <f t="shared" si="58"/>
        <v>-1.2402000427245952</v>
      </c>
      <c r="H904">
        <f t="shared" si="59"/>
        <v>-0.46999740600586648</v>
      </c>
    </row>
    <row r="905" spans="1:8" x14ac:dyDescent="0.2">
      <c r="A905" t="s">
        <v>4</v>
      </c>
      <c r="B905" s="2">
        <v>45877</v>
      </c>
      <c r="C905">
        <v>39.487667083740227</v>
      </c>
      <c r="D905">
        <f>_xlfn.XLOOKUP(B905, Oil_Price!A:A, Oil_Price!B:B, "")</f>
        <v>63.880001068115227</v>
      </c>
      <c r="E905">
        <f t="shared" si="56"/>
        <v>-2.3918029142066446E-3</v>
      </c>
      <c r="F905">
        <f t="shared" si="57"/>
        <v>0</v>
      </c>
      <c r="G905">
        <f t="shared" si="58"/>
        <v>-9.4673156738295461E-2</v>
      </c>
      <c r="H905">
        <f t="shared" si="59"/>
        <v>0</v>
      </c>
    </row>
    <row r="906" spans="1:8" x14ac:dyDescent="0.2">
      <c r="A906" t="s">
        <v>4</v>
      </c>
      <c r="B906" s="2">
        <v>45880</v>
      </c>
      <c r="C906">
        <v>39.004840850830078</v>
      </c>
      <c r="D906">
        <f>_xlfn.XLOOKUP(B906, Oil_Price!A:A, Oil_Price!B:B, "")</f>
        <v>63.959999084472663</v>
      </c>
      <c r="E906">
        <f t="shared" si="56"/>
        <v>-1.2227266601651474E-2</v>
      </c>
      <c r="F906">
        <f t="shared" si="57"/>
        <v>1.2523170792081582E-3</v>
      </c>
      <c r="G906">
        <f t="shared" si="58"/>
        <v>-0.48282623291014914</v>
      </c>
      <c r="H906">
        <f t="shared" si="59"/>
        <v>7.9998016357436086E-2</v>
      </c>
    </row>
    <row r="907" spans="1:8" x14ac:dyDescent="0.2">
      <c r="A907" t="s">
        <v>4</v>
      </c>
      <c r="B907" s="2">
        <v>45881</v>
      </c>
      <c r="C907">
        <v>38.985904693603523</v>
      </c>
      <c r="D907">
        <f>_xlfn.XLOOKUP(B907, Oil_Price!A:A, Oil_Price!B:B, "")</f>
        <v>63.169998168945312</v>
      </c>
      <c r="E907">
        <f t="shared" si="56"/>
        <v>-4.8548223280732618E-4</v>
      </c>
      <c r="F907">
        <f t="shared" si="57"/>
        <v>-1.2351484159403882E-2</v>
      </c>
      <c r="G907">
        <f t="shared" si="58"/>
        <v>-1.8936157226555395E-2</v>
      </c>
      <c r="H907">
        <f t="shared" si="59"/>
        <v>-0.79000091552735086</v>
      </c>
    </row>
    <row r="908" spans="1:8" x14ac:dyDescent="0.2">
      <c r="A908" t="s">
        <v>4</v>
      </c>
      <c r="B908" s="2">
        <v>45882</v>
      </c>
      <c r="C908">
        <v>39.004840850830078</v>
      </c>
      <c r="D908">
        <f>_xlfn.XLOOKUP(B908, Oil_Price!A:A, Oil_Price!B:B, "")</f>
        <v>62.650001525878913</v>
      </c>
      <c r="E908">
        <f t="shared" si="56"/>
        <v>4.8571804028603905E-4</v>
      </c>
      <c r="F908">
        <f t="shared" si="57"/>
        <v>-8.231702677522509E-3</v>
      </c>
      <c r="G908">
        <f t="shared" si="58"/>
        <v>1.8936157226555395E-2</v>
      </c>
      <c r="H908">
        <f t="shared" si="59"/>
        <v>-0.51999664306639914</v>
      </c>
    </row>
    <row r="909" spans="1:8" x14ac:dyDescent="0.2">
      <c r="A909" t="s">
        <v>4</v>
      </c>
      <c r="B909" s="2">
        <v>45883</v>
      </c>
      <c r="C909">
        <v>38.957508087158203</v>
      </c>
      <c r="D909">
        <f>_xlfn.XLOOKUP(B909, Oil_Price!A:A, Oil_Price!B:B, "")</f>
        <v>63.959999084472663</v>
      </c>
      <c r="E909">
        <f t="shared" si="56"/>
        <v>-1.21350998079685E-3</v>
      </c>
      <c r="F909">
        <f t="shared" si="57"/>
        <v>2.0909776962297882E-2</v>
      </c>
      <c r="G909">
        <f t="shared" si="58"/>
        <v>-4.7332763671875E-2</v>
      </c>
      <c r="H909">
        <f t="shared" si="59"/>
        <v>1.30999755859375</v>
      </c>
    </row>
    <row r="910" spans="1:8" x14ac:dyDescent="0.2">
      <c r="A910" t="s">
        <v>4</v>
      </c>
      <c r="B910" s="2">
        <v>45884</v>
      </c>
      <c r="C910">
        <v>39.033241271972663</v>
      </c>
      <c r="D910">
        <f>_xlfn.XLOOKUP(B910, Oil_Price!A:A, Oil_Price!B:B, "")</f>
        <v>62.799999237060547</v>
      </c>
      <c r="E910">
        <f t="shared" si="56"/>
        <v>1.9439945862303398E-3</v>
      </c>
      <c r="F910">
        <f t="shared" si="57"/>
        <v>-1.8136333083433789E-2</v>
      </c>
      <c r="G910">
        <f t="shared" si="58"/>
        <v>7.573318481446023E-2</v>
      </c>
      <c r="H910">
        <f t="shared" si="59"/>
        <v>-1.1599998474121165</v>
      </c>
    </row>
    <row r="911" spans="1:8" x14ac:dyDescent="0.2">
      <c r="A911" t="s">
        <v>4</v>
      </c>
      <c r="B911" s="2">
        <v>45887</v>
      </c>
      <c r="C911">
        <v>38.929100036621087</v>
      </c>
      <c r="D911">
        <f>_xlfn.XLOOKUP(B911, Oil_Price!A:A, Oil_Price!B:B, "")</f>
        <v>63.419998168945312</v>
      </c>
      <c r="E911">
        <f t="shared" si="56"/>
        <v>-2.6680140300404426E-3</v>
      </c>
      <c r="F911">
        <f t="shared" si="57"/>
        <v>9.8725945767031455E-3</v>
      </c>
      <c r="G911">
        <f t="shared" si="58"/>
        <v>-0.10414123535157671</v>
      </c>
      <c r="H911">
        <f t="shared" si="59"/>
        <v>0.61999893188476562</v>
      </c>
    </row>
    <row r="912" spans="1:8" x14ac:dyDescent="0.2">
      <c r="A912" t="s">
        <v>4</v>
      </c>
      <c r="B912" s="2">
        <v>45888</v>
      </c>
      <c r="C912">
        <v>38.493614196777337</v>
      </c>
      <c r="D912">
        <f>_xlfn.XLOOKUP(B912, Oil_Price!A:A, Oil_Price!B:B, "")</f>
        <v>62.349998474121087</v>
      </c>
      <c r="E912">
        <f t="shared" si="56"/>
        <v>-1.1186640313649252E-2</v>
      </c>
      <c r="F912">
        <f t="shared" si="57"/>
        <v>-1.6871644997116533E-2</v>
      </c>
      <c r="G912">
        <f t="shared" si="58"/>
        <v>-0.43548583984375</v>
      </c>
      <c r="H912">
        <f t="shared" si="59"/>
        <v>-1.0699996948242259</v>
      </c>
    </row>
    <row r="913" spans="1:8" x14ac:dyDescent="0.2">
      <c r="A913" t="s">
        <v>4</v>
      </c>
      <c r="B913" s="2">
        <v>45889</v>
      </c>
      <c r="C913">
        <v>38.910167694091797</v>
      </c>
      <c r="D913">
        <f>_xlfn.XLOOKUP(B913, Oil_Price!A:A, Oil_Price!B:B, "")</f>
        <v>63.209999084472663</v>
      </c>
      <c r="E913">
        <f t="shared" si="56"/>
        <v>1.0821366244932486E-2</v>
      </c>
      <c r="F913">
        <f t="shared" si="57"/>
        <v>1.3793113574951048E-2</v>
      </c>
      <c r="G913">
        <f t="shared" si="58"/>
        <v>0.41655349731446023</v>
      </c>
      <c r="H913">
        <f t="shared" si="59"/>
        <v>0.86000061035157671</v>
      </c>
    </row>
    <row r="914" spans="1:8" x14ac:dyDescent="0.2">
      <c r="A914" t="s">
        <v>4</v>
      </c>
      <c r="B914" s="2">
        <v>45890</v>
      </c>
      <c r="C914">
        <v>39.705413818359382</v>
      </c>
      <c r="D914">
        <f>_xlfn.XLOOKUP(B914, Oil_Price!A:A, Oil_Price!B:B, "")</f>
        <v>63.520000457763672</v>
      </c>
      <c r="E914">
        <f t="shared" si="56"/>
        <v>2.0438003005274558E-2</v>
      </c>
      <c r="F914">
        <f t="shared" si="57"/>
        <v>4.904309093197873E-3</v>
      </c>
      <c r="G914">
        <f t="shared" si="58"/>
        <v>0.79524612426758523</v>
      </c>
      <c r="H914">
        <f t="shared" si="59"/>
        <v>0.31000137329100852</v>
      </c>
    </row>
    <row r="915" spans="1:8" x14ac:dyDescent="0.2">
      <c r="A915" t="s">
        <v>4</v>
      </c>
      <c r="B915" s="2">
        <v>45891</v>
      </c>
      <c r="C915">
        <v>40.775203704833977</v>
      </c>
      <c r="D915">
        <f>_xlfn.XLOOKUP(B915, Oil_Price!A:A, Oil_Price!B:B, "")</f>
        <v>63.659999847412109</v>
      </c>
      <c r="E915">
        <f t="shared" si="56"/>
        <v>2.6943174333066266E-2</v>
      </c>
      <c r="F915">
        <f t="shared" si="57"/>
        <v>2.2040206020075086E-3</v>
      </c>
      <c r="G915">
        <f t="shared" si="58"/>
        <v>1.0697898864745952</v>
      </c>
      <c r="H915">
        <f t="shared" si="59"/>
        <v>0.1399993896484375</v>
      </c>
    </row>
    <row r="916" spans="1:8" x14ac:dyDescent="0.2">
      <c r="A916" t="s">
        <v>4</v>
      </c>
      <c r="B916" s="2">
        <v>45894</v>
      </c>
      <c r="C916">
        <v>40.737335205078118</v>
      </c>
      <c r="D916">
        <f>_xlfn.XLOOKUP(B916, Oil_Price!A:A, Oil_Price!B:B, "")</f>
        <v>64.800003051757812</v>
      </c>
      <c r="E916">
        <f t="shared" si="56"/>
        <v>-9.2871393187840762E-4</v>
      </c>
      <c r="F916">
        <f t="shared" si="57"/>
        <v>1.7907684685488517E-2</v>
      </c>
      <c r="G916">
        <f t="shared" si="58"/>
        <v>-3.7868499755859375E-2</v>
      </c>
      <c r="H916">
        <f t="shared" si="59"/>
        <v>1.1400032043457031</v>
      </c>
    </row>
    <row r="917" spans="1:8" x14ac:dyDescent="0.2">
      <c r="A917" t="s">
        <v>4</v>
      </c>
      <c r="B917" s="2">
        <v>45895</v>
      </c>
      <c r="C917">
        <v>39.913692474365227</v>
      </c>
      <c r="D917">
        <f>_xlfn.XLOOKUP(B917, Oil_Price!A:A, Oil_Price!B:B, "")</f>
        <v>63.25</v>
      </c>
      <c r="E917">
        <f t="shared" si="56"/>
        <v>-2.0218375270904303E-2</v>
      </c>
      <c r="F917">
        <f t="shared" si="57"/>
        <v>-2.3919799054944117E-2</v>
      </c>
      <c r="G917">
        <f t="shared" si="58"/>
        <v>-0.82364273071289062</v>
      </c>
      <c r="H917">
        <f t="shared" si="59"/>
        <v>-1.5500030517578125</v>
      </c>
    </row>
    <row r="918" spans="1:8" x14ac:dyDescent="0.2">
      <c r="A918" t="s">
        <v>4</v>
      </c>
      <c r="B918" s="2">
        <v>45896</v>
      </c>
      <c r="C918">
        <v>40.860408782958977</v>
      </c>
      <c r="D918">
        <f>_xlfn.XLOOKUP(B918, Oil_Price!A:A, Oil_Price!B:B, "")</f>
        <v>64.150001525878906</v>
      </c>
      <c r="E918">
        <f t="shared" si="56"/>
        <v>2.3719086105646162E-2</v>
      </c>
      <c r="F918">
        <f t="shared" si="57"/>
        <v>1.4229273136425396E-2</v>
      </c>
      <c r="G918">
        <f t="shared" si="58"/>
        <v>0.94671630859375</v>
      </c>
      <c r="H918">
        <f t="shared" si="59"/>
        <v>0.90000152587890625</v>
      </c>
    </row>
    <row r="919" spans="1:8" x14ac:dyDescent="0.2">
      <c r="A919" t="s">
        <v>4</v>
      </c>
      <c r="B919" s="2">
        <v>45897</v>
      </c>
      <c r="C919">
        <v>41.021358489990227</v>
      </c>
      <c r="D919">
        <f>_xlfn.XLOOKUP(B919, Oil_Price!A:A, Oil_Price!B:B, "")</f>
        <v>64.599998474121094</v>
      </c>
      <c r="E919">
        <f t="shared" si="56"/>
        <v>3.9390136277436079E-3</v>
      </c>
      <c r="F919">
        <f t="shared" si="57"/>
        <v>7.0147613022371194E-3</v>
      </c>
      <c r="G919">
        <f t="shared" si="58"/>
        <v>0.16094970703125</v>
      </c>
      <c r="H919">
        <f t="shared" si="59"/>
        <v>0.4499969482421875</v>
      </c>
    </row>
    <row r="920" spans="1:8" x14ac:dyDescent="0.2">
      <c r="A920" t="s">
        <v>4</v>
      </c>
      <c r="B920" s="2">
        <v>45898</v>
      </c>
      <c r="C920">
        <v>41.172824859619141</v>
      </c>
      <c r="D920">
        <f>_xlfn.XLOOKUP(B920, Oil_Price!A:A, Oil_Price!B:B, "")</f>
        <v>64.010002136230469</v>
      </c>
      <c r="E920">
        <f t="shared" si="56"/>
        <v>3.6923781952729142E-3</v>
      </c>
      <c r="F920">
        <f t="shared" si="57"/>
        <v>-9.1330704617118355E-3</v>
      </c>
      <c r="G920">
        <f t="shared" si="58"/>
        <v>0.15146636962891336</v>
      </c>
      <c r="H920">
        <f t="shared" si="59"/>
        <v>-0.589996337890625</v>
      </c>
    </row>
    <row r="921" spans="1:8" x14ac:dyDescent="0.2">
      <c r="A921" t="s">
        <v>4</v>
      </c>
      <c r="B921" s="2">
        <v>45902</v>
      </c>
      <c r="C921">
        <v>41.759796142578118</v>
      </c>
      <c r="D921">
        <f>_xlfn.XLOOKUP(B921, Oil_Price!A:A, Oil_Price!B:B, "")</f>
        <v>65.589996337890625</v>
      </c>
      <c r="E921">
        <f t="shared" si="56"/>
        <v>1.4256279110318177E-2</v>
      </c>
      <c r="F921">
        <f t="shared" si="57"/>
        <v>2.4683551772073126E-2</v>
      </c>
      <c r="G921">
        <f t="shared" si="58"/>
        <v>0.58697128295897727</v>
      </c>
      <c r="H921">
        <f t="shared" si="59"/>
        <v>1.5799942016601562</v>
      </c>
    </row>
    <row r="922" spans="1:8" x14ac:dyDescent="0.2">
      <c r="A922" t="s">
        <v>4</v>
      </c>
      <c r="B922" s="2">
        <v>45903</v>
      </c>
      <c r="C922">
        <v>40.784679412841797</v>
      </c>
      <c r="D922">
        <f>_xlfn.XLOOKUP(B922, Oil_Price!A:A, Oil_Price!B:B, "")</f>
        <v>63.970001220703118</v>
      </c>
      <c r="E922">
        <f t="shared" si="56"/>
        <v>-2.335061039108129E-2</v>
      </c>
      <c r="F922">
        <f t="shared" si="57"/>
        <v>-2.469881396001319E-2</v>
      </c>
      <c r="G922">
        <f t="shared" si="58"/>
        <v>-0.97511672973632102</v>
      </c>
      <c r="H922">
        <f t="shared" si="59"/>
        <v>-1.6199951171875071</v>
      </c>
    </row>
    <row r="923" spans="1:8" x14ac:dyDescent="0.2">
      <c r="A923" t="s">
        <v>4</v>
      </c>
      <c r="B923" s="2">
        <v>45904</v>
      </c>
      <c r="C923">
        <v>41.078151702880859</v>
      </c>
      <c r="D923">
        <f>_xlfn.XLOOKUP(B923, Oil_Price!A:A, Oil_Price!B:B, "")</f>
        <v>63.479999542236328</v>
      </c>
      <c r="E923">
        <f t="shared" si="56"/>
        <v>7.1956502849611081E-3</v>
      </c>
      <c r="F923">
        <f t="shared" si="57"/>
        <v>-7.6598666424318694E-3</v>
      </c>
      <c r="G923">
        <f t="shared" si="58"/>
        <v>0.2934722900390625</v>
      </c>
      <c r="H923">
        <f t="shared" si="59"/>
        <v>-0.49000167846678977</v>
      </c>
    </row>
    <row r="924" spans="1:8" x14ac:dyDescent="0.2">
      <c r="A924" t="s">
        <v>4</v>
      </c>
      <c r="B924" s="2">
        <v>45905</v>
      </c>
      <c r="C924">
        <v>39.819015502929688</v>
      </c>
      <c r="D924">
        <f>_xlfn.XLOOKUP(B924, Oil_Price!A:A, Oil_Price!B:B, "")</f>
        <v>61.869998931884773</v>
      </c>
      <c r="E924">
        <f t="shared" si="56"/>
        <v>-3.0652211644246571E-2</v>
      </c>
      <c r="F924">
        <f t="shared" si="57"/>
        <v>-2.5362328638335038E-2</v>
      </c>
      <c r="G924">
        <f t="shared" si="58"/>
        <v>-1.2591361999511719</v>
      </c>
      <c r="H924">
        <f t="shared" si="59"/>
        <v>-1.6100006103515554</v>
      </c>
    </row>
    <row r="925" spans="1:8" x14ac:dyDescent="0.2">
      <c r="A925" t="s">
        <v>4</v>
      </c>
      <c r="B925" s="2">
        <v>45908</v>
      </c>
      <c r="C925">
        <v>39.629676818847663</v>
      </c>
      <c r="D925">
        <f>_xlfn.XLOOKUP(B925, Oil_Price!A:A, Oil_Price!B:B, "")</f>
        <v>62.259998321533203</v>
      </c>
      <c r="E925">
        <f t="shared" si="56"/>
        <v>-4.7549815506637413E-3</v>
      </c>
      <c r="F925">
        <f t="shared" si="57"/>
        <v>6.3035299237324503E-3</v>
      </c>
      <c r="G925">
        <f t="shared" si="58"/>
        <v>-0.18933868408202414</v>
      </c>
      <c r="H925">
        <f t="shared" si="59"/>
        <v>0.38999938964843039</v>
      </c>
    </row>
    <row r="926" spans="1:8" x14ac:dyDescent="0.2">
      <c r="A926" t="s">
        <v>4</v>
      </c>
      <c r="B926" s="2">
        <v>45909</v>
      </c>
      <c r="C926">
        <v>40.538524627685547</v>
      </c>
      <c r="D926">
        <f>_xlfn.XLOOKUP(B926, Oil_Price!A:A, Oil_Price!B:B, "")</f>
        <v>62.630001068115227</v>
      </c>
      <c r="E926">
        <f t="shared" si="56"/>
        <v>2.2933515531613931E-2</v>
      </c>
      <c r="F926">
        <f t="shared" si="57"/>
        <v>5.9428647053794605E-3</v>
      </c>
      <c r="G926">
        <f t="shared" si="58"/>
        <v>0.90884780883788352</v>
      </c>
      <c r="H926">
        <f t="shared" si="59"/>
        <v>0.37000274658202414</v>
      </c>
    </row>
    <row r="927" spans="1:8" x14ac:dyDescent="0.2">
      <c r="A927" t="s">
        <v>4</v>
      </c>
      <c r="B927" s="2">
        <v>45910</v>
      </c>
      <c r="C927">
        <v>40.936149597167969</v>
      </c>
      <c r="D927">
        <f>_xlfn.XLOOKUP(B927, Oil_Price!A:A, Oil_Price!B:B, "")</f>
        <v>63.669998168945312</v>
      </c>
      <c r="E927">
        <f t="shared" si="56"/>
        <v>9.8085703200670067E-3</v>
      </c>
      <c r="F927">
        <f t="shared" si="57"/>
        <v>1.6605414068235503E-2</v>
      </c>
      <c r="G927">
        <f t="shared" si="58"/>
        <v>0.39762496948242188</v>
      </c>
      <c r="H927">
        <f t="shared" si="59"/>
        <v>1.0399971008300852</v>
      </c>
    </row>
    <row r="928" spans="1:8" x14ac:dyDescent="0.2">
      <c r="A928" t="s">
        <v>4</v>
      </c>
      <c r="B928" s="2">
        <v>45911</v>
      </c>
      <c r="C928">
        <v>40.879344940185547</v>
      </c>
      <c r="D928">
        <f>_xlfn.XLOOKUP(B928, Oil_Price!A:A, Oil_Price!B:B, "")</f>
        <v>62.369998931884773</v>
      </c>
      <c r="E928">
        <f t="shared" si="56"/>
        <v>-1.3876404483911626E-3</v>
      </c>
      <c r="F928">
        <f t="shared" si="57"/>
        <v>-2.0417767778334997E-2</v>
      </c>
      <c r="G928">
        <f t="shared" si="58"/>
        <v>-5.6804656982421875E-2</v>
      </c>
      <c r="H928">
        <f t="shared" si="59"/>
        <v>-1.2999992370605398</v>
      </c>
    </row>
    <row r="929" spans="1:8" x14ac:dyDescent="0.2">
      <c r="A929" t="s">
        <v>4</v>
      </c>
      <c r="B929" s="2">
        <v>45912</v>
      </c>
      <c r="C929">
        <v>40.907741546630859</v>
      </c>
      <c r="D929">
        <f>_xlfn.XLOOKUP(B929, Oil_Price!A:A, Oil_Price!B:B, "")</f>
        <v>62.689998626708977</v>
      </c>
      <c r="E929">
        <f t="shared" si="56"/>
        <v>6.9464436103030202E-4</v>
      </c>
      <c r="F929">
        <f t="shared" si="57"/>
        <v>5.130666992213373E-3</v>
      </c>
      <c r="G929">
        <f t="shared" si="58"/>
        <v>2.83966064453125E-2</v>
      </c>
      <c r="H929">
        <f t="shared" si="59"/>
        <v>0.31999969482420454</v>
      </c>
    </row>
    <row r="930" spans="1:8" x14ac:dyDescent="0.2">
      <c r="A930" t="s">
        <v>4</v>
      </c>
      <c r="B930" s="2">
        <v>45915</v>
      </c>
      <c r="C930">
        <v>41.797664642333977</v>
      </c>
      <c r="D930">
        <f>_xlfn.XLOOKUP(B930, Oil_Price!A:A, Oil_Price!B:B, "")</f>
        <v>63.299999237060547</v>
      </c>
      <c r="E930">
        <f t="shared" si="56"/>
        <v>2.1754393228692222E-2</v>
      </c>
      <c r="F930">
        <f t="shared" si="57"/>
        <v>9.7304294738280589E-3</v>
      </c>
      <c r="G930">
        <f t="shared" si="58"/>
        <v>0.88992309570311789</v>
      </c>
      <c r="H930">
        <f t="shared" si="59"/>
        <v>0.61000061035156961</v>
      </c>
    </row>
    <row r="931" spans="1:8" x14ac:dyDescent="0.2">
      <c r="A931" t="s">
        <v>4</v>
      </c>
      <c r="B931" s="2">
        <v>45916</v>
      </c>
      <c r="C931">
        <v>42.867454528808587</v>
      </c>
      <c r="D931">
        <f>_xlfn.XLOOKUP(B931, Oil_Price!A:A, Oil_Price!B:B, "")</f>
        <v>64.519996643066406</v>
      </c>
      <c r="E931">
        <f t="shared" si="56"/>
        <v>2.5594489444060779E-2</v>
      </c>
      <c r="F931">
        <f t="shared" si="57"/>
        <v>1.9273260990682314E-2</v>
      </c>
      <c r="G931">
        <f t="shared" si="58"/>
        <v>1.0697898864746094</v>
      </c>
      <c r="H931">
        <f t="shared" si="59"/>
        <v>1.2199974060058594</v>
      </c>
    </row>
    <row r="932" spans="1:8" x14ac:dyDescent="0.2">
      <c r="A932" t="s">
        <v>4</v>
      </c>
      <c r="B932" s="2">
        <v>45917</v>
      </c>
      <c r="C932">
        <v>42.734916687011719</v>
      </c>
      <c r="D932">
        <f>_xlfn.XLOOKUP(B932, Oil_Price!A:A, Oil_Price!B:B, "")</f>
        <v>64.050003051757812</v>
      </c>
      <c r="E932">
        <f t="shared" si="56"/>
        <v>-3.0918057359295113E-3</v>
      </c>
      <c r="F932">
        <f t="shared" si="57"/>
        <v>-7.2844639764732735E-3</v>
      </c>
      <c r="G932">
        <f t="shared" si="58"/>
        <v>-0.13253784179686789</v>
      </c>
      <c r="H932">
        <f t="shared" si="59"/>
        <v>-0.46999359130859375</v>
      </c>
    </row>
    <row r="933" spans="1:8" x14ac:dyDescent="0.2">
      <c r="A933" t="s">
        <v>4</v>
      </c>
      <c r="B933" s="2">
        <v>45918</v>
      </c>
      <c r="C933">
        <v>42.498233795166023</v>
      </c>
      <c r="D933">
        <f>_xlfn.XLOOKUP(B933, Oil_Price!A:A, Oil_Price!B:B, "")</f>
        <v>63.569999694824219</v>
      </c>
      <c r="E933">
        <f t="shared" si="56"/>
        <v>-5.5383960048208131E-3</v>
      </c>
      <c r="F933">
        <f t="shared" si="57"/>
        <v>-7.4941972531322211E-3</v>
      </c>
      <c r="G933">
        <f t="shared" si="58"/>
        <v>-0.23668289184569602</v>
      </c>
      <c r="H933">
        <f t="shared" si="59"/>
        <v>-0.48000335693359375</v>
      </c>
    </row>
    <row r="934" spans="1:8" x14ac:dyDescent="0.2">
      <c r="A934" t="s">
        <v>4</v>
      </c>
      <c r="B934" s="2">
        <v>45919</v>
      </c>
      <c r="C934">
        <v>41.805629730224609</v>
      </c>
      <c r="D934">
        <f>_xlfn.XLOOKUP(B934, Oil_Price!A:A, Oil_Price!B:B, "")</f>
        <v>62.680000305175781</v>
      </c>
      <c r="E934">
        <f t="shared" si="56"/>
        <v>-1.6297243510863122E-2</v>
      </c>
      <c r="F934">
        <f t="shared" si="57"/>
        <v>-1.4000305079770198E-2</v>
      </c>
      <c r="G934">
        <f t="shared" si="58"/>
        <v>-0.69260406494141336</v>
      </c>
      <c r="H934">
        <f t="shared" si="59"/>
        <v>-0.8899993896484375</v>
      </c>
    </row>
    <row r="935" spans="1:8" x14ac:dyDescent="0.2">
      <c r="A935" t="s">
        <v>4</v>
      </c>
      <c r="B935" s="2">
        <v>45922</v>
      </c>
      <c r="C935">
        <v>42.592243194580078</v>
      </c>
      <c r="D935">
        <f>_xlfn.XLOOKUP(B935, Oil_Price!A:A, Oil_Price!B:B, "")</f>
        <v>62.639999389648438</v>
      </c>
      <c r="E935">
        <f t="shared" si="56"/>
        <v>1.8815969749326929E-2</v>
      </c>
      <c r="F935">
        <f t="shared" si="57"/>
        <v>-6.381766964356681E-4</v>
      </c>
      <c r="G935">
        <f t="shared" si="58"/>
        <v>0.78661346435546875</v>
      </c>
      <c r="H935">
        <f t="shared" si="59"/>
        <v>-4.000091552734375E-2</v>
      </c>
    </row>
    <row r="936" spans="1:8" x14ac:dyDescent="0.2">
      <c r="A936" t="s">
        <v>4</v>
      </c>
      <c r="B936" s="2">
        <v>45923</v>
      </c>
      <c r="C936">
        <v>42.630615234375</v>
      </c>
      <c r="D936">
        <f>_xlfn.XLOOKUP(B936, Oil_Price!A:A, Oil_Price!B:B, "")</f>
        <v>63.409999847412109</v>
      </c>
      <c r="E936">
        <f t="shared" si="56"/>
        <v>9.0091615084985169E-4</v>
      </c>
      <c r="F936">
        <f t="shared" si="57"/>
        <v>1.229247230629632E-2</v>
      </c>
      <c r="G936">
        <f t="shared" si="58"/>
        <v>3.8372039794921875E-2</v>
      </c>
      <c r="H936">
        <f t="shared" si="59"/>
        <v>0.77000045776367188</v>
      </c>
    </row>
    <row r="937" spans="1:8" x14ac:dyDescent="0.2">
      <c r="A937" t="s">
        <v>4</v>
      </c>
      <c r="B937" s="2">
        <v>45924</v>
      </c>
      <c r="C937">
        <v>43.695419311523438</v>
      </c>
      <c r="D937">
        <f>_xlfn.XLOOKUP(B937, Oil_Price!A:A, Oil_Price!B:B, "")</f>
        <v>64.989997863769531</v>
      </c>
      <c r="E937">
        <f t="shared" si="56"/>
        <v>2.4977450390859891E-2</v>
      </c>
      <c r="F937">
        <f t="shared" si="57"/>
        <v>2.4917174265249659E-2</v>
      </c>
      <c r="G937">
        <f t="shared" si="58"/>
        <v>1.0648040771484375</v>
      </c>
      <c r="H937">
        <f t="shared" si="59"/>
        <v>1.5799980163574219</v>
      </c>
    </row>
    <row r="938" spans="1:8" x14ac:dyDescent="0.2">
      <c r="A938" t="s">
        <v>4</v>
      </c>
      <c r="B938" s="2">
        <v>45925</v>
      </c>
      <c r="C938">
        <v>43.426822662353523</v>
      </c>
      <c r="D938">
        <f>_xlfn.XLOOKUP(B938, Oil_Price!A:A, Oil_Price!B:B, "")</f>
        <v>64.980003356933594</v>
      </c>
      <c r="E938">
        <f t="shared" si="56"/>
        <v>-6.1470207495887327E-3</v>
      </c>
      <c r="F938">
        <f t="shared" si="57"/>
        <v>-1.537853079621228E-4</v>
      </c>
      <c r="G938">
        <f t="shared" si="58"/>
        <v>-0.26859664916991477</v>
      </c>
      <c r="H938">
        <f t="shared" si="59"/>
        <v>-9.9945068359375E-3</v>
      </c>
    </row>
    <row r="939" spans="1:8" x14ac:dyDescent="0.2">
      <c r="A939" t="s">
        <v>4</v>
      </c>
      <c r="B939" s="2">
        <v>45926</v>
      </c>
      <c r="C939">
        <v>43.714607238769531</v>
      </c>
      <c r="D939">
        <f>_xlfn.XLOOKUP(B939, Oil_Price!A:A, Oil_Price!B:B, "")</f>
        <v>65.720001220703125</v>
      </c>
      <c r="E939">
        <f t="shared" si="56"/>
        <v>6.626885384950979E-3</v>
      </c>
      <c r="F939">
        <f t="shared" si="57"/>
        <v>1.1388085957840612E-2</v>
      </c>
      <c r="G939">
        <f t="shared" si="58"/>
        <v>0.28778457641600852</v>
      </c>
      <c r="H939">
        <f t="shared" si="59"/>
        <v>0.73999786376953125</v>
      </c>
    </row>
    <row r="940" spans="1:8" x14ac:dyDescent="0.2">
      <c r="A940" t="s">
        <v>4</v>
      </c>
      <c r="B940" s="2">
        <v>45929</v>
      </c>
      <c r="C940">
        <v>43.19659423828125</v>
      </c>
      <c r="D940">
        <f>_xlfn.XLOOKUP(B940, Oil_Price!A:A, Oil_Price!B:B, "")</f>
        <v>63.450000762939453</v>
      </c>
      <c r="E940">
        <f t="shared" si="56"/>
        <v>-1.1849883441909707E-2</v>
      </c>
      <c r="F940">
        <f t="shared" si="57"/>
        <v>-3.4540481065124751E-2</v>
      </c>
      <c r="G940">
        <f t="shared" si="58"/>
        <v>-0.51801300048828125</v>
      </c>
      <c r="H940">
        <f t="shared" si="59"/>
        <v>-2.2700004577636719</v>
      </c>
    </row>
    <row r="941" spans="1:8" x14ac:dyDescent="0.2">
      <c r="A941" t="s">
        <v>4</v>
      </c>
      <c r="B941" s="2">
        <v>45930</v>
      </c>
      <c r="C941">
        <v>42.68817138671875</v>
      </c>
      <c r="D941">
        <f>_xlfn.XLOOKUP(B941, Oil_Price!A:A, Oil_Price!B:B, "")</f>
        <v>62.369998931884773</v>
      </c>
      <c r="E941">
        <f t="shared" si="56"/>
        <v>-1.1769975400327525E-2</v>
      </c>
      <c r="F941">
        <f t="shared" si="57"/>
        <v>-1.7021305249305833E-2</v>
      </c>
      <c r="G941">
        <f t="shared" si="58"/>
        <v>-0.5084228515625</v>
      </c>
      <c r="H941">
        <f t="shared" si="59"/>
        <v>-1.0800018310546804</v>
      </c>
    </row>
    <row r="942" spans="1:8" x14ac:dyDescent="0.2">
      <c r="A942" t="s">
        <v>4</v>
      </c>
      <c r="B942" s="2">
        <v>45931</v>
      </c>
      <c r="C942">
        <v>42.457942962646477</v>
      </c>
      <c r="D942">
        <f>_xlfn.XLOOKUP(B942, Oil_Price!A:A, Oil_Price!B:B, "")</f>
        <v>61.779998779296882</v>
      </c>
      <c r="E942">
        <f t="shared" si="56"/>
        <v>-5.3932603949369915E-3</v>
      </c>
      <c r="F942">
        <f t="shared" si="57"/>
        <v>-9.4596787348391453E-3</v>
      </c>
      <c r="G942">
        <f t="shared" si="58"/>
        <v>-0.23022842407227273</v>
      </c>
      <c r="H942">
        <f t="shared" si="59"/>
        <v>-0.59000015258789062</v>
      </c>
    </row>
    <row r="943" spans="1:8" x14ac:dyDescent="0.2">
      <c r="A943" t="s">
        <v>4</v>
      </c>
      <c r="B943" s="2">
        <v>45932</v>
      </c>
      <c r="C943">
        <v>42.131782531738281</v>
      </c>
      <c r="D943">
        <f>_xlfn.XLOOKUP(B943, Oil_Price!A:A, Oil_Price!B:B, "")</f>
        <v>60.479999542236328</v>
      </c>
      <c r="E943">
        <f t="shared" si="56"/>
        <v>-7.6819649787354151E-3</v>
      </c>
      <c r="F943">
        <f t="shared" si="57"/>
        <v>-2.104239661293417E-2</v>
      </c>
      <c r="G943">
        <f t="shared" si="58"/>
        <v>-0.32616043090819602</v>
      </c>
      <c r="H943">
        <f t="shared" si="59"/>
        <v>-1.299999237060554</v>
      </c>
    </row>
    <row r="944" spans="1:8" x14ac:dyDescent="0.2">
      <c r="A944" t="s">
        <v>4</v>
      </c>
      <c r="B944" s="2">
        <v>45933</v>
      </c>
      <c r="C944">
        <v>42.592243194580078</v>
      </c>
      <c r="D944">
        <f>_xlfn.XLOOKUP(B944, Oil_Price!A:A, Oil_Price!B:B, "")</f>
        <v>60.880001068115227</v>
      </c>
      <c r="E944">
        <f t="shared" si="56"/>
        <v>1.092905723831949E-2</v>
      </c>
      <c r="F944">
        <f t="shared" si="57"/>
        <v>6.613781893294448E-3</v>
      </c>
      <c r="G944">
        <f t="shared" si="58"/>
        <v>0.46046066284179688</v>
      </c>
      <c r="H944">
        <f t="shared" si="59"/>
        <v>0.40000152587889914</v>
      </c>
    </row>
    <row r="945" spans="1:8" x14ac:dyDescent="0.2">
      <c r="A945" t="s">
        <v>4</v>
      </c>
      <c r="B945" s="2">
        <v>45936</v>
      </c>
      <c r="C945">
        <v>43.436412811279297</v>
      </c>
      <c r="D945">
        <f>_xlfn.XLOOKUP(B945, Oil_Price!A:A, Oil_Price!B:B, "")</f>
        <v>61.689998626708977</v>
      </c>
      <c r="E945">
        <f t="shared" si="56"/>
        <v>1.9819797065927736E-2</v>
      </c>
      <c r="F945">
        <f t="shared" si="57"/>
        <v>1.3304821688282972E-2</v>
      </c>
      <c r="G945">
        <f t="shared" si="58"/>
        <v>0.84416961669921875</v>
      </c>
      <c r="H945">
        <f t="shared" si="59"/>
        <v>0.80999755859375</v>
      </c>
    </row>
    <row r="946" spans="1:8" x14ac:dyDescent="0.2">
      <c r="A946" t="s">
        <v>4</v>
      </c>
      <c r="B946" s="2">
        <v>45937</v>
      </c>
      <c r="C946">
        <v>43.858497619628913</v>
      </c>
      <c r="D946">
        <f>_xlfn.XLOOKUP(B946, Oil_Price!A:A, Oil_Price!B:B, "")</f>
        <v>61.729999542236328</v>
      </c>
      <c r="E946">
        <f t="shared" si="56"/>
        <v>9.7173035486027085E-3</v>
      </c>
      <c r="F946">
        <f t="shared" si="57"/>
        <v>6.4841816206545144E-4</v>
      </c>
      <c r="G946">
        <f t="shared" si="58"/>
        <v>0.42208480834961648</v>
      </c>
      <c r="H946">
        <f t="shared" si="59"/>
        <v>4.0000915527350855E-2</v>
      </c>
    </row>
    <row r="947" spans="1:8" x14ac:dyDescent="0.2">
      <c r="A947" t="s">
        <v>4</v>
      </c>
      <c r="B947" s="2">
        <v>45938</v>
      </c>
      <c r="C947">
        <v>43.695419311523438</v>
      </c>
      <c r="D947">
        <f>_xlfn.XLOOKUP(B947, Oil_Price!A:A, Oil_Price!B:B, "")</f>
        <v>62.549999237060547</v>
      </c>
      <c r="E947">
        <f t="shared" si="56"/>
        <v>-3.7182830456210154E-3</v>
      </c>
      <c r="F947">
        <f t="shared" si="57"/>
        <v>1.3283649779766581E-2</v>
      </c>
      <c r="G947">
        <f t="shared" si="58"/>
        <v>-0.16307830810547586</v>
      </c>
      <c r="H947">
        <f t="shared" si="59"/>
        <v>0.81999969482421875</v>
      </c>
    </row>
    <row r="948" spans="1:8" x14ac:dyDescent="0.2">
      <c r="A948" t="s">
        <v>4</v>
      </c>
      <c r="B948" s="2">
        <v>45939</v>
      </c>
      <c r="C948">
        <v>44.011985778808587</v>
      </c>
      <c r="D948">
        <f>_xlfn.XLOOKUP(B948, Oil_Price!A:A, Oil_Price!B:B, "")</f>
        <v>61.509998321533203</v>
      </c>
      <c r="E948">
        <f t="shared" si="56"/>
        <v>7.244843333078249E-3</v>
      </c>
      <c r="F948">
        <f t="shared" si="57"/>
        <v>-1.6626713480615819E-2</v>
      </c>
      <c r="G948">
        <f t="shared" si="58"/>
        <v>0.31656646728514914</v>
      </c>
      <c r="H948">
        <f t="shared" si="59"/>
        <v>-1.0400009155273438</v>
      </c>
    </row>
    <row r="949" spans="1:8" x14ac:dyDescent="0.2">
      <c r="A949" t="s">
        <v>4</v>
      </c>
      <c r="B949" s="2">
        <v>45940</v>
      </c>
      <c r="C949">
        <v>42.179752349853523</v>
      </c>
      <c r="D949">
        <f>_xlfn.XLOOKUP(B949, Oil_Price!A:A, Oil_Price!B:B, "")</f>
        <v>58.900001525878913</v>
      </c>
      <c r="E949">
        <f t="shared" si="56"/>
        <v>-4.1630328569206926E-2</v>
      </c>
      <c r="F949">
        <f t="shared" si="57"/>
        <v>-4.2432073920909072E-2</v>
      </c>
      <c r="G949">
        <f t="shared" si="58"/>
        <v>-1.8322334289550639</v>
      </c>
      <c r="H949">
        <f t="shared" si="59"/>
        <v>-2.6099967956542898</v>
      </c>
    </row>
    <row r="950" spans="1:8" x14ac:dyDescent="0.2">
      <c r="A950" t="s">
        <v>4</v>
      </c>
      <c r="B950" s="2">
        <v>45944</v>
      </c>
      <c r="C950">
        <v>41.671329498291023</v>
      </c>
      <c r="D950">
        <f>_xlfn.XLOOKUP(B950, Oil_Price!A:A, Oil_Price!B:B, "")</f>
        <v>58.700000762939453</v>
      </c>
      <c r="E950">
        <f t="shared" si="56"/>
        <v>-1.20537182709245E-2</v>
      </c>
      <c r="F950">
        <f t="shared" si="57"/>
        <v>-3.3955986037043791E-3</v>
      </c>
      <c r="G950">
        <f t="shared" si="58"/>
        <v>-0.5084228515625</v>
      </c>
      <c r="H950">
        <f t="shared" si="59"/>
        <v>-0.20000076293946023</v>
      </c>
    </row>
    <row r="951" spans="1:8" x14ac:dyDescent="0.2">
      <c r="A951" t="s">
        <v>4</v>
      </c>
      <c r="B951" s="2">
        <v>45945</v>
      </c>
      <c r="C951">
        <v>41.594589233398438</v>
      </c>
      <c r="D951">
        <f>_xlfn.XLOOKUP(B951, Oil_Price!A:A, Oil_Price!B:B, "")</f>
        <v>58.270000457763672</v>
      </c>
      <c r="E951">
        <f t="shared" si="56"/>
        <v>-1.8415602721706399E-3</v>
      </c>
      <c r="F951">
        <f t="shared" si="57"/>
        <v>-7.3253884086363448E-3</v>
      </c>
      <c r="G951">
        <f t="shared" si="58"/>
        <v>-7.674026489258523E-2</v>
      </c>
      <c r="H951">
        <f t="shared" si="59"/>
        <v>-0.43000030517578125</v>
      </c>
    </row>
    <row r="952" spans="1:8" x14ac:dyDescent="0.2">
      <c r="A952" t="s">
        <v>4</v>
      </c>
      <c r="B952" s="2">
        <v>45946</v>
      </c>
      <c r="C952">
        <v>40.760013580322273</v>
      </c>
      <c r="D952">
        <f>_xlfn.XLOOKUP(B952, Oil_Price!A:A, Oil_Price!B:B, "")</f>
        <v>57.459999084472663</v>
      </c>
      <c r="E952">
        <f t="shared" si="56"/>
        <v>-2.0064524459975697E-2</v>
      </c>
      <c r="F952">
        <f t="shared" si="57"/>
        <v>-1.3900830048527777E-2</v>
      </c>
      <c r="G952">
        <f t="shared" si="58"/>
        <v>-0.83457565307616477</v>
      </c>
      <c r="H952">
        <f t="shared" si="59"/>
        <v>-0.81000137329100852</v>
      </c>
    </row>
    <row r="953" spans="1:8" x14ac:dyDescent="0.2">
      <c r="A953" t="s">
        <v>4</v>
      </c>
      <c r="B953" s="2">
        <v>45947</v>
      </c>
      <c r="C953">
        <v>40.472225189208977</v>
      </c>
      <c r="D953">
        <f>_xlfn.XLOOKUP(B953, Oil_Price!A:A, Oil_Price!B:B, "")</f>
        <v>57.540000915527337</v>
      </c>
      <c r="E953">
        <f t="shared" si="56"/>
        <v>-7.0605568014881909E-3</v>
      </c>
      <c r="F953">
        <f t="shared" si="57"/>
        <v>1.392304774266731E-3</v>
      </c>
      <c r="G953">
        <f t="shared" si="58"/>
        <v>-0.28778839111329546</v>
      </c>
      <c r="H953">
        <f t="shared" si="59"/>
        <v>8.0001831054673289E-2</v>
      </c>
    </row>
    <row r="954" spans="1:8" x14ac:dyDescent="0.2">
      <c r="A954" t="s">
        <v>4</v>
      </c>
      <c r="B954" s="2">
        <v>45950</v>
      </c>
      <c r="C954">
        <v>40.510597229003913</v>
      </c>
      <c r="D954">
        <f>_xlfn.XLOOKUP(B954, Oil_Price!A:A, Oil_Price!B:B, "")</f>
        <v>57.520000457763672</v>
      </c>
      <c r="E954">
        <f t="shared" si="56"/>
        <v>9.4810798308087941E-4</v>
      </c>
      <c r="F954">
        <f t="shared" si="57"/>
        <v>-3.4759223923243955E-4</v>
      </c>
      <c r="G954">
        <f t="shared" si="58"/>
        <v>3.8372039794936086E-2</v>
      </c>
      <c r="H954">
        <f t="shared" si="59"/>
        <v>-2.000045776366477E-2</v>
      </c>
    </row>
    <row r="955" spans="1:8" x14ac:dyDescent="0.2">
      <c r="A955" t="s">
        <v>4</v>
      </c>
      <c r="B955" s="2">
        <v>45951</v>
      </c>
      <c r="C955">
        <v>40.203620910644531</v>
      </c>
      <c r="D955">
        <f>_xlfn.XLOOKUP(B955, Oil_Price!A:A, Oil_Price!B:B, "")</f>
        <v>57.819999694824219</v>
      </c>
      <c r="E955">
        <f t="shared" si="56"/>
        <v>-7.5776794063060551E-3</v>
      </c>
      <c r="F955">
        <f t="shared" si="57"/>
        <v>5.2155638851364948E-3</v>
      </c>
      <c r="G955">
        <f t="shared" si="58"/>
        <v>-0.30697631835938211</v>
      </c>
      <c r="H955">
        <f t="shared" si="59"/>
        <v>0.29999923706054688</v>
      </c>
    </row>
    <row r="956" spans="1:8" x14ac:dyDescent="0.2">
      <c r="A956" t="s">
        <v>4</v>
      </c>
      <c r="B956" s="2">
        <v>45952</v>
      </c>
      <c r="C956">
        <v>40.721637725830078</v>
      </c>
      <c r="D956">
        <f>_xlfn.XLOOKUP(B956, Oil_Price!A:A, Oil_Price!B:B, "")</f>
        <v>58.5</v>
      </c>
      <c r="E956">
        <f t="shared" si="56"/>
        <v>1.2884829859899359E-2</v>
      </c>
      <c r="F956">
        <f t="shared" si="57"/>
        <v>1.1760641798077556E-2</v>
      </c>
      <c r="G956">
        <f t="shared" si="58"/>
        <v>0.51801681518554688</v>
      </c>
      <c r="H956">
        <f t="shared" si="59"/>
        <v>0.68000030517578125</v>
      </c>
    </row>
    <row r="957" spans="1:8" x14ac:dyDescent="0.2">
      <c r="A957" t="s">
        <v>4</v>
      </c>
      <c r="B957" s="2">
        <v>45953</v>
      </c>
      <c r="C957">
        <v>41.901557922363281</v>
      </c>
      <c r="D957">
        <f>_xlfn.XLOOKUP(B957, Oil_Price!A:A, Oil_Price!B:B, "")</f>
        <v>61.790000915527337</v>
      </c>
      <c r="E957">
        <f t="shared" si="56"/>
        <v>2.8975263826011836E-2</v>
      </c>
      <c r="F957">
        <f t="shared" si="57"/>
        <v>5.6239331889356182E-2</v>
      </c>
      <c r="G957">
        <f t="shared" si="58"/>
        <v>1.1799201965332031</v>
      </c>
      <c r="H957">
        <f t="shared" si="59"/>
        <v>3.2900009155273366</v>
      </c>
    </row>
    <row r="958" spans="1:8" x14ac:dyDescent="0.2">
      <c r="A958" t="s">
        <v>4</v>
      </c>
      <c r="B958" s="2">
        <v>45954</v>
      </c>
      <c r="C958">
        <v>41.997486114501953</v>
      </c>
      <c r="D958">
        <f>_xlfn.XLOOKUP(B958, Oil_Price!A:A, Oil_Price!B:B, "")</f>
        <v>61.5</v>
      </c>
      <c r="E958">
        <f t="shared" si="56"/>
        <v>2.2893705364466659E-3</v>
      </c>
      <c r="F958">
        <f t="shared" si="57"/>
        <v>-4.6933308177773744E-3</v>
      </c>
      <c r="G958">
        <f t="shared" si="58"/>
        <v>9.5928192138671875E-2</v>
      </c>
      <c r="H958">
        <f t="shared" si="59"/>
        <v>-0.29000091552733664</v>
      </c>
    </row>
    <row r="959" spans="1:8" x14ac:dyDescent="0.2">
      <c r="A959" t="s">
        <v>4</v>
      </c>
      <c r="B959" s="2">
        <v>45957</v>
      </c>
      <c r="C959">
        <v>42.314052581787109</v>
      </c>
      <c r="D959">
        <f>_xlfn.XLOOKUP(B959, Oil_Price!A:A, Oil_Price!B:B, "")</f>
        <v>61.310001373291023</v>
      </c>
      <c r="E959">
        <f t="shared" si="56"/>
        <v>7.5377480076323942E-3</v>
      </c>
      <c r="F959">
        <f t="shared" si="57"/>
        <v>-3.0894085643736143E-3</v>
      </c>
      <c r="G959">
        <f t="shared" si="58"/>
        <v>0.31656646728515625</v>
      </c>
      <c r="H959">
        <f t="shared" si="59"/>
        <v>-0.18999862670897727</v>
      </c>
    </row>
    <row r="960" spans="1:8" x14ac:dyDescent="0.2">
      <c r="A960" t="s">
        <v>4</v>
      </c>
      <c r="B960" s="2">
        <v>45958</v>
      </c>
      <c r="C960">
        <v>41.901557922363281</v>
      </c>
      <c r="D960">
        <f>_xlfn.XLOOKUP(B960, Oil_Price!A:A, Oil_Price!B:B, "")</f>
        <v>60.150001525878913</v>
      </c>
      <c r="E960">
        <f t="shared" si="56"/>
        <v>-9.7484082534173254E-3</v>
      </c>
      <c r="F960">
        <f t="shared" si="57"/>
        <v>-1.892023848359347E-2</v>
      </c>
      <c r="G960">
        <f t="shared" si="58"/>
        <v>-0.41249465942382812</v>
      </c>
      <c r="H960">
        <f t="shared" si="59"/>
        <v>-1.1599998474121094</v>
      </c>
    </row>
    <row r="961" spans="1:8" x14ac:dyDescent="0.2">
      <c r="A961" t="s">
        <v>4</v>
      </c>
      <c r="B961" s="2">
        <v>45959</v>
      </c>
      <c r="C961">
        <v>43.004734039306641</v>
      </c>
      <c r="D961">
        <f>_xlfn.XLOOKUP(B961, Oil_Price!A:A, Oil_Price!B:B, "")</f>
        <v>60.479999542236328</v>
      </c>
      <c r="E961">
        <f t="shared" si="56"/>
        <v>2.6327806688891231E-2</v>
      </c>
      <c r="F961">
        <f t="shared" si="57"/>
        <v>5.4862511718380682E-3</v>
      </c>
      <c r="G961">
        <f t="shared" si="58"/>
        <v>1.1031761169433594</v>
      </c>
      <c r="H961">
        <f t="shared" si="59"/>
        <v>0.32999801635741477</v>
      </c>
    </row>
    <row r="962" spans="1:8" x14ac:dyDescent="0.2">
      <c r="A962" t="s">
        <v>4</v>
      </c>
      <c r="B962" s="2">
        <v>45960</v>
      </c>
      <c r="C962">
        <v>42.851249694824219</v>
      </c>
      <c r="D962">
        <f>_xlfn.XLOOKUP(B962, Oil_Price!A:A, Oil_Price!B:B, "")</f>
        <v>60.569999694824219</v>
      </c>
      <c r="E962">
        <f t="shared" si="56"/>
        <v>-3.5690104336451906E-3</v>
      </c>
      <c r="F962">
        <f t="shared" si="57"/>
        <v>1.4880977723063446E-3</v>
      </c>
      <c r="G962">
        <f t="shared" si="58"/>
        <v>-0.15348434448242188</v>
      </c>
      <c r="H962">
        <f t="shared" si="59"/>
        <v>9.0000152587890625E-2</v>
      </c>
    </row>
    <row r="963" spans="1:8" x14ac:dyDescent="0.2">
      <c r="A963" t="s">
        <v>4</v>
      </c>
      <c r="B963" s="2">
        <v>45961</v>
      </c>
      <c r="C963">
        <v>43.043106079101562</v>
      </c>
      <c r="D963">
        <f>_xlfn.XLOOKUP(B963, Oil_Price!A:A, Oil_Price!B:B, "")</f>
        <v>60.979999542236328</v>
      </c>
      <c r="E963">
        <f t="shared" ref="E963:E1026" si="60">IFERROR(IF(AND(A963=A962, C963&lt;&gt;"", C962&lt;&gt;""), (C963-C962)/C962, ""), "")</f>
        <v>4.4772646222384759E-3</v>
      </c>
      <c r="F963">
        <f t="shared" ref="F963:F1026" si="61">IFERROR(IF(AND(A963=A962, D963&lt;&gt;"", D962&lt;&gt;""), (D963-D962)/D962, ""), "")</f>
        <v>6.7690250863109112E-3</v>
      </c>
      <c r="G963">
        <f t="shared" ref="G963:G1026" si="62">IFERROR(IF(AND(A963=A962, C963&lt;&gt;"", C962&lt;&gt;""), C963-C962, ""), "")</f>
        <v>0.19185638427734375</v>
      </c>
      <c r="H963">
        <f t="shared" ref="H963:H1026" si="63">IFERROR(IF(AND(A963=A962, D963&lt;&gt;"", D962&lt;&gt;""), D963-D962, ""), "")</f>
        <v>0.40999984741210938</v>
      </c>
    </row>
    <row r="964" spans="1:8" x14ac:dyDescent="0.2">
      <c r="A964" t="s">
        <v>4</v>
      </c>
      <c r="B964" s="2">
        <v>45964</v>
      </c>
      <c r="C964">
        <v>43.071884155273438</v>
      </c>
      <c r="D964">
        <f>_xlfn.XLOOKUP(B964, Oil_Price!A:A, Oil_Price!B:B, "")</f>
        <v>61.049999237060547</v>
      </c>
      <c r="E964">
        <f t="shared" si="60"/>
        <v>6.6858734866830235E-4</v>
      </c>
      <c r="F964">
        <f t="shared" si="61"/>
        <v>1.1479123540454465E-3</v>
      </c>
      <c r="G964">
        <f t="shared" si="62"/>
        <v>2.8778076171875E-2</v>
      </c>
      <c r="H964">
        <f t="shared" si="63"/>
        <v>6.999969482421875E-2</v>
      </c>
    </row>
    <row r="965" spans="1:8" x14ac:dyDescent="0.2">
      <c r="A965" t="s">
        <v>4</v>
      </c>
      <c r="B965" s="2">
        <v>45965</v>
      </c>
      <c r="C965">
        <v>42.381202697753913</v>
      </c>
      <c r="D965">
        <f>_xlfn.XLOOKUP(B965, Oil_Price!A:A, Oil_Price!B:B, "")</f>
        <v>60.560001373291023</v>
      </c>
      <c r="E965">
        <f t="shared" si="60"/>
        <v>-1.6035552450634125E-2</v>
      </c>
      <c r="F965">
        <f t="shared" si="61"/>
        <v>-8.0261731350206103E-3</v>
      </c>
      <c r="G965">
        <f t="shared" si="62"/>
        <v>-0.69068145751952414</v>
      </c>
      <c r="H965">
        <f t="shared" si="63"/>
        <v>-0.48999786376952414</v>
      </c>
    </row>
    <row r="966" spans="1:8" x14ac:dyDescent="0.2">
      <c r="A966" t="s">
        <v>4</v>
      </c>
      <c r="B966" s="2">
        <v>45966</v>
      </c>
      <c r="C966">
        <v>43.177402496337891</v>
      </c>
      <c r="D966">
        <f>_xlfn.XLOOKUP(B966, Oil_Price!A:A, Oil_Price!B:B, "")</f>
        <v>59.599998474121087</v>
      </c>
      <c r="E966">
        <f t="shared" si="60"/>
        <v>1.8786625860105044E-2</v>
      </c>
      <c r="F966">
        <f t="shared" si="61"/>
        <v>-1.5852095069359251E-2</v>
      </c>
      <c r="G966">
        <f t="shared" si="62"/>
        <v>0.79619979858397727</v>
      </c>
      <c r="H966">
        <f t="shared" si="63"/>
        <v>-0.96000289916993609</v>
      </c>
    </row>
    <row r="967" spans="1:8" x14ac:dyDescent="0.2">
      <c r="A967" t="s">
        <v>4</v>
      </c>
      <c r="B967" s="2">
        <v>45967</v>
      </c>
      <c r="C967">
        <v>42.630615234375</v>
      </c>
      <c r="D967">
        <f>_xlfn.XLOOKUP(B967, Oil_Price!A:A, Oil_Price!B:B, "")</f>
        <v>59.430000305175781</v>
      </c>
      <c r="E967">
        <f t="shared" si="60"/>
        <v>-1.2663736824123837E-2</v>
      </c>
      <c r="F967">
        <f t="shared" si="61"/>
        <v>-2.8523183439194263E-3</v>
      </c>
      <c r="G967">
        <f t="shared" si="62"/>
        <v>-0.54678726196289062</v>
      </c>
      <c r="H967">
        <f t="shared" si="63"/>
        <v>-0.16999816894530539</v>
      </c>
    </row>
    <row r="968" spans="1:8" x14ac:dyDescent="0.2">
      <c r="A968" t="s">
        <v>4</v>
      </c>
      <c r="B968" s="2">
        <v>45968</v>
      </c>
      <c r="C968">
        <v>42.592243194580078</v>
      </c>
      <c r="D968">
        <f>_xlfn.XLOOKUP(B968, Oil_Price!A:A, Oil_Price!B:B, "")</f>
        <v>59.75</v>
      </c>
      <c r="E968">
        <f t="shared" si="60"/>
        <v>-9.0010523150932051E-4</v>
      </c>
      <c r="F968">
        <f t="shared" si="61"/>
        <v>5.3844807871614607E-3</v>
      </c>
      <c r="G968">
        <f t="shared" si="62"/>
        <v>-3.8372039794921875E-2</v>
      </c>
      <c r="H968">
        <f t="shared" si="63"/>
        <v>0.31999969482421875</v>
      </c>
    </row>
    <row r="969" spans="1:8" x14ac:dyDescent="0.2">
      <c r="A969" t="s">
        <v>4</v>
      </c>
      <c r="B969" s="2">
        <v>45971</v>
      </c>
      <c r="C969">
        <v>42.995140075683587</v>
      </c>
      <c r="D969">
        <f>_xlfn.XLOOKUP(B969, Oil_Price!A:A, Oil_Price!B:B, "")</f>
        <v>60.130001068115227</v>
      </c>
      <c r="E969">
        <f t="shared" si="60"/>
        <v>9.4593956759426497E-3</v>
      </c>
      <c r="F969">
        <f t="shared" si="61"/>
        <v>6.359850512388741E-3</v>
      </c>
      <c r="G969">
        <f t="shared" si="62"/>
        <v>0.40289688110350852</v>
      </c>
      <c r="H969">
        <f t="shared" si="63"/>
        <v>0.38000106811522727</v>
      </c>
    </row>
    <row r="970" spans="1:8" x14ac:dyDescent="0.2">
      <c r="A970" t="s">
        <v>4</v>
      </c>
      <c r="B970" s="2">
        <v>45972</v>
      </c>
      <c r="C970">
        <v>43.532341003417969</v>
      </c>
      <c r="D970">
        <f>_xlfn.XLOOKUP(B970, Oil_Price!A:A, Oil_Price!B:B, "")</f>
        <v>61.040000915527337</v>
      </c>
      <c r="E970">
        <f t="shared" si="60"/>
        <v>1.24944569732476E-2</v>
      </c>
      <c r="F970">
        <f t="shared" si="61"/>
        <v>1.5133873794235628E-2</v>
      </c>
      <c r="G970">
        <f t="shared" si="62"/>
        <v>0.53720092773438211</v>
      </c>
      <c r="H970">
        <f t="shared" si="63"/>
        <v>0.90999984741210938</v>
      </c>
    </row>
    <row r="971" spans="1:8" x14ac:dyDescent="0.2">
      <c r="A971" t="s">
        <v>4</v>
      </c>
      <c r="B971" s="2">
        <v>45973</v>
      </c>
      <c r="C971">
        <v>43.570716857910163</v>
      </c>
      <c r="D971">
        <f>_xlfn.XLOOKUP(B971, Oil_Price!A:A, Oil_Price!B:B, "")</f>
        <v>58.490001678466797</v>
      </c>
      <c r="E971">
        <f t="shared" si="60"/>
        <v>8.8154814576090683E-4</v>
      </c>
      <c r="F971">
        <f t="shared" si="61"/>
        <v>-4.1775871540196387E-2</v>
      </c>
      <c r="G971">
        <f t="shared" si="62"/>
        <v>3.8375854492194605E-2</v>
      </c>
      <c r="H971">
        <f t="shared" si="63"/>
        <v>-2.5499992370605398</v>
      </c>
    </row>
    <row r="972" spans="1:8" x14ac:dyDescent="0.2">
      <c r="A972" t="s">
        <v>4</v>
      </c>
      <c r="B972" s="2">
        <v>45974</v>
      </c>
      <c r="C972">
        <v>43.800941467285163</v>
      </c>
      <c r="D972">
        <f>_xlfn.XLOOKUP(B972, Oil_Price!A:A, Oil_Price!B:B, "")</f>
        <v>58.689998626708977</v>
      </c>
      <c r="E972">
        <f t="shared" si="60"/>
        <v>5.2839298037209879E-3</v>
      </c>
      <c r="F972">
        <f t="shared" si="61"/>
        <v>3.419335655717884E-3</v>
      </c>
      <c r="G972">
        <f t="shared" si="62"/>
        <v>0.230224609375</v>
      </c>
      <c r="H972">
        <f t="shared" si="63"/>
        <v>0.19999694824218039</v>
      </c>
    </row>
    <row r="973" spans="1:8" x14ac:dyDescent="0.2">
      <c r="A973" t="s">
        <v>4</v>
      </c>
      <c r="B973" s="2">
        <v>45975</v>
      </c>
      <c r="C973">
        <v>45.143939971923828</v>
      </c>
      <c r="D973">
        <f>_xlfn.XLOOKUP(B973, Oil_Price!A:A, Oil_Price!B:B, "")</f>
        <v>60.090000152587891</v>
      </c>
      <c r="E973">
        <f t="shared" si="60"/>
        <v>3.0661407258603054E-2</v>
      </c>
      <c r="F973">
        <f t="shared" si="61"/>
        <v>2.3854175475168486E-2</v>
      </c>
      <c r="G973">
        <f t="shared" si="62"/>
        <v>1.3429985046386648</v>
      </c>
      <c r="H973">
        <f t="shared" si="63"/>
        <v>1.4000015258789134</v>
      </c>
    </row>
    <row r="974" spans="1:8" x14ac:dyDescent="0.2">
      <c r="A974" t="s">
        <v>4</v>
      </c>
      <c r="B974" s="2">
        <v>45978</v>
      </c>
      <c r="C974">
        <v>44.961673736572273</v>
      </c>
      <c r="D974">
        <f>_xlfn.XLOOKUP(B974, Oil_Price!A:A, Oil_Price!B:B, "")</f>
        <v>59.909999847412109</v>
      </c>
      <c r="E974">
        <f t="shared" si="60"/>
        <v>-4.0374463430730995E-3</v>
      </c>
      <c r="F974">
        <f t="shared" si="61"/>
        <v>-2.9955118109286473E-3</v>
      </c>
      <c r="G974">
        <f t="shared" si="62"/>
        <v>-0.18226623535155539</v>
      </c>
      <c r="H974">
        <f t="shared" si="63"/>
        <v>-0.18000030517578125</v>
      </c>
    </row>
    <row r="975" spans="1:8" x14ac:dyDescent="0.2">
      <c r="A975" t="s">
        <v>4</v>
      </c>
      <c r="B975" s="2">
        <v>45979</v>
      </c>
      <c r="C975">
        <v>45.623584747314453</v>
      </c>
      <c r="D975">
        <f>_xlfn.XLOOKUP(B975, Oil_Price!A:A, Oil_Price!B:B, "")</f>
        <v>60.740001678466797</v>
      </c>
      <c r="E975">
        <f t="shared" si="60"/>
        <v>1.4721671942647797E-2</v>
      </c>
      <c r="F975">
        <f t="shared" si="61"/>
        <v>1.3854145103800071E-2</v>
      </c>
      <c r="G975">
        <f t="shared" si="62"/>
        <v>0.66191101074218039</v>
      </c>
      <c r="H975">
        <f t="shared" si="63"/>
        <v>0.8300018310546875</v>
      </c>
    </row>
    <row r="976" spans="1:8" x14ac:dyDescent="0.2">
      <c r="A976" t="s">
        <v>4</v>
      </c>
      <c r="B976" s="2">
        <v>45980</v>
      </c>
      <c r="C976">
        <v>45.844223022460938</v>
      </c>
      <c r="D976">
        <f>_xlfn.XLOOKUP(B976, Oil_Price!A:A, Oil_Price!B:B, "")</f>
        <v>59.439998626708977</v>
      </c>
      <c r="E976">
        <f t="shared" si="60"/>
        <v>4.8360574112816029E-3</v>
      </c>
      <c r="F976">
        <f t="shared" si="61"/>
        <v>-2.1402749684458593E-2</v>
      </c>
      <c r="G976">
        <f t="shared" si="62"/>
        <v>0.22063827514648438</v>
      </c>
      <c r="H976">
        <f t="shared" si="63"/>
        <v>-1.3000030517578196</v>
      </c>
    </row>
    <row r="977" spans="1:8" x14ac:dyDescent="0.2">
      <c r="A977" t="s">
        <v>4</v>
      </c>
      <c r="B977" s="2">
        <v>45981</v>
      </c>
      <c r="C977">
        <v>45.949741363525391</v>
      </c>
      <c r="D977">
        <f>_xlfn.XLOOKUP(B977, Oil_Price!A:A, Oil_Price!B:B, "")</f>
        <v>59.139999389648438</v>
      </c>
      <c r="E977">
        <f t="shared" si="60"/>
        <v>2.3016714889628606E-3</v>
      </c>
      <c r="F977">
        <f t="shared" si="61"/>
        <v>-5.0470936068584809E-3</v>
      </c>
      <c r="G977">
        <f t="shared" si="62"/>
        <v>0.10551834106445312</v>
      </c>
      <c r="H977">
        <f t="shared" si="63"/>
        <v>-0.29999923706053977</v>
      </c>
    </row>
    <row r="978" spans="1:8" x14ac:dyDescent="0.2">
      <c r="A978" t="s">
        <v>4</v>
      </c>
      <c r="B978" s="2">
        <v>45982</v>
      </c>
      <c r="C978">
        <v>45.191905975341797</v>
      </c>
      <c r="D978">
        <f>_xlfn.XLOOKUP(B978, Oil_Price!A:A, Oil_Price!B:B, "")</f>
        <v>58.060001373291023</v>
      </c>
      <c r="E978">
        <f t="shared" si="60"/>
        <v>-1.6492701932489192E-2</v>
      </c>
      <c r="F978">
        <f t="shared" si="61"/>
        <v>-1.8261718422446453E-2</v>
      </c>
      <c r="G978">
        <f t="shared" si="62"/>
        <v>-0.75783538818359375</v>
      </c>
      <c r="H978">
        <f t="shared" si="63"/>
        <v>-1.0799980163574148</v>
      </c>
    </row>
    <row r="979" spans="1:8" x14ac:dyDescent="0.2">
      <c r="A979" t="s">
        <v>4</v>
      </c>
      <c r="B979" s="2">
        <v>45985</v>
      </c>
      <c r="C979">
        <v>44.587558746337891</v>
      </c>
      <c r="D979">
        <f>_xlfn.XLOOKUP(B979, Oil_Price!A:A, Oil_Price!B:B, "")</f>
        <v>58.840000152587891</v>
      </c>
      <c r="E979">
        <f t="shared" si="60"/>
        <v>-1.337290862070872E-2</v>
      </c>
      <c r="F979">
        <f t="shared" si="61"/>
        <v>1.3434356886799625E-2</v>
      </c>
      <c r="G979">
        <f t="shared" si="62"/>
        <v>-0.60434722900390625</v>
      </c>
      <c r="H979">
        <f t="shared" si="63"/>
        <v>0.77999877929686789</v>
      </c>
    </row>
    <row r="980" spans="1:8" x14ac:dyDescent="0.2">
      <c r="A980" t="s">
        <v>4</v>
      </c>
      <c r="B980" s="2">
        <v>45986</v>
      </c>
      <c r="C980">
        <v>44.932899475097663</v>
      </c>
      <c r="D980">
        <f>_xlfn.XLOOKUP(B980, Oil_Price!A:A, Oil_Price!B:B, "")</f>
        <v>57.950000762939453</v>
      </c>
      <c r="E980">
        <f t="shared" si="60"/>
        <v>7.7452262126402379E-3</v>
      </c>
      <c r="F980">
        <f t="shared" si="61"/>
        <v>-1.5125754373562722E-2</v>
      </c>
      <c r="G980">
        <f t="shared" si="62"/>
        <v>0.34534072875977273</v>
      </c>
      <c r="H980">
        <f t="shared" si="63"/>
        <v>-0.8899993896484375</v>
      </c>
    </row>
    <row r="981" spans="1:8" x14ac:dyDescent="0.2">
      <c r="A981" t="s">
        <v>4</v>
      </c>
      <c r="B981" s="2">
        <v>45987</v>
      </c>
      <c r="C981">
        <v>44.894527435302727</v>
      </c>
      <c r="D981">
        <f>_xlfn.XLOOKUP(B981, Oil_Price!A:A, Oil_Price!B:B, "")</f>
        <v>58.650001525878913</v>
      </c>
      <c r="E981">
        <f t="shared" si="60"/>
        <v>-8.5398539251183459E-4</v>
      </c>
      <c r="F981">
        <f t="shared" si="61"/>
        <v>1.2079391781253074E-2</v>
      </c>
      <c r="G981">
        <f t="shared" si="62"/>
        <v>-3.8372039794936086E-2</v>
      </c>
      <c r="H981">
        <f t="shared" si="63"/>
        <v>0.70000076293946023</v>
      </c>
    </row>
    <row r="982" spans="1:8" x14ac:dyDescent="0.2">
      <c r="A982" t="s">
        <v>4</v>
      </c>
      <c r="B982" s="2">
        <v>45988</v>
      </c>
      <c r="C982">
        <v>44.827377319335938</v>
      </c>
      <c r="D982" t="str">
        <f>_xlfn.XLOOKUP(B982, Oil_Price!A:A, Oil_Price!B:B, "")</f>
        <v/>
      </c>
      <c r="E982">
        <f t="shared" si="60"/>
        <v>-1.4957305445203639E-3</v>
      </c>
      <c r="F982" t="str">
        <f t="shared" si="61"/>
        <v/>
      </c>
      <c r="G982">
        <f t="shared" si="62"/>
        <v>-6.715011596678977E-2</v>
      </c>
      <c r="H982" t="str">
        <f t="shared" si="63"/>
        <v/>
      </c>
    </row>
    <row r="983" spans="1:8" x14ac:dyDescent="0.2">
      <c r="A983" t="s">
        <v>4</v>
      </c>
      <c r="B983" s="2">
        <v>45989</v>
      </c>
      <c r="C983">
        <v>45.364574432373047</v>
      </c>
      <c r="D983">
        <f>_xlfn.XLOOKUP(B983, Oil_Price!A:A, Oil_Price!B:B, "")</f>
        <v>58.549999237060547</v>
      </c>
      <c r="E983">
        <f t="shared" si="60"/>
        <v>1.1983683747775127E-2</v>
      </c>
      <c r="F983" t="str">
        <f t="shared" si="61"/>
        <v/>
      </c>
      <c r="G983">
        <f t="shared" si="62"/>
        <v>0.53719711303710938</v>
      </c>
      <c r="H983" t="str">
        <f t="shared" si="63"/>
        <v/>
      </c>
    </row>
    <row r="984" spans="1:8" x14ac:dyDescent="0.2">
      <c r="A984" t="s">
        <v>4</v>
      </c>
      <c r="B984" s="2">
        <v>45992</v>
      </c>
      <c r="C984">
        <v>45.729099273681641</v>
      </c>
      <c r="D984">
        <f>_xlfn.XLOOKUP(B984, Oil_Price!A:A, Oil_Price!B:B, "")</f>
        <v>59.319999694824219</v>
      </c>
      <c r="E984">
        <f t="shared" si="60"/>
        <v>8.0354515802194253E-3</v>
      </c>
      <c r="F984">
        <f t="shared" si="61"/>
        <v>1.3151160850507453E-2</v>
      </c>
      <c r="G984">
        <f t="shared" si="62"/>
        <v>0.36452484130859375</v>
      </c>
      <c r="H984">
        <f t="shared" si="63"/>
        <v>0.77000045776367188</v>
      </c>
    </row>
    <row r="985" spans="1:8" x14ac:dyDescent="0.2">
      <c r="A985" t="s">
        <v>4</v>
      </c>
      <c r="B985" s="2">
        <v>45993</v>
      </c>
      <c r="C985">
        <v>45.028823852539062</v>
      </c>
      <c r="D985">
        <f>_xlfn.XLOOKUP(B985, Oil_Price!A:A, Oil_Price!B:B, "")</f>
        <v>58.639999389648438</v>
      </c>
      <c r="E985">
        <f t="shared" si="60"/>
        <v>-1.5313562529441859E-2</v>
      </c>
      <c r="F985">
        <f t="shared" si="61"/>
        <v>-1.1463255372118833E-2</v>
      </c>
      <c r="G985">
        <f t="shared" si="62"/>
        <v>-0.70027542114257812</v>
      </c>
      <c r="H985">
        <f t="shared" si="63"/>
        <v>-0.68000030517578125</v>
      </c>
    </row>
    <row r="986" spans="1:8" x14ac:dyDescent="0.2">
      <c r="A986" t="s">
        <v>4</v>
      </c>
      <c r="B986" s="2">
        <v>45994</v>
      </c>
      <c r="C986">
        <v>45.700328826904297</v>
      </c>
      <c r="D986">
        <f>_xlfn.XLOOKUP(B986, Oil_Price!A:A, Oil_Price!B:B, "")</f>
        <v>58.950000762939453</v>
      </c>
      <c r="E986">
        <f t="shared" si="60"/>
        <v>1.4912780679421853E-2</v>
      </c>
      <c r="F986">
        <f t="shared" si="61"/>
        <v>5.2865173348848864E-3</v>
      </c>
      <c r="G986">
        <f t="shared" si="62"/>
        <v>0.67150497436523438</v>
      </c>
      <c r="H986">
        <f t="shared" si="63"/>
        <v>0.31000137329101562</v>
      </c>
    </row>
    <row r="987" spans="1:8" x14ac:dyDescent="0.2">
      <c r="A987" t="s">
        <v>4</v>
      </c>
      <c r="B987" s="2">
        <v>45995</v>
      </c>
      <c r="C987">
        <v>46.131999969482422</v>
      </c>
      <c r="D987">
        <f>_xlfn.XLOOKUP(B987, Oil_Price!A:A, Oil_Price!B:B, "")</f>
        <v>59.669998168945312</v>
      </c>
      <c r="E987">
        <f t="shared" si="60"/>
        <v>9.4456900783609979E-3</v>
      </c>
      <c r="F987">
        <f t="shared" si="61"/>
        <v>1.2213696296650528E-2</v>
      </c>
      <c r="G987">
        <f t="shared" si="62"/>
        <v>0.431671142578125</v>
      </c>
      <c r="H987">
        <f t="shared" si="63"/>
        <v>0.71999740600585938</v>
      </c>
    </row>
    <row r="988" spans="1:8" x14ac:dyDescent="0.2">
      <c r="A988" t="s">
        <v>4</v>
      </c>
      <c r="B988" s="2">
        <v>45996</v>
      </c>
      <c r="C988">
        <v>46.007297515869141</v>
      </c>
      <c r="D988">
        <f>_xlfn.XLOOKUP(B988, Oil_Price!A:A, Oil_Price!B:B, "")</f>
        <v>60.080001831054688</v>
      </c>
      <c r="E988">
        <f t="shared" si="60"/>
        <v>-2.7031659953129137E-3</v>
      </c>
      <c r="F988">
        <f t="shared" si="61"/>
        <v>6.8711861017411177E-3</v>
      </c>
      <c r="G988">
        <f t="shared" si="62"/>
        <v>-0.12470245361328125</v>
      </c>
      <c r="H988">
        <f t="shared" si="63"/>
        <v>0.410003662109375</v>
      </c>
    </row>
    <row r="989" spans="1:8" x14ac:dyDescent="0.2">
      <c r="A989" t="s">
        <v>4</v>
      </c>
      <c r="B989" s="2">
        <v>45999</v>
      </c>
      <c r="C989">
        <v>45.287834167480469</v>
      </c>
      <c r="D989">
        <f>_xlfn.XLOOKUP(B989, Oil_Price!A:A, Oil_Price!B:B, "")</f>
        <v>58.880001068115227</v>
      </c>
      <c r="E989">
        <f t="shared" si="60"/>
        <v>-1.563802673131387E-2</v>
      </c>
      <c r="F989">
        <f t="shared" si="61"/>
        <v>-1.9973380931543067E-2</v>
      </c>
      <c r="G989">
        <f t="shared" si="62"/>
        <v>-0.71946334838867188</v>
      </c>
      <c r="H989">
        <f t="shared" si="63"/>
        <v>-1.2000007629394602</v>
      </c>
    </row>
    <row r="990" spans="1:8" x14ac:dyDescent="0.2">
      <c r="A990" t="s">
        <v>4</v>
      </c>
      <c r="B990" s="2">
        <v>46000</v>
      </c>
      <c r="C990">
        <v>44.769817352294922</v>
      </c>
      <c r="D990">
        <f>_xlfn.XLOOKUP(B990, Oil_Price!A:A, Oil_Price!B:B, "")</f>
        <v>58.25</v>
      </c>
      <c r="E990">
        <f t="shared" si="60"/>
        <v>-1.1438321675305809E-2</v>
      </c>
      <c r="F990">
        <f t="shared" si="61"/>
        <v>-1.069974620731429E-2</v>
      </c>
      <c r="G990">
        <f t="shared" si="62"/>
        <v>-0.51801681518554688</v>
      </c>
      <c r="H990">
        <f t="shared" si="63"/>
        <v>-0.63000106811522727</v>
      </c>
    </row>
    <row r="991" spans="1:8" x14ac:dyDescent="0.2">
      <c r="A991" t="s">
        <v>4</v>
      </c>
      <c r="B991" s="2">
        <v>46001</v>
      </c>
      <c r="C991">
        <v>44.6163330078125</v>
      </c>
      <c r="D991">
        <f>_xlfn.XLOOKUP(B991, Oil_Price!A:A, Oil_Price!B:B, "")</f>
        <v>58.459999084472663</v>
      </c>
      <c r="E991">
        <f t="shared" si="60"/>
        <v>-3.4282995455319674E-3</v>
      </c>
      <c r="F991">
        <f t="shared" si="61"/>
        <v>3.6051344973847786E-3</v>
      </c>
      <c r="G991">
        <f t="shared" si="62"/>
        <v>-0.15348434448242188</v>
      </c>
      <c r="H991">
        <f t="shared" si="63"/>
        <v>0.20999908447266336</v>
      </c>
    </row>
    <row r="992" spans="1:8" x14ac:dyDescent="0.2">
      <c r="A992" t="s">
        <v>4</v>
      </c>
      <c r="B992" s="2">
        <v>46002</v>
      </c>
      <c r="C992">
        <v>43.762565612792969</v>
      </c>
      <c r="D992">
        <f>_xlfn.XLOOKUP(B992, Oil_Price!A:A, Oil_Price!B:B, "")</f>
        <v>57.599998474121087</v>
      </c>
      <c r="E992">
        <f t="shared" si="60"/>
        <v>-1.9135758980237869E-2</v>
      </c>
      <c r="F992">
        <f t="shared" si="61"/>
        <v>-1.4710924115973826E-2</v>
      </c>
      <c r="G992">
        <f t="shared" si="62"/>
        <v>-0.85376739501953125</v>
      </c>
      <c r="H992">
        <f t="shared" si="63"/>
        <v>-0.86000061035157671</v>
      </c>
    </row>
    <row r="993" spans="1:8" x14ac:dyDescent="0.2">
      <c r="A993" t="s">
        <v>4</v>
      </c>
      <c r="B993" s="2">
        <v>46003</v>
      </c>
      <c r="C993">
        <v>44.159065246582031</v>
      </c>
      <c r="D993">
        <f>_xlfn.XLOOKUP(B993, Oil_Price!A:A, Oil_Price!B:B, "")</f>
        <v>57.439998626708977</v>
      </c>
      <c r="E993">
        <f t="shared" si="60"/>
        <v>9.0602465426102684E-3</v>
      </c>
      <c r="F993">
        <f t="shared" si="61"/>
        <v>-2.7777752022683675E-3</v>
      </c>
      <c r="G993">
        <f t="shared" si="62"/>
        <v>0.3964996337890625</v>
      </c>
      <c r="H993">
        <f t="shared" si="63"/>
        <v>-0.15999984741210938</v>
      </c>
    </row>
    <row r="994" spans="1:8" x14ac:dyDescent="0.2">
      <c r="A994" t="s">
        <v>4</v>
      </c>
      <c r="B994" s="2">
        <v>46006</v>
      </c>
      <c r="C994">
        <v>43.401058197021477</v>
      </c>
      <c r="D994">
        <f>_xlfn.XLOOKUP(B994, Oil_Price!A:A, Oil_Price!B:B, "")</f>
        <v>56.819999694824219</v>
      </c>
      <c r="E994">
        <f t="shared" si="60"/>
        <v>-1.7165378056077051E-2</v>
      </c>
      <c r="F994">
        <f t="shared" si="61"/>
        <v>-1.0793853529036572E-2</v>
      </c>
      <c r="G994">
        <f t="shared" si="62"/>
        <v>-0.75800704956055398</v>
      </c>
      <c r="H994">
        <f t="shared" si="63"/>
        <v>-0.61999893188475852</v>
      </c>
    </row>
    <row r="995" spans="1:8" x14ac:dyDescent="0.2">
      <c r="A995" t="s">
        <v>4</v>
      </c>
      <c r="B995" s="2">
        <v>46007</v>
      </c>
      <c r="C995">
        <v>41.787853240966797</v>
      </c>
      <c r="D995">
        <f>_xlfn.XLOOKUP(B995, Oil_Price!A:A, Oil_Price!B:B, "")</f>
        <v>55.270000457763672</v>
      </c>
      <c r="E995">
        <f t="shared" si="60"/>
        <v>-3.7169714819658271E-2</v>
      </c>
      <c r="F995">
        <f t="shared" si="61"/>
        <v>-2.7279113787143115E-2</v>
      </c>
      <c r="G995">
        <f t="shared" si="62"/>
        <v>-1.6132049560546804</v>
      </c>
      <c r="H995">
        <f t="shared" si="63"/>
        <v>-1.5499992370605469</v>
      </c>
    </row>
    <row r="996" spans="1:8" x14ac:dyDescent="0.2">
      <c r="A996" t="s">
        <v>4</v>
      </c>
      <c r="B996" s="2">
        <v>46008</v>
      </c>
      <c r="C996">
        <v>42.711071014404297</v>
      </c>
      <c r="D996">
        <f>_xlfn.XLOOKUP(B996, Oil_Price!A:A, Oil_Price!B:B, "")</f>
        <v>55.939998626708977</v>
      </c>
      <c r="E996">
        <f t="shared" si="60"/>
        <v>2.2092969651104782E-2</v>
      </c>
      <c r="F996">
        <f t="shared" si="61"/>
        <v>1.2122275436876571E-2</v>
      </c>
      <c r="G996">
        <f t="shared" si="62"/>
        <v>0.9232177734375</v>
      </c>
      <c r="H996">
        <f t="shared" si="63"/>
        <v>0.66999816894530539</v>
      </c>
    </row>
    <row r="997" spans="1:8" x14ac:dyDescent="0.2">
      <c r="A997" t="s">
        <v>4</v>
      </c>
      <c r="B997" s="2">
        <v>46009</v>
      </c>
      <c r="C997">
        <v>42.186294555664062</v>
      </c>
      <c r="D997">
        <f>_xlfn.XLOOKUP(B997, Oil_Price!A:A, Oil_Price!B:B, "")</f>
        <v>56.150001525878913</v>
      </c>
      <c r="E997">
        <f t="shared" si="60"/>
        <v>-1.228666119290836E-2</v>
      </c>
      <c r="F997">
        <f t="shared" si="61"/>
        <v>3.7540740851872063E-3</v>
      </c>
      <c r="G997">
        <f t="shared" si="62"/>
        <v>-0.52477645874023438</v>
      </c>
      <c r="H997">
        <f t="shared" si="63"/>
        <v>0.21000289916993609</v>
      </c>
    </row>
    <row r="998" spans="1:8" x14ac:dyDescent="0.2">
      <c r="A998" t="s">
        <v>4</v>
      </c>
      <c r="B998" s="2">
        <v>46010</v>
      </c>
      <c r="C998">
        <v>42.749950408935547</v>
      </c>
      <c r="D998">
        <f>_xlfn.XLOOKUP(B998, Oil_Price!A:A, Oil_Price!B:B, "")</f>
        <v>56.659999847412109</v>
      </c>
      <c r="E998">
        <f t="shared" si="60"/>
        <v>1.3361113110509162E-2</v>
      </c>
      <c r="F998">
        <f t="shared" si="61"/>
        <v>9.0827837519851795E-3</v>
      </c>
      <c r="G998">
        <f t="shared" si="62"/>
        <v>0.56365585327148438</v>
      </c>
      <c r="H998">
        <f t="shared" si="63"/>
        <v>0.50999832153319602</v>
      </c>
    </row>
    <row r="999" spans="1:8" x14ac:dyDescent="0.2">
      <c r="A999" t="s">
        <v>4</v>
      </c>
      <c r="B999" s="2">
        <v>46013</v>
      </c>
      <c r="C999">
        <v>43.226131439208977</v>
      </c>
      <c r="D999">
        <f>_xlfn.XLOOKUP(B999, Oil_Price!A:A, Oil_Price!B:B, "")</f>
        <v>58.009998321533203</v>
      </c>
      <c r="E999">
        <f t="shared" si="60"/>
        <v>1.1138750471483577E-2</v>
      </c>
      <c r="F999">
        <f t="shared" si="61"/>
        <v>2.3826305643429219E-2</v>
      </c>
      <c r="G999">
        <f t="shared" si="62"/>
        <v>0.47618103027343039</v>
      </c>
      <c r="H999">
        <f t="shared" si="63"/>
        <v>1.3499984741210938</v>
      </c>
    </row>
    <row r="1000" spans="1:8" x14ac:dyDescent="0.2">
      <c r="A1000" t="s">
        <v>4</v>
      </c>
      <c r="B1000" s="2">
        <v>46014</v>
      </c>
      <c r="C1000">
        <v>43.692600250244141</v>
      </c>
      <c r="D1000">
        <f>_xlfn.XLOOKUP(B1000, Oil_Price!A:A, Oil_Price!B:B, "")</f>
        <v>58.380001068115227</v>
      </c>
      <c r="E1000">
        <f t="shared" si="60"/>
        <v>1.079136150990475E-2</v>
      </c>
      <c r="F1000">
        <f t="shared" si="61"/>
        <v>6.3782581845840151E-3</v>
      </c>
      <c r="G1000">
        <f t="shared" si="62"/>
        <v>0.46646881103516336</v>
      </c>
      <c r="H1000">
        <f t="shared" si="63"/>
        <v>0.37000274658202414</v>
      </c>
    </row>
    <row r="1001" spans="1:8" x14ac:dyDescent="0.2">
      <c r="A1001" t="s">
        <v>4</v>
      </c>
      <c r="B1001" s="2">
        <v>46015</v>
      </c>
      <c r="C1001">
        <v>43.79949951171875</v>
      </c>
      <c r="D1001">
        <f>_xlfn.XLOOKUP(B1001, Oil_Price!A:A, Oil_Price!B:B, "")</f>
        <v>58.349998474121087</v>
      </c>
      <c r="E1001">
        <f t="shared" si="60"/>
        <v>2.4466216444513863E-3</v>
      </c>
      <c r="F1001">
        <f t="shared" si="61"/>
        <v>-5.1391903811606504E-4</v>
      </c>
      <c r="G1001">
        <f t="shared" si="62"/>
        <v>0.10689926147460938</v>
      </c>
      <c r="H1001">
        <f t="shared" si="63"/>
        <v>-3.0002593994140625E-2</v>
      </c>
    </row>
    <row r="1002" spans="1:8" x14ac:dyDescent="0.2">
      <c r="A1002" t="s">
        <v>4</v>
      </c>
      <c r="B1002" s="2">
        <v>46020</v>
      </c>
      <c r="C1002">
        <v>44.207664489746087</v>
      </c>
      <c r="D1002">
        <f>_xlfn.XLOOKUP(B1002, Oil_Price!A:A, Oil_Price!B:B, "")</f>
        <v>58.080001831054688</v>
      </c>
      <c r="E1002">
        <f t="shared" si="60"/>
        <v>9.3189415992785563E-3</v>
      </c>
      <c r="F1002">
        <f t="shared" si="61"/>
        <v>-4.627191947333912E-3</v>
      </c>
      <c r="G1002">
        <f t="shared" si="62"/>
        <v>0.40816497802733664</v>
      </c>
      <c r="H1002">
        <f t="shared" si="63"/>
        <v>-0.26999664306639914</v>
      </c>
    </row>
    <row r="1003" spans="1:8" x14ac:dyDescent="0.2">
      <c r="A1003" t="s">
        <v>4</v>
      </c>
      <c r="B1003" s="2">
        <v>46021</v>
      </c>
      <c r="C1003">
        <v>45.1600341796875</v>
      </c>
      <c r="D1003">
        <f>_xlfn.XLOOKUP(B1003, Oil_Price!A:A, Oil_Price!B:B, "")</f>
        <v>57.950000762939453</v>
      </c>
      <c r="E1003">
        <f t="shared" si="60"/>
        <v>2.1543089890268107E-2</v>
      </c>
      <c r="F1003">
        <f t="shared" si="61"/>
        <v>-2.238310330867179E-3</v>
      </c>
      <c r="G1003">
        <f t="shared" si="62"/>
        <v>0.95236968994141336</v>
      </c>
      <c r="H1003">
        <f t="shared" si="63"/>
        <v>-0.13000106811523438</v>
      </c>
    </row>
    <row r="1004" spans="1:8" x14ac:dyDescent="0.2">
      <c r="A1004" t="s">
        <v>4</v>
      </c>
      <c r="B1004" s="2">
        <v>46022</v>
      </c>
      <c r="C1004">
        <v>45.179470062255859</v>
      </c>
      <c r="D1004">
        <f>_xlfn.XLOOKUP(B1004, Oil_Price!A:A, Oil_Price!B:B, "")</f>
        <v>57.419998168945312</v>
      </c>
      <c r="E1004">
        <f t="shared" si="60"/>
        <v>4.3037794194366279E-4</v>
      </c>
      <c r="F1004">
        <f t="shared" si="61"/>
        <v>-9.145860000283057E-3</v>
      </c>
      <c r="G1004">
        <f t="shared" si="62"/>
        <v>1.9435882568359375E-2</v>
      </c>
      <c r="H1004">
        <f t="shared" si="63"/>
        <v>-0.53000259399414062</v>
      </c>
    </row>
    <row r="1005" spans="1:8" x14ac:dyDescent="0.2">
      <c r="A1005" t="s">
        <v>4</v>
      </c>
      <c r="B1005" s="2">
        <v>46024</v>
      </c>
      <c r="C1005">
        <v>45.791709899902337</v>
      </c>
      <c r="D1005">
        <f>_xlfn.XLOOKUP(B1005, Oil_Price!A:A, Oil_Price!B:B, "")</f>
        <v>57.319999694824219</v>
      </c>
      <c r="E1005">
        <f t="shared" si="60"/>
        <v>1.3551284174046982E-2</v>
      </c>
      <c r="F1005">
        <f t="shared" si="61"/>
        <v>-1.7415269472296209E-3</v>
      </c>
      <c r="G1005">
        <f t="shared" si="62"/>
        <v>0.61223983764647727</v>
      </c>
      <c r="H1005">
        <f t="shared" si="63"/>
        <v>-9.999847412109375E-2</v>
      </c>
    </row>
    <row r="1006" spans="1:8" x14ac:dyDescent="0.2">
      <c r="A1006" t="s">
        <v>4</v>
      </c>
      <c r="B1006" s="2">
        <v>46027</v>
      </c>
      <c r="C1006">
        <v>43.031768798828118</v>
      </c>
      <c r="D1006">
        <f>_xlfn.XLOOKUP(B1006, Oil_Price!A:A, Oil_Price!B:B, "")</f>
        <v>58.319999694824219</v>
      </c>
      <c r="E1006">
        <f t="shared" si="60"/>
        <v>-6.0271632291243729E-2</v>
      </c>
      <c r="F1006">
        <f t="shared" si="61"/>
        <v>1.7445917748151983E-2</v>
      </c>
      <c r="G1006">
        <f t="shared" si="62"/>
        <v>-2.7599411010742188</v>
      </c>
      <c r="H1006">
        <f t="shared" si="63"/>
        <v>1</v>
      </c>
    </row>
    <row r="1007" spans="1:8" x14ac:dyDescent="0.2">
      <c r="A1007" t="s">
        <v>4</v>
      </c>
      <c r="B1007" s="2">
        <v>46028</v>
      </c>
      <c r="C1007">
        <v>42.370937347412109</v>
      </c>
      <c r="D1007">
        <f>_xlfn.XLOOKUP(B1007, Oil_Price!A:A, Oil_Price!B:B, "")</f>
        <v>57.130001068115227</v>
      </c>
      <c r="E1007">
        <f t="shared" si="60"/>
        <v>-1.5356827522135342E-2</v>
      </c>
      <c r="F1007">
        <f t="shared" si="61"/>
        <v>-2.0404640482441592E-2</v>
      </c>
      <c r="G1007">
        <f t="shared" si="62"/>
        <v>-0.66083145141600852</v>
      </c>
      <c r="H1007">
        <f t="shared" si="63"/>
        <v>-1.1899986267089915</v>
      </c>
    </row>
    <row r="1008" spans="1:8" x14ac:dyDescent="0.2">
      <c r="A1008" t="s">
        <v>4</v>
      </c>
      <c r="B1008" s="2">
        <v>46029</v>
      </c>
      <c r="C1008">
        <v>41.185329437255859</v>
      </c>
      <c r="D1008">
        <f>_xlfn.XLOOKUP(B1008, Oil_Price!A:A, Oil_Price!B:B, "")</f>
        <v>55.990001678466797</v>
      </c>
      <c r="E1008">
        <f t="shared" si="60"/>
        <v>-2.7981630437747759E-2</v>
      </c>
      <c r="F1008">
        <f t="shared" si="61"/>
        <v>-1.995447870356639E-2</v>
      </c>
      <c r="G1008">
        <f t="shared" si="62"/>
        <v>-1.18560791015625</v>
      </c>
      <c r="H1008">
        <f t="shared" si="63"/>
        <v>-1.1399993896484304</v>
      </c>
    </row>
    <row r="1009" spans="1:8" x14ac:dyDescent="0.2">
      <c r="A1009" t="s">
        <v>4</v>
      </c>
      <c r="B1009" s="2">
        <v>46030</v>
      </c>
      <c r="C1009">
        <v>42.477840423583977</v>
      </c>
      <c r="D1009">
        <f>_xlfn.XLOOKUP(B1009, Oil_Price!A:A, Oil_Price!B:B, "")</f>
        <v>57.759998321533203</v>
      </c>
      <c r="E1009">
        <f t="shared" si="60"/>
        <v>3.1382800720271151E-2</v>
      </c>
      <c r="F1009">
        <f t="shared" si="61"/>
        <v>3.1612727094222068E-2</v>
      </c>
      <c r="G1009">
        <f t="shared" si="62"/>
        <v>1.2925109863281179</v>
      </c>
      <c r="H1009">
        <f t="shared" si="63"/>
        <v>1.7699966430664062</v>
      </c>
    </row>
    <row r="1010" spans="1:8" x14ac:dyDescent="0.2">
      <c r="A1010" t="s">
        <v>4</v>
      </c>
      <c r="B1010" s="2">
        <v>46031</v>
      </c>
      <c r="C1010">
        <v>43.362186431884773</v>
      </c>
      <c r="D1010">
        <f>_xlfn.XLOOKUP(B1010, Oil_Price!A:A, Oil_Price!B:B, "")</f>
        <v>59.119998931884773</v>
      </c>
      <c r="E1010">
        <f t="shared" si="60"/>
        <v>2.0818996433957144E-2</v>
      </c>
      <c r="F1010">
        <f t="shared" si="61"/>
        <v>2.3545717622442432E-2</v>
      </c>
      <c r="G1010">
        <f t="shared" si="62"/>
        <v>0.88434600830079546</v>
      </c>
      <c r="H1010">
        <f t="shared" si="63"/>
        <v>1.3600006103515696</v>
      </c>
    </row>
    <row r="1011" spans="1:8" x14ac:dyDescent="0.2">
      <c r="A1011" t="s">
        <v>4</v>
      </c>
      <c r="B1011" s="2">
        <v>46034</v>
      </c>
      <c r="C1011">
        <v>43.546829223632812</v>
      </c>
      <c r="D1011">
        <f>_xlfn.XLOOKUP(B1011, Oil_Price!A:A, Oil_Price!B:B, "")</f>
        <v>59.5</v>
      </c>
      <c r="E1011">
        <f t="shared" si="60"/>
        <v>4.2581522506501095E-3</v>
      </c>
      <c r="F1011">
        <f t="shared" si="61"/>
        <v>6.4276230544768158E-3</v>
      </c>
      <c r="G1011">
        <f t="shared" si="62"/>
        <v>0.18464279174803977</v>
      </c>
      <c r="H1011">
        <f t="shared" si="63"/>
        <v>0.38000106811522727</v>
      </c>
    </row>
    <row r="1012" spans="1:8" x14ac:dyDescent="0.2">
      <c r="A1012" t="s">
        <v>4</v>
      </c>
      <c r="B1012" s="2">
        <v>46035</v>
      </c>
      <c r="C1012">
        <v>44.693569183349609</v>
      </c>
      <c r="D1012">
        <f>_xlfn.XLOOKUP(B1012, Oil_Price!A:A, Oil_Price!B:B, "")</f>
        <v>61.150001525878913</v>
      </c>
      <c r="E1012">
        <f t="shared" si="60"/>
        <v>2.6333489261130005E-2</v>
      </c>
      <c r="F1012">
        <f t="shared" si="61"/>
        <v>2.7731118081998542E-2</v>
      </c>
      <c r="G1012">
        <f t="shared" si="62"/>
        <v>1.1467399597167969</v>
      </c>
      <c r="H1012">
        <f t="shared" si="63"/>
        <v>1.6500015258789134</v>
      </c>
    </row>
    <row r="1013" spans="1:8" x14ac:dyDescent="0.2">
      <c r="A1013" t="s">
        <v>4</v>
      </c>
      <c r="B1013" s="2">
        <v>46036</v>
      </c>
      <c r="C1013">
        <v>46.676059722900391</v>
      </c>
      <c r="D1013">
        <f>_xlfn.XLOOKUP(B1013, Oil_Price!A:A, Oil_Price!B:B, "")</f>
        <v>62.020000457763672</v>
      </c>
      <c r="E1013">
        <f t="shared" si="60"/>
        <v>4.4357400310050629E-2</v>
      </c>
      <c r="F1013">
        <f t="shared" si="61"/>
        <v>1.4227292071555741E-2</v>
      </c>
      <c r="G1013">
        <f t="shared" si="62"/>
        <v>1.9824905395507812</v>
      </c>
      <c r="H1013">
        <f t="shared" si="63"/>
        <v>0.86999893188475852</v>
      </c>
    </row>
    <row r="1014" spans="1:8" x14ac:dyDescent="0.2">
      <c r="A1014" t="s">
        <v>4</v>
      </c>
      <c r="B1014" s="2">
        <v>46037</v>
      </c>
      <c r="C1014">
        <v>46.102691650390618</v>
      </c>
      <c r="D1014">
        <f>_xlfn.XLOOKUP(B1014, Oil_Price!A:A, Oil_Price!B:B, "")</f>
        <v>59.189998626708977</v>
      </c>
      <c r="E1014">
        <f t="shared" si="60"/>
        <v>-1.2283986178646195E-2</v>
      </c>
      <c r="F1014">
        <f t="shared" si="61"/>
        <v>-4.5630470979792365E-2</v>
      </c>
      <c r="G1014">
        <f t="shared" si="62"/>
        <v>-0.57336807250977273</v>
      </c>
      <c r="H1014">
        <f t="shared" si="63"/>
        <v>-2.8300018310546946</v>
      </c>
    </row>
    <row r="1015" spans="1:8" x14ac:dyDescent="0.2">
      <c r="A1015" t="s">
        <v>4</v>
      </c>
      <c r="B1015" s="2">
        <v>46038</v>
      </c>
      <c r="C1015">
        <v>46.442829132080078</v>
      </c>
      <c r="D1015">
        <f>_xlfn.XLOOKUP(B1015, Oil_Price!A:A, Oil_Price!B:B, "")</f>
        <v>59.439998626708977</v>
      </c>
      <c r="E1015">
        <f t="shared" si="60"/>
        <v>7.3778226284230046E-3</v>
      </c>
      <c r="F1015">
        <f t="shared" si="61"/>
        <v>4.2236865315146274E-3</v>
      </c>
      <c r="G1015">
        <f t="shared" si="62"/>
        <v>0.34013748168946023</v>
      </c>
      <c r="H1015">
        <f t="shared" si="63"/>
        <v>0.25</v>
      </c>
    </row>
    <row r="1016" spans="1:8" x14ac:dyDescent="0.2">
      <c r="A1016" t="s">
        <v>4</v>
      </c>
      <c r="B1016" s="2">
        <v>46041</v>
      </c>
      <c r="C1016">
        <v>46.69549560546875</v>
      </c>
      <c r="D1016" t="str">
        <f>_xlfn.XLOOKUP(B1016, Oil_Price!A:A, Oil_Price!B:B, "")</f>
        <v/>
      </c>
      <c r="E1016">
        <f t="shared" si="60"/>
        <v>5.4403764393875865E-3</v>
      </c>
      <c r="F1016" t="str">
        <f t="shared" si="61"/>
        <v/>
      </c>
      <c r="G1016">
        <f t="shared" si="62"/>
        <v>0.25266647338867188</v>
      </c>
      <c r="H1016" t="str">
        <f t="shared" si="63"/>
        <v/>
      </c>
    </row>
    <row r="1017" spans="1:8" x14ac:dyDescent="0.2">
      <c r="A1017" t="s">
        <v>4</v>
      </c>
      <c r="B1017" s="2">
        <v>46042</v>
      </c>
      <c r="C1017">
        <v>46.277614593505859</v>
      </c>
      <c r="D1017">
        <f>_xlfn.XLOOKUP(B1017, Oil_Price!A:A, Oil_Price!B:B, "")</f>
        <v>60.340000152587891</v>
      </c>
      <c r="E1017">
        <f t="shared" si="60"/>
        <v>-8.9490647126561473E-3</v>
      </c>
      <c r="F1017" t="str">
        <f t="shared" si="61"/>
        <v/>
      </c>
      <c r="G1017">
        <f t="shared" si="62"/>
        <v>-0.41788101196289062</v>
      </c>
      <c r="H1017" t="str">
        <f t="shared" si="63"/>
        <v/>
      </c>
    </row>
    <row r="1018" spans="1:8" x14ac:dyDescent="0.2">
      <c r="A1018" t="s">
        <v>4</v>
      </c>
      <c r="B1018" s="2">
        <v>46043</v>
      </c>
      <c r="C1018">
        <v>48.347572326660163</v>
      </c>
      <c r="D1018">
        <f>_xlfn.XLOOKUP(B1018, Oil_Price!A:A, Oil_Price!B:B, "")</f>
        <v>60.619998931884773</v>
      </c>
      <c r="E1018">
        <f t="shared" si="60"/>
        <v>4.4729136351050844E-2</v>
      </c>
      <c r="F1018">
        <f t="shared" si="61"/>
        <v>4.6403509875508906E-3</v>
      </c>
      <c r="G1018">
        <f t="shared" si="62"/>
        <v>2.069957733154304</v>
      </c>
      <c r="H1018">
        <f t="shared" si="63"/>
        <v>0.27999877929688211</v>
      </c>
    </row>
    <row r="1019" spans="1:8" x14ac:dyDescent="0.2">
      <c r="A1019" t="s">
        <v>4</v>
      </c>
      <c r="B1019" s="2">
        <v>46044</v>
      </c>
      <c r="C1019">
        <v>47.511814117431641</v>
      </c>
      <c r="D1019">
        <f>_xlfn.XLOOKUP(B1019, Oil_Price!A:A, Oil_Price!B:B, "")</f>
        <v>59.360000610351562</v>
      </c>
      <c r="E1019">
        <f t="shared" si="60"/>
        <v>-1.7286456568733712E-2</v>
      </c>
      <c r="F1019">
        <f t="shared" si="61"/>
        <v>-2.0785192077436333E-2</v>
      </c>
      <c r="G1019">
        <f t="shared" si="62"/>
        <v>-0.83575820922852273</v>
      </c>
      <c r="H1019">
        <f t="shared" si="63"/>
        <v>-1.2599983215332102</v>
      </c>
    </row>
    <row r="1020" spans="1:8" x14ac:dyDescent="0.2">
      <c r="A1020" t="s">
        <v>4</v>
      </c>
      <c r="B1020" s="2">
        <v>46045</v>
      </c>
      <c r="C1020">
        <v>48.075466156005859</v>
      </c>
      <c r="D1020">
        <f>_xlfn.XLOOKUP(B1020, Oil_Price!A:A, Oil_Price!B:B, "")</f>
        <v>61.069999694824219</v>
      </c>
      <c r="E1020">
        <f t="shared" si="60"/>
        <v>1.1863408060594766E-2</v>
      </c>
      <c r="F1020">
        <f t="shared" si="61"/>
        <v>2.8807261908525925E-2</v>
      </c>
      <c r="G1020">
        <f t="shared" si="62"/>
        <v>0.56365203857421875</v>
      </c>
      <c r="H1020">
        <f t="shared" si="63"/>
        <v>1.7099990844726562</v>
      </c>
    </row>
    <row r="1021" spans="1:8" x14ac:dyDescent="0.2">
      <c r="A1021" t="s">
        <v>4</v>
      </c>
      <c r="B1021" s="2">
        <v>46048</v>
      </c>
      <c r="C1021">
        <v>48.036590576171882</v>
      </c>
      <c r="D1021">
        <f>_xlfn.XLOOKUP(B1021, Oil_Price!A:A, Oil_Price!B:B, "")</f>
        <v>60.630001068115227</v>
      </c>
      <c r="E1021">
        <f t="shared" si="60"/>
        <v>-8.0863656543288059E-4</v>
      </c>
      <c r="F1021">
        <f t="shared" si="61"/>
        <v>-7.204824445844595E-3</v>
      </c>
      <c r="G1021">
        <f t="shared" si="62"/>
        <v>-3.887557983397727E-2</v>
      </c>
      <c r="H1021">
        <f t="shared" si="63"/>
        <v>-0.43999862670899148</v>
      </c>
    </row>
    <row r="1022" spans="1:8" x14ac:dyDescent="0.2">
      <c r="A1022" t="s">
        <v>4</v>
      </c>
      <c r="B1022" s="2">
        <v>46049</v>
      </c>
      <c r="C1022">
        <v>48.4058837890625</v>
      </c>
      <c r="D1022">
        <f>_xlfn.XLOOKUP(B1022, Oil_Price!A:A, Oil_Price!B:B, "")</f>
        <v>62.389999389648438</v>
      </c>
      <c r="E1022">
        <f t="shared" si="60"/>
        <v>7.6877482032166218E-3</v>
      </c>
      <c r="F1022">
        <f t="shared" si="61"/>
        <v>2.9028505534016518E-2</v>
      </c>
      <c r="G1022">
        <f t="shared" si="62"/>
        <v>0.36929321289061789</v>
      </c>
      <c r="H1022">
        <f t="shared" si="63"/>
        <v>1.7599983215332102</v>
      </c>
    </row>
    <row r="1023" spans="1:8" x14ac:dyDescent="0.2">
      <c r="A1023" t="s">
        <v>4</v>
      </c>
      <c r="B1023" s="2">
        <v>46050</v>
      </c>
      <c r="C1023">
        <v>48.814037322998047</v>
      </c>
      <c r="D1023">
        <f>_xlfn.XLOOKUP(B1023, Oil_Price!A:A, Oil_Price!B:B, "")</f>
        <v>63.209999084472663</v>
      </c>
      <c r="E1023">
        <f t="shared" si="60"/>
        <v>8.4318992235355231E-3</v>
      </c>
      <c r="F1023">
        <f t="shared" si="61"/>
        <v>1.314312714932127E-2</v>
      </c>
      <c r="G1023">
        <f t="shared" si="62"/>
        <v>0.40815353393554688</v>
      </c>
      <c r="H1023">
        <f t="shared" si="63"/>
        <v>0.81999969482422586</v>
      </c>
    </row>
    <row r="1024" spans="1:8" x14ac:dyDescent="0.2">
      <c r="A1024" t="s">
        <v>4</v>
      </c>
      <c r="B1024" s="2">
        <v>46051</v>
      </c>
      <c r="C1024">
        <v>49.581771850585938</v>
      </c>
      <c r="D1024">
        <f>_xlfn.XLOOKUP(B1024, Oil_Price!A:A, Oil_Price!B:B, "")</f>
        <v>65.419998168945312</v>
      </c>
      <c r="E1024">
        <f t="shared" si="60"/>
        <v>1.5727740823973668E-2</v>
      </c>
      <c r="F1024">
        <f t="shared" si="61"/>
        <v>3.4962808360734947E-2</v>
      </c>
      <c r="G1024">
        <f t="shared" si="62"/>
        <v>0.76773452758789062</v>
      </c>
      <c r="H1024">
        <f t="shared" si="63"/>
        <v>2.2099990844726491</v>
      </c>
    </row>
    <row r="1025" spans="1:8" x14ac:dyDescent="0.2">
      <c r="A1025" t="s">
        <v>4</v>
      </c>
      <c r="B1025" s="2">
        <v>46052</v>
      </c>
      <c r="C1025">
        <v>49.202770233154297</v>
      </c>
      <c r="D1025">
        <f>_xlfn.XLOOKUP(B1025, Oil_Price!A:A, Oil_Price!B:B, "")</f>
        <v>65.209999084472656</v>
      </c>
      <c r="E1025">
        <f t="shared" si="60"/>
        <v>-7.6439708240713415E-3</v>
      </c>
      <c r="F1025">
        <f t="shared" si="61"/>
        <v>-3.2100136097579749E-3</v>
      </c>
      <c r="G1025">
        <f t="shared" si="62"/>
        <v>-0.37900161743164062</v>
      </c>
      <c r="H1025">
        <f t="shared" si="63"/>
        <v>-0.20999908447265625</v>
      </c>
    </row>
    <row r="1026" spans="1:8" x14ac:dyDescent="0.2">
      <c r="A1026" t="s">
        <v>4</v>
      </c>
      <c r="B1026" s="2">
        <v>46055</v>
      </c>
      <c r="C1026">
        <v>48.503063201904297</v>
      </c>
      <c r="D1026">
        <f>_xlfn.XLOOKUP(B1026, Oil_Price!A:A, Oil_Price!B:B, "")</f>
        <v>62.139999389648438</v>
      </c>
      <c r="E1026">
        <f t="shared" si="60"/>
        <v>-1.4220886912146189E-2</v>
      </c>
      <c r="F1026">
        <f t="shared" si="61"/>
        <v>-4.7078664896887348E-2</v>
      </c>
      <c r="G1026">
        <f t="shared" si="62"/>
        <v>-0.69970703125</v>
      </c>
      <c r="H1026">
        <f t="shared" si="63"/>
        <v>-3.0699996948242188</v>
      </c>
    </row>
    <row r="1027" spans="1:8" x14ac:dyDescent="0.2">
      <c r="A1027" t="s">
        <v>4</v>
      </c>
      <c r="B1027" s="2">
        <v>46056</v>
      </c>
      <c r="C1027">
        <v>49.669235229492188</v>
      </c>
      <c r="D1027">
        <f>_xlfn.XLOOKUP(B1027, Oil_Price!A:A, Oil_Price!B:B, "")</f>
        <v>63.209999084472663</v>
      </c>
      <c r="E1027">
        <f t="shared" ref="E1027:E1090" si="64">IFERROR(IF(AND(A1027=A1026, C1027&lt;&gt;"", C1026&lt;&gt;""), (C1027-C1026)/C1026, ""), "")</f>
        <v>2.4043265530126458E-2</v>
      </c>
      <c r="F1027">
        <f t="shared" ref="F1027:F1090" si="65">IFERROR(IF(AND(A1027=A1026, D1027&lt;&gt;"", D1026&lt;&gt;""), (D1027-D1026)/D1026, ""), "")</f>
        <v>1.7219177749178916E-2</v>
      </c>
      <c r="G1027">
        <f t="shared" ref="G1027:G1090" si="66">IFERROR(IF(AND(A1027=A1026, C1027&lt;&gt;"", C1026&lt;&gt;""), C1027-C1026, ""), "")</f>
        <v>1.1661720275878906</v>
      </c>
      <c r="H1027">
        <f t="shared" ref="H1027:H1090" si="67">IFERROR(IF(AND(A1027=A1026, D1027&lt;&gt;"", D1026&lt;&gt;""), D1027-D1026, ""), "")</f>
        <v>1.0699996948242259</v>
      </c>
    </row>
    <row r="1028" spans="1:8" x14ac:dyDescent="0.2">
      <c r="A1028" t="s">
        <v>4</v>
      </c>
      <c r="B1028" s="2">
        <v>46057</v>
      </c>
      <c r="C1028">
        <v>51.165824890136719</v>
      </c>
      <c r="D1028">
        <f>_xlfn.XLOOKUP(B1028, Oil_Price!A:A, Oil_Price!B:B, "")</f>
        <v>65.139999389648438</v>
      </c>
      <c r="E1028">
        <f t="shared" si="64"/>
        <v>3.0131119469218214E-2</v>
      </c>
      <c r="F1028">
        <f t="shared" si="65"/>
        <v>3.0533148760159889E-2</v>
      </c>
      <c r="G1028">
        <f t="shared" si="66"/>
        <v>1.4965896606445312</v>
      </c>
      <c r="H1028">
        <f t="shared" si="67"/>
        <v>1.9300003051757741</v>
      </c>
    </row>
    <row r="1029" spans="1:8" x14ac:dyDescent="0.2">
      <c r="A1029" t="s">
        <v>4</v>
      </c>
      <c r="B1029" s="2">
        <v>46058</v>
      </c>
      <c r="C1029">
        <v>50.436969757080078</v>
      </c>
      <c r="D1029">
        <f>_xlfn.XLOOKUP(B1029, Oil_Price!A:A, Oil_Price!B:B, "")</f>
        <v>63.290000915527337</v>
      </c>
      <c r="E1029">
        <f t="shared" si="64"/>
        <v>-1.4244960080710878E-2</v>
      </c>
      <c r="F1029">
        <f t="shared" si="65"/>
        <v>-2.8400345278711943E-2</v>
      </c>
      <c r="G1029">
        <f t="shared" si="66"/>
        <v>-0.72885513305664062</v>
      </c>
      <c r="H1029">
        <f t="shared" si="67"/>
        <v>-1.8499984741211009</v>
      </c>
    </row>
    <row r="1030" spans="1:8" x14ac:dyDescent="0.2">
      <c r="A1030" t="s">
        <v>4</v>
      </c>
      <c r="B1030" s="2">
        <v>46059</v>
      </c>
      <c r="C1030">
        <v>51.894687652587891</v>
      </c>
      <c r="D1030">
        <f>_xlfn.XLOOKUP(B1030, Oil_Price!A:A, Oil_Price!B:B, "")</f>
        <v>63.549999237060547</v>
      </c>
      <c r="E1030">
        <f t="shared" si="64"/>
        <v>2.8901773887857047E-2</v>
      </c>
      <c r="F1030">
        <f t="shared" si="65"/>
        <v>4.1080473656530348E-3</v>
      </c>
      <c r="G1030">
        <f t="shared" si="66"/>
        <v>1.4577178955078125</v>
      </c>
      <c r="H1030">
        <f t="shared" si="67"/>
        <v>0.25999832153321023</v>
      </c>
    </row>
    <row r="1031" spans="1:8" x14ac:dyDescent="0.2">
      <c r="A1031" t="s">
        <v>4</v>
      </c>
      <c r="B1031" s="2">
        <v>46062</v>
      </c>
      <c r="C1031">
        <v>51.622577667236328</v>
      </c>
      <c r="D1031">
        <f>_xlfn.XLOOKUP(B1031, Oil_Price!A:A, Oil_Price!B:B, "")</f>
        <v>64.360000610351562</v>
      </c>
      <c r="E1031">
        <f t="shared" si="64"/>
        <v>-5.243503673694294E-3</v>
      </c>
      <c r="F1031">
        <f t="shared" si="65"/>
        <v>1.2745891156811311E-2</v>
      </c>
      <c r="G1031">
        <f t="shared" si="66"/>
        <v>-0.2721099853515625</v>
      </c>
      <c r="H1031">
        <f t="shared" si="67"/>
        <v>0.81000137329101562</v>
      </c>
    </row>
    <row r="1032" spans="1:8" x14ac:dyDescent="0.2">
      <c r="A1032" t="s">
        <v>4</v>
      </c>
      <c r="B1032" s="2">
        <v>46063</v>
      </c>
      <c r="C1032">
        <v>51.535110473632812</v>
      </c>
      <c r="D1032">
        <f>_xlfn.XLOOKUP(B1032, Oil_Price!A:A, Oil_Price!B:B, "")</f>
        <v>63.959999084472663</v>
      </c>
      <c r="E1032">
        <f t="shared" si="64"/>
        <v>-1.6943592814627902E-3</v>
      </c>
      <c r="F1032">
        <f t="shared" si="65"/>
        <v>-6.2150640473201541E-3</v>
      </c>
      <c r="G1032">
        <f t="shared" si="66"/>
        <v>-8.7467193603515625E-2</v>
      </c>
      <c r="H1032">
        <f t="shared" si="67"/>
        <v>-0.40000152587889914</v>
      </c>
    </row>
    <row r="1033" spans="1:8" x14ac:dyDescent="0.2">
      <c r="A1033" t="s">
        <v>4</v>
      </c>
      <c r="B1033" s="2">
        <v>46064</v>
      </c>
      <c r="C1033">
        <v>53.614784240722663</v>
      </c>
      <c r="D1033">
        <f>_xlfn.XLOOKUP(B1033, Oil_Price!A:A, Oil_Price!B:B, "")</f>
        <v>64.629997253417969</v>
      </c>
      <c r="E1033">
        <f t="shared" si="64"/>
        <v>4.0354502939387034E-2</v>
      </c>
      <c r="F1033">
        <f t="shared" si="65"/>
        <v>1.0475268582484367E-2</v>
      </c>
      <c r="G1033">
        <f t="shared" si="66"/>
        <v>2.0796737670898509</v>
      </c>
      <c r="H1033">
        <f t="shared" si="67"/>
        <v>0.66999816894530539</v>
      </c>
    </row>
    <row r="1034" spans="1:8" x14ac:dyDescent="0.2">
      <c r="A1034" t="s">
        <v>4</v>
      </c>
      <c r="B1034" s="2">
        <v>46065</v>
      </c>
      <c r="C1034">
        <v>52.895645141601562</v>
      </c>
      <c r="D1034">
        <f>_xlfn.XLOOKUP(B1034, Oil_Price!A:A, Oil_Price!B:B, "")</f>
        <v>62.840000152587891</v>
      </c>
      <c r="E1034">
        <f t="shared" si="64"/>
        <v>-1.3413074570854744E-2</v>
      </c>
      <c r="F1034">
        <f t="shared" si="65"/>
        <v>-2.7696072673674976E-2</v>
      </c>
      <c r="G1034">
        <f t="shared" si="66"/>
        <v>-0.71913909912110086</v>
      </c>
      <c r="H1034">
        <f t="shared" si="67"/>
        <v>-1.7899971008300781</v>
      </c>
    </row>
    <row r="1035" spans="1:8" x14ac:dyDescent="0.2">
      <c r="A1035" t="s">
        <v>4</v>
      </c>
      <c r="B1035" s="2">
        <v>46066</v>
      </c>
      <c r="C1035">
        <v>53.828582763671882</v>
      </c>
      <c r="D1035">
        <f>_xlfn.XLOOKUP(B1035, Oil_Price!A:A, Oil_Price!B:B, "")</f>
        <v>62.889999389648438</v>
      </c>
      <c r="E1035">
        <f t="shared" si="64"/>
        <v>1.7637323820757778E-2</v>
      </c>
      <c r="F1035">
        <f t="shared" si="65"/>
        <v>7.9565940386917388E-4</v>
      </c>
      <c r="G1035">
        <f t="shared" si="66"/>
        <v>0.93293762207031961</v>
      </c>
      <c r="H1035">
        <f t="shared" si="67"/>
        <v>4.9999237060546875E-2</v>
      </c>
    </row>
    <row r="1036" spans="1:8" x14ac:dyDescent="0.2">
      <c r="A1036" t="s">
        <v>4</v>
      </c>
      <c r="B1036" s="2">
        <v>46070</v>
      </c>
      <c r="C1036">
        <v>53.818866729736328</v>
      </c>
      <c r="D1036">
        <f>_xlfn.XLOOKUP(B1036, Oil_Price!A:A, Oil_Price!B:B, "")</f>
        <v>62.330001831054688</v>
      </c>
      <c r="E1036">
        <f t="shared" si="64"/>
        <v>-1.8049953085726026E-4</v>
      </c>
      <c r="F1036">
        <f t="shared" si="65"/>
        <v>-8.9043975835357454E-3</v>
      </c>
      <c r="G1036">
        <f t="shared" si="66"/>
        <v>-9.7160339355539804E-3</v>
      </c>
      <c r="H1036">
        <f t="shared" si="67"/>
        <v>-0.55999755859375</v>
      </c>
    </row>
    <row r="1037" spans="1:8" x14ac:dyDescent="0.2">
      <c r="A1037" t="s">
        <v>4</v>
      </c>
      <c r="B1037" s="2">
        <v>46071</v>
      </c>
      <c r="C1037">
        <v>55.480663299560547</v>
      </c>
      <c r="D1037">
        <f>_xlfn.XLOOKUP(B1037, Oil_Price!A:A, Oil_Price!B:B, "")</f>
        <v>65.19000244140625</v>
      </c>
      <c r="E1037">
        <f t="shared" si="64"/>
        <v>3.0877583843771886E-2</v>
      </c>
      <c r="F1037">
        <f t="shared" si="65"/>
        <v>4.5884815118465531E-2</v>
      </c>
      <c r="G1037">
        <f t="shared" si="66"/>
        <v>1.6617965698242188</v>
      </c>
      <c r="H1037">
        <f t="shared" si="67"/>
        <v>2.8600006103515625</v>
      </c>
    </row>
    <row r="1038" spans="1:8" x14ac:dyDescent="0.2">
      <c r="A1038" t="s">
        <v>4</v>
      </c>
      <c r="B1038" s="2">
        <v>46072</v>
      </c>
      <c r="C1038">
        <v>56.588523864746087</v>
      </c>
      <c r="D1038">
        <f>_xlfn.XLOOKUP(B1038, Oil_Price!A:A, Oil_Price!B:B, "")</f>
        <v>66.430000305175781</v>
      </c>
      <c r="E1038">
        <f t="shared" si="64"/>
        <v>1.9968408798643814E-2</v>
      </c>
      <c r="F1038">
        <f t="shared" si="65"/>
        <v>1.9021288807038472E-2</v>
      </c>
      <c r="G1038">
        <f t="shared" si="66"/>
        <v>1.1078605651855398</v>
      </c>
      <c r="H1038">
        <f t="shared" si="67"/>
        <v>1.2399978637695312</v>
      </c>
    </row>
    <row r="1039" spans="1:8" x14ac:dyDescent="0.2">
      <c r="A1039" t="s">
        <v>4</v>
      </c>
      <c r="B1039" s="2">
        <v>46073</v>
      </c>
      <c r="C1039">
        <v>56.365009307861328</v>
      </c>
      <c r="D1039">
        <f>_xlfn.XLOOKUP(B1039, Oil_Price!A:A, Oil_Price!B:B, "")</f>
        <v>66.389999389648438</v>
      </c>
      <c r="E1039">
        <f t="shared" si="64"/>
        <v>-3.9498212997919387E-3</v>
      </c>
      <c r="F1039">
        <f t="shared" si="65"/>
        <v>-6.0215136750838081E-4</v>
      </c>
      <c r="G1039">
        <f t="shared" si="66"/>
        <v>-0.22351455688475852</v>
      </c>
      <c r="H1039">
        <f t="shared" si="67"/>
        <v>-4.000091552734375E-2</v>
      </c>
    </row>
    <row r="1040" spans="1:8" x14ac:dyDescent="0.2">
      <c r="A1040" t="s">
        <v>4</v>
      </c>
      <c r="B1040" s="2">
        <v>46076</v>
      </c>
      <c r="C1040">
        <v>56.384445190429688</v>
      </c>
      <c r="D1040">
        <f>_xlfn.XLOOKUP(B1040, Oil_Price!A:A, Oil_Price!B:B, "")</f>
        <v>66.30999755859375</v>
      </c>
      <c r="E1040">
        <f t="shared" si="64"/>
        <v>3.4482177519393431E-4</v>
      </c>
      <c r="F1040">
        <f t="shared" si="65"/>
        <v>-1.2050283444822779E-3</v>
      </c>
      <c r="G1040">
        <f t="shared" si="66"/>
        <v>1.9435882568359375E-2</v>
      </c>
      <c r="H1040">
        <f t="shared" si="67"/>
        <v>-8.00018310546875E-2</v>
      </c>
    </row>
    <row r="1041" spans="1:8" x14ac:dyDescent="0.2">
      <c r="A1041" t="s">
        <v>4</v>
      </c>
      <c r="B1041" s="2">
        <v>46077</v>
      </c>
      <c r="C1041">
        <v>56.705142974853523</v>
      </c>
      <c r="D1041">
        <f>_xlfn.XLOOKUP(B1041, Oil_Price!A:A, Oil_Price!B:B, "")</f>
        <v>65.629997253417969</v>
      </c>
      <c r="E1041">
        <f t="shared" si="64"/>
        <v>5.687699565735344E-3</v>
      </c>
      <c r="F1041">
        <f t="shared" si="65"/>
        <v>-1.025486849965437E-2</v>
      </c>
      <c r="G1041">
        <f t="shared" si="66"/>
        <v>0.32069778442383523</v>
      </c>
      <c r="H1041">
        <f t="shared" si="67"/>
        <v>-0.68000030517578125</v>
      </c>
    </row>
    <row r="1042" spans="1:8" x14ac:dyDescent="0.2">
      <c r="A1042" t="s">
        <v>4</v>
      </c>
      <c r="B1042" s="2">
        <v>46078</v>
      </c>
      <c r="C1042">
        <v>56.588523864746087</v>
      </c>
      <c r="D1042">
        <f>_xlfn.XLOOKUP(B1042, Oil_Price!A:A, Oil_Price!B:B, "")</f>
        <v>65.419998168945312</v>
      </c>
      <c r="E1042">
        <f t="shared" si="64"/>
        <v>-2.0565878858492962E-3</v>
      </c>
      <c r="F1042">
        <f t="shared" si="65"/>
        <v>-3.1997423931283135E-3</v>
      </c>
      <c r="G1042">
        <f t="shared" si="66"/>
        <v>-0.11661911010743609</v>
      </c>
      <c r="H1042">
        <f t="shared" si="67"/>
        <v>-0.20999908447265625</v>
      </c>
    </row>
    <row r="1043" spans="1:8" x14ac:dyDescent="0.2">
      <c r="A1043" t="s">
        <v>4</v>
      </c>
      <c r="B1043" s="2">
        <v>46079</v>
      </c>
      <c r="C1043">
        <v>57.288230895996087</v>
      </c>
      <c r="D1043">
        <f>_xlfn.XLOOKUP(B1043, Oil_Price!A:A, Oil_Price!B:B, "")</f>
        <v>65.209999084472656</v>
      </c>
      <c r="E1043">
        <f t="shared" si="64"/>
        <v>1.2364822113444602E-2</v>
      </c>
      <c r="F1043">
        <f t="shared" si="65"/>
        <v>-3.2100136097579749E-3</v>
      </c>
      <c r="G1043">
        <f t="shared" si="66"/>
        <v>0.69970703125</v>
      </c>
      <c r="H1043">
        <f t="shared" si="67"/>
        <v>-0.20999908447265625</v>
      </c>
    </row>
    <row r="1044" spans="1:8" x14ac:dyDescent="0.2">
      <c r="A1044" t="s">
        <v>4</v>
      </c>
      <c r="B1044" s="2">
        <v>46080</v>
      </c>
      <c r="C1044">
        <v>57.987934112548828</v>
      </c>
      <c r="D1044">
        <f>_xlfn.XLOOKUP(B1044, Oil_Price!A:A, Oil_Price!B:B, "")</f>
        <v>67.019996643066406</v>
      </c>
      <c r="E1044">
        <f t="shared" si="64"/>
        <v>1.2213734053387293E-2</v>
      </c>
      <c r="F1044">
        <f t="shared" si="65"/>
        <v>2.7756442018180214E-2</v>
      </c>
      <c r="G1044">
        <f t="shared" si="66"/>
        <v>0.69970321655274148</v>
      </c>
      <c r="H1044">
        <f t="shared" si="67"/>
        <v>1.80999755859375</v>
      </c>
    </row>
    <row r="1045" spans="1:8" x14ac:dyDescent="0.2">
      <c r="A1045" t="s">
        <v>4</v>
      </c>
      <c r="B1045" s="2">
        <v>46083</v>
      </c>
      <c r="C1045">
        <v>58.872283935546882</v>
      </c>
      <c r="D1045">
        <f>_xlfn.XLOOKUP(B1045, Oil_Price!A:A, Oil_Price!B:B, "")</f>
        <v>71.230003356933594</v>
      </c>
      <c r="E1045">
        <f t="shared" si="64"/>
        <v>1.5250583358972898E-2</v>
      </c>
      <c r="F1045">
        <f t="shared" si="65"/>
        <v>6.2817172854972625E-2</v>
      </c>
      <c r="G1045">
        <f t="shared" si="66"/>
        <v>0.88434982299805398</v>
      </c>
      <c r="H1045">
        <f t="shared" si="67"/>
        <v>4.2100067138671875</v>
      </c>
    </row>
    <row r="1046" spans="1:8" x14ac:dyDescent="0.2">
      <c r="A1046" t="s">
        <v>4</v>
      </c>
      <c r="B1046" s="2">
        <v>46084</v>
      </c>
      <c r="C1046">
        <v>58.658481597900391</v>
      </c>
      <c r="D1046">
        <f>_xlfn.XLOOKUP(B1046, Oil_Price!A:A, Oil_Price!B:B, "")</f>
        <v>74.55999755859375</v>
      </c>
      <c r="E1046">
        <f t="shared" si="64"/>
        <v>-3.631629747549141E-3</v>
      </c>
      <c r="F1046">
        <f t="shared" si="65"/>
        <v>4.6749881296137996E-2</v>
      </c>
      <c r="G1046">
        <f t="shared" si="66"/>
        <v>-0.21380233764649148</v>
      </c>
      <c r="H1046">
        <f t="shared" si="67"/>
        <v>3.3299942016601562</v>
      </c>
    </row>
    <row r="1047" spans="1:8" x14ac:dyDescent="0.2">
      <c r="A1047" t="s">
        <v>4</v>
      </c>
      <c r="B1047" s="2">
        <v>46085</v>
      </c>
      <c r="C1047">
        <v>58.5418701171875</v>
      </c>
      <c r="D1047">
        <f>_xlfn.XLOOKUP(B1047, Oil_Price!A:A, Oil_Price!B:B, "")</f>
        <v>74.660003662109375</v>
      </c>
      <c r="E1047">
        <f t="shared" si="64"/>
        <v>-1.9879730524266516E-3</v>
      </c>
      <c r="F1047">
        <f t="shared" si="65"/>
        <v>1.3412836211137771E-3</v>
      </c>
      <c r="G1047">
        <f t="shared" si="66"/>
        <v>-0.11661148071289062</v>
      </c>
      <c r="H1047">
        <f t="shared" si="67"/>
        <v>0.100006103515625</v>
      </c>
    </row>
    <row r="1048" spans="1:8" x14ac:dyDescent="0.2">
      <c r="A1048" t="s">
        <v>4</v>
      </c>
      <c r="B1048" s="2">
        <v>46086</v>
      </c>
      <c r="C1048">
        <v>60.21337890625</v>
      </c>
      <c r="D1048">
        <f>_xlfn.XLOOKUP(B1048, Oil_Price!A:A, Oil_Price!B:B, "")</f>
        <v>81.010002136230469</v>
      </c>
      <c r="E1048">
        <f t="shared" si="64"/>
        <v>2.8552364072355733E-2</v>
      </c>
      <c r="F1048">
        <f t="shared" si="65"/>
        <v>8.5052212197302302E-2</v>
      </c>
      <c r="G1048">
        <f t="shared" si="66"/>
        <v>1.6715087890625</v>
      </c>
      <c r="H1048">
        <f t="shared" si="67"/>
        <v>6.3499984741210938</v>
      </c>
    </row>
    <row r="1049" spans="1:8" x14ac:dyDescent="0.2">
      <c r="A1049" t="s">
        <v>4</v>
      </c>
      <c r="B1049" s="2">
        <v>46087</v>
      </c>
      <c r="C1049">
        <v>61.185192108154297</v>
      </c>
      <c r="D1049">
        <f>_xlfn.XLOOKUP(B1049, Oil_Price!A:A, Oil_Price!B:B, "")</f>
        <v>90.900001525878906</v>
      </c>
      <c r="E1049">
        <f t="shared" si="64"/>
        <v>1.6139489587810276E-2</v>
      </c>
      <c r="F1049">
        <f t="shared" si="65"/>
        <v>0.12208368261757259</v>
      </c>
      <c r="G1049">
        <f t="shared" si="66"/>
        <v>0.97181320190429688</v>
      </c>
      <c r="H1049">
        <f t="shared" si="67"/>
        <v>9.8899993896484375</v>
      </c>
    </row>
    <row r="1050" spans="1:8" x14ac:dyDescent="0.2">
      <c r="A1050" t="s">
        <v>4</v>
      </c>
      <c r="B1050" s="2">
        <v>46090</v>
      </c>
      <c r="C1050">
        <v>61.00054931640625</v>
      </c>
      <c r="D1050">
        <f>_xlfn.XLOOKUP(B1050, Oil_Price!A:A, Oil_Price!B:B, "")</f>
        <v>94.769996643066406</v>
      </c>
      <c r="E1050">
        <f t="shared" si="64"/>
        <v>-3.0177692573337381E-3</v>
      </c>
      <c r="F1050">
        <f t="shared" si="65"/>
        <v>4.2574202994768114E-2</v>
      </c>
      <c r="G1050">
        <f t="shared" si="66"/>
        <v>-0.18464279174804688</v>
      </c>
      <c r="H1050">
        <f t="shared" si="67"/>
        <v>3.8699951171875</v>
      </c>
    </row>
    <row r="1051" spans="1:8" x14ac:dyDescent="0.2">
      <c r="A1051" t="s">
        <v>4</v>
      </c>
      <c r="B1051" s="2">
        <v>46091</v>
      </c>
      <c r="C1051">
        <v>60.359149932861328</v>
      </c>
      <c r="D1051">
        <f>_xlfn.XLOOKUP(B1051, Oil_Price!A:A, Oil_Price!B:B, "")</f>
        <v>83.449996948242188</v>
      </c>
      <c r="E1051">
        <f t="shared" si="64"/>
        <v>-1.0514649306156591E-2</v>
      </c>
      <c r="F1051">
        <f t="shared" si="65"/>
        <v>-0.11944708342091533</v>
      </c>
      <c r="G1051">
        <f t="shared" si="66"/>
        <v>-0.64139938354492188</v>
      </c>
      <c r="H1051">
        <f t="shared" si="67"/>
        <v>-11.319999694824219</v>
      </c>
    </row>
    <row r="1052" spans="1:8" x14ac:dyDescent="0.2">
      <c r="A1052" t="s">
        <v>4</v>
      </c>
      <c r="B1052" s="2">
        <v>46092</v>
      </c>
      <c r="C1052">
        <v>62.370800018310547</v>
      </c>
      <c r="D1052">
        <f>_xlfn.XLOOKUP(B1052, Oil_Price!A:A, Oil_Price!B:B, "")</f>
        <v>87.25</v>
      </c>
      <c r="E1052">
        <f t="shared" si="64"/>
        <v>3.3328005574744121E-2</v>
      </c>
      <c r="F1052">
        <f t="shared" si="65"/>
        <v>4.5536287486201719E-2</v>
      </c>
      <c r="G1052">
        <f t="shared" si="66"/>
        <v>2.0116500854492188</v>
      </c>
      <c r="H1052">
        <f t="shared" si="67"/>
        <v>3.8000030517578125</v>
      </c>
    </row>
    <row r="1053" spans="1:8" x14ac:dyDescent="0.2">
      <c r="A1053" t="s">
        <v>4</v>
      </c>
      <c r="B1053" s="2">
        <v>46093</v>
      </c>
      <c r="C1053">
        <v>64.304702758789062</v>
      </c>
      <c r="D1053">
        <f>_xlfn.XLOOKUP(B1053, Oil_Price!A:A, Oil_Price!B:B, "")</f>
        <v>95.730003356933594</v>
      </c>
      <c r="E1053">
        <f t="shared" si="64"/>
        <v>3.1006540559216315E-2</v>
      </c>
      <c r="F1053">
        <f t="shared" si="65"/>
        <v>9.719201555224749E-2</v>
      </c>
      <c r="G1053">
        <f t="shared" si="66"/>
        <v>1.9339027404785156</v>
      </c>
      <c r="H1053">
        <f t="shared" si="67"/>
        <v>8.4800033569335938</v>
      </c>
    </row>
    <row r="1054" spans="1:8" x14ac:dyDescent="0.2">
      <c r="A1054" t="s">
        <v>4</v>
      </c>
      <c r="B1054" s="2">
        <v>46094</v>
      </c>
      <c r="C1054">
        <v>64.635116577148438</v>
      </c>
      <c r="D1054">
        <f>_xlfn.XLOOKUP(B1054, Oil_Price!A:A, Oil_Price!B:B, "")</f>
        <v>98.709999084472656</v>
      </c>
      <c r="E1054">
        <f t="shared" si="64"/>
        <v>5.1382527899829934E-3</v>
      </c>
      <c r="F1054">
        <f t="shared" si="65"/>
        <v>3.112917186922072E-2</v>
      </c>
      <c r="G1054">
        <f t="shared" si="66"/>
        <v>0.330413818359375</v>
      </c>
      <c r="H1054">
        <f t="shared" si="67"/>
        <v>2.9799957275390625</v>
      </c>
    </row>
    <row r="1055" spans="1:8" x14ac:dyDescent="0.2">
      <c r="A1055" t="s">
        <v>4</v>
      </c>
      <c r="B1055" s="2">
        <v>46097</v>
      </c>
      <c r="C1055">
        <v>64.858627319335938</v>
      </c>
      <c r="D1055">
        <f>_xlfn.XLOOKUP(B1055, Oil_Price!A:A, Oil_Price!B:B, "")</f>
        <v>93.5</v>
      </c>
      <c r="E1055">
        <f t="shared" si="64"/>
        <v>3.4580388188937155E-3</v>
      </c>
      <c r="F1055">
        <f t="shared" si="65"/>
        <v>-5.2780864479738433E-2</v>
      </c>
      <c r="G1055">
        <f t="shared" si="66"/>
        <v>0.2235107421875</v>
      </c>
      <c r="H1055">
        <f t="shared" si="67"/>
        <v>-5.2099990844726562</v>
      </c>
    </row>
    <row r="1056" spans="1:8" x14ac:dyDescent="0.2">
      <c r="A1056" t="s">
        <v>4</v>
      </c>
      <c r="B1056" s="2">
        <v>46098</v>
      </c>
      <c r="C1056">
        <v>65.257072448730469</v>
      </c>
      <c r="D1056">
        <f>_xlfn.XLOOKUP(B1056, Oil_Price!A:A, Oil_Price!B:B, "")</f>
        <v>96.209999084472656</v>
      </c>
      <c r="E1056">
        <f t="shared" si="64"/>
        <v>6.1432864965328222E-3</v>
      </c>
      <c r="F1056">
        <f t="shared" si="65"/>
        <v>2.898394742751504E-2</v>
      </c>
      <c r="G1056">
        <f t="shared" si="66"/>
        <v>0.39844512939453125</v>
      </c>
      <c r="H1056">
        <f t="shared" si="67"/>
        <v>2.7099990844726562</v>
      </c>
    </row>
    <row r="1057" spans="1:8" x14ac:dyDescent="0.2">
      <c r="A1057" t="s">
        <v>4</v>
      </c>
      <c r="B1057" s="2">
        <v>46099</v>
      </c>
      <c r="C1057">
        <v>65.587493896484375</v>
      </c>
      <c r="D1057">
        <f>_xlfn.XLOOKUP(B1057, Oil_Price!A:A, Oil_Price!B:B, "")</f>
        <v>96.319999694824219</v>
      </c>
      <c r="E1057">
        <f t="shared" si="64"/>
        <v>5.0633814137694185E-3</v>
      </c>
      <c r="F1057">
        <f t="shared" si="65"/>
        <v>1.1433386487716484E-3</v>
      </c>
      <c r="G1057">
        <f t="shared" si="66"/>
        <v>0.33042144775390625</v>
      </c>
      <c r="H1057">
        <f t="shared" si="67"/>
        <v>0.1100006103515625</v>
      </c>
    </row>
    <row r="1058" spans="1:8" x14ac:dyDescent="0.2">
      <c r="A1058" t="s">
        <v>4</v>
      </c>
      <c r="B1058" s="2">
        <v>46100</v>
      </c>
      <c r="C1058">
        <v>67.54083251953125</v>
      </c>
      <c r="D1058">
        <f>_xlfn.XLOOKUP(B1058, Oil_Price!A:A, Oil_Price!B:B, "")</f>
        <v>96.139999389648438</v>
      </c>
      <c r="E1058">
        <f t="shared" si="64"/>
        <v>2.9782181129375002E-2</v>
      </c>
      <c r="F1058">
        <f t="shared" si="65"/>
        <v>-1.8687739383937479E-3</v>
      </c>
      <c r="G1058">
        <f t="shared" si="66"/>
        <v>1.953338623046875</v>
      </c>
      <c r="H1058">
        <f t="shared" si="67"/>
        <v>-0.18000030517578125</v>
      </c>
    </row>
    <row r="1059" spans="1:8" x14ac:dyDescent="0.2">
      <c r="A1059" t="s">
        <v>4</v>
      </c>
      <c r="B1059" s="2">
        <v>46101</v>
      </c>
      <c r="C1059">
        <v>66.0845947265625</v>
      </c>
      <c r="D1059">
        <f>_xlfn.XLOOKUP(B1059, Oil_Price!A:A, Oil_Price!B:B, "")</f>
        <v>98.319999694824219</v>
      </c>
      <c r="E1059">
        <f t="shared" si="64"/>
        <v>-2.1560850505472223E-2</v>
      </c>
      <c r="F1059">
        <f t="shared" si="65"/>
        <v>2.2675268556435063E-2</v>
      </c>
      <c r="G1059">
        <f t="shared" si="66"/>
        <v>-1.45623779296875</v>
      </c>
      <c r="H1059">
        <f t="shared" si="67"/>
        <v>2.1800003051757812</v>
      </c>
    </row>
    <row r="1060" spans="1:8" x14ac:dyDescent="0.2">
      <c r="A1060" t="s">
        <v>4</v>
      </c>
      <c r="B1060" s="2">
        <v>46104</v>
      </c>
      <c r="C1060">
        <v>65.2020263671875</v>
      </c>
      <c r="D1060">
        <f>_xlfn.XLOOKUP(B1060, Oil_Price!A:A, Oil_Price!B:B, "")</f>
        <v>88.129997253417969</v>
      </c>
      <c r="E1060">
        <f t="shared" si="64"/>
        <v>-1.3355130087833532E-2</v>
      </c>
      <c r="F1060">
        <f t="shared" si="65"/>
        <v>-0.10364119683721555</v>
      </c>
      <c r="G1060">
        <f t="shared" si="66"/>
        <v>-0.882568359375</v>
      </c>
      <c r="H1060">
        <f t="shared" si="67"/>
        <v>-10.19000244140625</v>
      </c>
    </row>
    <row r="1061" spans="1:8" x14ac:dyDescent="0.2">
      <c r="A1061" t="s">
        <v>4</v>
      </c>
      <c r="B1061" s="2">
        <v>46105</v>
      </c>
      <c r="C1061">
        <v>66.1728515625</v>
      </c>
      <c r="D1061">
        <f>_xlfn.XLOOKUP(B1061, Oil_Price!A:A, Oil_Price!B:B, "")</f>
        <v>92.349998474121094</v>
      </c>
      <c r="E1061">
        <f t="shared" si="64"/>
        <v>1.4889494228987055E-2</v>
      </c>
      <c r="F1061">
        <f t="shared" si="65"/>
        <v>4.7883823354362573E-2</v>
      </c>
      <c r="G1061">
        <f t="shared" si="66"/>
        <v>0.9708251953125</v>
      </c>
      <c r="H1061">
        <f t="shared" si="67"/>
        <v>4.220001220703125</v>
      </c>
    </row>
    <row r="1062" spans="1:8" x14ac:dyDescent="0.2">
      <c r="A1062" t="s">
        <v>4</v>
      </c>
      <c r="B1062" s="2">
        <v>46106</v>
      </c>
      <c r="C1062">
        <v>66.682777404785156</v>
      </c>
      <c r="D1062">
        <f>_xlfn.XLOOKUP(B1062, Oil_Price!A:A, Oil_Price!B:B, "")</f>
        <v>90.319999694824219</v>
      </c>
      <c r="E1062">
        <f t="shared" si="64"/>
        <v>7.7059674812945496E-3</v>
      </c>
      <c r="F1062">
        <f t="shared" si="65"/>
        <v>-2.1981578915409881E-2</v>
      </c>
      <c r="G1062">
        <f t="shared" si="66"/>
        <v>0.50992584228515625</v>
      </c>
      <c r="H1062">
        <f t="shared" si="67"/>
        <v>-2.029998779296875</v>
      </c>
    </row>
    <row r="1063" spans="1:8" x14ac:dyDescent="0.2">
      <c r="A1063" t="s">
        <v>4</v>
      </c>
      <c r="B1063" s="2">
        <v>46107</v>
      </c>
      <c r="C1063">
        <v>66.212074279785156</v>
      </c>
      <c r="D1063">
        <f>_xlfn.XLOOKUP(B1063, Oil_Price!A:A, Oil_Price!B:B, "")</f>
        <v>94.480003356933594</v>
      </c>
      <c r="E1063">
        <f t="shared" si="64"/>
        <v>-7.0588410279116892E-3</v>
      </c>
      <c r="F1063">
        <f t="shared" si="65"/>
        <v>4.6058499514673536E-2</v>
      </c>
      <c r="G1063">
        <f t="shared" si="66"/>
        <v>-0.470703125</v>
      </c>
      <c r="H1063">
        <f t="shared" si="67"/>
        <v>4.160003662109375</v>
      </c>
    </row>
    <row r="1064" spans="1:8" x14ac:dyDescent="0.2">
      <c r="A1064" t="s">
        <v>4</v>
      </c>
      <c r="B1064" s="2">
        <v>46108</v>
      </c>
      <c r="C1064">
        <v>68.114501953125</v>
      </c>
      <c r="D1064">
        <f>_xlfn.XLOOKUP(B1064, Oil_Price!A:A, Oil_Price!B:B, "")</f>
        <v>99.639999389648438</v>
      </c>
      <c r="E1064">
        <f t="shared" si="64"/>
        <v>2.8732337629251158E-2</v>
      </c>
      <c r="F1064">
        <f t="shared" si="65"/>
        <v>5.4614689345649434E-2</v>
      </c>
      <c r="G1064">
        <f t="shared" si="66"/>
        <v>1.9024276733398438</v>
      </c>
      <c r="H1064">
        <f t="shared" si="67"/>
        <v>5.1599960327148438</v>
      </c>
    </row>
    <row r="1065" spans="1:8" x14ac:dyDescent="0.2">
      <c r="A1065" t="s">
        <v>4</v>
      </c>
      <c r="B1065" s="2">
        <v>46111</v>
      </c>
      <c r="C1065">
        <v>67.4967041015625</v>
      </c>
      <c r="D1065">
        <f>_xlfn.XLOOKUP(B1065, Oil_Price!A:A, Oil_Price!B:B, "")</f>
        <v>102.879997253418</v>
      </c>
      <c r="E1065">
        <f t="shared" si="64"/>
        <v>-9.0699899998924714E-3</v>
      </c>
      <c r="F1065">
        <f t="shared" si="65"/>
        <v>3.2517040180814791E-2</v>
      </c>
      <c r="G1065">
        <f t="shared" si="66"/>
        <v>-0.6177978515625</v>
      </c>
      <c r="H1065">
        <f t="shared" si="67"/>
        <v>3.2399978637695597</v>
      </c>
    </row>
    <row r="1066" spans="1:8" x14ac:dyDescent="0.2">
      <c r="A1066" t="s">
        <v>4</v>
      </c>
      <c r="B1066" s="2">
        <v>46112</v>
      </c>
      <c r="C1066">
        <v>66.545486450195312</v>
      </c>
      <c r="D1066">
        <f>_xlfn.XLOOKUP(B1066, Oil_Price!A:A, Oil_Price!B:B, "")</f>
        <v>101.379997253418</v>
      </c>
      <c r="E1066">
        <f t="shared" si="64"/>
        <v>-1.4092801478660164E-2</v>
      </c>
      <c r="F1066">
        <f t="shared" si="65"/>
        <v>-1.4580093701841204E-2</v>
      </c>
      <c r="G1066">
        <f t="shared" si="66"/>
        <v>-0.9512176513671875</v>
      </c>
      <c r="H1066">
        <f t="shared" si="67"/>
        <v>-1.5</v>
      </c>
    </row>
    <row r="1067" spans="1:8" x14ac:dyDescent="0.2">
      <c r="A1067" t="s">
        <v>4</v>
      </c>
      <c r="B1067" s="2">
        <v>46113</v>
      </c>
      <c r="C1067">
        <v>63.387863159179688</v>
      </c>
      <c r="D1067">
        <f>_xlfn.XLOOKUP(B1067, Oil_Price!A:A, Oil_Price!B:B, "")</f>
        <v>100.120002746582</v>
      </c>
      <c r="E1067">
        <f t="shared" si="64"/>
        <v>-4.7450600475794663E-2</v>
      </c>
      <c r="F1067">
        <f t="shared" si="65"/>
        <v>-1.242843303384992E-2</v>
      </c>
      <c r="G1067">
        <f t="shared" si="66"/>
        <v>-3.157623291015625</v>
      </c>
      <c r="H1067">
        <f t="shared" si="67"/>
        <v>-1.2599945068359943</v>
      </c>
    </row>
    <row r="1068" spans="1:8" x14ac:dyDescent="0.2">
      <c r="A1068" t="s">
        <v>4</v>
      </c>
      <c r="B1068" s="2">
        <v>46114</v>
      </c>
      <c r="C1068">
        <v>64.868614196777344</v>
      </c>
      <c r="D1068">
        <f>_xlfn.XLOOKUP(B1068, Oil_Price!A:A, Oil_Price!B:B, "")</f>
        <v>111.5400009155273</v>
      </c>
      <c r="E1068">
        <f t="shared" si="64"/>
        <v>2.336016650189315E-2</v>
      </c>
      <c r="F1068">
        <f t="shared" si="65"/>
        <v>0.11406310283321647</v>
      </c>
      <c r="G1068">
        <f t="shared" si="66"/>
        <v>1.4807510375976562</v>
      </c>
      <c r="H1068">
        <f t="shared" si="67"/>
        <v>11.419998168945298</v>
      </c>
    </row>
    <row r="1069" spans="1:8" x14ac:dyDescent="0.2">
      <c r="A1069" t="s">
        <v>4</v>
      </c>
      <c r="B1069" s="2">
        <v>46118</v>
      </c>
      <c r="C1069">
        <v>65.927696228027344</v>
      </c>
      <c r="D1069">
        <f>_xlfn.XLOOKUP(B1069, Oil_Price!A:A, Oil_Price!B:B, "")</f>
        <v>112.4100036621094</v>
      </c>
      <c r="E1069">
        <f t="shared" si="64"/>
        <v>1.6326570936713719E-2</v>
      </c>
      <c r="F1069">
        <f t="shared" si="65"/>
        <v>7.7999169754443733E-3</v>
      </c>
      <c r="G1069">
        <f t="shared" si="66"/>
        <v>1.05908203125</v>
      </c>
      <c r="H1069">
        <f t="shared" si="67"/>
        <v>0.8700027465821023</v>
      </c>
    </row>
    <row r="1070" spans="1:8" x14ac:dyDescent="0.2">
      <c r="A1070" t="s">
        <v>4</v>
      </c>
      <c r="B1070" s="2">
        <v>46119</v>
      </c>
      <c r="C1070">
        <v>66.9083251953125</v>
      </c>
      <c r="D1070">
        <f>_xlfn.XLOOKUP(B1070, Oil_Price!A:A, Oil_Price!B:B, "")</f>
        <v>112.9499969482422</v>
      </c>
      <c r="E1070">
        <f t="shared" si="64"/>
        <v>1.4874309636020147E-2</v>
      </c>
      <c r="F1070">
        <f t="shared" si="65"/>
        <v>4.8037831913603658E-3</v>
      </c>
      <c r="G1070">
        <f t="shared" si="66"/>
        <v>0.98062896728515625</v>
      </c>
      <c r="H1070">
        <f t="shared" si="67"/>
        <v>0.53999328613279829</v>
      </c>
    </row>
    <row r="1071" spans="1:8" x14ac:dyDescent="0.2">
      <c r="A1071" t="s">
        <v>4</v>
      </c>
      <c r="B1071" s="2">
        <v>46120</v>
      </c>
      <c r="C1071">
        <v>62.877941131591797</v>
      </c>
      <c r="D1071">
        <f>_xlfn.XLOOKUP(B1071, Oil_Price!A:A, Oil_Price!B:B, "")</f>
        <v>94.410003662109375</v>
      </c>
      <c r="E1071">
        <f t="shared" si="64"/>
        <v>-6.0237407706075205E-2</v>
      </c>
      <c r="F1071">
        <f t="shared" si="65"/>
        <v>-0.16414337128869977</v>
      </c>
      <c r="G1071">
        <f t="shared" si="66"/>
        <v>-4.0303840637207031</v>
      </c>
      <c r="H1071">
        <f t="shared" si="67"/>
        <v>-18.539993286132827</v>
      </c>
    </row>
    <row r="1072" spans="1:8" x14ac:dyDescent="0.2">
      <c r="A1072" t="s">
        <v>4</v>
      </c>
      <c r="B1072" s="2">
        <v>46121</v>
      </c>
      <c r="C1072">
        <v>61.916923522949219</v>
      </c>
      <c r="D1072">
        <f>_xlfn.XLOOKUP(B1072, Oil_Price!A:A, Oil_Price!B:B, "")</f>
        <v>97.870002746582031</v>
      </c>
      <c r="E1072">
        <f t="shared" si="64"/>
        <v>-1.5283859352699663E-2</v>
      </c>
      <c r="F1072">
        <f t="shared" si="65"/>
        <v>3.664864898063018E-2</v>
      </c>
      <c r="G1072">
        <f t="shared" si="66"/>
        <v>-0.96101760864257812</v>
      </c>
      <c r="H1072">
        <f t="shared" si="67"/>
        <v>3.4599990844726562</v>
      </c>
    </row>
    <row r="1073" spans="1:8" x14ac:dyDescent="0.2">
      <c r="A1073" t="s">
        <v>4</v>
      </c>
      <c r="B1073" s="2">
        <v>46122</v>
      </c>
      <c r="C1073">
        <v>62.917167663574219</v>
      </c>
      <c r="D1073">
        <f>_xlfn.XLOOKUP(B1073, Oil_Price!A:A, Oil_Price!B:B, "")</f>
        <v>96.569999694824219</v>
      </c>
      <c r="E1073">
        <f t="shared" si="64"/>
        <v>1.6154616277959357E-2</v>
      </c>
      <c r="F1073">
        <f t="shared" si="65"/>
        <v>-1.3282957139829172E-2</v>
      </c>
      <c r="G1073">
        <f t="shared" si="66"/>
        <v>1.000244140625</v>
      </c>
      <c r="H1073">
        <f t="shared" si="67"/>
        <v>-1.3000030517578125</v>
      </c>
    </row>
    <row r="1074" spans="1:8" x14ac:dyDescent="0.2">
      <c r="A1074" t="s">
        <v>4</v>
      </c>
      <c r="B1074" s="2">
        <v>46125</v>
      </c>
      <c r="C1074">
        <v>63.427093505859382</v>
      </c>
      <c r="D1074">
        <f>_xlfn.XLOOKUP(B1074, Oil_Price!A:A, Oil_Price!B:B, "")</f>
        <v>99.080001831054688</v>
      </c>
      <c r="E1074">
        <f t="shared" si="64"/>
        <v>8.1047170624685312E-3</v>
      </c>
      <c r="F1074">
        <f t="shared" si="65"/>
        <v>2.5991530953323544E-2</v>
      </c>
      <c r="G1074">
        <f t="shared" si="66"/>
        <v>0.50992584228516336</v>
      </c>
      <c r="H1074">
        <f t="shared" si="67"/>
        <v>2.5100021362304688</v>
      </c>
    </row>
    <row r="1075" spans="1:8" x14ac:dyDescent="0.2">
      <c r="A1075" t="s">
        <v>4</v>
      </c>
      <c r="B1075" s="2">
        <v>46126</v>
      </c>
      <c r="C1075">
        <v>61.583507537841797</v>
      </c>
      <c r="D1075">
        <f>_xlfn.XLOOKUP(B1075, Oil_Price!A:A, Oil_Price!B:B, "")</f>
        <v>91.279998779296875</v>
      </c>
      <c r="E1075">
        <f t="shared" si="64"/>
        <v>-2.9066221800740012E-2</v>
      </c>
      <c r="F1075">
        <f t="shared" si="65"/>
        <v>-7.8724292567716264E-2</v>
      </c>
      <c r="G1075">
        <f t="shared" si="66"/>
        <v>-1.8435859680175852</v>
      </c>
      <c r="H1075">
        <f t="shared" si="67"/>
        <v>-7.8000030517578125</v>
      </c>
    </row>
    <row r="1076" spans="1:8" x14ac:dyDescent="0.2">
      <c r="A1076" t="s">
        <v>4</v>
      </c>
      <c r="B1076" s="2">
        <v>46127</v>
      </c>
      <c r="C1076">
        <v>61.691375732421882</v>
      </c>
      <c r="D1076">
        <f>_xlfn.XLOOKUP(B1076, Oil_Price!A:A, Oil_Price!B:B, "")</f>
        <v>91.290000915527344</v>
      </c>
      <c r="E1076">
        <f t="shared" si="64"/>
        <v>1.7515760126816818E-3</v>
      </c>
      <c r="F1076">
        <f t="shared" si="65"/>
        <v>1.0957642817954687E-4</v>
      </c>
      <c r="G1076">
        <f t="shared" si="66"/>
        <v>0.10786819458008523</v>
      </c>
      <c r="H1076">
        <f t="shared" si="67"/>
        <v>1.000213623046875E-2</v>
      </c>
    </row>
    <row r="1077" spans="1:8" x14ac:dyDescent="0.2">
      <c r="A1077" t="s">
        <v>4</v>
      </c>
      <c r="B1077" s="2">
        <v>46128</v>
      </c>
      <c r="C1077">
        <v>62.240531921386719</v>
      </c>
      <c r="D1077">
        <f>_xlfn.XLOOKUP(B1077, Oil_Price!A:A, Oil_Price!B:B, "")</f>
        <v>94.69000244140625</v>
      </c>
      <c r="E1077">
        <f t="shared" si="64"/>
        <v>8.9016687088763983E-3</v>
      </c>
      <c r="F1077">
        <f t="shared" si="65"/>
        <v>3.7243964199595123E-2</v>
      </c>
      <c r="G1077">
        <f t="shared" si="66"/>
        <v>0.54915618896483664</v>
      </c>
      <c r="H1077">
        <f t="shared" si="67"/>
        <v>3.4000015258789062</v>
      </c>
    </row>
    <row r="1078" spans="1:8" x14ac:dyDescent="0.2">
      <c r="A1078" t="s">
        <v>4</v>
      </c>
      <c r="B1078" s="2">
        <v>46129</v>
      </c>
      <c r="C1078">
        <v>57.670799255371087</v>
      </c>
      <c r="D1078">
        <f>_xlfn.XLOOKUP(B1078, Oil_Price!A:A, Oil_Price!B:B, "")</f>
        <v>83.849998474121094</v>
      </c>
      <c r="E1078">
        <f t="shared" si="64"/>
        <v>-7.3420527186166415E-2</v>
      </c>
      <c r="F1078">
        <f t="shared" si="65"/>
        <v>-0.11447886458755667</v>
      </c>
      <c r="G1078">
        <f t="shared" si="66"/>
        <v>-4.5697326660156321</v>
      </c>
      <c r="H1078">
        <f t="shared" si="67"/>
        <v>-10.840003967285156</v>
      </c>
    </row>
    <row r="1079" spans="1:8" x14ac:dyDescent="0.2">
      <c r="A1079" t="s">
        <v>4</v>
      </c>
      <c r="B1079" s="2">
        <v>46132</v>
      </c>
      <c r="C1079">
        <v>57.88653564453125</v>
      </c>
      <c r="D1079">
        <f>_xlfn.XLOOKUP(B1079, Oil_Price!A:A, Oil_Price!B:B, "")</f>
        <v>89.610000610351562</v>
      </c>
      <c r="E1079">
        <f t="shared" si="64"/>
        <v>3.7408253734245076E-3</v>
      </c>
      <c r="F1079">
        <f t="shared" si="65"/>
        <v>6.8694123327959239E-2</v>
      </c>
      <c r="G1079">
        <f t="shared" si="66"/>
        <v>0.21573638916016336</v>
      </c>
      <c r="H1079">
        <f t="shared" si="67"/>
        <v>5.7600021362304688</v>
      </c>
    </row>
    <row r="1080" spans="1:8" x14ac:dyDescent="0.2">
      <c r="A1080" t="s">
        <v>4</v>
      </c>
      <c r="B1080" s="2">
        <v>46133</v>
      </c>
      <c r="C1080">
        <v>59.377090454101562</v>
      </c>
      <c r="D1080">
        <f>_xlfn.XLOOKUP(B1080, Oil_Price!A:A, Oil_Price!B:B, "")</f>
        <v>92.129997253417969</v>
      </c>
      <c r="E1080">
        <f t="shared" si="64"/>
        <v>2.5749594322304736E-2</v>
      </c>
      <c r="F1080">
        <f t="shared" si="65"/>
        <v>2.8121823746258309E-2</v>
      </c>
      <c r="G1080">
        <f t="shared" si="66"/>
        <v>1.4905548095703125</v>
      </c>
      <c r="H1080">
        <f t="shared" si="67"/>
        <v>2.5199966430664062</v>
      </c>
    </row>
    <row r="1081" spans="1:8" x14ac:dyDescent="0.2">
      <c r="A1081" t="s">
        <v>4</v>
      </c>
      <c r="B1081" s="2">
        <v>46134</v>
      </c>
      <c r="C1081">
        <v>59.926246643066413</v>
      </c>
      <c r="D1081">
        <f>_xlfn.XLOOKUP(B1081, Oil_Price!A:A, Oil_Price!B:B, "")</f>
        <v>92.959999084472656</v>
      </c>
      <c r="E1081">
        <f t="shared" si="64"/>
        <v>9.2486207182776673E-3</v>
      </c>
      <c r="F1081">
        <f t="shared" si="65"/>
        <v>9.0090291522709771E-3</v>
      </c>
      <c r="G1081">
        <f t="shared" si="66"/>
        <v>0.54915618896485086</v>
      </c>
      <c r="H1081">
        <f t="shared" si="67"/>
        <v>0.8300018310546875</v>
      </c>
    </row>
    <row r="1082" spans="1:8" x14ac:dyDescent="0.2">
      <c r="A1082" t="s">
        <v>4</v>
      </c>
      <c r="B1082" s="2">
        <v>46135</v>
      </c>
      <c r="C1082">
        <v>61.004936218261719</v>
      </c>
      <c r="D1082">
        <f>_xlfn.XLOOKUP(B1082, Oil_Price!A:A, Oil_Price!B:B, "")</f>
        <v>95.849998474121094</v>
      </c>
      <c r="E1082">
        <f t="shared" si="64"/>
        <v>1.8000285945158755E-2</v>
      </c>
      <c r="F1082">
        <f t="shared" si="65"/>
        <v>3.1088634015823281E-2</v>
      </c>
      <c r="G1082">
        <f t="shared" si="66"/>
        <v>1.0786895751953054</v>
      </c>
      <c r="H1082">
        <f t="shared" si="67"/>
        <v>2.8899993896484375</v>
      </c>
    </row>
    <row r="1083" spans="1:8" x14ac:dyDescent="0.2">
      <c r="A1083" t="s">
        <v>4</v>
      </c>
      <c r="B1083" s="2">
        <v>46136</v>
      </c>
      <c r="C1083">
        <v>59.514381408691413</v>
      </c>
      <c r="D1083">
        <f>_xlfn.XLOOKUP(B1083, Oil_Price!A:A, Oil_Price!B:B, "")</f>
        <v>94.400001525878906</v>
      </c>
      <c r="E1083">
        <f t="shared" si="64"/>
        <v>-2.4433347561211127E-2</v>
      </c>
      <c r="F1083">
        <f t="shared" si="65"/>
        <v>-1.5127772262131831E-2</v>
      </c>
      <c r="G1083">
        <f t="shared" si="66"/>
        <v>-1.4905548095703054</v>
      </c>
      <c r="H1083">
        <f t="shared" si="67"/>
        <v>-1.4499969482421875</v>
      </c>
    </row>
    <row r="1084" spans="1:8" x14ac:dyDescent="0.2">
      <c r="A1084" t="s">
        <v>4</v>
      </c>
      <c r="B1084" s="2">
        <v>46139</v>
      </c>
      <c r="C1084">
        <v>60.240047454833977</v>
      </c>
      <c r="D1084">
        <f>_xlfn.XLOOKUP(B1084, Oil_Price!A:A, Oil_Price!B:B, "")</f>
        <v>96.370002746582031</v>
      </c>
      <c r="E1084">
        <f t="shared" si="64"/>
        <v>1.2193120872068553E-2</v>
      </c>
      <c r="F1084">
        <f t="shared" si="65"/>
        <v>2.0868656661653412E-2</v>
      </c>
      <c r="G1084">
        <f t="shared" si="66"/>
        <v>0.72566604614256391</v>
      </c>
      <c r="H1084">
        <f t="shared" si="67"/>
        <v>1.970001220703125</v>
      </c>
    </row>
    <row r="1085" spans="1:8" x14ac:dyDescent="0.2">
      <c r="A1085" t="s">
        <v>4</v>
      </c>
      <c r="B1085" s="2">
        <v>46140</v>
      </c>
      <c r="C1085">
        <v>62.211109161376953</v>
      </c>
      <c r="D1085">
        <f>_xlfn.XLOOKUP(B1085, Oil_Price!A:A, Oil_Price!B:B, "")</f>
        <v>99.930000305175781</v>
      </c>
      <c r="E1085">
        <f t="shared" si="64"/>
        <v>3.2720122075282451E-2</v>
      </c>
      <c r="F1085">
        <f t="shared" si="65"/>
        <v>3.6940930342766985E-2</v>
      </c>
      <c r="G1085">
        <f t="shared" si="66"/>
        <v>1.9710617065429759</v>
      </c>
      <c r="H1085">
        <f t="shared" si="67"/>
        <v>3.55999755859375</v>
      </c>
    </row>
    <row r="1086" spans="1:8" x14ac:dyDescent="0.2">
      <c r="A1086" t="s">
        <v>4</v>
      </c>
      <c r="B1086" s="2">
        <v>46141</v>
      </c>
      <c r="C1086">
        <v>63.378059387207031</v>
      </c>
      <c r="D1086">
        <f>_xlfn.XLOOKUP(B1086, Oil_Price!A:A, Oil_Price!B:B, "")</f>
        <v>106.879997253418</v>
      </c>
      <c r="E1086">
        <f t="shared" si="64"/>
        <v>1.8757907414943917E-2</v>
      </c>
      <c r="F1086">
        <f t="shared" si="65"/>
        <v>6.9548653327505761E-2</v>
      </c>
      <c r="G1086">
        <f t="shared" si="66"/>
        <v>1.1669502258300781</v>
      </c>
      <c r="H1086">
        <f t="shared" si="67"/>
        <v>6.9499969482422159</v>
      </c>
    </row>
    <row r="1087" spans="1:8" x14ac:dyDescent="0.2">
      <c r="A1087" t="s">
        <v>4</v>
      </c>
      <c r="B1087" s="2">
        <v>46142</v>
      </c>
      <c r="C1087">
        <v>63.583988189697273</v>
      </c>
      <c r="D1087">
        <f>_xlfn.XLOOKUP(B1087, Oil_Price!A:A, Oil_Price!B:B, "")</f>
        <v>105.0699996948242</v>
      </c>
      <c r="E1087">
        <f t="shared" si="64"/>
        <v>3.2492128108897031E-3</v>
      </c>
      <c r="F1087">
        <f t="shared" si="65"/>
        <v>-1.693485783221153E-2</v>
      </c>
      <c r="G1087">
        <f t="shared" si="66"/>
        <v>0.20592880249024148</v>
      </c>
      <c r="H1087">
        <f t="shared" si="67"/>
        <v>-1.8099975585937926</v>
      </c>
    </row>
    <row r="1088" spans="1:8" x14ac:dyDescent="0.2">
      <c r="A1088" t="s">
        <v>4</v>
      </c>
      <c r="B1088" s="2">
        <v>46143</v>
      </c>
      <c r="C1088">
        <v>62.642589569091797</v>
      </c>
      <c r="D1088">
        <f>_xlfn.XLOOKUP(B1088, Oil_Price!A:A, Oil_Price!B:B, "")</f>
        <v>101.94000244140619</v>
      </c>
      <c r="E1088">
        <f t="shared" si="64"/>
        <v>-1.4805592530573819E-2</v>
      </c>
      <c r="F1088">
        <f t="shared" si="65"/>
        <v>-2.9789637979528771E-2</v>
      </c>
      <c r="G1088">
        <f t="shared" si="66"/>
        <v>-0.94139862060547586</v>
      </c>
      <c r="H1088">
        <f t="shared" si="67"/>
        <v>-3.1299972534180114</v>
      </c>
    </row>
    <row r="1089" spans="1:8" x14ac:dyDescent="0.2">
      <c r="A1089" t="s">
        <v>4</v>
      </c>
      <c r="B1089" s="2">
        <v>46146</v>
      </c>
      <c r="C1089">
        <v>63.495735168457031</v>
      </c>
      <c r="D1089">
        <f>_xlfn.XLOOKUP(B1089, Oil_Price!A:A, Oil_Price!B:B, "")</f>
        <v>106.4199981689453</v>
      </c>
      <c r="E1089">
        <f t="shared" si="64"/>
        <v>1.3619258163397849E-2</v>
      </c>
      <c r="F1089">
        <f t="shared" si="65"/>
        <v>4.3947377086969851E-2</v>
      </c>
      <c r="G1089">
        <f t="shared" si="66"/>
        <v>0.85314559936523438</v>
      </c>
      <c r="H1089">
        <f t="shared" si="67"/>
        <v>4.4799957275391051</v>
      </c>
    </row>
    <row r="1090" spans="1:8" x14ac:dyDescent="0.2">
      <c r="A1090" t="s">
        <v>4</v>
      </c>
      <c r="B1090" s="2">
        <v>46147</v>
      </c>
      <c r="C1090">
        <v>63.995857238769531</v>
      </c>
      <c r="D1090">
        <f>_xlfn.XLOOKUP(B1090, Oil_Price!A:A, Oil_Price!B:B, "")</f>
        <v>102.26999664306641</v>
      </c>
      <c r="E1090">
        <f t="shared" si="64"/>
        <v>7.8764671199672495E-3</v>
      </c>
      <c r="F1090">
        <f t="shared" si="65"/>
        <v>-3.8996444251865388E-2</v>
      </c>
      <c r="G1090">
        <f t="shared" si="66"/>
        <v>0.5001220703125</v>
      </c>
      <c r="H1090">
        <f t="shared" si="67"/>
        <v>-4.150001525878892</v>
      </c>
    </row>
    <row r="1091" spans="1:8" x14ac:dyDescent="0.2">
      <c r="A1091" t="s">
        <v>4</v>
      </c>
      <c r="B1091" s="2">
        <v>46148</v>
      </c>
      <c r="C1091">
        <v>61.053966522216797</v>
      </c>
      <c r="D1091">
        <f>_xlfn.XLOOKUP(B1091, Oil_Price!A:A, Oil_Price!B:B, "")</f>
        <v>95.080001831054688</v>
      </c>
      <c r="E1091">
        <f t="shared" ref="E1091:E1154" si="68">IFERROR(IF(AND(A1091=A1090, C1091&lt;&gt;"", C1090&lt;&gt;""), (C1091-C1090)/C1090, ""), "")</f>
        <v>-4.5970018115024144E-2</v>
      </c>
      <c r="F1091">
        <f t="shared" ref="F1091:F1154" si="69">IFERROR(IF(AND(A1091=A1090, D1091&lt;&gt;"", D1090&lt;&gt;""), (D1091-D1090)/D1090, ""), "")</f>
        <v>-7.0304048577468872E-2</v>
      </c>
      <c r="G1091">
        <f t="shared" ref="G1091:G1154" si="70">IFERROR(IF(AND(A1091=A1090, C1091&lt;&gt;"", C1090&lt;&gt;""), C1091-C1090, ""), "")</f>
        <v>-2.9418907165527344</v>
      </c>
      <c r="H1091">
        <f t="shared" ref="H1091:H1154" si="71">IFERROR(IF(AND(A1091=A1090, D1091&lt;&gt;"", D1090&lt;&gt;""), D1091-D1090, ""), "")</f>
        <v>-7.1899948120117188</v>
      </c>
    </row>
    <row r="1092" spans="1:8" x14ac:dyDescent="0.2">
      <c r="A1092" t="s">
        <v>4</v>
      </c>
      <c r="B1092" s="2">
        <v>46149</v>
      </c>
      <c r="C1092">
        <v>59.779148101806641</v>
      </c>
      <c r="D1092">
        <f>_xlfn.XLOOKUP(B1092, Oil_Price!A:A, Oil_Price!B:B, "")</f>
        <v>94.80999755859375</v>
      </c>
      <c r="E1092">
        <f t="shared" si="68"/>
        <v>-2.0880189986448552E-2</v>
      </c>
      <c r="F1092">
        <f t="shared" si="69"/>
        <v>-2.8397588058601581E-3</v>
      </c>
      <c r="G1092">
        <f t="shared" si="70"/>
        <v>-1.2748184204101562</v>
      </c>
      <c r="H1092">
        <f t="shared" si="71"/>
        <v>-0.2700042724609375</v>
      </c>
    </row>
    <row r="1093" spans="1:8" x14ac:dyDescent="0.2">
      <c r="A1093" t="s">
        <v>4</v>
      </c>
      <c r="B1093" s="2">
        <v>46150</v>
      </c>
      <c r="C1093">
        <v>59.710506439208977</v>
      </c>
      <c r="D1093">
        <f>_xlfn.XLOOKUP(B1093, Oil_Price!A:A, Oil_Price!B:B, "")</f>
        <v>95.419998168945312</v>
      </c>
      <c r="E1093">
        <f t="shared" si="68"/>
        <v>-1.1482542789128317E-3</v>
      </c>
      <c r="F1093">
        <f t="shared" si="69"/>
        <v>6.4339270758294728E-3</v>
      </c>
      <c r="G1093">
        <f t="shared" si="70"/>
        <v>-6.8641662597663355E-2</v>
      </c>
      <c r="H1093">
        <f t="shared" si="71"/>
        <v>0.6100006103515625</v>
      </c>
    </row>
    <row r="1094" spans="1:8" x14ac:dyDescent="0.2">
      <c r="A1094" t="s">
        <v>4</v>
      </c>
      <c r="B1094" s="2">
        <v>46153</v>
      </c>
      <c r="C1094">
        <v>60.563652038574219</v>
      </c>
      <c r="D1094">
        <f>_xlfn.XLOOKUP(B1094, Oil_Price!A:A, Oil_Price!B:B, "")</f>
        <v>98.069999694824219</v>
      </c>
      <c r="E1094">
        <f t="shared" si="68"/>
        <v>1.4288031541548313E-2</v>
      </c>
      <c r="F1094">
        <f t="shared" si="69"/>
        <v>2.7771972088984551E-2</v>
      </c>
      <c r="G1094">
        <f t="shared" si="70"/>
        <v>0.85314559936524148</v>
      </c>
      <c r="H1094">
        <f t="shared" si="71"/>
        <v>2.6500015258789062</v>
      </c>
    </row>
    <row r="1095" spans="1:8" x14ac:dyDescent="0.2">
      <c r="A1095" t="s">
        <v>4</v>
      </c>
      <c r="B1095" s="2">
        <v>46154</v>
      </c>
      <c r="C1095">
        <v>63.025028228759773</v>
      </c>
      <c r="D1095">
        <f>_xlfn.XLOOKUP(B1095, Oil_Price!A:A, Oil_Price!B:B, "")</f>
        <v>102.1800003051758</v>
      </c>
      <c r="E1095">
        <f t="shared" si="68"/>
        <v>4.0641145428579072E-2</v>
      </c>
      <c r="F1095">
        <f t="shared" si="69"/>
        <v>4.1908846978088526E-2</v>
      </c>
      <c r="G1095">
        <f t="shared" si="70"/>
        <v>2.461376190185554</v>
      </c>
      <c r="H1095">
        <f t="shared" si="71"/>
        <v>4.1100006103515767</v>
      </c>
    </row>
    <row r="1096" spans="1:8" x14ac:dyDescent="0.2">
      <c r="A1096" t="s">
        <v>4</v>
      </c>
      <c r="B1096" s="2">
        <v>46155</v>
      </c>
      <c r="C1096">
        <v>63.436901092529297</v>
      </c>
      <c r="D1096">
        <f>_xlfn.XLOOKUP(B1096, Oil_Price!A:A, Oil_Price!B:B, "")</f>
        <v>101.01999664306641</v>
      </c>
      <c r="E1096">
        <f t="shared" si="68"/>
        <v>6.5350682950043818E-3</v>
      </c>
      <c r="F1096">
        <f t="shared" si="69"/>
        <v>-1.1352550975189522E-2</v>
      </c>
      <c r="G1096">
        <f t="shared" si="70"/>
        <v>0.41187286376952414</v>
      </c>
      <c r="H1096">
        <f t="shared" si="71"/>
        <v>-1.1600036621093892</v>
      </c>
    </row>
    <row r="1097" spans="1:8" x14ac:dyDescent="0.2">
      <c r="A1097" t="s">
        <v>4</v>
      </c>
      <c r="B1097" s="2">
        <v>46156</v>
      </c>
      <c r="C1097">
        <v>64.035087585449219</v>
      </c>
      <c r="D1097">
        <f>_xlfn.XLOOKUP(B1097, Oil_Price!A:A, Oil_Price!B:B, "")</f>
        <v>101.1699981689453</v>
      </c>
      <c r="E1097">
        <f t="shared" si="68"/>
        <v>9.4296297993403683E-3</v>
      </c>
      <c r="F1097">
        <f t="shared" si="69"/>
        <v>1.4848696383241023E-3</v>
      </c>
      <c r="G1097">
        <f t="shared" si="70"/>
        <v>0.59818649291992188</v>
      </c>
      <c r="H1097">
        <f t="shared" si="71"/>
        <v>0.15000152587889204</v>
      </c>
    </row>
    <row r="1098" spans="1:8" x14ac:dyDescent="0.2">
      <c r="A1098" t="s">
        <v>4</v>
      </c>
      <c r="B1098" s="2">
        <v>46157</v>
      </c>
      <c r="C1098">
        <v>64.799972534179688</v>
      </c>
      <c r="D1098">
        <f>_xlfn.XLOOKUP(B1098, Oil_Price!A:A, Oil_Price!B:B, "")</f>
        <v>105.4199981689453</v>
      </c>
      <c r="E1098">
        <f t="shared" si="68"/>
        <v>1.1944778676374834E-2</v>
      </c>
      <c r="F1098">
        <f t="shared" si="69"/>
        <v>4.2008501303942514E-2</v>
      </c>
      <c r="G1098">
        <f t="shared" si="70"/>
        <v>0.76488494873046875</v>
      </c>
      <c r="H1098">
        <f t="shared" si="71"/>
        <v>4.25</v>
      </c>
    </row>
    <row r="1099" spans="1:8" x14ac:dyDescent="0.2">
      <c r="A1099" t="s">
        <v>4</v>
      </c>
      <c r="B1099" s="2">
        <v>46161</v>
      </c>
      <c r="C1099">
        <v>66.633743286132812</v>
      </c>
      <c r="D1099">
        <f>_xlfn.XLOOKUP(B1099, Oil_Price!A:A, Oil_Price!B:B, "")</f>
        <v>107.76999664306641</v>
      </c>
      <c r="E1099">
        <f t="shared" si="68"/>
        <v>2.8298943351957071E-2</v>
      </c>
      <c r="F1099">
        <f t="shared" si="69"/>
        <v>2.2291771152898505E-2</v>
      </c>
      <c r="G1099">
        <f t="shared" si="70"/>
        <v>1.833770751953125</v>
      </c>
      <c r="H1099">
        <f t="shared" si="71"/>
        <v>2.349998474121108</v>
      </c>
    </row>
    <row r="1100" spans="1:8" x14ac:dyDescent="0.2">
      <c r="A1100" t="s">
        <v>4</v>
      </c>
      <c r="B1100" s="2">
        <v>46162</v>
      </c>
      <c r="C1100">
        <v>65.810020446777344</v>
      </c>
      <c r="D1100">
        <f>_xlfn.XLOOKUP(B1100, Oil_Price!A:A, Oil_Price!B:B, "")</f>
        <v>98.260002136230469</v>
      </c>
      <c r="E1100">
        <f t="shared" si="68"/>
        <v>-1.2361947546880414E-2</v>
      </c>
      <c r="F1100">
        <f t="shared" si="69"/>
        <v>-8.8243433265874388E-2</v>
      </c>
      <c r="G1100">
        <f t="shared" si="70"/>
        <v>-0.82372283935546875</v>
      </c>
      <c r="H1100">
        <f t="shared" si="71"/>
        <v>-9.5099945068359375</v>
      </c>
    </row>
    <row r="1101" spans="1:8" x14ac:dyDescent="0.2">
      <c r="A1101" t="s">
        <v>4</v>
      </c>
      <c r="B1101" s="2">
        <v>46163</v>
      </c>
      <c r="C1101">
        <v>65.868858337402344</v>
      </c>
      <c r="D1101">
        <f>_xlfn.XLOOKUP(B1101, Oil_Price!A:A, Oil_Price!B:B, "")</f>
        <v>96.349998474121094</v>
      </c>
      <c r="E1101">
        <f t="shared" si="68"/>
        <v>8.940567139404564E-4</v>
      </c>
      <c r="F1101">
        <f t="shared" si="69"/>
        <v>-1.9438261964021653E-2</v>
      </c>
      <c r="G1101">
        <f t="shared" si="70"/>
        <v>5.8837890625E-2</v>
      </c>
      <c r="H1101">
        <f t="shared" si="71"/>
        <v>-1.910003662109375</v>
      </c>
    </row>
    <row r="1102" spans="1:8" x14ac:dyDescent="0.2">
      <c r="A1102" t="s">
        <v>4</v>
      </c>
      <c r="B1102" s="2">
        <v>46164</v>
      </c>
      <c r="C1102">
        <v>65.9375</v>
      </c>
      <c r="D1102">
        <f>_xlfn.XLOOKUP(B1102, Oil_Price!A:A, Oil_Price!B:B, "")</f>
        <v>96.599998474121094</v>
      </c>
      <c r="E1102">
        <f t="shared" si="68"/>
        <v>1.0420958299603535E-3</v>
      </c>
      <c r="F1102">
        <f t="shared" si="69"/>
        <v>2.5947068392237513E-3</v>
      </c>
      <c r="G1102">
        <f t="shared" si="70"/>
        <v>6.864166259765625E-2</v>
      </c>
      <c r="H1102">
        <f t="shared" si="71"/>
        <v>0.25</v>
      </c>
    </row>
    <row r="1103" spans="1:8" x14ac:dyDescent="0.2">
      <c r="A1103" t="s">
        <v>4</v>
      </c>
      <c r="B1103" s="2">
        <v>46167</v>
      </c>
      <c r="C1103">
        <v>63.544773101806641</v>
      </c>
      <c r="D1103" t="str">
        <f>_xlfn.XLOOKUP(B1103, Oil_Price!A:A, Oil_Price!B:B, "")</f>
        <v/>
      </c>
      <c r="E1103">
        <f t="shared" si="68"/>
        <v>-3.6287801299614932E-2</v>
      </c>
      <c r="F1103" t="str">
        <f t="shared" si="69"/>
        <v/>
      </c>
      <c r="G1103">
        <f t="shared" si="70"/>
        <v>-2.3927268981933594</v>
      </c>
      <c r="H1103" t="str">
        <f t="shared" si="71"/>
        <v/>
      </c>
    </row>
    <row r="1104" spans="1:8" x14ac:dyDescent="0.2">
      <c r="A1104" t="s">
        <v>4</v>
      </c>
      <c r="B1104" s="2">
        <v>46168</v>
      </c>
      <c r="C1104">
        <v>63.485931396484382</v>
      </c>
      <c r="D1104">
        <f>_xlfn.XLOOKUP(B1104, Oil_Price!A:A, Oil_Price!B:B, "")</f>
        <v>93.889999389648438</v>
      </c>
      <c r="E1104">
        <f t="shared" si="68"/>
        <v>-9.2598812538030118E-4</v>
      </c>
      <c r="F1104" t="str">
        <f t="shared" si="69"/>
        <v/>
      </c>
      <c r="G1104">
        <f t="shared" si="70"/>
        <v>-5.884170532225852E-2</v>
      </c>
      <c r="H1104" t="str">
        <f t="shared" si="71"/>
        <v/>
      </c>
    </row>
    <row r="1105" spans="1:8" x14ac:dyDescent="0.2">
      <c r="A1105" t="s">
        <v>4</v>
      </c>
      <c r="B1105" s="2">
        <v>46169</v>
      </c>
      <c r="C1105">
        <v>62.093437194824219</v>
      </c>
      <c r="D1105">
        <f>_xlfn.XLOOKUP(B1105, Oil_Price!A:A, Oil_Price!B:B, "")</f>
        <v>88.680000305175781</v>
      </c>
      <c r="E1105">
        <f t="shared" si="68"/>
        <v>-2.1933902063493622E-2</v>
      </c>
      <c r="F1105">
        <f t="shared" si="69"/>
        <v>-5.5490458178095045E-2</v>
      </c>
      <c r="G1105">
        <f t="shared" si="70"/>
        <v>-1.3924942016601634</v>
      </c>
      <c r="H1105">
        <f t="shared" si="71"/>
        <v>-5.2099990844726562</v>
      </c>
    </row>
    <row r="1106" spans="1:8" x14ac:dyDescent="0.2">
      <c r="A1106" t="s">
        <v>4</v>
      </c>
      <c r="B1106" s="2">
        <v>46170</v>
      </c>
      <c r="C1106">
        <v>61.975761413574219</v>
      </c>
      <c r="D1106">
        <f>_xlfn.XLOOKUP(B1106, Oil_Price!A:A, Oil_Price!B:B, "")</f>
        <v>88.900001525878906</v>
      </c>
      <c r="E1106">
        <f t="shared" si="68"/>
        <v>-1.8951403975396104E-3</v>
      </c>
      <c r="F1106">
        <f t="shared" si="69"/>
        <v>2.4808437071045511E-3</v>
      </c>
      <c r="G1106">
        <f t="shared" si="70"/>
        <v>-0.11767578125</v>
      </c>
      <c r="H1106">
        <f t="shared" si="71"/>
        <v>0.220001220703125</v>
      </c>
    </row>
    <row r="1107" spans="1:8" x14ac:dyDescent="0.2">
      <c r="A1107" t="s">
        <v>4</v>
      </c>
      <c r="B1107" s="2">
        <v>46171</v>
      </c>
      <c r="C1107">
        <v>61.485446929931641</v>
      </c>
      <c r="D1107">
        <f>_xlfn.XLOOKUP(B1107, Oil_Price!A:A, Oil_Price!B:B, "")</f>
        <v>87.360000610351562</v>
      </c>
      <c r="E1107">
        <f t="shared" si="68"/>
        <v>-7.9113910415820592E-3</v>
      </c>
      <c r="F1107">
        <f t="shared" si="69"/>
        <v>-1.732284464673544E-2</v>
      </c>
      <c r="G1107">
        <f t="shared" si="70"/>
        <v>-0.49031448364257812</v>
      </c>
      <c r="H1107">
        <f t="shared" si="71"/>
        <v>-1.5400009155273438</v>
      </c>
    </row>
    <row r="1108" spans="1:8" x14ac:dyDescent="0.2">
      <c r="A1108" t="s">
        <v>4</v>
      </c>
      <c r="B1108" s="2">
        <v>46174</v>
      </c>
      <c r="C1108">
        <v>62.387622833251953</v>
      </c>
      <c r="D1108">
        <f>_xlfn.XLOOKUP(B1108, Oil_Price!A:A, Oil_Price!B:B, "")</f>
        <v>92.160003662109375</v>
      </c>
      <c r="E1108">
        <f t="shared" si="68"/>
        <v>1.4672999032574741E-2</v>
      </c>
      <c r="F1108">
        <f t="shared" si="69"/>
        <v>5.4945089494299354E-2</v>
      </c>
      <c r="G1108">
        <f t="shared" si="70"/>
        <v>0.9021759033203125</v>
      </c>
      <c r="H1108">
        <f t="shared" si="71"/>
        <v>4.8000030517578125</v>
      </c>
    </row>
    <row r="1109" spans="1:8" x14ac:dyDescent="0.2">
      <c r="A1109" t="s">
        <v>4</v>
      </c>
      <c r="B1109" s="2">
        <v>46175</v>
      </c>
      <c r="C1109">
        <v>64.133148193359375</v>
      </c>
      <c r="D1109">
        <f>_xlfn.XLOOKUP(B1109, Oil_Price!A:A, Oil_Price!B:B, "")</f>
        <v>93.760002136230469</v>
      </c>
      <c r="E1109">
        <f t="shared" si="68"/>
        <v>2.7978712456680991E-2</v>
      </c>
      <c r="F1109">
        <f t="shared" si="69"/>
        <v>1.7361093864397451E-2</v>
      </c>
      <c r="G1109">
        <f t="shared" si="70"/>
        <v>1.7455253601074219</v>
      </c>
      <c r="H1109">
        <f t="shared" si="71"/>
        <v>1.5999984741210938</v>
      </c>
    </row>
    <row r="1110" spans="1:8" x14ac:dyDescent="0.2">
      <c r="A1110" t="s">
        <v>4</v>
      </c>
      <c r="B1110" s="2">
        <v>46176</v>
      </c>
      <c r="C1110">
        <v>65.074546813964844</v>
      </c>
      <c r="D1110">
        <f>_xlfn.XLOOKUP(B1110, Oil_Price!A:A, Oil_Price!B:B, "")</f>
        <v>96.019996643066406</v>
      </c>
      <c r="E1110">
        <f t="shared" si="68"/>
        <v>1.467881504533634E-2</v>
      </c>
      <c r="F1110">
        <f t="shared" si="69"/>
        <v>2.4104036426452223E-2</v>
      </c>
      <c r="G1110">
        <f t="shared" si="70"/>
        <v>0.94139862060546875</v>
      </c>
      <c r="H1110">
        <f t="shared" si="71"/>
        <v>2.2599945068359375</v>
      </c>
    </row>
    <row r="1111" spans="1:8" x14ac:dyDescent="0.2">
      <c r="A1111" t="s">
        <v>4</v>
      </c>
      <c r="B1111" s="2">
        <v>46177</v>
      </c>
      <c r="C1111">
        <v>64.937263488769531</v>
      </c>
      <c r="D1111">
        <f>_xlfn.XLOOKUP(B1111, Oil_Price!A:A, Oil_Price!B:B, "")</f>
        <v>93.040000915527344</v>
      </c>
      <c r="E1111">
        <f t="shared" si="68"/>
        <v>-2.1096316750046397E-3</v>
      </c>
      <c r="F1111">
        <f t="shared" si="69"/>
        <v>-3.1035157589273336E-2</v>
      </c>
      <c r="G1111">
        <f t="shared" si="70"/>
        <v>-0.1372833251953125</v>
      </c>
      <c r="H1111">
        <f t="shared" si="71"/>
        <v>-2.9799957275390625</v>
      </c>
    </row>
    <row r="1112" spans="1:8" x14ac:dyDescent="0.2">
      <c r="A1112" t="s">
        <v>4</v>
      </c>
      <c r="B1112" s="2">
        <v>46178</v>
      </c>
      <c r="C1112">
        <v>62.524909973144531</v>
      </c>
      <c r="D1112">
        <f>_xlfn.XLOOKUP(B1112, Oil_Price!A:A, Oil_Price!B:B, "")</f>
        <v>90.540000915527344</v>
      </c>
      <c r="E1112">
        <f t="shared" si="68"/>
        <v>-3.7148986360384599E-2</v>
      </c>
      <c r="F1112">
        <f t="shared" si="69"/>
        <v>-2.6870163106186919E-2</v>
      </c>
      <c r="G1112">
        <f t="shared" si="70"/>
        <v>-2.412353515625</v>
      </c>
      <c r="H1112">
        <f t="shared" si="71"/>
        <v>-2.5</v>
      </c>
    </row>
    <row r="1113" spans="1:8" x14ac:dyDescent="0.2">
      <c r="A1113" t="s">
        <v>4</v>
      </c>
      <c r="B1113" s="2">
        <v>46181</v>
      </c>
      <c r="C1113">
        <v>63.407482147216797</v>
      </c>
      <c r="D1113">
        <f>_xlfn.XLOOKUP(B1113, Oil_Price!A:A, Oil_Price!B:B, "")</f>
        <v>91.300003051757812</v>
      </c>
      <c r="E1113">
        <f t="shared" si="68"/>
        <v>1.4115528906020733E-2</v>
      </c>
      <c r="F1113">
        <f t="shared" si="69"/>
        <v>8.3941034741046774E-3</v>
      </c>
      <c r="G1113">
        <f t="shared" si="70"/>
        <v>0.88257217407226562</v>
      </c>
      <c r="H1113">
        <f t="shared" si="71"/>
        <v>0.76000213623046875</v>
      </c>
    </row>
    <row r="1114" spans="1:8" x14ac:dyDescent="0.2">
      <c r="A1114" t="s">
        <v>4</v>
      </c>
      <c r="B1114" s="2">
        <v>46182</v>
      </c>
      <c r="C1114">
        <v>61.171646118164062</v>
      </c>
      <c r="D1114">
        <f>_xlfn.XLOOKUP(B1114, Oil_Price!A:A, Oil_Price!B:B, "")</f>
        <v>88.199996948242188</v>
      </c>
      <c r="E1114">
        <f t="shared" si="68"/>
        <v>-3.5261391137747206E-2</v>
      </c>
      <c r="F1114">
        <f t="shared" si="69"/>
        <v>-3.3954063525696014E-2</v>
      </c>
      <c r="G1114">
        <f t="shared" si="70"/>
        <v>-2.2358360290527344</v>
      </c>
      <c r="H1114">
        <f t="shared" si="71"/>
        <v>-3.100006103515625</v>
      </c>
    </row>
    <row r="1115" spans="1:8" x14ac:dyDescent="0.2">
      <c r="A1115" t="s">
        <v>4</v>
      </c>
      <c r="B1115" s="2">
        <v>46183</v>
      </c>
      <c r="C1115">
        <v>62.358203887939453</v>
      </c>
      <c r="D1115">
        <f>_xlfn.XLOOKUP(B1115, Oil_Price!A:A, Oil_Price!B:B, "")</f>
        <v>90.029998779296875</v>
      </c>
      <c r="E1115">
        <f t="shared" si="68"/>
        <v>1.9397185543827616E-2</v>
      </c>
      <c r="F1115">
        <f t="shared" si="69"/>
        <v>2.0748320797885914E-2</v>
      </c>
      <c r="G1115">
        <f t="shared" si="70"/>
        <v>1.1865577697753906</v>
      </c>
      <c r="H1115">
        <f t="shared" si="71"/>
        <v>1.8300018310546875</v>
      </c>
    </row>
    <row r="1116" spans="1:8" x14ac:dyDescent="0.2">
      <c r="A1116" t="s">
        <v>4</v>
      </c>
      <c r="B1116" s="2">
        <v>46184</v>
      </c>
      <c r="C1116">
        <v>62.289558410644531</v>
      </c>
      <c r="D1116">
        <f>_xlfn.XLOOKUP(B1116, Oil_Price!A:A, Oil_Price!B:B, "")</f>
        <v>87.709999084472656</v>
      </c>
      <c r="E1116">
        <f t="shared" si="68"/>
        <v>-1.1008251202725618E-3</v>
      </c>
      <c r="F1116">
        <f t="shared" si="69"/>
        <v>-2.5769185008116667E-2</v>
      </c>
      <c r="G1116">
        <f t="shared" si="70"/>
        <v>-6.8645477294921875E-2</v>
      </c>
      <c r="H1116">
        <f t="shared" si="71"/>
        <v>-2.3199996948242188</v>
      </c>
    </row>
    <row r="1117" spans="1:8" x14ac:dyDescent="0.2">
      <c r="A1117" t="s">
        <v>4</v>
      </c>
      <c r="B1117" s="2">
        <v>46185</v>
      </c>
      <c r="C1117">
        <v>62.171886444091797</v>
      </c>
      <c r="D1117">
        <f>_xlfn.XLOOKUP(B1117, Oil_Price!A:A, Oil_Price!B:B, "")</f>
        <v>84.879997253417969</v>
      </c>
      <c r="E1117">
        <f t="shared" si="68"/>
        <v>-1.8891122293239065E-3</v>
      </c>
      <c r="F1117">
        <f t="shared" si="69"/>
        <v>-3.2265441347561069E-2</v>
      </c>
      <c r="G1117">
        <f t="shared" si="70"/>
        <v>-0.11767196655273438</v>
      </c>
      <c r="H1117">
        <f t="shared" si="71"/>
        <v>-2.8300018310546875</v>
      </c>
    </row>
    <row r="1118" spans="1:8" x14ac:dyDescent="0.2">
      <c r="A1118" t="s">
        <v>4</v>
      </c>
      <c r="B1118" s="2">
        <v>46188</v>
      </c>
      <c r="C1118">
        <v>60.495006561279297</v>
      </c>
      <c r="D1118">
        <f>_xlfn.XLOOKUP(B1118, Oil_Price!A:A, Oil_Price!B:B, "")</f>
        <v>80.75</v>
      </c>
      <c r="E1118">
        <f t="shared" si="68"/>
        <v>-2.6971674477344963E-2</v>
      </c>
      <c r="F1118">
        <f t="shared" si="69"/>
        <v>-4.8656896643003378E-2</v>
      </c>
      <c r="G1118">
        <f t="shared" si="70"/>
        <v>-1.6768798828125</v>
      </c>
      <c r="H1118">
        <f t="shared" si="71"/>
        <v>-4.1299972534179688</v>
      </c>
    </row>
    <row r="1119" spans="1:8" x14ac:dyDescent="0.2">
      <c r="A1119" t="s">
        <v>4</v>
      </c>
      <c r="B1119" s="2">
        <v>46189</v>
      </c>
      <c r="C1119">
        <v>59.465347290039062</v>
      </c>
      <c r="D1119">
        <f>_xlfn.XLOOKUP(B1119, Oil_Price!A:A, Oil_Price!B:B, "")</f>
        <v>76.050003051757812</v>
      </c>
      <c r="E1119">
        <f t="shared" si="68"/>
        <v>-1.7020566320580955E-2</v>
      </c>
      <c r="F1119">
        <f t="shared" si="69"/>
        <v>-5.8204296572658666E-2</v>
      </c>
      <c r="G1119">
        <f t="shared" si="70"/>
        <v>-1.0296592712402344</v>
      </c>
      <c r="H1119">
        <f t="shared" si="71"/>
        <v>-4.6999969482421875</v>
      </c>
    </row>
    <row r="1120" spans="1:8" x14ac:dyDescent="0.2">
      <c r="A1120" t="s">
        <v>4</v>
      </c>
      <c r="B1120" s="2">
        <v>46190</v>
      </c>
      <c r="C1120">
        <v>58.612201690673828</v>
      </c>
      <c r="D1120">
        <f>_xlfn.XLOOKUP(B1120, Oil_Price!A:A, Oil_Price!B:B, "")</f>
        <v>76.790000915527344</v>
      </c>
      <c r="E1120">
        <f t="shared" si="68"/>
        <v>-1.4346937136414292E-2</v>
      </c>
      <c r="F1120">
        <f t="shared" si="69"/>
        <v>9.7304120193908005E-3</v>
      </c>
      <c r="G1120">
        <f t="shared" si="70"/>
        <v>-0.85314559936523438</v>
      </c>
      <c r="H1120">
        <f t="shared" si="71"/>
        <v>0.73999786376953125</v>
      </c>
    </row>
    <row r="1121" spans="1:8" x14ac:dyDescent="0.2">
      <c r="A1121" t="s">
        <v>4</v>
      </c>
      <c r="B1121" s="2">
        <v>46191</v>
      </c>
      <c r="C1121">
        <v>56.827457427978523</v>
      </c>
      <c r="D1121">
        <f>_xlfn.XLOOKUP(B1121, Oil_Price!A:A, Oil_Price!B:B, "")</f>
        <v>76.599998474121094</v>
      </c>
      <c r="E1121">
        <f t="shared" si="68"/>
        <v>-3.0450046427436761E-2</v>
      </c>
      <c r="F1121">
        <f t="shared" si="69"/>
        <v>-2.4743122690578131E-3</v>
      </c>
      <c r="G1121">
        <f t="shared" si="70"/>
        <v>-1.7847442626953054</v>
      </c>
      <c r="H1121">
        <f t="shared" si="71"/>
        <v>-0.19000244140625</v>
      </c>
    </row>
    <row r="1122" spans="1:8" x14ac:dyDescent="0.2">
      <c r="A1122" t="s">
        <v>4</v>
      </c>
      <c r="B1122" s="2">
        <v>46192</v>
      </c>
      <c r="C1122">
        <v>57.523704528808587</v>
      </c>
      <c r="D1122" t="str">
        <f>_xlfn.XLOOKUP(B1122, Oil_Price!A:A, Oil_Price!B:B, "")</f>
        <v/>
      </c>
      <c r="E1122">
        <f t="shared" si="68"/>
        <v>1.2251948834988216E-2</v>
      </c>
      <c r="F1122" t="str">
        <f t="shared" si="69"/>
        <v/>
      </c>
      <c r="G1122">
        <f t="shared" si="70"/>
        <v>0.69624710083006391</v>
      </c>
      <c r="H1122" t="str">
        <f t="shared" si="71"/>
        <v/>
      </c>
    </row>
    <row r="1123" spans="1:8" x14ac:dyDescent="0.2">
      <c r="A1123" t="s">
        <v>4</v>
      </c>
      <c r="B1123" s="2">
        <v>46195</v>
      </c>
      <c r="C1123">
        <v>57.994407653808587</v>
      </c>
      <c r="D1123">
        <f>_xlfn.XLOOKUP(B1123, Oil_Price!A:A, Oil_Price!B:B, "")</f>
        <v>74.819999694824219</v>
      </c>
      <c r="E1123">
        <f t="shared" si="68"/>
        <v>8.1827679363777068E-3</v>
      </c>
      <c r="F1123" t="str">
        <f t="shared" si="69"/>
        <v/>
      </c>
      <c r="G1123">
        <f t="shared" si="70"/>
        <v>0.470703125</v>
      </c>
      <c r="H1123" t="str">
        <f t="shared" si="71"/>
        <v/>
      </c>
    </row>
    <row r="1124" spans="1:8" x14ac:dyDescent="0.2">
      <c r="A1124" t="s">
        <v>4</v>
      </c>
      <c r="B1124" s="2">
        <v>46196</v>
      </c>
      <c r="C1124">
        <v>57.692119598388672</v>
      </c>
      <c r="D1124">
        <f>_xlfn.XLOOKUP(B1124, Oil_Price!A:A, Oil_Price!B:B, "")</f>
        <v>73.209999084472656</v>
      </c>
      <c r="E1124">
        <f t="shared" si="68"/>
        <v>-5.212365599531441E-3</v>
      </c>
      <c r="F1124">
        <f t="shared" si="69"/>
        <v>-2.1518318857503771E-2</v>
      </c>
      <c r="G1124">
        <f t="shared" si="70"/>
        <v>-0.30228805541991477</v>
      </c>
      <c r="H1124">
        <f t="shared" si="71"/>
        <v>-1.6100006103515625</v>
      </c>
    </row>
    <row r="1125" spans="1:8" x14ac:dyDescent="0.2">
      <c r="A1125" t="s">
        <v>4</v>
      </c>
      <c r="B1125" s="2">
        <v>46197</v>
      </c>
      <c r="C1125">
        <v>55.561248779296882</v>
      </c>
      <c r="D1125">
        <f>_xlfn.XLOOKUP(B1125, Oil_Price!A:A, Oil_Price!B:B, "")</f>
        <v>70.339996337890625</v>
      </c>
      <c r="E1125">
        <f t="shared" si="68"/>
        <v>-3.6935214617271651E-2</v>
      </c>
      <c r="F1125">
        <f t="shared" si="69"/>
        <v>-3.92023327752061E-2</v>
      </c>
      <c r="G1125">
        <f t="shared" si="70"/>
        <v>-2.1308708190917898</v>
      </c>
      <c r="H1125">
        <f t="shared" si="71"/>
        <v>-2.8700027465820312</v>
      </c>
    </row>
    <row r="1126" spans="1:8" x14ac:dyDescent="0.2">
      <c r="A1126" t="s">
        <v>4</v>
      </c>
      <c r="B1126" s="2">
        <v>46198</v>
      </c>
      <c r="C1126">
        <v>55.690090179443359</v>
      </c>
      <c r="D1126">
        <f>_xlfn.XLOOKUP(B1126, Oil_Price!A:A, Oil_Price!B:B, "")</f>
        <v>71.919998168945312</v>
      </c>
      <c r="E1126">
        <f t="shared" si="68"/>
        <v>2.318907565563679E-3</v>
      </c>
      <c r="F1126">
        <f t="shared" si="69"/>
        <v>2.246235304683368E-2</v>
      </c>
      <c r="G1126">
        <f t="shared" si="70"/>
        <v>0.12884140014647727</v>
      </c>
      <c r="H1126">
        <f t="shared" si="71"/>
        <v>1.5800018310546875</v>
      </c>
    </row>
    <row r="1127" spans="1:8" x14ac:dyDescent="0.2">
      <c r="A1127" t="s">
        <v>4</v>
      </c>
      <c r="B1127" s="2">
        <v>46199</v>
      </c>
      <c r="C1127">
        <v>55.521602630615227</v>
      </c>
      <c r="D1127">
        <f>_xlfn.XLOOKUP(B1127, Oil_Price!A:A, Oil_Price!B:B, "")</f>
        <v>69.230003356933594</v>
      </c>
      <c r="E1127">
        <f t="shared" si="68"/>
        <v>-3.0254493804056574E-3</v>
      </c>
      <c r="F1127">
        <f t="shared" si="69"/>
        <v>-3.7402598449637399E-2</v>
      </c>
      <c r="G1127">
        <f t="shared" si="70"/>
        <v>-0.16848754882813211</v>
      </c>
      <c r="H1127">
        <f t="shared" si="71"/>
        <v>-2.6899948120117188</v>
      </c>
    </row>
    <row r="1128" spans="1:8" x14ac:dyDescent="0.2">
      <c r="A1128" t="s">
        <v>4</v>
      </c>
      <c r="B1128" s="2">
        <v>46202</v>
      </c>
      <c r="C1128">
        <v>55.392757415771477</v>
      </c>
      <c r="D1128">
        <f>_xlfn.XLOOKUP(B1128, Oil_Price!A:A, Oil_Price!B:B, "")</f>
        <v>70.75</v>
      </c>
      <c r="E1128">
        <f t="shared" si="68"/>
        <v>-2.3206321276595019E-3</v>
      </c>
      <c r="F1128">
        <f t="shared" si="69"/>
        <v>2.1955749954678777E-2</v>
      </c>
      <c r="G1128">
        <f t="shared" si="70"/>
        <v>-0.12884521484375</v>
      </c>
      <c r="H1128">
        <f t="shared" si="71"/>
        <v>1.5199966430664062</v>
      </c>
    </row>
    <row r="1129" spans="1:8" x14ac:dyDescent="0.2">
      <c r="A1129" t="s">
        <v>4</v>
      </c>
      <c r="B1129" s="2">
        <v>46203</v>
      </c>
      <c r="C1129">
        <v>55.620712280273438</v>
      </c>
      <c r="D1129">
        <f>_xlfn.XLOOKUP(B1129, Oil_Price!A:A, Oil_Price!B:B, "")</f>
        <v>69.5</v>
      </c>
      <c r="E1129">
        <f t="shared" si="68"/>
        <v>4.1152467422944485E-3</v>
      </c>
      <c r="F1129">
        <f t="shared" si="69"/>
        <v>-1.7667844522968199E-2</v>
      </c>
      <c r="G1129">
        <f t="shared" si="70"/>
        <v>0.22795486450196023</v>
      </c>
      <c r="H1129">
        <f t="shared" si="71"/>
        <v>-1.25</v>
      </c>
    </row>
    <row r="1130" spans="1:8" x14ac:dyDescent="0.2">
      <c r="A1130" t="s">
        <v>4</v>
      </c>
      <c r="B1130" s="2">
        <v>46205</v>
      </c>
      <c r="C1130">
        <v>55.719825744628913</v>
      </c>
      <c r="D1130">
        <f>_xlfn.XLOOKUP(B1130, Oil_Price!A:A, Oil_Price!B:B, "")</f>
        <v>68.69000244140625</v>
      </c>
      <c r="E1130">
        <f t="shared" si="68"/>
        <v>1.7819524470675946E-3</v>
      </c>
      <c r="F1130">
        <f t="shared" si="69"/>
        <v>-1.1654641130845324E-2</v>
      </c>
      <c r="G1130">
        <f t="shared" si="70"/>
        <v>9.9113464355475855E-2</v>
      </c>
      <c r="H1130">
        <f t="shared" si="71"/>
        <v>-0.80999755859375</v>
      </c>
    </row>
    <row r="1131" spans="1:8" x14ac:dyDescent="0.2">
      <c r="A1131" t="s">
        <v>4</v>
      </c>
      <c r="B1131" s="2">
        <v>46206</v>
      </c>
      <c r="C1131">
        <v>56.175731658935547</v>
      </c>
      <c r="D1131" t="str">
        <f>_xlfn.XLOOKUP(B1131, Oil_Price!A:A, Oil_Price!B:B, "")</f>
        <v/>
      </c>
      <c r="E1131">
        <f t="shared" si="68"/>
        <v>8.1821130668302631E-3</v>
      </c>
      <c r="F1131" t="str">
        <f t="shared" si="69"/>
        <v/>
      </c>
      <c r="G1131">
        <f t="shared" si="70"/>
        <v>0.45590591430663352</v>
      </c>
      <c r="H1131" t="str">
        <f t="shared" si="71"/>
        <v/>
      </c>
    </row>
    <row r="1132" spans="1:8" x14ac:dyDescent="0.2">
      <c r="A1132" t="s">
        <v>4</v>
      </c>
      <c r="B1132" s="2">
        <v>46209</v>
      </c>
      <c r="C1132">
        <v>55.452224731445312</v>
      </c>
      <c r="D1132">
        <f>_xlfn.XLOOKUP(B1132, Oil_Price!A:A, Oil_Price!B:B, "")</f>
        <v>68.550003051757812</v>
      </c>
      <c r="E1132">
        <f t="shared" si="68"/>
        <v>-1.2879350319510263E-2</v>
      </c>
      <c r="F1132" t="str">
        <f t="shared" si="69"/>
        <v/>
      </c>
      <c r="G1132">
        <f t="shared" si="70"/>
        <v>-0.72350692749023438</v>
      </c>
      <c r="H1132" t="str">
        <f t="shared" si="71"/>
        <v/>
      </c>
    </row>
    <row r="1133" spans="1:8" x14ac:dyDescent="0.2">
      <c r="A1133" t="s">
        <v>4</v>
      </c>
      <c r="B1133" s="2">
        <v>46210</v>
      </c>
      <c r="C1133">
        <v>57.226303100585938</v>
      </c>
      <c r="D1133">
        <f>_xlfn.XLOOKUP(B1133, Oil_Price!A:A, Oil_Price!B:B, "")</f>
        <v>70.44000244140625</v>
      </c>
      <c r="E1133">
        <f t="shared" si="68"/>
        <v>3.1992916023342123E-2</v>
      </c>
      <c r="F1133">
        <f t="shared" si="69"/>
        <v>2.7571105842568926E-2</v>
      </c>
      <c r="G1133">
        <f t="shared" si="70"/>
        <v>1.774078369140625</v>
      </c>
      <c r="H1133">
        <f t="shared" si="71"/>
        <v>1.8899993896484375</v>
      </c>
    </row>
    <row r="1134" spans="1:8" x14ac:dyDescent="0.2">
      <c r="A1134" t="s">
        <v>4</v>
      </c>
      <c r="B1134" s="2">
        <v>46211</v>
      </c>
      <c r="C1134">
        <v>59.555393218994141</v>
      </c>
      <c r="D1134">
        <f>_xlfn.XLOOKUP(B1134, Oil_Price!A:A, Oil_Price!B:B, "")</f>
        <v>73.519996643066406</v>
      </c>
      <c r="E1134">
        <f t="shared" si="68"/>
        <v>4.0699643209773512E-2</v>
      </c>
      <c r="F1134">
        <f t="shared" si="69"/>
        <v>4.3725072329776994E-2</v>
      </c>
      <c r="G1134">
        <f t="shared" si="70"/>
        <v>2.3290901184082031</v>
      </c>
      <c r="H1134">
        <f t="shared" si="71"/>
        <v>3.0799942016601562</v>
      </c>
    </row>
    <row r="1135" spans="1:8" x14ac:dyDescent="0.2">
      <c r="A1135" t="s">
        <v>4</v>
      </c>
      <c r="B1135" s="2">
        <v>46212</v>
      </c>
      <c r="C1135">
        <v>58.871532440185547</v>
      </c>
      <c r="D1135">
        <f>_xlfn.XLOOKUP(B1135, Oil_Price!A:A, Oil_Price!B:B, "")</f>
        <v>72.080001831054688</v>
      </c>
      <c r="E1135">
        <f t="shared" si="68"/>
        <v>-1.1482768257342115E-2</v>
      </c>
      <c r="F1135">
        <f t="shared" si="69"/>
        <v>-1.95864374015518E-2</v>
      </c>
      <c r="G1135">
        <f t="shared" si="70"/>
        <v>-0.68386077880859375</v>
      </c>
      <c r="H1135">
        <f t="shared" si="71"/>
        <v>-1.4399948120117188</v>
      </c>
    </row>
    <row r="1136" spans="1:8" x14ac:dyDescent="0.2">
      <c r="A1136" t="s">
        <v>4</v>
      </c>
      <c r="B1136" s="2">
        <v>46213</v>
      </c>
      <c r="C1136">
        <v>58.574199676513672</v>
      </c>
      <c r="D1136">
        <f>_xlfn.XLOOKUP(B1136, Oil_Price!A:A, Oil_Price!B:B, "")</f>
        <v>71.410003662109375</v>
      </c>
      <c r="E1136">
        <f t="shared" si="68"/>
        <v>-5.0505354854482511E-3</v>
      </c>
      <c r="F1136">
        <f t="shared" si="69"/>
        <v>-9.2952018857559594E-3</v>
      </c>
      <c r="G1136">
        <f t="shared" si="70"/>
        <v>-0.297332763671875</v>
      </c>
      <c r="H1136">
        <f t="shared" si="71"/>
        <v>-0.6699981689453125</v>
      </c>
    </row>
    <row r="1137" spans="1:8" x14ac:dyDescent="0.2">
      <c r="A1137" t="s">
        <v>4</v>
      </c>
      <c r="B1137" s="2">
        <v>46216</v>
      </c>
      <c r="C1137">
        <v>60.407741546630859</v>
      </c>
      <c r="D1137">
        <f>_xlfn.XLOOKUP(B1137, Oil_Price!A:A, Oil_Price!B:B, "")</f>
        <v>78.139999389648438</v>
      </c>
      <c r="E1137">
        <f t="shared" si="68"/>
        <v>3.1302892403878249E-2</v>
      </c>
      <c r="F1137">
        <f t="shared" si="69"/>
        <v>9.42444389077947E-2</v>
      </c>
      <c r="G1137">
        <f t="shared" si="70"/>
        <v>1.8335418701171875</v>
      </c>
      <c r="H1137">
        <f t="shared" si="71"/>
        <v>6.7299957275390625</v>
      </c>
    </row>
    <row r="1138" spans="1:8" x14ac:dyDescent="0.2">
      <c r="A1138" t="s">
        <v>4</v>
      </c>
      <c r="B1138" s="2">
        <v>46217</v>
      </c>
      <c r="C1138">
        <v>59.466194152832031</v>
      </c>
      <c r="D1138">
        <f>_xlfn.XLOOKUP(B1138, Oil_Price!A:A, Oil_Price!B:B, "")</f>
        <v>79.339996337890625</v>
      </c>
      <c r="E1138">
        <f t="shared" si="68"/>
        <v>-1.558653526339856E-2</v>
      </c>
      <c r="F1138">
        <f t="shared" si="69"/>
        <v>1.5357012511074533E-2</v>
      </c>
      <c r="G1138">
        <f t="shared" si="70"/>
        <v>-0.94154739379882812</v>
      </c>
      <c r="H1138">
        <f t="shared" si="71"/>
        <v>1.1999969482421875</v>
      </c>
    </row>
    <row r="1139" spans="1:8" x14ac:dyDescent="0.2">
      <c r="A1139" t="s">
        <v>4</v>
      </c>
      <c r="B1139" s="2">
        <v>46218</v>
      </c>
      <c r="C1139">
        <v>59.575214385986328</v>
      </c>
      <c r="D1139">
        <f>_xlfn.XLOOKUP(B1139, Oil_Price!A:A, Oil_Price!B:B, "")</f>
        <v>79.599998474121094</v>
      </c>
      <c r="E1139">
        <f t="shared" si="68"/>
        <v>1.8333144521424677E-3</v>
      </c>
      <c r="F1139">
        <f t="shared" si="69"/>
        <v>3.2770626195037875E-3</v>
      </c>
      <c r="G1139">
        <f t="shared" si="70"/>
        <v>0.10902023315429688</v>
      </c>
      <c r="H1139">
        <f t="shared" si="71"/>
        <v>0.26000213623046875</v>
      </c>
    </row>
    <row r="1140" spans="1:8" x14ac:dyDescent="0.2">
      <c r="A1140" t="s">
        <v>4</v>
      </c>
      <c r="B1140" s="2">
        <v>46219</v>
      </c>
      <c r="C1140">
        <v>59.664413452148438</v>
      </c>
      <c r="D1140">
        <f>_xlfn.XLOOKUP(B1140, Oil_Price!A:A, Oil_Price!B:B, "")</f>
        <v>78.949996948242188</v>
      </c>
      <c r="E1140">
        <f t="shared" si="68"/>
        <v>1.497251282793392E-3</v>
      </c>
      <c r="F1140">
        <f t="shared" si="69"/>
        <v>-8.1658484715955056E-3</v>
      </c>
      <c r="G1140">
        <f t="shared" si="70"/>
        <v>8.9199066162109375E-2</v>
      </c>
      <c r="H1140">
        <f t="shared" si="71"/>
        <v>-0.65000152587890625</v>
      </c>
    </row>
    <row r="1141" spans="1:8" x14ac:dyDescent="0.2">
      <c r="A1141" t="s">
        <v>4</v>
      </c>
      <c r="B1141" s="2">
        <v>46220</v>
      </c>
      <c r="C1141">
        <v>60.873558044433587</v>
      </c>
      <c r="D1141">
        <f>_xlfn.XLOOKUP(B1141, Oil_Price!A:A, Oil_Price!B:B, "")</f>
        <v>82.489997863769531</v>
      </c>
      <c r="E1141">
        <f t="shared" si="68"/>
        <v>2.0265758470162407E-2</v>
      </c>
      <c r="F1141">
        <f t="shared" si="69"/>
        <v>4.4838518712649066E-2</v>
      </c>
      <c r="G1141">
        <f t="shared" si="70"/>
        <v>1.2091445922851491</v>
      </c>
      <c r="H1141">
        <f t="shared" si="71"/>
        <v>3.5400009155273438</v>
      </c>
    </row>
    <row r="1142" spans="1:8" x14ac:dyDescent="0.2">
      <c r="A1142" t="s">
        <v>4</v>
      </c>
      <c r="B1142" s="2">
        <v>46223</v>
      </c>
      <c r="C1142">
        <v>61.3294677734375</v>
      </c>
      <c r="D1142">
        <f>_xlfn.XLOOKUP(B1142, Oil_Price!A:A, Oil_Price!B:B, "")</f>
        <v>83.230003356933594</v>
      </c>
      <c r="E1142">
        <f t="shared" si="68"/>
        <v>7.4894542663520676E-3</v>
      </c>
      <c r="F1142">
        <f t="shared" si="69"/>
        <v>8.970851161690727E-3</v>
      </c>
      <c r="G1142">
        <f t="shared" si="70"/>
        <v>0.45590972900391336</v>
      </c>
      <c r="H1142">
        <f t="shared" si="71"/>
        <v>0.7400054931640625</v>
      </c>
    </row>
    <row r="1143" spans="1:8" x14ac:dyDescent="0.2">
      <c r="A1143" t="s">
        <v>4</v>
      </c>
      <c r="B1143" s="2">
        <v>46224</v>
      </c>
      <c r="C1143">
        <v>62.746746063232422</v>
      </c>
      <c r="D1143">
        <f>_xlfn.XLOOKUP(B1143, Oil_Price!A:A, Oil_Price!B:B, "")</f>
        <v>84.910003662109375</v>
      </c>
      <c r="E1143">
        <f t="shared" si="68"/>
        <v>2.3109254673962156E-2</v>
      </c>
      <c r="F1143">
        <f t="shared" si="69"/>
        <v>2.0185032289030017E-2</v>
      </c>
      <c r="G1143">
        <f t="shared" si="70"/>
        <v>1.4172782897949219</v>
      </c>
      <c r="H1143">
        <f t="shared" si="71"/>
        <v>1.6800003051757812</v>
      </c>
    </row>
    <row r="1144" spans="1:8" x14ac:dyDescent="0.2">
      <c r="A1144" t="s">
        <v>4</v>
      </c>
      <c r="B1144" s="2">
        <v>46225</v>
      </c>
      <c r="C1144">
        <v>63.876602172851562</v>
      </c>
      <c r="D1144">
        <f>_xlfn.XLOOKUP(B1144, Oil_Price!A:A, Oil_Price!B:B, "")</f>
        <v>86.830001831054688</v>
      </c>
      <c r="E1144">
        <f t="shared" si="68"/>
        <v>1.8006608796582682E-2</v>
      </c>
      <c r="F1144">
        <f t="shared" si="69"/>
        <v>2.2612155059911994E-2</v>
      </c>
      <c r="G1144">
        <f t="shared" si="70"/>
        <v>1.1298561096191406</v>
      </c>
      <c r="H1144">
        <f t="shared" si="71"/>
        <v>1.9199981689453125</v>
      </c>
    </row>
    <row r="1145" spans="1:8" x14ac:dyDescent="0.2">
      <c r="A1145" t="s">
        <v>4</v>
      </c>
      <c r="B1145" s="2">
        <v>46226</v>
      </c>
      <c r="C1145">
        <v>65.611030578613281</v>
      </c>
      <c r="D1145">
        <f>_xlfn.XLOOKUP(B1145, Oil_Price!A:A, Oil_Price!B:B, "")</f>
        <v>92.19000244140625</v>
      </c>
      <c r="E1145">
        <f t="shared" si="68"/>
        <v>2.7152796904699399E-2</v>
      </c>
      <c r="F1145">
        <f t="shared" si="69"/>
        <v>6.1729822611089273E-2</v>
      </c>
      <c r="G1145">
        <f t="shared" si="70"/>
        <v>1.7344284057617188</v>
      </c>
      <c r="H1145">
        <f t="shared" si="71"/>
        <v>5.3600006103515625</v>
      </c>
    </row>
    <row r="1146" spans="1:8" x14ac:dyDescent="0.2">
      <c r="A1146" t="s">
        <v>4</v>
      </c>
      <c r="B1146" s="2">
        <v>46227</v>
      </c>
      <c r="C1146">
        <v>64.897445678710938</v>
      </c>
      <c r="D1146">
        <f>_xlfn.XLOOKUP(B1146, Oil_Price!A:A, Oil_Price!B:B, "")</f>
        <v>89.30999755859375</v>
      </c>
      <c r="E1146">
        <f t="shared" si="68"/>
        <v>-1.0875989808563462E-2</v>
      </c>
      <c r="F1146">
        <f t="shared" si="69"/>
        <v>-3.1239882921610312E-2</v>
      </c>
      <c r="G1146">
        <f t="shared" si="70"/>
        <v>-0.71358489990234375</v>
      </c>
      <c r="H1146">
        <f t="shared" si="71"/>
        <v>-2.8800048828125</v>
      </c>
    </row>
    <row r="1147" spans="1:8" x14ac:dyDescent="0.2">
      <c r="A1147" t="s">
        <v>4</v>
      </c>
      <c r="B1147" s="2">
        <v>46230</v>
      </c>
      <c r="C1147">
        <v>62.697189331054688</v>
      </c>
      <c r="D1147">
        <f>_xlfn.XLOOKUP(B1147, Oil_Price!A:A, Oil_Price!B:B, "")</f>
        <v>82.610000610351562</v>
      </c>
      <c r="E1147">
        <f t="shared" si="68"/>
        <v>-3.3903589342315604E-2</v>
      </c>
      <c r="F1147">
        <f t="shared" si="69"/>
        <v>-7.5019562550614899E-2</v>
      </c>
      <c r="G1147">
        <f t="shared" si="70"/>
        <v>-2.20025634765625</v>
      </c>
      <c r="H1147">
        <f t="shared" si="71"/>
        <v>-6.6999969482421875</v>
      </c>
    </row>
    <row r="1148" spans="1:8" x14ac:dyDescent="0.2">
      <c r="A1148" t="s">
        <v>4</v>
      </c>
      <c r="B1148" s="2">
        <v>46231</v>
      </c>
      <c r="C1148">
        <v>61.874576568603523</v>
      </c>
      <c r="D1148">
        <f>_xlfn.XLOOKUP(B1148, Oil_Price!A:A, Oil_Price!B:B, "")</f>
        <v>79.260002136230469</v>
      </c>
      <c r="E1148">
        <f t="shared" si="68"/>
        <v>-1.3120408924674309E-2</v>
      </c>
      <c r="F1148">
        <f t="shared" si="69"/>
        <v>-4.0551972513861931E-2</v>
      </c>
      <c r="G1148">
        <f t="shared" si="70"/>
        <v>-0.82261276245116477</v>
      </c>
      <c r="H1148">
        <f t="shared" si="71"/>
        <v>-3.3499984741210938</v>
      </c>
    </row>
    <row r="1149" spans="1:8" x14ac:dyDescent="0.2">
      <c r="A1149" t="s">
        <v>4</v>
      </c>
      <c r="B1149" s="2">
        <v>46232</v>
      </c>
      <c r="C1149">
        <v>64.728950500488281</v>
      </c>
      <c r="D1149">
        <f>_xlfn.XLOOKUP(B1149, Oil_Price!A:A, Oil_Price!B:B, "")</f>
        <v>84.459999084472656</v>
      </c>
      <c r="E1149">
        <f t="shared" si="68"/>
        <v>4.613161156294892E-2</v>
      </c>
      <c r="F1149">
        <f t="shared" si="69"/>
        <v>6.5606823215883084E-2</v>
      </c>
      <c r="G1149">
        <f t="shared" si="70"/>
        <v>2.8543739318847585</v>
      </c>
      <c r="H1149">
        <f t="shared" si="71"/>
        <v>5.1999969482421875</v>
      </c>
    </row>
    <row r="1150" spans="1:8" x14ac:dyDescent="0.2">
      <c r="A1150" t="s">
        <v>4</v>
      </c>
      <c r="B1150" s="2">
        <v>46233</v>
      </c>
      <c r="C1150">
        <v>65.630859375</v>
      </c>
      <c r="D1150">
        <f>_xlfn.XLOOKUP(B1150, Oil_Price!A:A, Oil_Price!B:B, "")</f>
        <v>83.589996337890625</v>
      </c>
      <c r="E1150">
        <f t="shared" si="68"/>
        <v>1.3933624252179328E-2</v>
      </c>
      <c r="F1150">
        <f t="shared" si="69"/>
        <v>-1.0300766706283031E-2</v>
      </c>
      <c r="G1150">
        <f t="shared" si="70"/>
        <v>0.90190887451171875</v>
      </c>
      <c r="H1150">
        <f t="shared" si="71"/>
        <v>-0.87000274658203125</v>
      </c>
    </row>
    <row r="1151" spans="1:8" x14ac:dyDescent="0.2">
      <c r="A1151" t="s">
        <v>4</v>
      </c>
      <c r="B1151" s="2">
        <v>46234</v>
      </c>
      <c r="C1151">
        <v>66.185874938964844</v>
      </c>
      <c r="D1151">
        <f>_xlfn.XLOOKUP(B1151, Oil_Price!A:A, Oil_Price!B:B, "")</f>
        <v>84.669998168945312</v>
      </c>
      <c r="E1151">
        <f t="shared" si="68"/>
        <v>8.4566249665208471E-3</v>
      </c>
      <c r="F1151">
        <f t="shared" si="69"/>
        <v>1.2920228237468315E-2</v>
      </c>
      <c r="G1151">
        <f t="shared" si="70"/>
        <v>0.55501556396484375</v>
      </c>
      <c r="H1151">
        <f t="shared" si="71"/>
        <v>1.0800018310546875</v>
      </c>
    </row>
    <row r="1152" spans="1:8" x14ac:dyDescent="0.2">
      <c r="A1152" t="s">
        <v>4</v>
      </c>
      <c r="B1152" s="2">
        <v>46238</v>
      </c>
      <c r="C1152">
        <v>64.352333068847656</v>
      </c>
      <c r="D1152">
        <f>_xlfn.XLOOKUP(B1152, Oil_Price!A:A, Oil_Price!B:B, "")</f>
        <v>75.769996643066406</v>
      </c>
      <c r="E1152">
        <f t="shared" si="68"/>
        <v>-2.7702918059299503E-2</v>
      </c>
      <c r="F1152">
        <f t="shared" si="69"/>
        <v>-0.10511399218552468</v>
      </c>
      <c r="G1152">
        <f t="shared" si="70"/>
        <v>-1.8335418701171875</v>
      </c>
      <c r="H1152">
        <f t="shared" si="71"/>
        <v>-8.9000015258789062</v>
      </c>
    </row>
    <row r="1153" spans="1:8" x14ac:dyDescent="0.2">
      <c r="A1153" t="s">
        <v>4</v>
      </c>
      <c r="B1153" s="2">
        <v>46239</v>
      </c>
      <c r="C1153">
        <v>62.290836334228523</v>
      </c>
      <c r="D1153">
        <f>_xlfn.XLOOKUP(B1153, Oil_Price!A:A, Oil_Price!B:B, "")</f>
        <v>75.220001220703125</v>
      </c>
      <c r="E1153">
        <f t="shared" si="68"/>
        <v>-3.2034529850124178E-2</v>
      </c>
      <c r="F1153">
        <f t="shared" si="69"/>
        <v>-7.2587494619298027E-3</v>
      </c>
      <c r="G1153">
        <f t="shared" si="70"/>
        <v>-2.0614967346191335</v>
      </c>
      <c r="H1153">
        <f t="shared" si="71"/>
        <v>-0.54999542236328125</v>
      </c>
    </row>
    <row r="1154" spans="1:8" x14ac:dyDescent="0.2">
      <c r="A1154" t="s">
        <v>4</v>
      </c>
      <c r="B1154" s="2">
        <v>46240</v>
      </c>
      <c r="C1154">
        <v>63.262119293212891</v>
      </c>
      <c r="D1154">
        <f>_xlfn.XLOOKUP(B1154, Oil_Price!A:A, Oil_Price!B:B, "")</f>
        <v>77.290000915527344</v>
      </c>
      <c r="E1154">
        <f t="shared" si="68"/>
        <v>1.5592710198540912E-2</v>
      </c>
      <c r="F1154">
        <f t="shared" si="69"/>
        <v>2.7519272284383903E-2</v>
      </c>
      <c r="G1154">
        <f t="shared" si="70"/>
        <v>0.97128295898436789</v>
      </c>
      <c r="H1154">
        <f t="shared" si="71"/>
        <v>2.0699996948242188</v>
      </c>
    </row>
    <row r="1155" spans="1:8" x14ac:dyDescent="0.2">
      <c r="A1155" t="s">
        <v>4</v>
      </c>
      <c r="B1155" s="2">
        <v>46241</v>
      </c>
      <c r="C1155">
        <v>62.885501861572273</v>
      </c>
      <c r="D1155">
        <f>_xlfn.XLOOKUP(B1155, Oil_Price!A:A, Oil_Price!B:B, "")</f>
        <v>78.180000305175781</v>
      </c>
      <c r="E1155">
        <f t="shared" ref="E1155:E1218" si="72">IFERROR(IF(AND(A1155=A1154, C1155&lt;&gt;"", C1154&lt;&gt;""), (C1155-C1154)/C1154, ""), "")</f>
        <v>-5.9532850914310658E-3</v>
      </c>
      <c r="F1155">
        <f t="shared" ref="F1155:F1218" si="73">IFERROR(IF(AND(A1155=A1154, D1155&lt;&gt;"", D1154&lt;&gt;""), (D1155-D1154)/D1154, ""), "")</f>
        <v>1.1515065068004666E-2</v>
      </c>
      <c r="G1155">
        <f t="shared" ref="G1155:G1218" si="74">IFERROR(IF(AND(A1155=A1154, C1155&lt;&gt;"", C1154&lt;&gt;""), C1155-C1154, ""), "")</f>
        <v>-0.37661743164061789</v>
      </c>
      <c r="H1155">
        <f t="shared" ref="H1155:H1218" si="75">IFERROR(IF(AND(A1155=A1154, D1155&lt;&gt;"", D1154&lt;&gt;""), D1155-D1154, ""), "")</f>
        <v>0.8899993896484375</v>
      </c>
    </row>
    <row r="1156" spans="1:8" x14ac:dyDescent="0.2">
      <c r="A1156" t="s">
        <v>4</v>
      </c>
      <c r="B1156" s="2">
        <v>46244</v>
      </c>
      <c r="C1156">
        <v>65.244331359863281</v>
      </c>
      <c r="D1156">
        <f>_xlfn.XLOOKUP(B1156, Oil_Price!A:A, Oil_Price!B:B, "")</f>
        <v>82.129997253417969</v>
      </c>
      <c r="E1156">
        <f t="shared" si="72"/>
        <v>3.7509909732189463E-2</v>
      </c>
      <c r="F1156">
        <f t="shared" si="73"/>
        <v>5.0524391568474887E-2</v>
      </c>
      <c r="G1156">
        <f t="shared" si="74"/>
        <v>2.3588294982910085</v>
      </c>
      <c r="H1156">
        <f t="shared" si="75"/>
        <v>3.9499969482421875</v>
      </c>
    </row>
    <row r="1157" spans="1:8" x14ac:dyDescent="0.2">
      <c r="A1157" t="s">
        <v>4</v>
      </c>
      <c r="B1157" s="2">
        <v>46245</v>
      </c>
      <c r="C1157">
        <v>65.729965209960938</v>
      </c>
      <c r="D1157">
        <f>_xlfn.XLOOKUP(B1157, Oil_Price!A:A, Oil_Price!B:B, "")</f>
        <v>83.199996948242188</v>
      </c>
      <c r="E1157">
        <f t="shared" si="72"/>
        <v>7.4433110122484342E-3</v>
      </c>
      <c r="F1157">
        <f t="shared" si="73"/>
        <v>1.3028122861402982E-2</v>
      </c>
      <c r="G1157">
        <f t="shared" si="74"/>
        <v>0.48563385009765625</v>
      </c>
      <c r="H1157">
        <f t="shared" si="75"/>
        <v>1.0699996948242188</v>
      </c>
    </row>
    <row r="1158" spans="1:8" x14ac:dyDescent="0.2">
      <c r="A1158" t="s">
        <v>4</v>
      </c>
      <c r="B1158" s="2">
        <v>46246</v>
      </c>
      <c r="C1158">
        <v>65.7894287109375</v>
      </c>
      <c r="D1158">
        <f>_xlfn.XLOOKUP(B1158, Oil_Price!A:A, Oil_Price!B:B, "")</f>
        <v>83.269996643066406</v>
      </c>
      <c r="E1158">
        <f t="shared" si="72"/>
        <v>9.0466350904976902E-4</v>
      </c>
      <c r="F1158">
        <f t="shared" si="73"/>
        <v>8.4134251672827337E-4</v>
      </c>
      <c r="G1158">
        <f t="shared" si="74"/>
        <v>5.94635009765625E-2</v>
      </c>
      <c r="H1158">
        <f t="shared" si="75"/>
        <v>6.999969482421875E-2</v>
      </c>
    </row>
    <row r="1159" spans="1:8" x14ac:dyDescent="0.2">
      <c r="A1159" t="s">
        <v>4</v>
      </c>
      <c r="B1159" s="2">
        <v>46247</v>
      </c>
      <c r="C1159">
        <v>65.759696960449219</v>
      </c>
      <c r="D1159">
        <f>_xlfn.XLOOKUP(B1159, Oil_Price!A:A, Oil_Price!B:B, "")</f>
        <v>81.25</v>
      </c>
      <c r="E1159">
        <f t="shared" si="72"/>
        <v>-4.5192291635355608E-4</v>
      </c>
      <c r="F1159">
        <f t="shared" si="73"/>
        <v>-2.4258397075780404E-2</v>
      </c>
      <c r="G1159">
        <f t="shared" si="74"/>
        <v>-2.973175048828125E-2</v>
      </c>
      <c r="H1159">
        <f t="shared" si="75"/>
        <v>-2.0199966430664062</v>
      </c>
    </row>
    <row r="1160" spans="1:8" x14ac:dyDescent="0.2">
      <c r="A1160" t="s">
        <v>4</v>
      </c>
      <c r="B1160" s="2">
        <v>46248</v>
      </c>
      <c r="C1160">
        <v>65.819168090820312</v>
      </c>
      <c r="D1160">
        <f>_xlfn.XLOOKUP(B1160, Oil_Price!A:A, Oil_Price!B:B, "")</f>
        <v>82.400001525878906</v>
      </c>
      <c r="E1160">
        <f t="shared" si="72"/>
        <v>9.0437050533949859E-4</v>
      </c>
      <c r="F1160">
        <f t="shared" si="73"/>
        <v>1.4153864933894231E-2</v>
      </c>
      <c r="G1160">
        <f t="shared" si="74"/>
        <v>5.947113037109375E-2</v>
      </c>
      <c r="H1160">
        <f t="shared" si="75"/>
        <v>1.1500015258789062</v>
      </c>
    </row>
    <row r="1161" spans="1:8" x14ac:dyDescent="0.2">
      <c r="A1161" t="s">
        <v>4</v>
      </c>
      <c r="B1161" s="2">
        <v>46251</v>
      </c>
      <c r="C1161">
        <v>67.771636962890625</v>
      </c>
      <c r="D1161">
        <f>_xlfn.XLOOKUP(B1161, Oil_Price!A:A, Oil_Price!B:B, "")</f>
        <v>84.5</v>
      </c>
      <c r="E1161">
        <f t="shared" si="72"/>
        <v>2.9664137799131799E-2</v>
      </c>
      <c r="F1161">
        <f t="shared" si="73"/>
        <v>2.548541790331835E-2</v>
      </c>
      <c r="G1161">
        <f t="shared" si="74"/>
        <v>1.9524688720703125</v>
      </c>
      <c r="H1161">
        <f t="shared" si="75"/>
        <v>2.0999984741210938</v>
      </c>
    </row>
    <row r="1162" spans="1:8" x14ac:dyDescent="0.2">
      <c r="A1162" t="s">
        <v>4</v>
      </c>
      <c r="B1162" s="2">
        <v>46252</v>
      </c>
      <c r="C1162">
        <v>68.376213073730469</v>
      </c>
      <c r="D1162">
        <f>_xlfn.XLOOKUP(B1162, Oil_Price!A:A, Oil_Price!B:B, "")</f>
        <v>84.94000244140625</v>
      </c>
      <c r="E1162">
        <f t="shared" si="72"/>
        <v>8.920783648340801E-3</v>
      </c>
      <c r="F1162">
        <f t="shared" si="73"/>
        <v>5.2071294840976331E-3</v>
      </c>
      <c r="G1162">
        <f t="shared" si="74"/>
        <v>0.60457611083984375</v>
      </c>
      <c r="H1162">
        <f t="shared" si="75"/>
        <v>0.44000244140625</v>
      </c>
    </row>
    <row r="1163" spans="1:8" x14ac:dyDescent="0.2">
      <c r="A1163" t="s">
        <v>4</v>
      </c>
      <c r="B1163" s="2">
        <v>46253</v>
      </c>
      <c r="C1163">
        <v>67.870750427246094</v>
      </c>
      <c r="D1163">
        <f>_xlfn.XLOOKUP(B1163, Oil_Price!A:A, Oil_Price!B:B, "")</f>
        <v>85.830001831054688</v>
      </c>
      <c r="E1163">
        <f t="shared" si="72"/>
        <v>-7.3923755610643673E-3</v>
      </c>
      <c r="F1163">
        <f t="shared" si="73"/>
        <v>1.0477976972774182E-2</v>
      </c>
      <c r="G1163">
        <f t="shared" si="74"/>
        <v>-0.505462646484375</v>
      </c>
      <c r="H1163">
        <f t="shared" si="75"/>
        <v>0.8899993896484375</v>
      </c>
    </row>
    <row r="1164" spans="1:8" x14ac:dyDescent="0.2">
      <c r="A1164" t="s">
        <v>4</v>
      </c>
      <c r="B1164" s="2">
        <v>46254</v>
      </c>
      <c r="C1164">
        <v>69.813316345214844</v>
      </c>
      <c r="D1164">
        <f>_xlfn.XLOOKUP(B1164, Oil_Price!A:A, Oil_Price!B:B, "")</f>
        <v>87.830001831054688</v>
      </c>
      <c r="E1164">
        <f t="shared" si="72"/>
        <v>2.8621547658458254E-2</v>
      </c>
      <c r="F1164">
        <f t="shared" si="73"/>
        <v>2.3301875303891322E-2</v>
      </c>
      <c r="G1164">
        <f t="shared" si="74"/>
        <v>1.94256591796875</v>
      </c>
      <c r="H1164">
        <f t="shared" si="75"/>
        <v>2</v>
      </c>
    </row>
    <row r="1165" spans="1:8" x14ac:dyDescent="0.2">
      <c r="A1165" t="s">
        <v>4</v>
      </c>
      <c r="B1165" s="2">
        <v>46255</v>
      </c>
      <c r="C1165">
        <v>70.180015563964844</v>
      </c>
      <c r="D1165">
        <f>_xlfn.XLOOKUP(B1165, Oil_Price!A:A, Oil_Price!B:B, "")</f>
        <v>87.05999755859375</v>
      </c>
      <c r="E1165">
        <f t="shared" si="72"/>
        <v>5.252568391633702E-3</v>
      </c>
      <c r="F1165">
        <f t="shared" si="73"/>
        <v>-8.7669845885017562E-3</v>
      </c>
      <c r="G1165">
        <f t="shared" si="74"/>
        <v>0.36669921875</v>
      </c>
      <c r="H1165">
        <f t="shared" si="75"/>
        <v>-0.7700042724609375</v>
      </c>
    </row>
    <row r="1166" spans="1:8" x14ac:dyDescent="0.2">
      <c r="A1166" t="s">
        <v>4</v>
      </c>
      <c r="B1166" s="2">
        <v>46258</v>
      </c>
      <c r="C1166">
        <v>69.644821166992188</v>
      </c>
      <c r="D1166">
        <f>_xlfn.XLOOKUP(B1166, Oil_Price!A:A, Oil_Price!B:B, "")</f>
        <v>85.010002136230469</v>
      </c>
      <c r="E1166">
        <f t="shared" si="72"/>
        <v>-7.626022774031147E-3</v>
      </c>
      <c r="F1166">
        <f t="shared" si="73"/>
        <v>-2.3546927174947122E-2</v>
      </c>
      <c r="G1166">
        <f t="shared" si="74"/>
        <v>-0.53519439697265625</v>
      </c>
      <c r="H1166">
        <f t="shared" si="75"/>
        <v>-2.0499954223632812</v>
      </c>
    </row>
    <row r="1167" spans="1:8" x14ac:dyDescent="0.2">
      <c r="A1167" t="s">
        <v>4</v>
      </c>
      <c r="B1167" s="2">
        <v>46259</v>
      </c>
      <c r="C1167">
        <v>68.0689697265625</v>
      </c>
      <c r="D1167">
        <f>_xlfn.XLOOKUP(B1167, Oil_Price!A:A, Oil_Price!B:B, "")</f>
        <v>82.360000610351562</v>
      </c>
      <c r="E1167">
        <f t="shared" si="72"/>
        <v>-2.262697231501478E-2</v>
      </c>
      <c r="F1167">
        <f t="shared" si="73"/>
        <v>-3.117282036568142E-2</v>
      </c>
      <c r="G1167">
        <f t="shared" si="74"/>
        <v>-1.5758514404296875</v>
      </c>
      <c r="H1167">
        <f t="shared" si="75"/>
        <v>-2.6500015258789062</v>
      </c>
    </row>
    <row r="1168" spans="1:8" x14ac:dyDescent="0.2">
      <c r="A1168" t="s">
        <v>4</v>
      </c>
      <c r="B1168" s="2">
        <v>46260</v>
      </c>
      <c r="C1168">
        <v>68.316749572753906</v>
      </c>
      <c r="D1168">
        <f>_xlfn.XLOOKUP(B1168, Oil_Price!A:A, Oil_Price!B:B, "")</f>
        <v>82.230003356933594</v>
      </c>
      <c r="E1168">
        <f t="shared" si="72"/>
        <v>3.6401292275577857E-3</v>
      </c>
      <c r="F1168">
        <f t="shared" si="73"/>
        <v>-1.5784027738536687E-3</v>
      </c>
      <c r="G1168">
        <f t="shared" si="74"/>
        <v>0.24777984619140625</v>
      </c>
      <c r="H1168">
        <f t="shared" si="75"/>
        <v>-0.12999725341796875</v>
      </c>
    </row>
    <row r="1169" spans="1:8" x14ac:dyDescent="0.2">
      <c r="A1169" t="s">
        <v>4</v>
      </c>
      <c r="B1169" s="2">
        <v>46261</v>
      </c>
      <c r="C1169">
        <v>68.415855407714844</v>
      </c>
      <c r="D1169">
        <f>_xlfn.XLOOKUP(B1169, Oil_Price!A:A, Oil_Price!B:B, "")</f>
        <v>83.529998779296875</v>
      </c>
      <c r="E1169">
        <f t="shared" si="72"/>
        <v>1.4506813567790541E-3</v>
      </c>
      <c r="F1169">
        <f t="shared" si="73"/>
        <v>1.5809259020949148E-2</v>
      </c>
      <c r="G1169">
        <f t="shared" si="74"/>
        <v>9.91058349609375E-2</v>
      </c>
      <c r="H1169">
        <f t="shared" si="75"/>
        <v>1.2999954223632812</v>
      </c>
    </row>
    <row r="1170" spans="1:8" x14ac:dyDescent="0.2">
      <c r="A1170" t="s">
        <v>4</v>
      </c>
      <c r="B1170" s="2">
        <v>46262</v>
      </c>
      <c r="C1170">
        <v>67.533775329589844</v>
      </c>
      <c r="D1170">
        <f>_xlfn.XLOOKUP(B1170, Oil_Price!A:A, Oil_Price!B:B, "")</f>
        <v>83.400001525878906</v>
      </c>
      <c r="E1170">
        <f t="shared" si="72"/>
        <v>-1.28929189420839E-2</v>
      </c>
      <c r="F1170">
        <f t="shared" si="73"/>
        <v>-1.5562942094785341E-3</v>
      </c>
      <c r="G1170">
        <f t="shared" si="74"/>
        <v>-0.882080078125</v>
      </c>
      <c r="H1170">
        <f t="shared" si="75"/>
        <v>-0.12999725341796875</v>
      </c>
    </row>
    <row r="1171" spans="1:8" x14ac:dyDescent="0.2">
      <c r="A1171" t="s">
        <v>4</v>
      </c>
      <c r="B1171" s="2">
        <v>46265</v>
      </c>
      <c r="C1171">
        <v>68.87176513671875</v>
      </c>
      <c r="D1171">
        <f>_xlfn.XLOOKUP(B1171, Oil_Price!A:A, Oil_Price!B:B, "")</f>
        <v>85.760002136230469</v>
      </c>
      <c r="E1171">
        <f t="shared" si="72"/>
        <v>1.981215770329765E-2</v>
      </c>
      <c r="F1171">
        <f t="shared" si="73"/>
        <v>2.8297368910949691E-2</v>
      </c>
      <c r="G1171">
        <f t="shared" si="74"/>
        <v>1.3379898071289062</v>
      </c>
      <c r="H1171">
        <f t="shared" si="75"/>
        <v>2.3600006103515625</v>
      </c>
    </row>
    <row r="1172" spans="1:8" x14ac:dyDescent="0.2">
      <c r="A1172" t="s">
        <v>4</v>
      </c>
      <c r="B1172" s="2">
        <v>46266</v>
      </c>
      <c r="C1172">
        <v>71.428810119628906</v>
      </c>
      <c r="D1172">
        <f>_xlfn.XLOOKUP(B1172, Oil_Price!A:A, Oil_Price!B:B, "")</f>
        <v>90.220001220703125</v>
      </c>
      <c r="E1172">
        <f t="shared" si="72"/>
        <v>3.7127623748775915E-2</v>
      </c>
      <c r="F1172">
        <f t="shared" si="73"/>
        <v>5.2005585044038488E-2</v>
      </c>
      <c r="G1172">
        <f t="shared" si="74"/>
        <v>2.5570449829101562</v>
      </c>
      <c r="H1172">
        <f t="shared" si="75"/>
        <v>4.4599990844726562</v>
      </c>
    </row>
    <row r="1173" spans="1:8" x14ac:dyDescent="0.2">
      <c r="A1173" t="s">
        <v>4</v>
      </c>
      <c r="B1173" s="2">
        <v>46267</v>
      </c>
      <c r="C1173">
        <v>71.012550354003906</v>
      </c>
      <c r="D1173">
        <f>_xlfn.XLOOKUP(B1173, Oil_Price!A:A, Oil_Price!B:B, "")</f>
        <v>91.010002136230469</v>
      </c>
      <c r="E1173">
        <f t="shared" si="72"/>
        <v>-5.8276172447482818E-3</v>
      </c>
      <c r="F1173">
        <f t="shared" si="73"/>
        <v>8.7563833389314918E-3</v>
      </c>
      <c r="G1173">
        <f t="shared" si="74"/>
        <v>-0.416259765625</v>
      </c>
      <c r="H1173">
        <f t="shared" si="75"/>
        <v>0.79000091552734375</v>
      </c>
    </row>
    <row r="1174" spans="1:8" x14ac:dyDescent="0.2">
      <c r="A1174" t="s">
        <v>4</v>
      </c>
      <c r="B1174" s="2">
        <v>46268</v>
      </c>
      <c r="C1174">
        <v>69.922332763671875</v>
      </c>
      <c r="D1174">
        <f>_xlfn.XLOOKUP(B1174, Oil_Price!A:A, Oil_Price!B:B, "")</f>
        <v>91.300003051757812</v>
      </c>
      <c r="E1174">
        <f t="shared" si="72"/>
        <v>-1.5352463541968274E-2</v>
      </c>
      <c r="F1174">
        <f t="shared" si="73"/>
        <v>3.1864730108812551E-3</v>
      </c>
      <c r="G1174">
        <f t="shared" si="74"/>
        <v>-1.0902175903320312</v>
      </c>
      <c r="H1174">
        <f t="shared" si="75"/>
        <v>0.29000091552734375</v>
      </c>
    </row>
    <row r="1175" spans="1:8" x14ac:dyDescent="0.2">
      <c r="A1175" t="s">
        <v>4</v>
      </c>
      <c r="B1175" s="2">
        <v>46269</v>
      </c>
      <c r="C1175">
        <v>69.1591796875</v>
      </c>
      <c r="D1175">
        <f>_xlfn.XLOOKUP(B1175, Oil_Price!A:A, Oil_Price!B:B, "")</f>
        <v>91.480003356933594</v>
      </c>
      <c r="E1175">
        <f t="shared" si="72"/>
        <v>-1.0914296563177179E-2</v>
      </c>
      <c r="F1175">
        <f t="shared" si="73"/>
        <v>1.9715257301113056E-3</v>
      </c>
      <c r="G1175">
        <f t="shared" si="74"/>
        <v>-0.763153076171875</v>
      </c>
      <c r="H1175">
        <f t="shared" si="75"/>
        <v>0.18000030517578125</v>
      </c>
    </row>
    <row r="1176" spans="1:8" x14ac:dyDescent="0.2">
      <c r="A1176" t="s">
        <v>4</v>
      </c>
      <c r="B1176" s="2">
        <v>46273</v>
      </c>
      <c r="C1176">
        <v>69.54571533203125</v>
      </c>
      <c r="D1176">
        <f>_xlfn.XLOOKUP(B1176, Oil_Price!A:A, Oil_Price!B:B, "")</f>
        <v>93.029998779296875</v>
      </c>
      <c r="E1176">
        <f t="shared" si="72"/>
        <v>5.5890721416569002E-3</v>
      </c>
      <c r="F1176">
        <f t="shared" si="73"/>
        <v>1.694354356673514E-2</v>
      </c>
      <c r="G1176">
        <f t="shared" si="74"/>
        <v>0.38653564453125</v>
      </c>
      <c r="H1176">
        <f t="shared" si="75"/>
        <v>1.5499954223632812</v>
      </c>
    </row>
    <row r="1177" spans="1:8" x14ac:dyDescent="0.2">
      <c r="A1177" t="s">
        <v>4</v>
      </c>
      <c r="B1177" s="2">
        <v>46274</v>
      </c>
      <c r="C1177">
        <v>70.279136657714844</v>
      </c>
      <c r="D1177">
        <f>_xlfn.XLOOKUP(B1177, Oil_Price!A:A, Oil_Price!B:B, "")</f>
        <v>96.050003051757812</v>
      </c>
      <c r="E1177">
        <f t="shared" si="72"/>
        <v>1.0545888013115248E-2</v>
      </c>
      <c r="F1177">
        <f t="shared" si="73"/>
        <v>3.2462692809719959E-2</v>
      </c>
      <c r="G1177">
        <f t="shared" si="74"/>
        <v>0.73342132568359375</v>
      </c>
      <c r="H1177">
        <f t="shared" si="75"/>
        <v>3.0200042724609375</v>
      </c>
    </row>
    <row r="1178" spans="1:8" x14ac:dyDescent="0.2">
      <c r="A1178" t="s">
        <v>4</v>
      </c>
      <c r="B1178" s="2">
        <v>46275</v>
      </c>
      <c r="C1178">
        <v>69.625</v>
      </c>
      <c r="D1178">
        <f>_xlfn.XLOOKUP(B1178, Oil_Price!A:A, Oil_Price!B:B, "")</f>
        <v>102.48000335693359</v>
      </c>
      <c r="E1178">
        <f t="shared" si="72"/>
        <v>-9.3076934183288149E-3</v>
      </c>
      <c r="F1178">
        <f t="shared" si="73"/>
        <v>6.6944300894096698E-2</v>
      </c>
      <c r="G1178">
        <f t="shared" si="74"/>
        <v>-0.65413665771484375</v>
      </c>
      <c r="H1178">
        <f t="shared" si="75"/>
        <v>6.4300003051757812</v>
      </c>
    </row>
    <row r="1179" spans="1:8" x14ac:dyDescent="0.2">
      <c r="A1179" t="s">
        <v>4</v>
      </c>
      <c r="B1179" s="2">
        <v>46276</v>
      </c>
      <c r="C1179">
        <v>69.319999694824219</v>
      </c>
      <c r="D1179">
        <f>_xlfn.XLOOKUP(B1179, Oil_Price!A:A, Oil_Price!B:B, "")</f>
        <v>100.0500030517578</v>
      </c>
      <c r="E1179">
        <f t="shared" si="72"/>
        <v>-4.3806147960614899E-3</v>
      </c>
      <c r="F1179">
        <f t="shared" si="73"/>
        <v>-2.3711945995085554E-2</v>
      </c>
      <c r="G1179">
        <f t="shared" si="74"/>
        <v>-0.30500030517578125</v>
      </c>
      <c r="H1179">
        <f t="shared" si="75"/>
        <v>-2.4300003051757955</v>
      </c>
    </row>
    <row r="1180" spans="1:8" x14ac:dyDescent="0.2">
      <c r="A1180" t="s">
        <v>4</v>
      </c>
      <c r="B1180" s="2">
        <v>46279</v>
      </c>
      <c r="C1180">
        <v>69.94000244140625</v>
      </c>
      <c r="D1180">
        <f>_xlfn.XLOOKUP(B1180, Oil_Price!A:A, Oil_Price!B:B, "")</f>
        <v>101.38999938964839</v>
      </c>
      <c r="E1180">
        <f t="shared" si="72"/>
        <v>8.9440673587931913E-3</v>
      </c>
      <c r="F1180">
        <f t="shared" si="73"/>
        <v>1.3393266337007412E-2</v>
      </c>
      <c r="G1180">
        <f t="shared" si="74"/>
        <v>0.62000274658203125</v>
      </c>
      <c r="H1180">
        <f t="shared" si="75"/>
        <v>1.3399963378905966</v>
      </c>
    </row>
    <row r="1181" spans="1:8" x14ac:dyDescent="0.2">
      <c r="A1181" t="s">
        <v>4</v>
      </c>
      <c r="B1181" s="2">
        <v>46280</v>
      </c>
      <c r="C1181">
        <v>71.430000305175781</v>
      </c>
      <c r="D1181">
        <f>_xlfn.XLOOKUP(B1181, Oil_Price!A:A, Oil_Price!B:B, "")</f>
        <v>105.8300018310547</v>
      </c>
      <c r="E1181">
        <f t="shared" si="72"/>
        <v>2.130394354815485E-2</v>
      </c>
      <c r="F1181">
        <f t="shared" si="73"/>
        <v>4.3791325260226971E-2</v>
      </c>
      <c r="G1181">
        <f t="shared" si="74"/>
        <v>1.4899978637695312</v>
      </c>
      <c r="H1181">
        <f t="shared" si="75"/>
        <v>4.4400024414063068</v>
      </c>
    </row>
    <row r="1182" spans="1:8" x14ac:dyDescent="0.2">
      <c r="A1182" t="s">
        <v>12</v>
      </c>
      <c r="B1182" s="2">
        <v>44565</v>
      </c>
      <c r="C1182">
        <v>14.39944648742676</v>
      </c>
      <c r="D1182">
        <f>_xlfn.XLOOKUP(B1182, Oil_Price!A:A, Oil_Price!B:B, "")</f>
        <v>76.989997863769531</v>
      </c>
      <c r="E1182" t="str">
        <f t="shared" si="72"/>
        <v/>
      </c>
      <c r="F1182" t="str">
        <f t="shared" si="73"/>
        <v/>
      </c>
      <c r="G1182" t="str">
        <f t="shared" si="74"/>
        <v/>
      </c>
      <c r="H1182" t="str">
        <f t="shared" si="75"/>
        <v/>
      </c>
    </row>
    <row r="1183" spans="1:8" x14ac:dyDescent="0.2">
      <c r="A1183" t="s">
        <v>12</v>
      </c>
      <c r="B1183" s="2">
        <v>44566</v>
      </c>
      <c r="C1183">
        <v>14.664791107177731</v>
      </c>
      <c r="D1183">
        <f>_xlfn.XLOOKUP(B1183, Oil_Price!A:A, Oil_Price!B:B, "")</f>
        <v>77.849998474121094</v>
      </c>
      <c r="E1183">
        <f t="shared" si="72"/>
        <v>1.8427418024898636E-2</v>
      </c>
      <c r="F1183">
        <f t="shared" si="73"/>
        <v>1.1170290092400007E-2</v>
      </c>
      <c r="G1183">
        <f t="shared" si="74"/>
        <v>0.26534461975097123</v>
      </c>
      <c r="H1183">
        <f t="shared" si="75"/>
        <v>0.8600006103515625</v>
      </c>
    </row>
    <row r="1184" spans="1:8" x14ac:dyDescent="0.2">
      <c r="A1184" t="s">
        <v>12</v>
      </c>
      <c r="B1184" s="2">
        <v>44567</v>
      </c>
      <c r="C1184">
        <v>15.248552322387701</v>
      </c>
      <c r="D1184">
        <f>_xlfn.XLOOKUP(B1184, Oil_Price!A:A, Oil_Price!B:B, "")</f>
        <v>79.459999084472656</v>
      </c>
      <c r="E1184">
        <f t="shared" si="72"/>
        <v>3.9806991517543397E-2</v>
      </c>
      <c r="F1184">
        <f t="shared" si="73"/>
        <v>2.0680804648785692E-2</v>
      </c>
      <c r="G1184">
        <f t="shared" si="74"/>
        <v>0.58376121520996982</v>
      </c>
      <c r="H1184">
        <f t="shared" si="75"/>
        <v>1.6100006103515625</v>
      </c>
    </row>
    <row r="1185" spans="1:8" x14ac:dyDescent="0.2">
      <c r="A1185" t="s">
        <v>12</v>
      </c>
      <c r="B1185" s="2">
        <v>44568</v>
      </c>
      <c r="C1185">
        <v>15.33699989318848</v>
      </c>
      <c r="D1185">
        <f>_xlfn.XLOOKUP(B1185, Oil_Price!A:A, Oil_Price!B:B, "")</f>
        <v>78.900001525878906</v>
      </c>
      <c r="E1185">
        <f t="shared" si="72"/>
        <v>5.8003913375384523E-3</v>
      </c>
      <c r="F1185">
        <f t="shared" si="73"/>
        <v>-7.0475404611875913E-3</v>
      </c>
      <c r="G1185">
        <f t="shared" si="74"/>
        <v>8.8447570800779474E-2</v>
      </c>
      <c r="H1185">
        <f t="shared" si="75"/>
        <v>-0.55999755859375</v>
      </c>
    </row>
    <row r="1186" spans="1:8" x14ac:dyDescent="0.2">
      <c r="A1186" t="s">
        <v>12</v>
      </c>
      <c r="B1186" s="2">
        <v>44571</v>
      </c>
      <c r="C1186">
        <v>15.230860710144039</v>
      </c>
      <c r="D1186">
        <f>_xlfn.XLOOKUP(B1186, Oil_Price!A:A, Oil_Price!B:B, "")</f>
        <v>78.230003356933594</v>
      </c>
      <c r="E1186">
        <f t="shared" si="72"/>
        <v>-6.9204657875481627E-3</v>
      </c>
      <c r="F1186">
        <f t="shared" si="73"/>
        <v>-8.4917383521919913E-3</v>
      </c>
      <c r="G1186">
        <f t="shared" si="74"/>
        <v>-0.1061391830444407</v>
      </c>
      <c r="H1186">
        <f t="shared" si="75"/>
        <v>-0.6699981689453125</v>
      </c>
    </row>
    <row r="1187" spans="1:8" x14ac:dyDescent="0.2">
      <c r="A1187" t="s">
        <v>12</v>
      </c>
      <c r="B1187" s="2">
        <v>44572</v>
      </c>
      <c r="C1187">
        <v>15.779245376586911</v>
      </c>
      <c r="D1187">
        <f>_xlfn.XLOOKUP(B1187, Oil_Price!A:A, Oil_Price!B:B, "")</f>
        <v>81.220001220703125</v>
      </c>
      <c r="E1187">
        <f t="shared" si="72"/>
        <v>3.6004837604327676E-2</v>
      </c>
      <c r="F1187">
        <f t="shared" si="73"/>
        <v>3.8220602524166009E-2</v>
      </c>
      <c r="G1187">
        <f t="shared" si="74"/>
        <v>0.54838466644287109</v>
      </c>
      <c r="H1187">
        <f t="shared" si="75"/>
        <v>2.9899978637695312</v>
      </c>
    </row>
    <row r="1188" spans="1:8" x14ac:dyDescent="0.2">
      <c r="A1188" t="s">
        <v>12</v>
      </c>
      <c r="B1188" s="2">
        <v>44573</v>
      </c>
      <c r="C1188">
        <v>15.991519927978519</v>
      </c>
      <c r="D1188">
        <f>_xlfn.XLOOKUP(B1188, Oil_Price!A:A, Oil_Price!B:B, "")</f>
        <v>82.639999389648438</v>
      </c>
      <c r="E1188">
        <f t="shared" si="72"/>
        <v>1.3452769528926876E-2</v>
      </c>
      <c r="F1188">
        <f t="shared" si="73"/>
        <v>1.7483355671057937E-2</v>
      </c>
      <c r="G1188">
        <f t="shared" si="74"/>
        <v>0.21227455139160867</v>
      </c>
      <c r="H1188">
        <f t="shared" si="75"/>
        <v>1.4199981689453125</v>
      </c>
    </row>
    <row r="1189" spans="1:8" x14ac:dyDescent="0.2">
      <c r="A1189" t="s">
        <v>12</v>
      </c>
      <c r="B1189" s="2">
        <v>44574</v>
      </c>
      <c r="C1189">
        <v>15.95613956451416</v>
      </c>
      <c r="D1189">
        <f>_xlfn.XLOOKUP(B1189, Oil_Price!A:A, Oil_Price!B:B, "")</f>
        <v>82.120002746582031</v>
      </c>
      <c r="E1189">
        <f t="shared" si="72"/>
        <v>-2.2124453225023395E-3</v>
      </c>
      <c r="F1189">
        <f t="shared" si="73"/>
        <v>-6.2923117970344698E-3</v>
      </c>
      <c r="G1189">
        <f t="shared" si="74"/>
        <v>-3.5380363464359021E-2</v>
      </c>
      <c r="H1189">
        <f t="shared" si="75"/>
        <v>-0.51999664306640625</v>
      </c>
    </row>
    <row r="1190" spans="1:8" x14ac:dyDescent="0.2">
      <c r="A1190" t="s">
        <v>12</v>
      </c>
      <c r="B1190" s="2">
        <v>44575</v>
      </c>
      <c r="C1190">
        <v>16.486833572387699</v>
      </c>
      <c r="D1190">
        <f>_xlfn.XLOOKUP(B1190, Oil_Price!A:A, Oil_Price!B:B, "")</f>
        <v>83.819999694824219</v>
      </c>
      <c r="E1190">
        <f t="shared" si="72"/>
        <v>3.3259549136420298E-2</v>
      </c>
      <c r="F1190">
        <f t="shared" si="73"/>
        <v>2.0701374712422841E-2</v>
      </c>
      <c r="G1190">
        <f t="shared" si="74"/>
        <v>0.53069400787353871</v>
      </c>
      <c r="H1190">
        <f t="shared" si="75"/>
        <v>1.6999969482421875</v>
      </c>
    </row>
    <row r="1191" spans="1:8" x14ac:dyDescent="0.2">
      <c r="A1191" t="s">
        <v>12</v>
      </c>
      <c r="B1191" s="2">
        <v>44578</v>
      </c>
      <c r="C1191">
        <v>16.796401977539059</v>
      </c>
      <c r="D1191" t="str">
        <f>_xlfn.XLOOKUP(B1191, Oil_Price!A:A, Oil_Price!B:B, "")</f>
        <v/>
      </c>
      <c r="E1191">
        <f t="shared" si="72"/>
        <v>1.8776704683295165E-2</v>
      </c>
      <c r="F1191" t="str">
        <f t="shared" si="73"/>
        <v/>
      </c>
      <c r="G1191">
        <f t="shared" si="74"/>
        <v>0.30956840515136008</v>
      </c>
      <c r="H1191" t="str">
        <f t="shared" si="75"/>
        <v/>
      </c>
    </row>
    <row r="1192" spans="1:8" x14ac:dyDescent="0.2">
      <c r="A1192" t="s">
        <v>12</v>
      </c>
      <c r="B1192" s="2">
        <v>44579</v>
      </c>
      <c r="C1192">
        <v>16.486833572387699</v>
      </c>
      <c r="D1192">
        <f>_xlfn.XLOOKUP(B1192, Oil_Price!A:A, Oil_Price!B:B, "")</f>
        <v>85.430000305175781</v>
      </c>
      <c r="E1192">
        <f t="shared" si="72"/>
        <v>-1.8430638035772755E-2</v>
      </c>
      <c r="F1192" t="str">
        <f t="shared" si="73"/>
        <v/>
      </c>
      <c r="G1192">
        <f t="shared" si="74"/>
        <v>-0.30956840515136008</v>
      </c>
      <c r="H1192" t="str">
        <f t="shared" si="75"/>
        <v/>
      </c>
    </row>
    <row r="1193" spans="1:8" x14ac:dyDescent="0.2">
      <c r="A1193" t="s">
        <v>12</v>
      </c>
      <c r="B1193" s="2">
        <v>44580</v>
      </c>
      <c r="C1193">
        <v>16.43376350402832</v>
      </c>
      <c r="D1193">
        <f>_xlfn.XLOOKUP(B1193, Oil_Price!A:A, Oil_Price!B:B, "")</f>
        <v>86.959999084472656</v>
      </c>
      <c r="E1193">
        <f t="shared" si="72"/>
        <v>-3.2189363789212255E-3</v>
      </c>
      <c r="F1193">
        <f t="shared" si="73"/>
        <v>1.7909385155464877E-2</v>
      </c>
      <c r="G1193">
        <f t="shared" si="74"/>
        <v>-5.3070068359378553E-2</v>
      </c>
      <c r="H1193">
        <f t="shared" si="75"/>
        <v>1.529998779296875</v>
      </c>
    </row>
    <row r="1194" spans="1:8" x14ac:dyDescent="0.2">
      <c r="A1194" t="s">
        <v>12</v>
      </c>
      <c r="B1194" s="2">
        <v>44581</v>
      </c>
      <c r="C1194">
        <v>16.301094055175781</v>
      </c>
      <c r="D1194">
        <f>_xlfn.XLOOKUP(B1194, Oil_Price!A:A, Oil_Price!B:B, "")</f>
        <v>86.900001525878906</v>
      </c>
      <c r="E1194">
        <f t="shared" si="72"/>
        <v>-8.0729802896347212E-3</v>
      </c>
      <c r="F1194">
        <f t="shared" si="73"/>
        <v>-6.8994433331891561E-4</v>
      </c>
      <c r="G1194">
        <f t="shared" si="74"/>
        <v>-0.13266944885253906</v>
      </c>
      <c r="H1194">
        <f t="shared" si="75"/>
        <v>-5.999755859375E-2</v>
      </c>
    </row>
    <row r="1195" spans="1:8" x14ac:dyDescent="0.2">
      <c r="A1195" t="s">
        <v>12</v>
      </c>
      <c r="B1195" s="2">
        <v>44582</v>
      </c>
      <c r="C1195">
        <v>15.63772583007812</v>
      </c>
      <c r="D1195">
        <f>_xlfn.XLOOKUP(B1195, Oil_Price!A:A, Oil_Price!B:B, "")</f>
        <v>85.139999389648438</v>
      </c>
      <c r="E1195">
        <f t="shared" si="72"/>
        <v>-4.0694705695967365E-2</v>
      </c>
      <c r="F1195">
        <f t="shared" si="73"/>
        <v>-2.0253188783964961E-2</v>
      </c>
      <c r="G1195">
        <f t="shared" si="74"/>
        <v>-0.66336822509766158</v>
      </c>
      <c r="H1195">
        <f t="shared" si="75"/>
        <v>-1.7600021362304688</v>
      </c>
    </row>
    <row r="1196" spans="1:8" x14ac:dyDescent="0.2">
      <c r="A1196" t="s">
        <v>12</v>
      </c>
      <c r="B1196" s="2">
        <v>44585</v>
      </c>
      <c r="C1196">
        <v>15.575813293457029</v>
      </c>
      <c r="D1196">
        <f>_xlfn.XLOOKUP(B1196, Oil_Price!A:A, Oil_Price!B:B, "")</f>
        <v>83.30999755859375</v>
      </c>
      <c r="E1196">
        <f t="shared" si="72"/>
        <v>-3.9591777790352082E-3</v>
      </c>
      <c r="F1196">
        <f t="shared" si="73"/>
        <v>-2.1494031526586837E-2</v>
      </c>
      <c r="G1196">
        <f t="shared" si="74"/>
        <v>-6.1912536621090197E-2</v>
      </c>
      <c r="H1196">
        <f t="shared" si="75"/>
        <v>-1.8300018310546875</v>
      </c>
    </row>
    <row r="1197" spans="1:8" x14ac:dyDescent="0.2">
      <c r="A1197" t="s">
        <v>12</v>
      </c>
      <c r="B1197" s="2">
        <v>44586</v>
      </c>
      <c r="C1197">
        <v>16.256866455078121</v>
      </c>
      <c r="D1197">
        <f>_xlfn.XLOOKUP(B1197, Oil_Price!A:A, Oil_Price!B:B, "")</f>
        <v>85.599998474121094</v>
      </c>
      <c r="E1197">
        <f t="shared" si="72"/>
        <v>4.3725046569939537E-2</v>
      </c>
      <c r="F1197">
        <f t="shared" si="73"/>
        <v>2.7487708349970073E-2</v>
      </c>
      <c r="G1197">
        <f t="shared" si="74"/>
        <v>0.68105316162109197</v>
      </c>
      <c r="H1197">
        <f t="shared" si="75"/>
        <v>2.2900009155273438</v>
      </c>
    </row>
    <row r="1198" spans="1:8" x14ac:dyDescent="0.2">
      <c r="A1198" t="s">
        <v>12</v>
      </c>
      <c r="B1198" s="2">
        <v>44587</v>
      </c>
      <c r="C1198">
        <v>16.24802398681641</v>
      </c>
      <c r="D1198">
        <f>_xlfn.XLOOKUP(B1198, Oil_Price!A:A, Oil_Price!B:B, "")</f>
        <v>87.349998474121094</v>
      </c>
      <c r="E1198">
        <f t="shared" si="72"/>
        <v>-5.4392205817435017E-4</v>
      </c>
      <c r="F1198">
        <f t="shared" si="73"/>
        <v>2.0443925598071903E-2</v>
      </c>
      <c r="G1198">
        <f t="shared" si="74"/>
        <v>-8.8424682617116446E-3</v>
      </c>
      <c r="H1198">
        <f t="shared" si="75"/>
        <v>1.75</v>
      </c>
    </row>
    <row r="1199" spans="1:8" x14ac:dyDescent="0.2">
      <c r="A1199" t="s">
        <v>12</v>
      </c>
      <c r="B1199" s="2">
        <v>44588</v>
      </c>
      <c r="C1199">
        <v>16.32762336730957</v>
      </c>
      <c r="D1199">
        <f>_xlfn.XLOOKUP(B1199, Oil_Price!A:A, Oil_Price!B:B, "")</f>
        <v>86.610000610351562</v>
      </c>
      <c r="E1199">
        <f t="shared" si="72"/>
        <v>4.8990191396656706E-3</v>
      </c>
      <c r="F1199">
        <f t="shared" si="73"/>
        <v>-8.4716414046506032E-3</v>
      </c>
      <c r="G1199">
        <f t="shared" si="74"/>
        <v>7.959938049316051E-2</v>
      </c>
      <c r="H1199">
        <f t="shared" si="75"/>
        <v>-0.73999786376953125</v>
      </c>
    </row>
    <row r="1200" spans="1:8" x14ac:dyDescent="0.2">
      <c r="A1200" t="s">
        <v>12</v>
      </c>
      <c r="B1200" s="2">
        <v>44589</v>
      </c>
      <c r="C1200">
        <v>16.28339958190918</v>
      </c>
      <c r="D1200">
        <f>_xlfn.XLOOKUP(B1200, Oil_Price!A:A, Oil_Price!B:B, "")</f>
        <v>86.819999694824219</v>
      </c>
      <c r="E1200">
        <f t="shared" si="72"/>
        <v>-2.7085255707780158E-3</v>
      </c>
      <c r="F1200">
        <f t="shared" si="73"/>
        <v>2.4246516914070695E-3</v>
      </c>
      <c r="G1200">
        <f t="shared" si="74"/>
        <v>-4.4223785400390625E-2</v>
      </c>
      <c r="H1200">
        <f t="shared" si="75"/>
        <v>0.20999908447265625</v>
      </c>
    </row>
    <row r="1201" spans="1:8" x14ac:dyDescent="0.2">
      <c r="A1201" t="s">
        <v>12</v>
      </c>
      <c r="B1201" s="2">
        <v>44592</v>
      </c>
      <c r="C1201">
        <v>16.354160308837891</v>
      </c>
      <c r="D1201">
        <f>_xlfn.XLOOKUP(B1201, Oil_Price!A:A, Oil_Price!B:B, "")</f>
        <v>88.150001525878906</v>
      </c>
      <c r="E1201">
        <f t="shared" si="72"/>
        <v>4.3455745572519109E-3</v>
      </c>
      <c r="F1201">
        <f t="shared" si="73"/>
        <v>1.5319072054016324E-2</v>
      </c>
      <c r="G1201">
        <f t="shared" si="74"/>
        <v>7.0760726928710938E-2</v>
      </c>
      <c r="H1201">
        <f t="shared" si="75"/>
        <v>1.3300018310546875</v>
      </c>
    </row>
    <row r="1202" spans="1:8" x14ac:dyDescent="0.2">
      <c r="A1202" t="s">
        <v>12</v>
      </c>
      <c r="B1202" s="2">
        <v>44593</v>
      </c>
      <c r="C1202">
        <v>16.99098968505859</v>
      </c>
      <c r="D1202">
        <f>_xlfn.XLOOKUP(B1202, Oil_Price!A:A, Oil_Price!B:B, "")</f>
        <v>88.199996948242188</v>
      </c>
      <c r="E1202">
        <f t="shared" si="72"/>
        <v>3.8939900563195101E-2</v>
      </c>
      <c r="F1202">
        <f t="shared" si="73"/>
        <v>5.6716303457582688E-4</v>
      </c>
      <c r="G1202">
        <f t="shared" si="74"/>
        <v>0.63682937622069957</v>
      </c>
      <c r="H1202">
        <f t="shared" si="75"/>
        <v>4.999542236328125E-2</v>
      </c>
    </row>
    <row r="1203" spans="1:8" x14ac:dyDescent="0.2">
      <c r="A1203" t="s">
        <v>12</v>
      </c>
      <c r="B1203" s="2">
        <v>44594</v>
      </c>
      <c r="C1203">
        <v>17.08828163146973</v>
      </c>
      <c r="D1203">
        <f>_xlfn.XLOOKUP(B1203, Oil_Price!A:A, Oil_Price!B:B, "")</f>
        <v>88.260002136230469</v>
      </c>
      <c r="E1203">
        <f t="shared" si="72"/>
        <v>5.7260906053457133E-3</v>
      </c>
      <c r="F1203">
        <f t="shared" si="73"/>
        <v>6.8033095311209244E-4</v>
      </c>
      <c r="G1203">
        <f t="shared" si="74"/>
        <v>9.7291946411139918E-2</v>
      </c>
      <c r="H1203">
        <f t="shared" si="75"/>
        <v>6.000518798828125E-2</v>
      </c>
    </row>
    <row r="1204" spans="1:8" x14ac:dyDescent="0.2">
      <c r="A1204" t="s">
        <v>12</v>
      </c>
      <c r="B1204" s="2">
        <v>44595</v>
      </c>
      <c r="C1204">
        <v>17.265188217163089</v>
      </c>
      <c r="D1204">
        <f>_xlfn.XLOOKUP(B1204, Oil_Price!A:A, Oil_Price!B:B, "")</f>
        <v>90.269996643066406</v>
      </c>
      <c r="E1204">
        <f t="shared" si="72"/>
        <v>1.0352508784006035E-2</v>
      </c>
      <c r="F1204">
        <f t="shared" si="73"/>
        <v>2.2773560595811957E-2</v>
      </c>
      <c r="G1204">
        <f t="shared" si="74"/>
        <v>0.17690658569335938</v>
      </c>
      <c r="H1204">
        <f t="shared" si="75"/>
        <v>2.0099945068359375</v>
      </c>
    </row>
    <row r="1205" spans="1:8" x14ac:dyDescent="0.2">
      <c r="A1205" t="s">
        <v>12</v>
      </c>
      <c r="B1205" s="2">
        <v>44596</v>
      </c>
      <c r="C1205">
        <v>17.450923919677731</v>
      </c>
      <c r="D1205">
        <f>_xlfn.XLOOKUP(B1205, Oil_Price!A:A, Oil_Price!B:B, "")</f>
        <v>92.30999755859375</v>
      </c>
      <c r="E1205">
        <f t="shared" si="72"/>
        <v>1.075781510044611E-2</v>
      </c>
      <c r="F1205">
        <f t="shared" si="73"/>
        <v>2.2598881038997303E-2</v>
      </c>
      <c r="G1205">
        <f t="shared" si="74"/>
        <v>0.18573570251464133</v>
      </c>
      <c r="H1205">
        <f t="shared" si="75"/>
        <v>2.0400009155273438</v>
      </c>
    </row>
    <row r="1206" spans="1:8" x14ac:dyDescent="0.2">
      <c r="A1206" t="s">
        <v>12</v>
      </c>
      <c r="B1206" s="2">
        <v>44599</v>
      </c>
      <c r="C1206">
        <v>17.30055999755859</v>
      </c>
      <c r="D1206">
        <f>_xlfn.XLOOKUP(B1206, Oil_Price!A:A, Oil_Price!B:B, "")</f>
        <v>91.319999694824219</v>
      </c>
      <c r="E1206">
        <f t="shared" si="72"/>
        <v>-8.6163874652842691E-3</v>
      </c>
      <c r="F1206">
        <f t="shared" si="73"/>
        <v>-1.0724709023430862E-2</v>
      </c>
      <c r="G1206">
        <f t="shared" si="74"/>
        <v>-0.15036392211914062</v>
      </c>
      <c r="H1206">
        <f t="shared" si="75"/>
        <v>-0.98999786376953125</v>
      </c>
    </row>
    <row r="1207" spans="1:8" x14ac:dyDescent="0.2">
      <c r="A1207" t="s">
        <v>12</v>
      </c>
      <c r="B1207" s="2">
        <v>44600</v>
      </c>
      <c r="C1207">
        <v>16.186111450195309</v>
      </c>
      <c r="D1207">
        <f>_xlfn.XLOOKUP(B1207, Oil_Price!A:A, Oil_Price!B:B, "")</f>
        <v>89.360000610351562</v>
      </c>
      <c r="E1207">
        <f t="shared" si="72"/>
        <v>-6.4416906014634748E-2</v>
      </c>
      <c r="F1207">
        <f t="shared" si="73"/>
        <v>-2.1462977343655685E-2</v>
      </c>
      <c r="G1207">
        <f t="shared" si="74"/>
        <v>-1.1144485473632812</v>
      </c>
      <c r="H1207">
        <f t="shared" si="75"/>
        <v>-1.9599990844726562</v>
      </c>
    </row>
    <row r="1208" spans="1:8" x14ac:dyDescent="0.2">
      <c r="A1208" t="s">
        <v>12</v>
      </c>
      <c r="B1208" s="2">
        <v>44601</v>
      </c>
      <c r="C1208">
        <v>16.884853363037109</v>
      </c>
      <c r="D1208">
        <f>_xlfn.XLOOKUP(B1208, Oil_Price!A:A, Oil_Price!B:B, "")</f>
        <v>89.660003662109375</v>
      </c>
      <c r="E1208">
        <f t="shared" si="72"/>
        <v>4.3169226592306029E-2</v>
      </c>
      <c r="F1208">
        <f t="shared" si="73"/>
        <v>3.3572409322819522E-3</v>
      </c>
      <c r="G1208">
        <f t="shared" si="74"/>
        <v>0.69874191284180043</v>
      </c>
      <c r="H1208">
        <f t="shared" si="75"/>
        <v>0.3000030517578125</v>
      </c>
    </row>
    <row r="1209" spans="1:8" x14ac:dyDescent="0.2">
      <c r="A1209" t="s">
        <v>12</v>
      </c>
      <c r="B1209" s="2">
        <v>44602</v>
      </c>
      <c r="C1209">
        <v>17.247491836547852</v>
      </c>
      <c r="D1209">
        <f>_xlfn.XLOOKUP(B1209, Oil_Price!A:A, Oil_Price!B:B, "")</f>
        <v>89.879997253417969</v>
      </c>
      <c r="E1209">
        <f t="shared" si="72"/>
        <v>2.147714674884886E-2</v>
      </c>
      <c r="F1209">
        <f t="shared" si="73"/>
        <v>2.4536424528561981E-3</v>
      </c>
      <c r="G1209">
        <f t="shared" si="74"/>
        <v>0.36263847351074219</v>
      </c>
      <c r="H1209">
        <f t="shared" si="75"/>
        <v>0.21999359130859375</v>
      </c>
    </row>
    <row r="1210" spans="1:8" x14ac:dyDescent="0.2">
      <c r="A1210" t="s">
        <v>12</v>
      </c>
      <c r="B1210" s="2">
        <v>44603</v>
      </c>
      <c r="C1210">
        <v>17.884321212768551</v>
      </c>
      <c r="D1210">
        <f>_xlfn.XLOOKUP(B1210, Oil_Price!A:A, Oil_Price!B:B, "")</f>
        <v>93.099998474121094</v>
      </c>
      <c r="E1210">
        <f t="shared" si="72"/>
        <v>3.6923013633277553E-2</v>
      </c>
      <c r="F1210">
        <f t="shared" si="73"/>
        <v>3.5825559847585266E-2</v>
      </c>
      <c r="G1210">
        <f t="shared" si="74"/>
        <v>0.63682937622069957</v>
      </c>
      <c r="H1210">
        <f t="shared" si="75"/>
        <v>3.220001220703125</v>
      </c>
    </row>
    <row r="1211" spans="1:8" x14ac:dyDescent="0.2">
      <c r="A1211" t="s">
        <v>12</v>
      </c>
      <c r="B1211" s="2">
        <v>44606</v>
      </c>
      <c r="C1211">
        <v>17.654356002807621</v>
      </c>
      <c r="D1211">
        <f>_xlfn.XLOOKUP(B1211, Oil_Price!A:A, Oil_Price!B:B, "")</f>
        <v>95.459999084472656</v>
      </c>
      <c r="E1211">
        <f t="shared" si="72"/>
        <v>-1.2858481304660656E-2</v>
      </c>
      <c r="F1211">
        <f t="shared" si="73"/>
        <v>2.5349093974556501E-2</v>
      </c>
      <c r="G1211">
        <f t="shared" si="74"/>
        <v>-0.22996520996093039</v>
      </c>
      <c r="H1211">
        <f t="shared" si="75"/>
        <v>2.3600006103515625</v>
      </c>
    </row>
    <row r="1212" spans="1:8" x14ac:dyDescent="0.2">
      <c r="A1212" t="s">
        <v>12</v>
      </c>
      <c r="B1212" s="2">
        <v>44607</v>
      </c>
      <c r="C1212">
        <v>17.512838363647461</v>
      </c>
      <c r="D1212">
        <f>_xlfn.XLOOKUP(B1212, Oil_Price!A:A, Oil_Price!B:B, "")</f>
        <v>92.069999694824219</v>
      </c>
      <c r="E1212">
        <f t="shared" si="72"/>
        <v>-8.0160182074981313E-3</v>
      </c>
      <c r="F1212">
        <f t="shared" si="73"/>
        <v>-3.551225038928215E-2</v>
      </c>
      <c r="G1212">
        <f t="shared" si="74"/>
        <v>-0.1415176391601598</v>
      </c>
      <c r="H1212">
        <f t="shared" si="75"/>
        <v>-3.3899993896484375</v>
      </c>
    </row>
    <row r="1213" spans="1:8" x14ac:dyDescent="0.2">
      <c r="A1213" t="s">
        <v>12</v>
      </c>
      <c r="B1213" s="2">
        <v>44608</v>
      </c>
      <c r="C1213">
        <v>17.450923919677731</v>
      </c>
      <c r="D1213">
        <f>_xlfn.XLOOKUP(B1213, Oil_Price!A:A, Oil_Price!B:B, "")</f>
        <v>93.660003662109375</v>
      </c>
      <c r="E1213">
        <f t="shared" si="72"/>
        <v>-3.535374602568705E-3</v>
      </c>
      <c r="F1213">
        <f t="shared" si="73"/>
        <v>1.7269512029492701E-2</v>
      </c>
      <c r="G1213">
        <f t="shared" si="74"/>
        <v>-6.1914443969730115E-2</v>
      </c>
      <c r="H1213">
        <f t="shared" si="75"/>
        <v>1.5900039672851562</v>
      </c>
    </row>
    <row r="1214" spans="1:8" x14ac:dyDescent="0.2">
      <c r="A1214" t="s">
        <v>12</v>
      </c>
      <c r="B1214" s="2">
        <v>44609</v>
      </c>
      <c r="C1214">
        <v>17.822408676147461</v>
      </c>
      <c r="D1214">
        <f>_xlfn.XLOOKUP(B1214, Oil_Price!A:A, Oil_Price!B:B, "")</f>
        <v>91.760002136230469</v>
      </c>
      <c r="E1214">
        <f t="shared" si="72"/>
        <v>2.1287397628892441E-2</v>
      </c>
      <c r="F1214">
        <f t="shared" si="73"/>
        <v>-2.0286156860866763E-2</v>
      </c>
      <c r="G1214">
        <f t="shared" si="74"/>
        <v>0.37148475646973012</v>
      </c>
      <c r="H1214">
        <f t="shared" si="75"/>
        <v>-1.9000015258789062</v>
      </c>
    </row>
    <row r="1215" spans="1:8" x14ac:dyDescent="0.2">
      <c r="A1215" t="s">
        <v>12</v>
      </c>
      <c r="B1215" s="2">
        <v>44610</v>
      </c>
      <c r="C1215">
        <v>17.335939407348629</v>
      </c>
      <c r="D1215">
        <f>_xlfn.XLOOKUP(B1215, Oil_Price!A:A, Oil_Price!B:B, "")</f>
        <v>91.069999694824219</v>
      </c>
      <c r="E1215">
        <f t="shared" si="72"/>
        <v>-2.7295371666002453E-2</v>
      </c>
      <c r="F1215">
        <f t="shared" si="73"/>
        <v>-7.5196428219546632E-3</v>
      </c>
      <c r="G1215">
        <f t="shared" si="74"/>
        <v>-0.48646926879883168</v>
      </c>
      <c r="H1215">
        <f t="shared" si="75"/>
        <v>-0.69000244140625</v>
      </c>
    </row>
    <row r="1216" spans="1:8" x14ac:dyDescent="0.2">
      <c r="A1216" t="s">
        <v>12</v>
      </c>
      <c r="B1216" s="2">
        <v>44614</v>
      </c>
      <c r="C1216">
        <v>17.2563362121582</v>
      </c>
      <c r="D1216">
        <f>_xlfn.XLOOKUP(B1216, Oil_Price!A:A, Oil_Price!B:B, "")</f>
        <v>92.349998474121094</v>
      </c>
      <c r="E1216">
        <f t="shared" si="72"/>
        <v>-4.5918016508921487E-3</v>
      </c>
      <c r="F1216">
        <f t="shared" si="73"/>
        <v>1.4055109076382495E-2</v>
      </c>
      <c r="G1216">
        <f t="shared" si="74"/>
        <v>-7.9603195190429688E-2</v>
      </c>
      <c r="H1216">
        <f t="shared" si="75"/>
        <v>1.279998779296875</v>
      </c>
    </row>
    <row r="1217" spans="1:8" x14ac:dyDescent="0.2">
      <c r="A1217" t="s">
        <v>12</v>
      </c>
      <c r="B1217" s="2">
        <v>44615</v>
      </c>
      <c r="C1217">
        <v>17.08828163146973</v>
      </c>
      <c r="D1217">
        <f>_xlfn.XLOOKUP(B1217, Oil_Price!A:A, Oil_Price!B:B, "")</f>
        <v>92.099998474121094</v>
      </c>
      <c r="E1217">
        <f t="shared" si="72"/>
        <v>-9.7387173396670489E-3</v>
      </c>
      <c r="F1217">
        <f t="shared" si="73"/>
        <v>-2.7070926272950249E-3</v>
      </c>
      <c r="G1217">
        <f t="shared" si="74"/>
        <v>-0.16805458068846946</v>
      </c>
      <c r="H1217">
        <f t="shared" si="75"/>
        <v>-0.25</v>
      </c>
    </row>
    <row r="1218" spans="1:8" x14ac:dyDescent="0.2">
      <c r="A1218" t="s">
        <v>12</v>
      </c>
      <c r="B1218" s="2">
        <v>44616</v>
      </c>
      <c r="C1218">
        <v>17.061748504638668</v>
      </c>
      <c r="D1218">
        <f>_xlfn.XLOOKUP(B1218, Oil_Price!A:A, Oil_Price!B:B, "")</f>
        <v>92.80999755859375</v>
      </c>
      <c r="E1218">
        <f t="shared" si="72"/>
        <v>-1.5527088915832511E-3</v>
      </c>
      <c r="F1218">
        <f t="shared" si="73"/>
        <v>7.7090021306803471E-3</v>
      </c>
      <c r="G1218">
        <f t="shared" si="74"/>
        <v>-2.6533126831061793E-2</v>
      </c>
      <c r="H1218">
        <f t="shared" si="75"/>
        <v>0.70999908447265625</v>
      </c>
    </row>
    <row r="1219" spans="1:8" x14ac:dyDescent="0.2">
      <c r="A1219" t="s">
        <v>12</v>
      </c>
      <c r="B1219" s="2">
        <v>44617</v>
      </c>
      <c r="C1219">
        <v>17.185579299926761</v>
      </c>
      <c r="D1219">
        <f>_xlfn.XLOOKUP(B1219, Oil_Price!A:A, Oil_Price!B:B, "")</f>
        <v>91.589996337890625</v>
      </c>
      <c r="E1219">
        <f t="shared" ref="E1219:E1282" si="76">IFERROR(IF(AND(A1219=A1218, C1219&lt;&gt;"", C1218&lt;&gt;""), (C1219-C1218)/C1218, ""), "")</f>
        <v>7.2578021680736009E-3</v>
      </c>
      <c r="F1219">
        <f t="shared" ref="F1219:F1282" si="77">IFERROR(IF(AND(A1219=A1218, D1219&lt;&gt;"", D1218&lt;&gt;""), (D1219-D1218)/D1218, ""), "")</f>
        <v>-1.314514872099745E-2</v>
      </c>
      <c r="G1219">
        <f t="shared" ref="G1219:G1282" si="78">IFERROR(IF(AND(A1219=A1218, C1219&lt;&gt;"", C1218&lt;&gt;""), C1219-C1218, ""), "")</f>
        <v>0.12383079528809304</v>
      </c>
      <c r="H1219">
        <f t="shared" ref="H1219:H1282" si="79">IFERROR(IF(AND(A1219=A1218, D1219&lt;&gt;"", D1218&lt;&gt;""), D1219-D1218, ""), "")</f>
        <v>-1.220001220703125</v>
      </c>
    </row>
    <row r="1220" spans="1:8" x14ac:dyDescent="0.2">
      <c r="A1220" t="s">
        <v>12</v>
      </c>
      <c r="B1220" s="2">
        <v>44620</v>
      </c>
      <c r="C1220">
        <v>17.6278190612793</v>
      </c>
      <c r="D1220">
        <f>_xlfn.XLOOKUP(B1220, Oil_Price!A:A, Oil_Price!B:B, "")</f>
        <v>95.720001220703125</v>
      </c>
      <c r="E1220">
        <f t="shared" si="76"/>
        <v>2.573318906709323E-2</v>
      </c>
      <c r="F1220">
        <f t="shared" si="77"/>
        <v>4.5092314094830069E-2</v>
      </c>
      <c r="G1220">
        <f t="shared" si="78"/>
        <v>0.44223976135253906</v>
      </c>
      <c r="H1220">
        <f t="shared" si="79"/>
        <v>4.1300048828125</v>
      </c>
    </row>
    <row r="1221" spans="1:8" x14ac:dyDescent="0.2">
      <c r="A1221" t="s">
        <v>12</v>
      </c>
      <c r="B1221" s="2">
        <v>44621</v>
      </c>
      <c r="C1221">
        <v>17.415544509887699</v>
      </c>
      <c r="D1221">
        <f>_xlfn.XLOOKUP(B1221, Oil_Price!A:A, Oil_Price!B:B, "")</f>
        <v>103.4100036621094</v>
      </c>
      <c r="E1221">
        <f t="shared" si="76"/>
        <v>-1.2042020096398482E-2</v>
      </c>
      <c r="F1221">
        <f t="shared" si="77"/>
        <v>8.0338511735654053E-2</v>
      </c>
      <c r="G1221">
        <f t="shared" si="78"/>
        <v>-0.21227455139160156</v>
      </c>
      <c r="H1221">
        <f t="shared" si="79"/>
        <v>7.6900024414062784</v>
      </c>
    </row>
    <row r="1222" spans="1:8" x14ac:dyDescent="0.2">
      <c r="A1222" t="s">
        <v>12</v>
      </c>
      <c r="B1222" s="2">
        <v>44622</v>
      </c>
      <c r="C1222">
        <v>17.698581695556641</v>
      </c>
      <c r="D1222">
        <f>_xlfn.XLOOKUP(B1222, Oil_Price!A:A, Oil_Price!B:B, "")</f>
        <v>110.59999847412109</v>
      </c>
      <c r="E1222">
        <f t="shared" si="76"/>
        <v>1.6251986006423573E-2</v>
      </c>
      <c r="F1222">
        <f t="shared" si="77"/>
        <v>6.9529006453813574E-2</v>
      </c>
      <c r="G1222">
        <f t="shared" si="78"/>
        <v>0.28303718566894176</v>
      </c>
      <c r="H1222">
        <f t="shared" si="79"/>
        <v>7.1899948120116903</v>
      </c>
    </row>
    <row r="1223" spans="1:8" x14ac:dyDescent="0.2">
      <c r="A1223" t="s">
        <v>12</v>
      </c>
      <c r="B1223" s="2">
        <v>44623</v>
      </c>
      <c r="C1223">
        <v>17.238649368286129</v>
      </c>
      <c r="D1223">
        <f>_xlfn.XLOOKUP(B1223, Oil_Price!A:A, Oil_Price!B:B, "")</f>
        <v>107.6699981689453</v>
      </c>
      <c r="E1223">
        <f t="shared" si="76"/>
        <v>-2.5986959587048761E-2</v>
      </c>
      <c r="F1223">
        <f t="shared" si="77"/>
        <v>-2.6491865692578432E-2</v>
      </c>
      <c r="G1223">
        <f t="shared" si="78"/>
        <v>-0.45993232727051137</v>
      </c>
      <c r="H1223">
        <f t="shared" si="79"/>
        <v>-2.9300003051757955</v>
      </c>
    </row>
    <row r="1224" spans="1:8" x14ac:dyDescent="0.2">
      <c r="A1224" t="s">
        <v>12</v>
      </c>
      <c r="B1224" s="2">
        <v>44624</v>
      </c>
      <c r="C1224">
        <v>18.061220169067379</v>
      </c>
      <c r="D1224">
        <f>_xlfn.XLOOKUP(B1224, Oil_Price!A:A, Oil_Price!B:B, "")</f>
        <v>115.6800003051758</v>
      </c>
      <c r="E1224">
        <f t="shared" si="76"/>
        <v>4.7716661741176197E-2</v>
      </c>
      <c r="F1224">
        <f t="shared" si="77"/>
        <v>7.4394002716169638E-2</v>
      </c>
      <c r="G1224">
        <f t="shared" si="78"/>
        <v>0.82257080078125</v>
      </c>
      <c r="H1224">
        <f t="shared" si="79"/>
        <v>8.0100021362304972</v>
      </c>
    </row>
    <row r="1225" spans="1:8" x14ac:dyDescent="0.2">
      <c r="A1225" t="s">
        <v>12</v>
      </c>
      <c r="B1225" s="2">
        <v>44627</v>
      </c>
      <c r="C1225">
        <v>18.529998779296879</v>
      </c>
      <c r="D1225">
        <f>_xlfn.XLOOKUP(B1225, Oil_Price!A:A, Oil_Price!B:B, "")</f>
        <v>119.40000152587891</v>
      </c>
      <c r="E1225">
        <f t="shared" si="76"/>
        <v>2.5954980108838652E-2</v>
      </c>
      <c r="F1225">
        <f t="shared" si="77"/>
        <v>3.21576868161252E-2</v>
      </c>
      <c r="G1225">
        <f t="shared" si="78"/>
        <v>0.46877861022949929</v>
      </c>
      <c r="H1225">
        <f t="shared" si="79"/>
        <v>3.7200012207031108</v>
      </c>
    </row>
    <row r="1226" spans="1:8" x14ac:dyDescent="0.2">
      <c r="A1226" t="s">
        <v>12</v>
      </c>
      <c r="B1226" s="2">
        <v>44628</v>
      </c>
      <c r="C1226">
        <v>18.901481628417969</v>
      </c>
      <c r="D1226">
        <f>_xlfn.XLOOKUP(B1226, Oil_Price!A:A, Oil_Price!B:B, "")</f>
        <v>123.6999969482422</v>
      </c>
      <c r="E1226">
        <f t="shared" si="76"/>
        <v>2.0047645633746024E-2</v>
      </c>
      <c r="F1226">
        <f t="shared" si="77"/>
        <v>3.6013361536107763E-2</v>
      </c>
      <c r="G1226">
        <f t="shared" si="78"/>
        <v>0.3714828491210902</v>
      </c>
      <c r="H1226">
        <f t="shared" si="79"/>
        <v>4.2999954223632955</v>
      </c>
    </row>
    <row r="1227" spans="1:8" x14ac:dyDescent="0.2">
      <c r="A1227" t="s">
        <v>12</v>
      </c>
      <c r="B1227" s="2">
        <v>44629</v>
      </c>
      <c r="C1227">
        <v>17.955081939697269</v>
      </c>
      <c r="D1227">
        <f>_xlfn.XLOOKUP(B1227, Oil_Price!A:A, Oil_Price!B:B, "")</f>
        <v>108.6999969482422</v>
      </c>
      <c r="E1227">
        <f t="shared" si="76"/>
        <v>-5.007013245447426E-2</v>
      </c>
      <c r="F1227">
        <f t="shared" si="77"/>
        <v>-0.12126111859385258</v>
      </c>
      <c r="G1227">
        <f t="shared" si="78"/>
        <v>-0.94639968872069957</v>
      </c>
      <c r="H1227">
        <f t="shared" si="79"/>
        <v>-15</v>
      </c>
    </row>
    <row r="1228" spans="1:8" x14ac:dyDescent="0.2">
      <c r="A1228" t="s">
        <v>12</v>
      </c>
      <c r="B1228" s="2">
        <v>44630</v>
      </c>
      <c r="C1228">
        <v>18.034683227539059</v>
      </c>
      <c r="D1228">
        <f>_xlfn.XLOOKUP(B1228, Oil_Price!A:A, Oil_Price!B:B, "")</f>
        <v>106.01999664306641</v>
      </c>
      <c r="E1228">
        <f t="shared" si="76"/>
        <v>4.4333569798864353E-3</v>
      </c>
      <c r="F1228">
        <f t="shared" si="77"/>
        <v>-2.4655017299143853E-2</v>
      </c>
      <c r="G1228">
        <f t="shared" si="78"/>
        <v>7.960128784178977E-2</v>
      </c>
      <c r="H1228">
        <f t="shared" si="79"/>
        <v>-2.6800003051757955</v>
      </c>
    </row>
    <row r="1229" spans="1:8" x14ac:dyDescent="0.2">
      <c r="A1229" t="s">
        <v>12</v>
      </c>
      <c r="B1229" s="2">
        <v>44631</v>
      </c>
      <c r="C1229">
        <v>18.1496696472168</v>
      </c>
      <c r="D1229">
        <f>_xlfn.XLOOKUP(B1229, Oil_Price!A:A, Oil_Price!B:B, "")</f>
        <v>109.3300018310547</v>
      </c>
      <c r="E1229">
        <f t="shared" si="76"/>
        <v>6.3758491472784284E-3</v>
      </c>
      <c r="F1229">
        <f t="shared" si="77"/>
        <v>3.122057435194954E-2</v>
      </c>
      <c r="G1229">
        <f t="shared" si="78"/>
        <v>0.11498641967774148</v>
      </c>
      <c r="H1229">
        <f t="shared" si="79"/>
        <v>3.3100051879882955</v>
      </c>
    </row>
    <row r="1230" spans="1:8" x14ac:dyDescent="0.2">
      <c r="A1230" t="s">
        <v>12</v>
      </c>
      <c r="B1230" s="2">
        <v>44634</v>
      </c>
      <c r="C1230">
        <v>17.099761962890621</v>
      </c>
      <c r="D1230">
        <f>_xlfn.XLOOKUP(B1230, Oil_Price!A:A, Oil_Price!B:B, "")</f>
        <v>103.0100021362305</v>
      </c>
      <c r="E1230">
        <f t="shared" si="76"/>
        <v>-5.7847206298169689E-2</v>
      </c>
      <c r="F1230">
        <f t="shared" si="77"/>
        <v>-5.7806636686884579E-2</v>
      </c>
      <c r="G1230">
        <f t="shared" si="78"/>
        <v>-1.049907684326179</v>
      </c>
      <c r="H1230">
        <f t="shared" si="79"/>
        <v>-6.3199996948242045</v>
      </c>
    </row>
    <row r="1231" spans="1:8" x14ac:dyDescent="0.2">
      <c r="A1231" t="s">
        <v>12</v>
      </c>
      <c r="B1231" s="2">
        <v>44635</v>
      </c>
      <c r="C1231">
        <v>16.904838562011719</v>
      </c>
      <c r="D1231">
        <f>_xlfn.XLOOKUP(B1231, Oil_Price!A:A, Oil_Price!B:B, "")</f>
        <v>96.44000244140625</v>
      </c>
      <c r="E1231">
        <f t="shared" si="76"/>
        <v>-1.139918797126647E-2</v>
      </c>
      <c r="F1231">
        <f t="shared" si="77"/>
        <v>-6.3780211227793565E-2</v>
      </c>
      <c r="G1231">
        <f t="shared" si="78"/>
        <v>-0.1949234008789027</v>
      </c>
      <c r="H1231">
        <f t="shared" si="79"/>
        <v>-6.5699996948242472</v>
      </c>
    </row>
    <row r="1232" spans="1:8" x14ac:dyDescent="0.2">
      <c r="A1232" t="s">
        <v>12</v>
      </c>
      <c r="B1232" s="2">
        <v>44636</v>
      </c>
      <c r="C1232">
        <v>16.771940231323239</v>
      </c>
      <c r="D1232">
        <f>_xlfn.XLOOKUP(B1232, Oil_Price!A:A, Oil_Price!B:B, "")</f>
        <v>95.040000915527344</v>
      </c>
      <c r="E1232">
        <f t="shared" si="76"/>
        <v>-7.8615557434027865E-3</v>
      </c>
      <c r="F1232">
        <f t="shared" si="77"/>
        <v>-1.4516813463681741E-2</v>
      </c>
      <c r="G1232">
        <f t="shared" si="78"/>
        <v>-0.13289833068848012</v>
      </c>
      <c r="H1232">
        <f t="shared" si="79"/>
        <v>-1.4000015258789062</v>
      </c>
    </row>
    <row r="1233" spans="1:8" x14ac:dyDescent="0.2">
      <c r="A1233" t="s">
        <v>12</v>
      </c>
      <c r="B1233" s="2">
        <v>44637</v>
      </c>
      <c r="C1233">
        <v>17.276962280273441</v>
      </c>
      <c r="D1233">
        <f>_xlfn.XLOOKUP(B1233, Oil_Price!A:A, Oil_Price!B:B, "")</f>
        <v>102.98000335693359</v>
      </c>
      <c r="E1233">
        <f t="shared" si="76"/>
        <v>3.0111128586484247E-2</v>
      </c>
      <c r="F1233">
        <f t="shared" si="77"/>
        <v>8.3543795927184555E-2</v>
      </c>
      <c r="G1233">
        <f t="shared" si="78"/>
        <v>0.50502204895020242</v>
      </c>
      <c r="H1233">
        <f t="shared" si="79"/>
        <v>7.94000244140625</v>
      </c>
    </row>
    <row r="1234" spans="1:8" x14ac:dyDescent="0.2">
      <c r="A1234" t="s">
        <v>12</v>
      </c>
      <c r="B1234" s="2">
        <v>44638</v>
      </c>
      <c r="C1234">
        <v>17.090900421142582</v>
      </c>
      <c r="D1234">
        <f>_xlfn.XLOOKUP(B1234, Oil_Price!A:A, Oil_Price!B:B, "")</f>
        <v>104.6999969482422</v>
      </c>
      <c r="E1234">
        <f t="shared" si="76"/>
        <v>-1.0769361888536494E-2</v>
      </c>
      <c r="F1234">
        <f t="shared" si="77"/>
        <v>1.6702209509034761E-2</v>
      </c>
      <c r="G1234">
        <f t="shared" si="78"/>
        <v>-0.18606185913085938</v>
      </c>
      <c r="H1234">
        <f t="shared" si="79"/>
        <v>1.719993591308608</v>
      </c>
    </row>
    <row r="1235" spans="1:8" x14ac:dyDescent="0.2">
      <c r="A1235" t="s">
        <v>12</v>
      </c>
      <c r="B1235" s="2">
        <v>44641</v>
      </c>
      <c r="C1235">
        <v>17.897161483764648</v>
      </c>
      <c r="D1235">
        <f>_xlfn.XLOOKUP(B1235, Oil_Price!A:A, Oil_Price!B:B, "")</f>
        <v>112.120002746582</v>
      </c>
      <c r="E1235">
        <f t="shared" si="76"/>
        <v>4.7174873339304473E-2</v>
      </c>
      <c r="F1235">
        <f t="shared" si="77"/>
        <v>7.0869207398428433E-2</v>
      </c>
      <c r="G1235">
        <f t="shared" si="78"/>
        <v>0.80626106262206676</v>
      </c>
      <c r="H1235">
        <f t="shared" si="79"/>
        <v>7.4200057983398011</v>
      </c>
    </row>
    <row r="1236" spans="1:8" x14ac:dyDescent="0.2">
      <c r="A1236" t="s">
        <v>12</v>
      </c>
      <c r="B1236" s="2">
        <v>44642</v>
      </c>
      <c r="C1236">
        <v>17.77312088012695</v>
      </c>
      <c r="D1236">
        <f>_xlfn.XLOOKUP(B1236, Oil_Price!A:A, Oil_Price!B:B, "")</f>
        <v>111.7600021362305</v>
      </c>
      <c r="E1236">
        <f t="shared" si="76"/>
        <v>-6.9307417128812235E-3</v>
      </c>
      <c r="F1236">
        <f t="shared" si="77"/>
        <v>-3.2108508877331464E-3</v>
      </c>
      <c r="G1236">
        <f t="shared" si="78"/>
        <v>-0.12404060363769887</v>
      </c>
      <c r="H1236">
        <f t="shared" si="79"/>
        <v>-0.36000061035150566</v>
      </c>
    </row>
    <row r="1237" spans="1:8" x14ac:dyDescent="0.2">
      <c r="A1237" t="s">
        <v>12</v>
      </c>
      <c r="B1237" s="2">
        <v>44643</v>
      </c>
      <c r="C1237">
        <v>17.985759735107418</v>
      </c>
      <c r="D1237">
        <f>_xlfn.XLOOKUP(B1237, Oil_Price!A:A, Oil_Price!B:B, "")</f>
        <v>114.9300003051758</v>
      </c>
      <c r="E1237">
        <f t="shared" si="76"/>
        <v>1.196406958657617E-2</v>
      </c>
      <c r="F1237">
        <f t="shared" si="77"/>
        <v>2.8364335257270404E-2</v>
      </c>
      <c r="G1237">
        <f t="shared" si="78"/>
        <v>0.21263885498046875</v>
      </c>
      <c r="H1237">
        <f t="shared" si="79"/>
        <v>3.1699981689452983</v>
      </c>
    </row>
    <row r="1238" spans="1:8" x14ac:dyDescent="0.2">
      <c r="A1238" t="s">
        <v>12</v>
      </c>
      <c r="B1238" s="2">
        <v>44644</v>
      </c>
      <c r="C1238">
        <v>17.852859497070309</v>
      </c>
      <c r="D1238">
        <f>_xlfn.XLOOKUP(B1238, Oil_Price!A:A, Oil_Price!B:B, "")</f>
        <v>112.3399963378906</v>
      </c>
      <c r="E1238">
        <f t="shared" si="76"/>
        <v>-7.3891923385195624E-3</v>
      </c>
      <c r="F1238">
        <f t="shared" si="77"/>
        <v>-2.2535490824048661E-2</v>
      </c>
      <c r="G1238">
        <f t="shared" si="78"/>
        <v>-0.13290023803710938</v>
      </c>
      <c r="H1238">
        <f t="shared" si="79"/>
        <v>-2.5900039672851989</v>
      </c>
    </row>
    <row r="1239" spans="1:8" x14ac:dyDescent="0.2">
      <c r="A1239" t="s">
        <v>12</v>
      </c>
      <c r="B1239" s="2">
        <v>44645</v>
      </c>
      <c r="C1239">
        <v>18.56165885925293</v>
      </c>
      <c r="D1239">
        <f>_xlfn.XLOOKUP(B1239, Oil_Price!A:A, Oil_Price!B:B, "")</f>
        <v>113.90000152587891</v>
      </c>
      <c r="E1239">
        <f t="shared" si="76"/>
        <v>3.9702287597061757E-2</v>
      </c>
      <c r="F1239">
        <f t="shared" si="77"/>
        <v>1.3886462870233719E-2</v>
      </c>
      <c r="G1239">
        <f t="shared" si="78"/>
        <v>0.70879936218262074</v>
      </c>
      <c r="H1239">
        <f t="shared" si="79"/>
        <v>1.5600051879883097</v>
      </c>
    </row>
    <row r="1240" spans="1:8" x14ac:dyDescent="0.2">
      <c r="A1240" t="s">
        <v>12</v>
      </c>
      <c r="B1240" s="2">
        <v>44648</v>
      </c>
      <c r="C1240">
        <v>18.14523887634277</v>
      </c>
      <c r="D1240">
        <f>_xlfn.XLOOKUP(B1240, Oil_Price!A:A, Oil_Price!B:B, "")</f>
        <v>105.9599990844727</v>
      </c>
      <c r="E1240">
        <f t="shared" si="76"/>
        <v>-2.2434416345421395E-2</v>
      </c>
      <c r="F1240">
        <f t="shared" si="77"/>
        <v>-6.9710292669330487E-2</v>
      </c>
      <c r="G1240">
        <f t="shared" si="78"/>
        <v>-0.4164199829101598</v>
      </c>
      <c r="H1240">
        <f t="shared" si="79"/>
        <v>-7.9400024414062074</v>
      </c>
    </row>
    <row r="1241" spans="1:8" x14ac:dyDescent="0.2">
      <c r="A1241" t="s">
        <v>12</v>
      </c>
      <c r="B1241" s="2">
        <v>44649</v>
      </c>
      <c r="C1241">
        <v>18.508499145507809</v>
      </c>
      <c r="D1241">
        <f>_xlfn.XLOOKUP(B1241, Oil_Price!A:A, Oil_Price!B:B, "")</f>
        <v>104.2399978637695</v>
      </c>
      <c r="E1241">
        <f t="shared" si="76"/>
        <v>2.0019591455400852E-2</v>
      </c>
      <c r="F1241">
        <f t="shared" si="77"/>
        <v>-1.623255224202096E-2</v>
      </c>
      <c r="G1241">
        <f t="shared" si="78"/>
        <v>0.36326026916503906</v>
      </c>
      <c r="H1241">
        <f t="shared" si="79"/>
        <v>-1.7200012207031961</v>
      </c>
    </row>
    <row r="1242" spans="1:8" x14ac:dyDescent="0.2">
      <c r="A1242" t="s">
        <v>12</v>
      </c>
      <c r="B1242" s="2">
        <v>44650</v>
      </c>
      <c r="C1242">
        <v>18.437616348266602</v>
      </c>
      <c r="D1242">
        <f>_xlfn.XLOOKUP(B1242, Oil_Price!A:A, Oil_Price!B:B, "")</f>
        <v>107.8199996948242</v>
      </c>
      <c r="E1242">
        <f t="shared" si="76"/>
        <v>-3.8297431187666732E-3</v>
      </c>
      <c r="F1242">
        <f t="shared" si="77"/>
        <v>3.4343840218928057E-2</v>
      </c>
      <c r="G1242">
        <f t="shared" si="78"/>
        <v>-7.0882797241207385E-2</v>
      </c>
      <c r="H1242">
        <f t="shared" si="79"/>
        <v>3.5800018310547017</v>
      </c>
    </row>
    <row r="1243" spans="1:8" x14ac:dyDescent="0.2">
      <c r="A1243" t="s">
        <v>12</v>
      </c>
      <c r="B1243" s="2">
        <v>44651</v>
      </c>
      <c r="C1243">
        <v>18.46419525146484</v>
      </c>
      <c r="D1243">
        <f>_xlfn.XLOOKUP(B1243, Oil_Price!A:A, Oil_Price!B:B, "")</f>
        <v>100.2799987792969</v>
      </c>
      <c r="E1243">
        <f t="shared" si="76"/>
        <v>1.4415585342590898E-3</v>
      </c>
      <c r="F1243">
        <f t="shared" si="77"/>
        <v>-6.9931375782495489E-2</v>
      </c>
      <c r="G1243">
        <f t="shared" si="78"/>
        <v>2.6578903198238635E-2</v>
      </c>
      <c r="H1243">
        <f t="shared" si="79"/>
        <v>-7.5400009155273011</v>
      </c>
    </row>
    <row r="1244" spans="1:8" x14ac:dyDescent="0.2">
      <c r="A1244" t="s">
        <v>12</v>
      </c>
      <c r="B1244" s="2">
        <v>44652</v>
      </c>
      <c r="C1244">
        <v>18.774297714233398</v>
      </c>
      <c r="D1244">
        <f>_xlfn.XLOOKUP(B1244, Oil_Price!A:A, Oil_Price!B:B, "")</f>
        <v>99.269996643066406</v>
      </c>
      <c r="E1244">
        <f t="shared" si="76"/>
        <v>1.6794799802821437E-2</v>
      </c>
      <c r="F1244">
        <f t="shared" si="77"/>
        <v>-1.0071820388165132E-2</v>
      </c>
      <c r="G1244">
        <f t="shared" si="78"/>
        <v>0.31010246276855824</v>
      </c>
      <c r="H1244">
        <f t="shared" si="79"/>
        <v>-1.0100021362304972</v>
      </c>
    </row>
    <row r="1245" spans="1:8" x14ac:dyDescent="0.2">
      <c r="A1245" t="s">
        <v>12</v>
      </c>
      <c r="B1245" s="2">
        <v>44655</v>
      </c>
      <c r="C1245">
        <v>19.16413497924805</v>
      </c>
      <c r="D1245">
        <f>_xlfn.XLOOKUP(B1245, Oil_Price!A:A, Oil_Price!B:B, "")</f>
        <v>103.2799987792969</v>
      </c>
      <c r="E1245">
        <f t="shared" si="76"/>
        <v>2.0764412653321452E-2</v>
      </c>
      <c r="F1245">
        <f t="shared" si="77"/>
        <v>4.0394905528694597E-2</v>
      </c>
      <c r="G1245">
        <f t="shared" si="78"/>
        <v>0.38983726501465199</v>
      </c>
      <c r="H1245">
        <f t="shared" si="79"/>
        <v>4.0100021362304972</v>
      </c>
    </row>
    <row r="1246" spans="1:8" x14ac:dyDescent="0.2">
      <c r="A1246" t="s">
        <v>12</v>
      </c>
      <c r="B1246" s="2">
        <v>44656</v>
      </c>
      <c r="C1246">
        <v>18.916055679321289</v>
      </c>
      <c r="D1246">
        <f>_xlfn.XLOOKUP(B1246, Oil_Price!A:A, Oil_Price!B:B, "")</f>
        <v>101.9599990844727</v>
      </c>
      <c r="E1246">
        <f t="shared" si="76"/>
        <v>-1.2944977698987973E-2</v>
      </c>
      <c r="F1246">
        <f t="shared" si="77"/>
        <v>-1.2780787281426715E-2</v>
      </c>
      <c r="G1246">
        <f t="shared" si="78"/>
        <v>-0.24807929992676137</v>
      </c>
      <c r="H1246">
        <f t="shared" si="79"/>
        <v>-1.3199996948242045</v>
      </c>
    </row>
    <row r="1247" spans="1:8" x14ac:dyDescent="0.2">
      <c r="A1247" t="s">
        <v>12</v>
      </c>
      <c r="B1247" s="2">
        <v>44657</v>
      </c>
      <c r="C1247">
        <v>18.2692756652832</v>
      </c>
      <c r="D1247">
        <f>_xlfn.XLOOKUP(B1247, Oil_Price!A:A, Oil_Price!B:B, "")</f>
        <v>96.230003356933594</v>
      </c>
      <c r="E1247">
        <f t="shared" si="76"/>
        <v>-3.4192118325446587E-2</v>
      </c>
      <c r="F1247">
        <f t="shared" si="77"/>
        <v>-5.6198467820619227E-2</v>
      </c>
      <c r="G1247">
        <f t="shared" si="78"/>
        <v>-0.64678001403808949</v>
      </c>
      <c r="H1247">
        <f t="shared" si="79"/>
        <v>-5.7299957275391051</v>
      </c>
    </row>
    <row r="1248" spans="1:8" x14ac:dyDescent="0.2">
      <c r="A1248" t="s">
        <v>12</v>
      </c>
      <c r="B1248" s="2">
        <v>44658</v>
      </c>
      <c r="C1248">
        <v>18.712278366088871</v>
      </c>
      <c r="D1248">
        <f>_xlfn.XLOOKUP(B1248, Oil_Price!A:A, Oil_Price!B:B, "")</f>
        <v>96.029998779296875</v>
      </c>
      <c r="E1248">
        <f t="shared" si="76"/>
        <v>2.4248509296266291E-2</v>
      </c>
      <c r="F1248">
        <f t="shared" si="77"/>
        <v>-2.0784014409192886E-3</v>
      </c>
      <c r="G1248">
        <f t="shared" si="78"/>
        <v>0.44300270080567117</v>
      </c>
      <c r="H1248">
        <f t="shared" si="79"/>
        <v>-0.20000457763671875</v>
      </c>
    </row>
    <row r="1249" spans="1:8" x14ac:dyDescent="0.2">
      <c r="A1249" t="s">
        <v>12</v>
      </c>
      <c r="B1249" s="2">
        <v>44659</v>
      </c>
      <c r="C1249">
        <v>19.598276138305661</v>
      </c>
      <c r="D1249">
        <f>_xlfn.XLOOKUP(B1249, Oil_Price!A:A, Oil_Price!B:B, "")</f>
        <v>98.260002136230469</v>
      </c>
      <c r="E1249">
        <f t="shared" si="76"/>
        <v>4.7348471141944418E-2</v>
      </c>
      <c r="F1249">
        <f t="shared" si="77"/>
        <v>2.3221945072172182E-2</v>
      </c>
      <c r="G1249">
        <f t="shared" si="78"/>
        <v>0.88599777221678977</v>
      </c>
      <c r="H1249">
        <f t="shared" si="79"/>
        <v>2.2300033569335938</v>
      </c>
    </row>
    <row r="1250" spans="1:8" x14ac:dyDescent="0.2">
      <c r="A1250" t="s">
        <v>12</v>
      </c>
      <c r="B1250" s="2">
        <v>44662</v>
      </c>
      <c r="C1250">
        <v>18.45533561706543</v>
      </c>
      <c r="D1250">
        <f>_xlfn.XLOOKUP(B1250, Oil_Price!A:A, Oil_Price!B:B, "")</f>
        <v>94.290000915527344</v>
      </c>
      <c r="E1250">
        <f t="shared" si="76"/>
        <v>-5.8318421129208667E-2</v>
      </c>
      <c r="F1250">
        <f t="shared" si="77"/>
        <v>-4.04030239608483E-2</v>
      </c>
      <c r="G1250">
        <f t="shared" si="78"/>
        <v>-1.1429405212402308</v>
      </c>
      <c r="H1250">
        <f t="shared" si="79"/>
        <v>-3.970001220703125</v>
      </c>
    </row>
    <row r="1251" spans="1:8" x14ac:dyDescent="0.2">
      <c r="A1251" t="s">
        <v>12</v>
      </c>
      <c r="B1251" s="2">
        <v>44663</v>
      </c>
      <c r="C1251">
        <v>19.128690719604489</v>
      </c>
      <c r="D1251">
        <f>_xlfn.XLOOKUP(B1251, Oil_Price!A:A, Oil_Price!B:B, "")</f>
        <v>100.59999847412109</v>
      </c>
      <c r="E1251">
        <f t="shared" si="76"/>
        <v>3.6485660109936743E-2</v>
      </c>
      <c r="F1251">
        <f t="shared" si="77"/>
        <v>6.6921174009180032E-2</v>
      </c>
      <c r="G1251">
        <f t="shared" si="78"/>
        <v>0.67335510253905895</v>
      </c>
      <c r="H1251">
        <f t="shared" si="79"/>
        <v>6.30999755859375</v>
      </c>
    </row>
    <row r="1252" spans="1:8" x14ac:dyDescent="0.2">
      <c r="A1252" t="s">
        <v>12</v>
      </c>
      <c r="B1252" s="2">
        <v>44664</v>
      </c>
      <c r="C1252">
        <v>19.48309326171875</v>
      </c>
      <c r="D1252">
        <f>_xlfn.XLOOKUP(B1252, Oil_Price!A:A, Oil_Price!B:B, "")</f>
        <v>104.25</v>
      </c>
      <c r="E1252">
        <f t="shared" si="76"/>
        <v>1.8527276503615773E-2</v>
      </c>
      <c r="F1252">
        <f t="shared" si="77"/>
        <v>3.6282321881126602E-2</v>
      </c>
      <c r="G1252">
        <f t="shared" si="78"/>
        <v>0.35440254211426137</v>
      </c>
      <c r="H1252">
        <f t="shared" si="79"/>
        <v>3.6500015258789062</v>
      </c>
    </row>
    <row r="1253" spans="1:8" x14ac:dyDescent="0.2">
      <c r="A1253" t="s">
        <v>12</v>
      </c>
      <c r="B1253" s="2">
        <v>44665</v>
      </c>
      <c r="C1253">
        <v>19.5362548828125</v>
      </c>
      <c r="D1253">
        <f>_xlfn.XLOOKUP(B1253, Oil_Price!A:A, Oil_Price!B:B, "")</f>
        <v>106.9499969482422</v>
      </c>
      <c r="E1253">
        <f t="shared" si="76"/>
        <v>2.7286027110594558E-3</v>
      </c>
      <c r="F1253">
        <f t="shared" si="77"/>
        <v>2.5899251302083471E-2</v>
      </c>
      <c r="G1253">
        <f t="shared" si="78"/>
        <v>5.316162109375E-2</v>
      </c>
      <c r="H1253">
        <f t="shared" si="79"/>
        <v>2.6999969482422017</v>
      </c>
    </row>
    <row r="1254" spans="1:8" x14ac:dyDescent="0.2">
      <c r="A1254" t="s">
        <v>12</v>
      </c>
      <c r="B1254" s="2">
        <v>44669</v>
      </c>
      <c r="C1254">
        <v>20.253915786743161</v>
      </c>
      <c r="D1254">
        <f>_xlfn.XLOOKUP(B1254, Oil_Price!A:A, Oil_Price!B:B, "")</f>
        <v>108.2099990844727</v>
      </c>
      <c r="E1254">
        <f t="shared" si="76"/>
        <v>3.6734824982348091E-2</v>
      </c>
      <c r="F1254">
        <f t="shared" si="77"/>
        <v>1.1781226481383328E-2</v>
      </c>
      <c r="G1254">
        <f t="shared" si="78"/>
        <v>0.71766090393066051</v>
      </c>
      <c r="H1254">
        <f t="shared" si="79"/>
        <v>1.2600021362304972</v>
      </c>
    </row>
    <row r="1255" spans="1:8" x14ac:dyDescent="0.2">
      <c r="A1255" t="s">
        <v>12</v>
      </c>
      <c r="B1255" s="2">
        <v>44670</v>
      </c>
      <c r="C1255">
        <v>20.067852020263668</v>
      </c>
      <c r="D1255">
        <f>_xlfn.XLOOKUP(B1255, Oil_Price!A:A, Oil_Price!B:B, "")</f>
        <v>102.55999755859381</v>
      </c>
      <c r="E1255">
        <f t="shared" si="76"/>
        <v>-9.186557722397409E-3</v>
      </c>
      <c r="F1255">
        <f t="shared" si="77"/>
        <v>-5.2213303517989064E-2</v>
      </c>
      <c r="G1255">
        <f t="shared" si="78"/>
        <v>-0.18606376647949219</v>
      </c>
      <c r="H1255">
        <f t="shared" si="79"/>
        <v>-5.650001525878892</v>
      </c>
    </row>
    <row r="1256" spans="1:8" x14ac:dyDescent="0.2">
      <c r="A1256" t="s">
        <v>12</v>
      </c>
      <c r="B1256" s="2">
        <v>44671</v>
      </c>
      <c r="C1256">
        <v>20.21846771240234</v>
      </c>
      <c r="D1256">
        <f>_xlfn.XLOOKUP(B1256, Oil_Price!A:A, Oil_Price!B:B, "")</f>
        <v>102.75</v>
      </c>
      <c r="E1256">
        <f t="shared" si="76"/>
        <v>7.5053220437636533E-3</v>
      </c>
      <c r="F1256">
        <f t="shared" si="77"/>
        <v>1.8525979517271575E-3</v>
      </c>
      <c r="G1256">
        <f t="shared" si="78"/>
        <v>0.15061569213867188</v>
      </c>
      <c r="H1256">
        <f t="shared" si="79"/>
        <v>0.19000244140619316</v>
      </c>
    </row>
    <row r="1257" spans="1:8" x14ac:dyDescent="0.2">
      <c r="A1257" t="s">
        <v>12</v>
      </c>
      <c r="B1257" s="2">
        <v>44672</v>
      </c>
      <c r="C1257">
        <v>19.412216186523441</v>
      </c>
      <c r="D1257">
        <f>_xlfn.XLOOKUP(B1257, Oil_Price!A:A, Oil_Price!B:B, "")</f>
        <v>103.7900009155273</v>
      </c>
      <c r="E1257">
        <f t="shared" si="76"/>
        <v>-3.9876984613642669E-2</v>
      </c>
      <c r="F1257">
        <f t="shared" si="77"/>
        <v>1.0121663411457918E-2</v>
      </c>
      <c r="G1257">
        <f t="shared" si="78"/>
        <v>-0.80625152587889914</v>
      </c>
      <c r="H1257">
        <f t="shared" si="79"/>
        <v>1.0400009155273011</v>
      </c>
    </row>
    <row r="1258" spans="1:8" x14ac:dyDescent="0.2">
      <c r="A1258" t="s">
        <v>12</v>
      </c>
      <c r="B1258" s="2">
        <v>44673</v>
      </c>
      <c r="C1258">
        <v>19.456516265869141</v>
      </c>
      <c r="D1258">
        <f>_xlfn.XLOOKUP(B1258, Oil_Price!A:A, Oil_Price!B:B, "")</f>
        <v>102.0699996948242</v>
      </c>
      <c r="E1258">
        <f t="shared" si="76"/>
        <v>2.282072222977511E-3</v>
      </c>
      <c r="F1258">
        <f t="shared" si="77"/>
        <v>-1.657193569256226E-2</v>
      </c>
      <c r="G1258">
        <f t="shared" si="78"/>
        <v>4.4300079345699572E-2</v>
      </c>
      <c r="H1258">
        <f t="shared" si="79"/>
        <v>-1.7200012207030966</v>
      </c>
    </row>
    <row r="1259" spans="1:8" x14ac:dyDescent="0.2">
      <c r="A1259" t="s">
        <v>12</v>
      </c>
      <c r="B1259" s="2">
        <v>44676</v>
      </c>
      <c r="C1259">
        <v>18.552801132202148</v>
      </c>
      <c r="D1259">
        <f>_xlfn.XLOOKUP(B1259, Oil_Price!A:A, Oil_Price!B:B, "")</f>
        <v>98.540000915527344</v>
      </c>
      <c r="E1259">
        <f t="shared" si="76"/>
        <v>-4.6447941723889205E-2</v>
      </c>
      <c r="F1259">
        <f t="shared" si="77"/>
        <v>-3.4584097088773295E-2</v>
      </c>
      <c r="G1259">
        <f t="shared" si="78"/>
        <v>-0.90371513366699219</v>
      </c>
      <c r="H1259">
        <f t="shared" si="79"/>
        <v>-3.5299987792968608</v>
      </c>
    </row>
    <row r="1260" spans="1:8" x14ac:dyDescent="0.2">
      <c r="A1260" t="s">
        <v>12</v>
      </c>
      <c r="B1260" s="2">
        <v>44677</v>
      </c>
      <c r="C1260">
        <v>18.685699462890621</v>
      </c>
      <c r="D1260">
        <f>_xlfn.XLOOKUP(B1260, Oil_Price!A:A, Oil_Price!B:B, "")</f>
        <v>101.6999969482422</v>
      </c>
      <c r="E1260">
        <f t="shared" si="76"/>
        <v>7.1632488130216098E-3</v>
      </c>
      <c r="F1260">
        <f t="shared" si="77"/>
        <v>3.2068155097986453E-2</v>
      </c>
      <c r="G1260">
        <f t="shared" si="78"/>
        <v>0.13289833068847301</v>
      </c>
      <c r="H1260">
        <f t="shared" si="79"/>
        <v>3.159996032714858</v>
      </c>
    </row>
    <row r="1261" spans="1:8" x14ac:dyDescent="0.2">
      <c r="A1261" t="s">
        <v>12</v>
      </c>
      <c r="B1261" s="2">
        <v>44678</v>
      </c>
      <c r="C1261">
        <v>20.61717414855957</v>
      </c>
      <c r="D1261">
        <f>_xlfn.XLOOKUP(B1261, Oil_Price!A:A, Oil_Price!B:B, "")</f>
        <v>102.01999664306641</v>
      </c>
      <c r="E1261">
        <f t="shared" si="76"/>
        <v>0.103366464258125</v>
      </c>
      <c r="F1261">
        <f t="shared" si="77"/>
        <v>3.1465064348729604E-3</v>
      </c>
      <c r="G1261">
        <f t="shared" si="78"/>
        <v>1.9314746856689489</v>
      </c>
      <c r="H1261">
        <f t="shared" si="79"/>
        <v>0.31999969482420454</v>
      </c>
    </row>
    <row r="1262" spans="1:8" x14ac:dyDescent="0.2">
      <c r="A1262" t="s">
        <v>12</v>
      </c>
      <c r="B1262" s="2">
        <v>44679</v>
      </c>
      <c r="C1262">
        <v>21.99932861328125</v>
      </c>
      <c r="D1262">
        <f>_xlfn.XLOOKUP(B1262, Oil_Price!A:A, Oil_Price!B:B, "")</f>
        <v>105.36000061035161</v>
      </c>
      <c r="E1262">
        <f t="shared" si="76"/>
        <v>6.7038986757467181E-2</v>
      </c>
      <c r="F1262">
        <f t="shared" si="77"/>
        <v>3.2738718655037281E-2</v>
      </c>
      <c r="G1262">
        <f t="shared" si="78"/>
        <v>1.3821544647216797</v>
      </c>
      <c r="H1262">
        <f t="shared" si="79"/>
        <v>3.3400039672851989</v>
      </c>
    </row>
    <row r="1263" spans="1:8" x14ac:dyDescent="0.2">
      <c r="A1263" t="s">
        <v>12</v>
      </c>
      <c r="B1263" s="2">
        <v>44680</v>
      </c>
      <c r="C1263">
        <v>21.042453765869141</v>
      </c>
      <c r="D1263">
        <f>_xlfn.XLOOKUP(B1263, Oil_Price!A:A, Oil_Price!B:B, "")</f>
        <v>104.69000244140619</v>
      </c>
      <c r="E1263">
        <f t="shared" si="76"/>
        <v>-4.3495638627554886E-2</v>
      </c>
      <c r="F1263">
        <f t="shared" si="77"/>
        <v>-6.3591321665158072E-3</v>
      </c>
      <c r="G1263">
        <f t="shared" si="78"/>
        <v>-0.95687484741210938</v>
      </c>
      <c r="H1263">
        <f t="shared" si="79"/>
        <v>-0.66999816894541198</v>
      </c>
    </row>
    <row r="1264" spans="1:8" x14ac:dyDescent="0.2">
      <c r="A1264" t="s">
        <v>12</v>
      </c>
      <c r="B1264" s="2">
        <v>44683</v>
      </c>
      <c r="C1264">
        <v>21.03359413146973</v>
      </c>
      <c r="D1264">
        <f>_xlfn.XLOOKUP(B1264, Oil_Price!A:A, Oil_Price!B:B, "")</f>
        <v>105.1699981689453</v>
      </c>
      <c r="E1264">
        <f t="shared" si="76"/>
        <v>-4.210361822812146E-4</v>
      </c>
      <c r="F1264">
        <f t="shared" si="77"/>
        <v>4.5849242176467927E-3</v>
      </c>
      <c r="G1264">
        <f t="shared" si="78"/>
        <v>-8.8596343994105098E-3</v>
      </c>
      <c r="H1264">
        <f t="shared" si="79"/>
        <v>0.47999572753910513</v>
      </c>
    </row>
    <row r="1265" spans="1:8" x14ac:dyDescent="0.2">
      <c r="A1265" t="s">
        <v>12</v>
      </c>
      <c r="B1265" s="2">
        <v>44684</v>
      </c>
      <c r="C1265">
        <v>22.017049789428711</v>
      </c>
      <c r="D1265">
        <f>_xlfn.XLOOKUP(B1265, Oil_Price!A:A, Oil_Price!B:B, "")</f>
        <v>102.4100036621094</v>
      </c>
      <c r="E1265">
        <f t="shared" si="76"/>
        <v>4.6756424594480921E-2</v>
      </c>
      <c r="F1265">
        <f t="shared" si="77"/>
        <v>-2.6243173479971293E-2</v>
      </c>
      <c r="G1265">
        <f t="shared" si="78"/>
        <v>0.98345565795898082</v>
      </c>
      <c r="H1265">
        <f t="shared" si="79"/>
        <v>-2.7599945068358949</v>
      </c>
    </row>
    <row r="1266" spans="1:8" x14ac:dyDescent="0.2">
      <c r="A1266" t="s">
        <v>12</v>
      </c>
      <c r="B1266" s="2">
        <v>44685</v>
      </c>
      <c r="C1266">
        <v>22.7701530456543</v>
      </c>
      <c r="D1266">
        <f>_xlfn.XLOOKUP(B1266, Oil_Price!A:A, Oil_Price!B:B, "")</f>
        <v>107.80999755859381</v>
      </c>
      <c r="E1266">
        <f t="shared" si="76"/>
        <v>3.4205457290067319E-2</v>
      </c>
      <c r="F1266">
        <f t="shared" si="77"/>
        <v>5.2729164177174451E-2</v>
      </c>
      <c r="G1266">
        <f t="shared" si="78"/>
        <v>0.75310325622558949</v>
      </c>
      <c r="H1266">
        <f t="shared" si="79"/>
        <v>5.3999938964844034</v>
      </c>
    </row>
    <row r="1267" spans="1:8" x14ac:dyDescent="0.2">
      <c r="A1267" t="s">
        <v>12</v>
      </c>
      <c r="B1267" s="2">
        <v>44686</v>
      </c>
      <c r="C1267">
        <v>22.920768737792969</v>
      </c>
      <c r="D1267">
        <f>_xlfn.XLOOKUP(B1267, Oil_Price!A:A, Oil_Price!B:B, "")</f>
        <v>108.2600021362305</v>
      </c>
      <c r="E1267">
        <f t="shared" si="76"/>
        <v>6.614610443622531E-3</v>
      </c>
      <c r="F1267">
        <f t="shared" si="77"/>
        <v>4.1740523868588038E-3</v>
      </c>
      <c r="G1267">
        <f t="shared" si="78"/>
        <v>0.15061569213866832</v>
      </c>
      <c r="H1267">
        <f t="shared" si="79"/>
        <v>0.45000457763669033</v>
      </c>
    </row>
    <row r="1268" spans="1:8" x14ac:dyDescent="0.2">
      <c r="A1268" t="s">
        <v>12</v>
      </c>
      <c r="B1268" s="2">
        <v>44687</v>
      </c>
      <c r="C1268">
        <v>23.284025192260739</v>
      </c>
      <c r="D1268">
        <f>_xlfn.XLOOKUP(B1268, Oil_Price!A:A, Oil_Price!B:B, "")</f>
        <v>109.76999664306641</v>
      </c>
      <c r="E1268">
        <f t="shared" si="76"/>
        <v>1.5848353893506788E-2</v>
      </c>
      <c r="F1268">
        <f t="shared" si="77"/>
        <v>1.3947852180307425E-2</v>
      </c>
      <c r="G1268">
        <f t="shared" si="78"/>
        <v>0.36325645446776988</v>
      </c>
      <c r="H1268">
        <f t="shared" si="79"/>
        <v>1.5099945068359091</v>
      </c>
    </row>
    <row r="1269" spans="1:8" x14ac:dyDescent="0.2">
      <c r="A1269" t="s">
        <v>12</v>
      </c>
      <c r="B1269" s="2">
        <v>44690</v>
      </c>
      <c r="C1269">
        <v>21.582914352416989</v>
      </c>
      <c r="D1269">
        <f>_xlfn.XLOOKUP(B1269, Oil_Price!A:A, Oil_Price!B:B, "")</f>
        <v>103.0899963378906</v>
      </c>
      <c r="E1269">
        <f t="shared" si="76"/>
        <v>-7.3059139293886938E-2</v>
      </c>
      <c r="F1269">
        <f t="shared" si="77"/>
        <v>-6.0854518624946591E-2</v>
      </c>
      <c r="G1269">
        <f t="shared" si="78"/>
        <v>-1.70111083984375</v>
      </c>
      <c r="H1269">
        <f t="shared" si="79"/>
        <v>-6.6800003051758097</v>
      </c>
    </row>
    <row r="1270" spans="1:8" x14ac:dyDescent="0.2">
      <c r="A1270" t="s">
        <v>12</v>
      </c>
      <c r="B1270" s="2">
        <v>44691</v>
      </c>
      <c r="C1270">
        <v>21.87529182434082</v>
      </c>
      <c r="D1270">
        <f>_xlfn.XLOOKUP(B1270, Oil_Price!A:A, Oil_Price!B:B, "")</f>
        <v>99.760002136230469</v>
      </c>
      <c r="E1270">
        <f t="shared" si="76"/>
        <v>1.3546709547642227E-2</v>
      </c>
      <c r="F1270">
        <f t="shared" si="77"/>
        <v>-3.2301817052603703E-2</v>
      </c>
      <c r="G1270">
        <f t="shared" si="78"/>
        <v>0.29237747192383168</v>
      </c>
      <c r="H1270">
        <f t="shared" si="79"/>
        <v>-3.3299942016601278</v>
      </c>
    </row>
    <row r="1271" spans="1:8" x14ac:dyDescent="0.2">
      <c r="A1271" t="s">
        <v>12</v>
      </c>
      <c r="B1271" s="2">
        <v>44692</v>
      </c>
      <c r="C1271">
        <v>22.256271362304691</v>
      </c>
      <c r="D1271">
        <f>_xlfn.XLOOKUP(B1271, Oil_Price!A:A, Oil_Price!B:B, "")</f>
        <v>105.7099990844727</v>
      </c>
      <c r="E1271">
        <f t="shared" si="76"/>
        <v>1.741597511124179E-2</v>
      </c>
      <c r="F1271">
        <f t="shared" si="77"/>
        <v>5.964311167633117E-2</v>
      </c>
      <c r="G1271">
        <f t="shared" si="78"/>
        <v>0.38097953796387074</v>
      </c>
      <c r="H1271">
        <f t="shared" si="79"/>
        <v>5.9499969482422301</v>
      </c>
    </row>
    <row r="1272" spans="1:8" x14ac:dyDescent="0.2">
      <c r="A1272" t="s">
        <v>12</v>
      </c>
      <c r="B1272" s="2">
        <v>44693</v>
      </c>
      <c r="C1272">
        <v>22.070209503173832</v>
      </c>
      <c r="D1272">
        <f>_xlfn.XLOOKUP(B1272, Oil_Price!A:A, Oil_Price!B:B, "")</f>
        <v>106.129997253418</v>
      </c>
      <c r="E1272">
        <f t="shared" si="76"/>
        <v>-8.3599744135934278E-3</v>
      </c>
      <c r="F1272">
        <f t="shared" si="77"/>
        <v>3.9731167588950445E-3</v>
      </c>
      <c r="G1272">
        <f t="shared" si="78"/>
        <v>-0.18606185913085938</v>
      </c>
      <c r="H1272">
        <f t="shared" si="79"/>
        <v>0.41999816894529829</v>
      </c>
    </row>
    <row r="1273" spans="1:8" x14ac:dyDescent="0.2">
      <c r="A1273" t="s">
        <v>12</v>
      </c>
      <c r="B1273" s="2">
        <v>44694</v>
      </c>
      <c r="C1273">
        <v>23.044807434082031</v>
      </c>
      <c r="D1273">
        <f>_xlfn.XLOOKUP(B1273, Oil_Price!A:A, Oil_Price!B:B, "")</f>
        <v>110.4899978637695</v>
      </c>
      <c r="E1273">
        <f t="shared" si="76"/>
        <v>4.4158979585945772E-2</v>
      </c>
      <c r="F1273">
        <f t="shared" si="77"/>
        <v>4.1081699078354482E-2</v>
      </c>
      <c r="G1273">
        <f t="shared" si="78"/>
        <v>0.97459793090819957</v>
      </c>
      <c r="H1273">
        <f t="shared" si="79"/>
        <v>4.3600006103515057</v>
      </c>
    </row>
    <row r="1274" spans="1:8" x14ac:dyDescent="0.2">
      <c r="A1274" t="s">
        <v>12</v>
      </c>
      <c r="B1274" s="2">
        <v>44697</v>
      </c>
      <c r="C1274">
        <v>23.487810134887699</v>
      </c>
      <c r="D1274">
        <f>_xlfn.XLOOKUP(B1274, Oil_Price!A:A, Oil_Price!B:B, "")</f>
        <v>114.1999969482422</v>
      </c>
      <c r="E1274">
        <f t="shared" si="76"/>
        <v>1.922353667188776E-2</v>
      </c>
      <c r="F1274">
        <f t="shared" si="77"/>
        <v>3.3577691702438121E-2</v>
      </c>
      <c r="G1274">
        <f t="shared" si="78"/>
        <v>0.44300270080566762</v>
      </c>
      <c r="H1274">
        <f t="shared" si="79"/>
        <v>3.7099990844726989</v>
      </c>
    </row>
    <row r="1275" spans="1:8" x14ac:dyDescent="0.2">
      <c r="A1275" t="s">
        <v>12</v>
      </c>
      <c r="B1275" s="2">
        <v>44698</v>
      </c>
      <c r="C1275">
        <v>23.930807113647461</v>
      </c>
      <c r="D1275">
        <f>_xlfn.XLOOKUP(B1275, Oil_Price!A:A, Oil_Price!B:B, "")</f>
        <v>112.40000152587891</v>
      </c>
      <c r="E1275">
        <f t="shared" si="76"/>
        <v>1.8860718654301237E-2</v>
      </c>
      <c r="F1275">
        <f t="shared" si="77"/>
        <v>-1.5761781702840944E-2</v>
      </c>
      <c r="G1275">
        <f t="shared" si="78"/>
        <v>0.44299697875976207</v>
      </c>
      <c r="H1275">
        <f t="shared" si="79"/>
        <v>-1.7999954223632955</v>
      </c>
    </row>
    <row r="1276" spans="1:8" x14ac:dyDescent="0.2">
      <c r="A1276" t="s">
        <v>12</v>
      </c>
      <c r="B1276" s="2">
        <v>44699</v>
      </c>
      <c r="C1276">
        <v>23.66500282287598</v>
      </c>
      <c r="D1276">
        <f>_xlfn.XLOOKUP(B1276, Oil_Price!A:A, Oil_Price!B:B, "")</f>
        <v>109.5899963378906</v>
      </c>
      <c r="E1276">
        <f t="shared" si="76"/>
        <v>-1.1107201253563058E-2</v>
      </c>
      <c r="F1276">
        <f t="shared" si="77"/>
        <v>-2.5000045817093124E-2</v>
      </c>
      <c r="G1276">
        <f t="shared" si="78"/>
        <v>-0.26580429077148082</v>
      </c>
      <c r="H1276">
        <f t="shared" si="79"/>
        <v>-2.8100051879883097</v>
      </c>
    </row>
    <row r="1277" spans="1:8" x14ac:dyDescent="0.2">
      <c r="A1277" t="s">
        <v>12</v>
      </c>
      <c r="B1277" s="2">
        <v>44700</v>
      </c>
      <c r="C1277">
        <v>23.983963012695309</v>
      </c>
      <c r="D1277">
        <f>_xlfn.XLOOKUP(B1277, Oil_Price!A:A, Oil_Price!B:B, "")</f>
        <v>112.2099990844727</v>
      </c>
      <c r="E1277">
        <f t="shared" si="76"/>
        <v>1.3478138676197545E-2</v>
      </c>
      <c r="F1277">
        <f t="shared" si="77"/>
        <v>2.3907316672445583E-2</v>
      </c>
      <c r="G1277">
        <f t="shared" si="78"/>
        <v>0.31896018981932883</v>
      </c>
      <c r="H1277">
        <f t="shared" si="79"/>
        <v>2.6200027465821023</v>
      </c>
    </row>
    <row r="1278" spans="1:8" x14ac:dyDescent="0.2">
      <c r="A1278" t="s">
        <v>12</v>
      </c>
      <c r="B1278" s="2">
        <v>44701</v>
      </c>
      <c r="C1278">
        <v>24.285202026367191</v>
      </c>
      <c r="D1278">
        <f>_xlfn.XLOOKUP(B1278, Oil_Price!A:A, Oil_Price!B:B, "")</f>
        <v>113.23000335693359</v>
      </c>
      <c r="E1278">
        <f t="shared" si="76"/>
        <v>1.2560018271893965E-2</v>
      </c>
      <c r="F1278">
        <f t="shared" si="77"/>
        <v>9.0901370714122059E-3</v>
      </c>
      <c r="G1278">
        <f t="shared" si="78"/>
        <v>0.30123901367188211</v>
      </c>
      <c r="H1278">
        <f t="shared" si="79"/>
        <v>1.0200042724608949</v>
      </c>
    </row>
    <row r="1279" spans="1:8" x14ac:dyDescent="0.2">
      <c r="A1279" t="s">
        <v>12</v>
      </c>
      <c r="B1279" s="2">
        <v>44705</v>
      </c>
      <c r="C1279">
        <v>24.586446762084961</v>
      </c>
      <c r="D1279">
        <f>_xlfn.XLOOKUP(B1279, Oil_Price!A:A, Oil_Price!B:B, "")</f>
        <v>109.76999664306641</v>
      </c>
      <c r="E1279">
        <f t="shared" si="76"/>
        <v>1.2404456647743724E-2</v>
      </c>
      <c r="F1279">
        <f t="shared" si="77"/>
        <v>-3.0557331195692448E-2</v>
      </c>
      <c r="G1279">
        <f t="shared" si="78"/>
        <v>0.30124473571776988</v>
      </c>
      <c r="H1279">
        <f t="shared" si="79"/>
        <v>-3.4600067138671875</v>
      </c>
    </row>
    <row r="1280" spans="1:8" x14ac:dyDescent="0.2">
      <c r="A1280" t="s">
        <v>12</v>
      </c>
      <c r="B1280" s="2">
        <v>44706</v>
      </c>
      <c r="C1280">
        <v>24.887680053710941</v>
      </c>
      <c r="D1280">
        <f>_xlfn.XLOOKUP(B1280, Oil_Price!A:A, Oil_Price!B:B, "")</f>
        <v>110.3300018310547</v>
      </c>
      <c r="E1280">
        <f t="shared" si="76"/>
        <v>1.2252005934038235E-2</v>
      </c>
      <c r="F1280">
        <f t="shared" si="77"/>
        <v>5.1016234409593381E-3</v>
      </c>
      <c r="G1280">
        <f t="shared" si="78"/>
        <v>0.30123329162598012</v>
      </c>
      <c r="H1280">
        <f t="shared" si="79"/>
        <v>0.56000518798829546</v>
      </c>
    </row>
    <row r="1281" spans="1:8" x14ac:dyDescent="0.2">
      <c r="A1281" t="s">
        <v>12</v>
      </c>
      <c r="B1281" s="2">
        <v>44707</v>
      </c>
      <c r="C1281">
        <v>24.967426300048832</v>
      </c>
      <c r="D1281">
        <f>_xlfn.XLOOKUP(B1281, Oil_Price!A:A, Oil_Price!B:B, "")</f>
        <v>114.0899963378906</v>
      </c>
      <c r="E1281">
        <f t="shared" si="76"/>
        <v>3.2042458825325445E-3</v>
      </c>
      <c r="F1281">
        <f t="shared" si="77"/>
        <v>3.4079529089408256E-2</v>
      </c>
      <c r="G1281">
        <f t="shared" si="78"/>
        <v>7.9746246337890625E-2</v>
      </c>
      <c r="H1281">
        <f t="shared" si="79"/>
        <v>3.7599945068358949</v>
      </c>
    </row>
    <row r="1282" spans="1:8" x14ac:dyDescent="0.2">
      <c r="A1282" t="s">
        <v>12</v>
      </c>
      <c r="B1282" s="2">
        <v>44708</v>
      </c>
      <c r="C1282">
        <v>25.516740798950199</v>
      </c>
      <c r="D1282">
        <f>_xlfn.XLOOKUP(B1282, Oil_Price!A:A, Oil_Price!B:B, "")</f>
        <v>115.0699996948242</v>
      </c>
      <c r="E1282">
        <f t="shared" si="76"/>
        <v>2.2001246436053074E-2</v>
      </c>
      <c r="F1282">
        <f t="shared" si="77"/>
        <v>8.5897395774403897E-3</v>
      </c>
      <c r="G1282">
        <f t="shared" si="78"/>
        <v>0.54931449890136719</v>
      </c>
      <c r="H1282">
        <f t="shared" si="79"/>
        <v>0.98000335693360796</v>
      </c>
    </row>
    <row r="1283" spans="1:8" x14ac:dyDescent="0.2">
      <c r="A1283" t="s">
        <v>12</v>
      </c>
      <c r="B1283" s="2">
        <v>44711</v>
      </c>
      <c r="C1283">
        <v>26.385017395019531</v>
      </c>
      <c r="D1283" t="str">
        <f>_xlfn.XLOOKUP(B1283, Oil_Price!A:A, Oil_Price!B:B, "")</f>
        <v/>
      </c>
      <c r="E1283">
        <f t="shared" ref="E1283:E1346" si="80">IFERROR(IF(AND(A1283=A1282, C1283&lt;&gt;"", C1282&lt;&gt;""), (C1283-C1282)/C1282, ""), "")</f>
        <v>3.4027723325271021E-2</v>
      </c>
      <c r="F1283" t="str">
        <f t="shared" ref="F1283:F1346" si="81">IFERROR(IF(AND(A1283=A1282, D1283&lt;&gt;"", D1282&lt;&gt;""), (D1283-D1282)/D1282, ""), "")</f>
        <v/>
      </c>
      <c r="G1283">
        <f t="shared" ref="G1283:G1346" si="82">IFERROR(IF(AND(A1283=A1282, C1283&lt;&gt;"", C1282&lt;&gt;""), C1283-C1282, ""), "")</f>
        <v>0.86827659606933238</v>
      </c>
      <c r="H1283" t="str">
        <f t="shared" ref="H1283:H1346" si="83">IFERROR(IF(AND(A1283=A1282, D1283&lt;&gt;"", D1282&lt;&gt;""), D1283-D1282, ""), "")</f>
        <v/>
      </c>
    </row>
    <row r="1284" spans="1:8" x14ac:dyDescent="0.2">
      <c r="A1284" t="s">
        <v>12</v>
      </c>
      <c r="B1284" s="2">
        <v>44712</v>
      </c>
      <c r="C1284">
        <v>25.977457046508789</v>
      </c>
      <c r="D1284">
        <f>_xlfn.XLOOKUP(B1284, Oil_Price!A:A, Oil_Price!B:B, "")</f>
        <v>114.6699981689453</v>
      </c>
      <c r="E1284">
        <f t="shared" si="80"/>
        <v>-1.5446658321615273E-2</v>
      </c>
      <c r="F1284" t="str">
        <f t="shared" si="81"/>
        <v/>
      </c>
      <c r="G1284">
        <f t="shared" si="82"/>
        <v>-0.40756034851074219</v>
      </c>
      <c r="H1284" t="str">
        <f t="shared" si="83"/>
        <v/>
      </c>
    </row>
    <row r="1285" spans="1:8" x14ac:dyDescent="0.2">
      <c r="A1285" t="s">
        <v>12</v>
      </c>
      <c r="B1285" s="2">
        <v>44713</v>
      </c>
      <c r="C1285">
        <v>26.73941802978516</v>
      </c>
      <c r="D1285">
        <f>_xlfn.XLOOKUP(B1285, Oil_Price!A:A, Oil_Price!B:B, "")</f>
        <v>115.2600021362305</v>
      </c>
      <c r="E1285">
        <f t="shared" si="80"/>
        <v>2.9331623257511021E-2</v>
      </c>
      <c r="F1285">
        <f t="shared" si="81"/>
        <v>5.1452339470341299E-3</v>
      </c>
      <c r="G1285">
        <f t="shared" si="82"/>
        <v>0.76196098327637074</v>
      </c>
      <c r="H1285">
        <f t="shared" si="83"/>
        <v>0.59000396728519888</v>
      </c>
    </row>
    <row r="1286" spans="1:8" x14ac:dyDescent="0.2">
      <c r="A1286" t="s">
        <v>12</v>
      </c>
      <c r="B1286" s="2">
        <v>44714</v>
      </c>
      <c r="C1286">
        <v>26.597663879394531</v>
      </c>
      <c r="D1286">
        <f>_xlfn.XLOOKUP(B1286, Oil_Price!A:A, Oil_Price!B:B, "")</f>
        <v>116.870002746582</v>
      </c>
      <c r="E1286">
        <f t="shared" si="80"/>
        <v>-5.3013177112803261E-3</v>
      </c>
      <c r="F1286">
        <f t="shared" si="81"/>
        <v>1.3968424262638657E-2</v>
      </c>
      <c r="G1286">
        <f t="shared" si="82"/>
        <v>-0.14175415039062855</v>
      </c>
      <c r="H1286">
        <f t="shared" si="83"/>
        <v>1.6100006103515057</v>
      </c>
    </row>
    <row r="1287" spans="1:8" x14ac:dyDescent="0.2">
      <c r="A1287" t="s">
        <v>12</v>
      </c>
      <c r="B1287" s="2">
        <v>44715</v>
      </c>
      <c r="C1287">
        <v>26.78371429443359</v>
      </c>
      <c r="D1287">
        <f>_xlfn.XLOOKUP(B1287, Oil_Price!A:A, Oil_Price!B:B, "")</f>
        <v>118.870002746582</v>
      </c>
      <c r="E1287">
        <f t="shared" si="80"/>
        <v>6.9949908338827462E-3</v>
      </c>
      <c r="F1287">
        <f t="shared" si="81"/>
        <v>1.711303117136696E-2</v>
      </c>
      <c r="G1287">
        <f t="shared" si="82"/>
        <v>0.18605041503905895</v>
      </c>
      <c r="H1287">
        <f t="shared" si="83"/>
        <v>2</v>
      </c>
    </row>
    <row r="1288" spans="1:8" x14ac:dyDescent="0.2">
      <c r="A1288" t="s">
        <v>12</v>
      </c>
      <c r="B1288" s="2">
        <v>44718</v>
      </c>
      <c r="C1288">
        <v>26.624238967895511</v>
      </c>
      <c r="D1288">
        <f>_xlfn.XLOOKUP(B1288, Oil_Price!A:A, Oil_Price!B:B, "")</f>
        <v>118.5</v>
      </c>
      <c r="E1288">
        <f t="shared" si="80"/>
        <v>-5.9541901016776566E-3</v>
      </c>
      <c r="F1288">
        <f t="shared" si="81"/>
        <v>-3.1126670987869725E-3</v>
      </c>
      <c r="G1288">
        <f t="shared" si="82"/>
        <v>-0.15947532653807883</v>
      </c>
      <c r="H1288">
        <f t="shared" si="83"/>
        <v>-0.37000274658200283</v>
      </c>
    </row>
    <row r="1289" spans="1:8" x14ac:dyDescent="0.2">
      <c r="A1289" t="s">
        <v>12</v>
      </c>
      <c r="B1289" s="2">
        <v>44719</v>
      </c>
      <c r="C1289">
        <v>27.421638488769531</v>
      </c>
      <c r="D1289">
        <f>_xlfn.XLOOKUP(B1289, Oil_Price!A:A, Oil_Price!B:B, "")</f>
        <v>119.4100036621094</v>
      </c>
      <c r="E1289">
        <f t="shared" si="80"/>
        <v>2.9950133854926467E-2</v>
      </c>
      <c r="F1289">
        <f t="shared" si="81"/>
        <v>7.6793557983915904E-3</v>
      </c>
      <c r="G1289">
        <f t="shared" si="82"/>
        <v>0.79739952087401988</v>
      </c>
      <c r="H1289">
        <f t="shared" si="83"/>
        <v>0.91000366210940342</v>
      </c>
    </row>
    <row r="1290" spans="1:8" x14ac:dyDescent="0.2">
      <c r="A1290" t="s">
        <v>12</v>
      </c>
      <c r="B1290" s="2">
        <v>44720</v>
      </c>
      <c r="C1290">
        <v>27.279876708984379</v>
      </c>
      <c r="D1290">
        <f>_xlfn.XLOOKUP(B1290, Oil_Price!A:A, Oil_Price!B:B, "")</f>
        <v>122.11000061035161</v>
      </c>
      <c r="E1290">
        <f t="shared" si="80"/>
        <v>-5.1697049336862531E-3</v>
      </c>
      <c r="F1290">
        <f t="shared" si="81"/>
        <v>2.2611145343251936E-2</v>
      </c>
      <c r="G1290">
        <f t="shared" si="82"/>
        <v>-0.1417617797851527</v>
      </c>
      <c r="H1290">
        <f t="shared" si="83"/>
        <v>2.6999969482422017</v>
      </c>
    </row>
    <row r="1291" spans="1:8" x14ac:dyDescent="0.2">
      <c r="A1291" t="s">
        <v>12</v>
      </c>
      <c r="B1291" s="2">
        <v>44721</v>
      </c>
      <c r="C1291">
        <v>27.200139999389648</v>
      </c>
      <c r="D1291">
        <f>_xlfn.XLOOKUP(B1291, Oil_Price!A:A, Oil_Price!B:B, "")</f>
        <v>121.5100021362305</v>
      </c>
      <c r="E1291">
        <f t="shared" si="80"/>
        <v>-2.9229131218349515E-3</v>
      </c>
      <c r="F1291">
        <f t="shared" si="81"/>
        <v>-4.9135899690614234E-3</v>
      </c>
      <c r="G1291">
        <f t="shared" si="82"/>
        <v>-7.9736709594730115E-2</v>
      </c>
      <c r="H1291">
        <f t="shared" si="83"/>
        <v>-0.59999847412110796</v>
      </c>
    </row>
    <row r="1292" spans="1:8" x14ac:dyDescent="0.2">
      <c r="A1292" t="s">
        <v>12</v>
      </c>
      <c r="B1292" s="2">
        <v>44722</v>
      </c>
      <c r="C1292">
        <v>26.659677505493161</v>
      </c>
      <c r="D1292">
        <f>_xlfn.XLOOKUP(B1292, Oil_Price!A:A, Oil_Price!B:B, "")</f>
        <v>120.6699981689453</v>
      </c>
      <c r="E1292">
        <f t="shared" si="80"/>
        <v>-1.9869842357745787E-2</v>
      </c>
      <c r="F1292">
        <f t="shared" si="81"/>
        <v>-6.9130438031219151E-3</v>
      </c>
      <c r="G1292">
        <f t="shared" si="82"/>
        <v>-0.54046249389648793</v>
      </c>
      <c r="H1292">
        <f t="shared" si="83"/>
        <v>-0.84000396728519888</v>
      </c>
    </row>
    <row r="1293" spans="1:8" x14ac:dyDescent="0.2">
      <c r="A1293" t="s">
        <v>12</v>
      </c>
      <c r="B1293" s="2">
        <v>44725</v>
      </c>
      <c r="C1293">
        <v>25.76482009887695</v>
      </c>
      <c r="D1293">
        <f>_xlfn.XLOOKUP(B1293, Oil_Price!A:A, Oil_Price!B:B, "")</f>
        <v>120.9300003051758</v>
      </c>
      <c r="E1293">
        <f t="shared" si="80"/>
        <v>-3.3565950166945108E-2</v>
      </c>
      <c r="F1293">
        <f t="shared" si="81"/>
        <v>2.1546543480217713E-3</v>
      </c>
      <c r="G1293">
        <f t="shared" si="82"/>
        <v>-0.89485740661621094</v>
      </c>
      <c r="H1293">
        <f t="shared" si="83"/>
        <v>0.26000213623049717</v>
      </c>
    </row>
    <row r="1294" spans="1:8" x14ac:dyDescent="0.2">
      <c r="A1294" t="s">
        <v>12</v>
      </c>
      <c r="B1294" s="2">
        <v>44726</v>
      </c>
      <c r="C1294">
        <v>25.546964645385739</v>
      </c>
      <c r="D1294">
        <f>_xlfn.XLOOKUP(B1294, Oil_Price!A:A, Oil_Price!B:B, "")</f>
        <v>118.9300003051758</v>
      </c>
      <c r="E1294">
        <f t="shared" si="80"/>
        <v>-8.4555394780616751E-3</v>
      </c>
      <c r="F1294">
        <f t="shared" si="81"/>
        <v>-1.653849330152032E-2</v>
      </c>
      <c r="G1294">
        <f t="shared" si="82"/>
        <v>-0.21785545349121094</v>
      </c>
      <c r="H1294">
        <f t="shared" si="83"/>
        <v>-2</v>
      </c>
    </row>
    <row r="1295" spans="1:8" x14ac:dyDescent="0.2">
      <c r="A1295" t="s">
        <v>12</v>
      </c>
      <c r="B1295" s="2">
        <v>44727</v>
      </c>
      <c r="C1295">
        <v>24.639974594116211</v>
      </c>
      <c r="D1295">
        <f>_xlfn.XLOOKUP(B1295, Oil_Price!A:A, Oil_Price!B:B, "")</f>
        <v>115.30999755859381</v>
      </c>
      <c r="E1295">
        <f t="shared" si="80"/>
        <v>-3.5502849902497011E-2</v>
      </c>
      <c r="F1295">
        <f t="shared" si="81"/>
        <v>-3.0438095831943315E-2</v>
      </c>
      <c r="G1295">
        <f t="shared" si="82"/>
        <v>-0.9069900512695277</v>
      </c>
      <c r="H1295">
        <f t="shared" si="83"/>
        <v>-3.6200027465819886</v>
      </c>
    </row>
    <row r="1296" spans="1:8" x14ac:dyDescent="0.2">
      <c r="A1296" t="s">
        <v>12</v>
      </c>
      <c r="B1296" s="2">
        <v>44728</v>
      </c>
      <c r="C1296">
        <v>23.07496452331543</v>
      </c>
      <c r="D1296">
        <f>_xlfn.XLOOKUP(B1296, Oil_Price!A:A, Oil_Price!B:B, "")</f>
        <v>117.5899963378906</v>
      </c>
      <c r="E1296">
        <f t="shared" si="80"/>
        <v>-6.3515084596495103E-2</v>
      </c>
      <c r="F1296">
        <f t="shared" si="81"/>
        <v>1.9772776234239599E-2</v>
      </c>
      <c r="G1296">
        <f t="shared" si="82"/>
        <v>-1.5650100708007812</v>
      </c>
      <c r="H1296">
        <f t="shared" si="83"/>
        <v>2.2799987792967897</v>
      </c>
    </row>
    <row r="1297" spans="1:8" x14ac:dyDescent="0.2">
      <c r="A1297" t="s">
        <v>12</v>
      </c>
      <c r="B1297" s="2">
        <v>44729</v>
      </c>
      <c r="C1297">
        <v>22.061264038085941</v>
      </c>
      <c r="D1297">
        <f>_xlfn.XLOOKUP(B1297, Oil_Price!A:A, Oil_Price!B:B, "")</f>
        <v>109.55999755859381</v>
      </c>
      <c r="E1297">
        <f t="shared" si="80"/>
        <v>-4.3930749458150814E-2</v>
      </c>
      <c r="F1297">
        <f t="shared" si="81"/>
        <v>-6.8288111483759892E-2</v>
      </c>
      <c r="G1297">
        <f t="shared" si="82"/>
        <v>-1.0137004852294886</v>
      </c>
      <c r="H1297">
        <f t="shared" si="83"/>
        <v>-8.0299987792967897</v>
      </c>
    </row>
    <row r="1298" spans="1:8" x14ac:dyDescent="0.2">
      <c r="A1298" t="s">
        <v>12</v>
      </c>
      <c r="B1298" s="2">
        <v>44732</v>
      </c>
      <c r="C1298">
        <v>22.523651123046879</v>
      </c>
      <c r="D1298" t="str">
        <f>_xlfn.XLOOKUP(B1298, Oil_Price!A:A, Oil_Price!B:B, "")</f>
        <v/>
      </c>
      <c r="E1298">
        <f t="shared" si="80"/>
        <v>2.0959228998061286E-2</v>
      </c>
      <c r="F1298" t="str">
        <f t="shared" si="81"/>
        <v/>
      </c>
      <c r="G1298">
        <f t="shared" si="82"/>
        <v>0.4623870849609375</v>
      </c>
      <c r="H1298" t="str">
        <f t="shared" si="83"/>
        <v/>
      </c>
    </row>
    <row r="1299" spans="1:8" x14ac:dyDescent="0.2">
      <c r="A1299" t="s">
        <v>12</v>
      </c>
      <c r="B1299" s="2">
        <v>44733</v>
      </c>
      <c r="C1299">
        <v>23.07496452331543</v>
      </c>
      <c r="D1299">
        <f>_xlfn.XLOOKUP(B1299, Oil_Price!A:A, Oil_Price!B:B, "")</f>
        <v>110.65000152587891</v>
      </c>
      <c r="E1299">
        <f t="shared" si="80"/>
        <v>2.4477088428368998E-2</v>
      </c>
      <c r="F1299" t="str">
        <f t="shared" si="81"/>
        <v/>
      </c>
      <c r="G1299">
        <f t="shared" si="82"/>
        <v>0.55131340026855113</v>
      </c>
      <c r="H1299" t="str">
        <f t="shared" si="83"/>
        <v/>
      </c>
    </row>
    <row r="1300" spans="1:8" x14ac:dyDescent="0.2">
      <c r="A1300" t="s">
        <v>12</v>
      </c>
      <c r="B1300" s="2">
        <v>44734</v>
      </c>
      <c r="C1300">
        <v>22.345809936523441</v>
      </c>
      <c r="D1300">
        <f>_xlfn.XLOOKUP(B1300, Oil_Price!A:A, Oil_Price!B:B, "")</f>
        <v>106.19000244140619</v>
      </c>
      <c r="E1300">
        <f t="shared" si="80"/>
        <v>-3.1599380621159155E-2</v>
      </c>
      <c r="F1300">
        <f t="shared" si="81"/>
        <v>-4.0307266362121154E-2</v>
      </c>
      <c r="G1300">
        <f t="shared" si="82"/>
        <v>-0.72915458679198863</v>
      </c>
      <c r="H1300">
        <f t="shared" si="83"/>
        <v>-4.4599990844727131</v>
      </c>
    </row>
    <row r="1301" spans="1:8" x14ac:dyDescent="0.2">
      <c r="A1301" t="s">
        <v>12</v>
      </c>
      <c r="B1301" s="2">
        <v>44735</v>
      </c>
      <c r="C1301">
        <v>20.558502197265621</v>
      </c>
      <c r="D1301">
        <f>_xlfn.XLOOKUP(B1301, Oil_Price!A:A, Oil_Price!B:B, "")</f>
        <v>104.26999664306641</v>
      </c>
      <c r="E1301">
        <f t="shared" si="80"/>
        <v>-7.9984021359482155E-2</v>
      </c>
      <c r="F1301">
        <f t="shared" si="81"/>
        <v>-1.8080852756352586E-2</v>
      </c>
      <c r="G1301">
        <f t="shared" si="82"/>
        <v>-1.7873077392578196</v>
      </c>
      <c r="H1301">
        <f t="shared" si="83"/>
        <v>-1.9200057983397869</v>
      </c>
    </row>
    <row r="1302" spans="1:8" x14ac:dyDescent="0.2">
      <c r="A1302" t="s">
        <v>12</v>
      </c>
      <c r="B1302" s="2">
        <v>44736</v>
      </c>
      <c r="C1302">
        <v>21.598875045776371</v>
      </c>
      <c r="D1302">
        <f>_xlfn.XLOOKUP(B1302, Oil_Price!A:A, Oil_Price!B:B, "")</f>
        <v>107.620002746582</v>
      </c>
      <c r="E1302">
        <f t="shared" si="80"/>
        <v>5.0605478868451993E-2</v>
      </c>
      <c r="F1302">
        <f t="shared" si="81"/>
        <v>3.212818846617236E-2</v>
      </c>
      <c r="G1302">
        <f t="shared" si="82"/>
        <v>1.0403728485107493</v>
      </c>
      <c r="H1302">
        <f t="shared" si="83"/>
        <v>3.3500061035155966</v>
      </c>
    </row>
    <row r="1303" spans="1:8" x14ac:dyDescent="0.2">
      <c r="A1303" t="s">
        <v>12</v>
      </c>
      <c r="B1303" s="2">
        <v>44739</v>
      </c>
      <c r="C1303">
        <v>22.452518463134769</v>
      </c>
      <c r="D1303">
        <f>_xlfn.XLOOKUP(B1303, Oil_Price!A:A, Oil_Price!B:B, "")</f>
        <v>109.5699996948242</v>
      </c>
      <c r="E1303">
        <f t="shared" si="80"/>
        <v>3.9522586965719177E-2</v>
      </c>
      <c r="F1303">
        <f t="shared" si="81"/>
        <v>1.8119279859469557E-2</v>
      </c>
      <c r="G1303">
        <f t="shared" si="82"/>
        <v>0.85364341735839844</v>
      </c>
      <c r="H1303">
        <f t="shared" si="83"/>
        <v>1.9499969482422017</v>
      </c>
    </row>
    <row r="1304" spans="1:8" x14ac:dyDescent="0.2">
      <c r="A1304" t="s">
        <v>12</v>
      </c>
      <c r="B1304" s="2">
        <v>44740</v>
      </c>
      <c r="C1304">
        <v>23.279481887817379</v>
      </c>
      <c r="D1304">
        <f>_xlfn.XLOOKUP(B1304, Oil_Price!A:A, Oil_Price!B:B, "")</f>
        <v>111.7600021362305</v>
      </c>
      <c r="E1304">
        <f t="shared" si="80"/>
        <v>3.6831655479558675E-2</v>
      </c>
      <c r="F1304">
        <f t="shared" si="81"/>
        <v>1.9987245117330622E-2</v>
      </c>
      <c r="G1304">
        <f t="shared" si="82"/>
        <v>0.82696342468261008</v>
      </c>
      <c r="H1304">
        <f t="shared" si="83"/>
        <v>2.1900024414062926</v>
      </c>
    </row>
    <row r="1305" spans="1:8" x14ac:dyDescent="0.2">
      <c r="A1305" t="s">
        <v>12</v>
      </c>
      <c r="B1305" s="2">
        <v>44741</v>
      </c>
      <c r="C1305">
        <v>22.230218887329102</v>
      </c>
      <c r="D1305">
        <f>_xlfn.XLOOKUP(B1305, Oil_Price!A:A, Oil_Price!B:B, "")</f>
        <v>109.7799987792969</v>
      </c>
      <c r="E1305">
        <f t="shared" si="80"/>
        <v>-4.5072437846538936E-2</v>
      </c>
      <c r="F1305">
        <f t="shared" si="81"/>
        <v>-1.7716565131414879E-2</v>
      </c>
      <c r="G1305">
        <f t="shared" si="82"/>
        <v>-1.0492630004882777</v>
      </c>
      <c r="H1305">
        <f t="shared" si="83"/>
        <v>-1.9800033569335938</v>
      </c>
    </row>
    <row r="1306" spans="1:8" x14ac:dyDescent="0.2">
      <c r="A1306" t="s">
        <v>12</v>
      </c>
      <c r="B1306" s="2">
        <v>44742</v>
      </c>
      <c r="C1306">
        <v>21.77672004699707</v>
      </c>
      <c r="D1306">
        <f>_xlfn.XLOOKUP(B1306, Oil_Price!A:A, Oil_Price!B:B, "")</f>
        <v>105.7600021362305</v>
      </c>
      <c r="E1306">
        <f t="shared" si="80"/>
        <v>-2.0400106837927669E-2</v>
      </c>
      <c r="F1306">
        <f t="shared" si="81"/>
        <v>-3.6618661757760247E-2</v>
      </c>
      <c r="G1306">
        <f t="shared" si="82"/>
        <v>-0.45349884033203125</v>
      </c>
      <c r="H1306">
        <f t="shared" si="83"/>
        <v>-4.0199966430664062</v>
      </c>
    </row>
    <row r="1307" spans="1:8" x14ac:dyDescent="0.2">
      <c r="A1307" t="s">
        <v>12</v>
      </c>
      <c r="B1307" s="2">
        <v>44746</v>
      </c>
      <c r="C1307">
        <v>21.927883148193359</v>
      </c>
      <c r="D1307" t="str">
        <f>_xlfn.XLOOKUP(B1307, Oil_Price!A:A, Oil_Price!B:B, "")</f>
        <v/>
      </c>
      <c r="E1307">
        <f t="shared" si="80"/>
        <v>6.9414999536229014E-3</v>
      </c>
      <c r="F1307" t="str">
        <f t="shared" si="81"/>
        <v/>
      </c>
      <c r="G1307">
        <f t="shared" si="82"/>
        <v>0.15116310119628906</v>
      </c>
      <c r="H1307" t="str">
        <f t="shared" si="83"/>
        <v/>
      </c>
    </row>
    <row r="1308" spans="1:8" x14ac:dyDescent="0.2">
      <c r="A1308" t="s">
        <v>12</v>
      </c>
      <c r="B1308" s="2">
        <v>44747</v>
      </c>
      <c r="C1308">
        <v>20.442903518676761</v>
      </c>
      <c r="D1308">
        <f>_xlfn.XLOOKUP(B1308, Oil_Price!A:A, Oil_Price!B:B, "")</f>
        <v>99.5</v>
      </c>
      <c r="E1308">
        <f t="shared" si="80"/>
        <v>-6.7721066346477024E-2</v>
      </c>
      <c r="F1308" t="str">
        <f t="shared" si="81"/>
        <v/>
      </c>
      <c r="G1308">
        <f t="shared" si="82"/>
        <v>-1.484979629516598</v>
      </c>
      <c r="H1308" t="str">
        <f t="shared" si="83"/>
        <v/>
      </c>
    </row>
    <row r="1309" spans="1:8" x14ac:dyDescent="0.2">
      <c r="A1309" t="s">
        <v>12</v>
      </c>
      <c r="B1309" s="2">
        <v>44748</v>
      </c>
      <c r="C1309">
        <v>19.927164077758789</v>
      </c>
      <c r="D1309">
        <f>_xlfn.XLOOKUP(B1309, Oil_Price!A:A, Oil_Price!B:B, "")</f>
        <v>98.529998779296875</v>
      </c>
      <c r="E1309">
        <f t="shared" si="80"/>
        <v>-2.5228287187619391E-2</v>
      </c>
      <c r="F1309">
        <f t="shared" si="81"/>
        <v>-9.7487559869660796E-3</v>
      </c>
      <c r="G1309">
        <f t="shared" si="82"/>
        <v>-0.5157394409179723</v>
      </c>
      <c r="H1309">
        <f t="shared" si="83"/>
        <v>-0.970001220703125</v>
      </c>
    </row>
    <row r="1310" spans="1:8" x14ac:dyDescent="0.2">
      <c r="A1310" t="s">
        <v>12</v>
      </c>
      <c r="B1310" s="2">
        <v>44749</v>
      </c>
      <c r="C1310">
        <v>20.92308235168457</v>
      </c>
      <c r="D1310">
        <f>_xlfn.XLOOKUP(B1310, Oil_Price!A:A, Oil_Price!B:B, "")</f>
        <v>102.73000335693359</v>
      </c>
      <c r="E1310">
        <f t="shared" si="80"/>
        <v>4.9977923102331998E-2</v>
      </c>
      <c r="F1310">
        <f t="shared" si="81"/>
        <v>4.262665817183816E-2</v>
      </c>
      <c r="G1310">
        <f t="shared" si="82"/>
        <v>0.99591827392578125</v>
      </c>
      <c r="H1310">
        <f t="shared" si="83"/>
        <v>4.2000045776367188</v>
      </c>
    </row>
    <row r="1311" spans="1:8" x14ac:dyDescent="0.2">
      <c r="A1311" t="s">
        <v>12</v>
      </c>
      <c r="B1311" s="2">
        <v>44750</v>
      </c>
      <c r="C1311">
        <v>20.754131317138668</v>
      </c>
      <c r="D1311">
        <f>_xlfn.XLOOKUP(B1311, Oil_Price!A:A, Oil_Price!B:B, "")</f>
        <v>104.7900009155273</v>
      </c>
      <c r="E1311">
        <f t="shared" si="80"/>
        <v>-8.0748635266112839E-3</v>
      </c>
      <c r="F1311">
        <f t="shared" si="81"/>
        <v>2.0052540555618226E-2</v>
      </c>
      <c r="G1311">
        <f t="shared" si="82"/>
        <v>-0.16895103454590199</v>
      </c>
      <c r="H1311">
        <f t="shared" si="83"/>
        <v>2.0599975585937074</v>
      </c>
    </row>
    <row r="1312" spans="1:8" x14ac:dyDescent="0.2">
      <c r="A1312" t="s">
        <v>12</v>
      </c>
      <c r="B1312" s="2">
        <v>44753</v>
      </c>
      <c r="C1312">
        <v>20.22060585021973</v>
      </c>
      <c r="D1312">
        <f>_xlfn.XLOOKUP(B1312, Oil_Price!A:A, Oil_Price!B:B, "")</f>
        <v>104.0899963378906</v>
      </c>
      <c r="E1312">
        <f t="shared" si="80"/>
        <v>-2.5706952450395035E-2</v>
      </c>
      <c r="F1312">
        <f t="shared" si="81"/>
        <v>-6.6800703456524266E-3</v>
      </c>
      <c r="G1312">
        <f t="shared" si="82"/>
        <v>-0.53352546691893821</v>
      </c>
      <c r="H1312">
        <f t="shared" si="83"/>
        <v>-0.70000457763670454</v>
      </c>
    </row>
    <row r="1313" spans="1:8" x14ac:dyDescent="0.2">
      <c r="A1313" t="s">
        <v>12</v>
      </c>
      <c r="B1313" s="2">
        <v>44754</v>
      </c>
      <c r="C1313">
        <v>19.349176406860352</v>
      </c>
      <c r="D1313">
        <f>_xlfn.XLOOKUP(B1313, Oil_Price!A:A, Oil_Price!B:B, "")</f>
        <v>95.839996337890625</v>
      </c>
      <c r="E1313">
        <f t="shared" si="80"/>
        <v>-4.3096109474381007E-2</v>
      </c>
      <c r="F1313">
        <f t="shared" si="81"/>
        <v>-7.9258336922400544E-2</v>
      </c>
      <c r="G1313">
        <f t="shared" si="82"/>
        <v>-0.87142944335937855</v>
      </c>
      <c r="H1313">
        <f t="shared" si="83"/>
        <v>-8.2499999999999716</v>
      </c>
    </row>
    <row r="1314" spans="1:8" x14ac:dyDescent="0.2">
      <c r="A1314" t="s">
        <v>12</v>
      </c>
      <c r="B1314" s="2">
        <v>44755</v>
      </c>
      <c r="C1314">
        <v>18.975711822509769</v>
      </c>
      <c r="D1314">
        <f>_xlfn.XLOOKUP(B1314, Oil_Price!A:A, Oil_Price!B:B, "")</f>
        <v>96.300003051757812</v>
      </c>
      <c r="E1314">
        <f t="shared" si="80"/>
        <v>-1.9301316836316019E-2</v>
      </c>
      <c r="F1314">
        <f t="shared" si="81"/>
        <v>4.7997363464560407E-3</v>
      </c>
      <c r="G1314">
        <f t="shared" si="82"/>
        <v>-0.37346458435058238</v>
      </c>
      <c r="H1314">
        <f t="shared" si="83"/>
        <v>0.4600067138671875</v>
      </c>
    </row>
    <row r="1315" spans="1:8" x14ac:dyDescent="0.2">
      <c r="A1315" t="s">
        <v>12</v>
      </c>
      <c r="B1315" s="2">
        <v>44756</v>
      </c>
      <c r="C1315">
        <v>18.486648559570309</v>
      </c>
      <c r="D1315">
        <f>_xlfn.XLOOKUP(B1315, Oil_Price!A:A, Oil_Price!B:B, "")</f>
        <v>95.779998779296875</v>
      </c>
      <c r="E1315">
        <f t="shared" si="80"/>
        <v>-2.5773118158303462E-2</v>
      </c>
      <c r="F1315">
        <f t="shared" si="81"/>
        <v>-5.3998365107159321E-3</v>
      </c>
      <c r="G1315">
        <f t="shared" si="82"/>
        <v>-0.48906326293946023</v>
      </c>
      <c r="H1315">
        <f t="shared" si="83"/>
        <v>-0.5200042724609375</v>
      </c>
    </row>
    <row r="1316" spans="1:8" x14ac:dyDescent="0.2">
      <c r="A1316" t="s">
        <v>12</v>
      </c>
      <c r="B1316" s="2">
        <v>44757</v>
      </c>
      <c r="C1316">
        <v>18.877897262573239</v>
      </c>
      <c r="D1316">
        <f>_xlfn.XLOOKUP(B1316, Oil_Price!A:A, Oil_Price!B:B, "")</f>
        <v>97.589996337890625</v>
      </c>
      <c r="E1316">
        <f t="shared" si="80"/>
        <v>2.1163852482086867E-2</v>
      </c>
      <c r="F1316">
        <f t="shared" si="81"/>
        <v>1.8897448127604133E-2</v>
      </c>
      <c r="G1316">
        <f t="shared" si="82"/>
        <v>0.39124870300292969</v>
      </c>
      <c r="H1316">
        <f t="shared" si="83"/>
        <v>1.80999755859375</v>
      </c>
    </row>
    <row r="1317" spans="1:8" x14ac:dyDescent="0.2">
      <c r="A1317" t="s">
        <v>12</v>
      </c>
      <c r="B1317" s="2">
        <v>44760</v>
      </c>
      <c r="C1317">
        <v>19.420318603515621</v>
      </c>
      <c r="D1317">
        <f>_xlfn.XLOOKUP(B1317, Oil_Price!A:A, Oil_Price!B:B, "")</f>
        <v>102.59999847412109</v>
      </c>
      <c r="E1317">
        <f t="shared" si="80"/>
        <v>2.8733144025408556E-2</v>
      </c>
      <c r="F1317">
        <f t="shared" si="81"/>
        <v>5.1337250991219358E-2</v>
      </c>
      <c r="G1317">
        <f t="shared" si="82"/>
        <v>0.54242134094238281</v>
      </c>
      <c r="H1317">
        <f t="shared" si="83"/>
        <v>5.0100021362304688</v>
      </c>
    </row>
    <row r="1318" spans="1:8" x14ac:dyDescent="0.2">
      <c r="A1318" t="s">
        <v>12</v>
      </c>
      <c r="B1318" s="2">
        <v>44761</v>
      </c>
      <c r="C1318">
        <v>20.113901138305661</v>
      </c>
      <c r="D1318">
        <f>_xlfn.XLOOKUP(B1318, Oil_Price!A:A, Oil_Price!B:B, "")</f>
        <v>104.2200012207031</v>
      </c>
      <c r="E1318">
        <f t="shared" si="80"/>
        <v>3.5714271683703544E-2</v>
      </c>
      <c r="F1318">
        <f t="shared" si="81"/>
        <v>1.5789500688838876E-2</v>
      </c>
      <c r="G1318">
        <f t="shared" si="82"/>
        <v>0.69358253479003906</v>
      </c>
      <c r="H1318">
        <f t="shared" si="83"/>
        <v>1.6200027465820028</v>
      </c>
    </row>
    <row r="1319" spans="1:8" x14ac:dyDescent="0.2">
      <c r="A1319" t="s">
        <v>12</v>
      </c>
      <c r="B1319" s="2">
        <v>44762</v>
      </c>
      <c r="C1319">
        <v>20.327310562133789</v>
      </c>
      <c r="D1319">
        <f>_xlfn.XLOOKUP(B1319, Oil_Price!A:A, Oil_Price!B:B, "")</f>
        <v>102.2600021362305</v>
      </c>
      <c r="E1319">
        <f t="shared" si="80"/>
        <v>1.0610046373435917E-2</v>
      </c>
      <c r="F1319">
        <f t="shared" si="81"/>
        <v>-1.8806362133137737E-2</v>
      </c>
      <c r="G1319">
        <f t="shared" si="82"/>
        <v>0.21340942382812855</v>
      </c>
      <c r="H1319">
        <f t="shared" si="83"/>
        <v>-1.9599990844725994</v>
      </c>
    </row>
    <row r="1320" spans="1:8" x14ac:dyDescent="0.2">
      <c r="A1320" t="s">
        <v>12</v>
      </c>
      <c r="B1320" s="2">
        <v>44763</v>
      </c>
      <c r="C1320">
        <v>19.829351425170898</v>
      </c>
      <c r="D1320">
        <f>_xlfn.XLOOKUP(B1320, Oil_Price!A:A, Oil_Price!B:B, "")</f>
        <v>96.349998474121094</v>
      </c>
      <c r="E1320">
        <f t="shared" si="80"/>
        <v>-2.4497049692864981E-2</v>
      </c>
      <c r="F1320">
        <f t="shared" si="81"/>
        <v>-5.7793893395739544E-2</v>
      </c>
      <c r="G1320">
        <f t="shared" si="82"/>
        <v>-0.49795913696289062</v>
      </c>
      <c r="H1320">
        <f t="shared" si="83"/>
        <v>-5.9100036621094034</v>
      </c>
    </row>
    <row r="1321" spans="1:8" x14ac:dyDescent="0.2">
      <c r="A1321" t="s">
        <v>12</v>
      </c>
      <c r="B1321" s="2">
        <v>44764</v>
      </c>
      <c r="C1321">
        <v>19.39364051818848</v>
      </c>
      <c r="D1321">
        <f>_xlfn.XLOOKUP(B1321, Oil_Price!A:A, Oil_Price!B:B, "")</f>
        <v>94.699996948242188</v>
      </c>
      <c r="E1321">
        <f t="shared" si="80"/>
        <v>-2.197302865031367E-2</v>
      </c>
      <c r="F1321">
        <f t="shared" si="81"/>
        <v>-1.7125080975710492E-2</v>
      </c>
      <c r="G1321">
        <f t="shared" si="82"/>
        <v>-0.43571090698241832</v>
      </c>
      <c r="H1321">
        <f t="shared" si="83"/>
        <v>-1.6500015258789062</v>
      </c>
    </row>
    <row r="1322" spans="1:8" x14ac:dyDescent="0.2">
      <c r="A1322" t="s">
        <v>12</v>
      </c>
      <c r="B1322" s="2">
        <v>44767</v>
      </c>
      <c r="C1322">
        <v>20.167253494262699</v>
      </c>
      <c r="D1322">
        <f>_xlfn.XLOOKUP(B1322, Oil_Price!A:A, Oil_Price!B:B, "")</f>
        <v>96.699996948242188</v>
      </c>
      <c r="E1322">
        <f t="shared" si="80"/>
        <v>3.9890033815398386E-2</v>
      </c>
      <c r="F1322">
        <f t="shared" si="81"/>
        <v>2.1119324862207651E-2</v>
      </c>
      <c r="G1322">
        <f t="shared" si="82"/>
        <v>0.77361297607421875</v>
      </c>
      <c r="H1322">
        <f t="shared" si="83"/>
        <v>2</v>
      </c>
    </row>
    <row r="1323" spans="1:8" x14ac:dyDescent="0.2">
      <c r="A1323" t="s">
        <v>12</v>
      </c>
      <c r="B1323" s="2">
        <v>44768</v>
      </c>
      <c r="C1323">
        <v>20.060544967651371</v>
      </c>
      <c r="D1323">
        <f>_xlfn.XLOOKUP(B1323, Oil_Price!A:A, Oil_Price!B:B, "")</f>
        <v>94.980003356933594</v>
      </c>
      <c r="E1323">
        <f t="shared" si="80"/>
        <v>-5.291177930682788E-3</v>
      </c>
      <c r="F1323">
        <f t="shared" si="81"/>
        <v>-1.7786904297724074E-2</v>
      </c>
      <c r="G1323">
        <f t="shared" si="82"/>
        <v>-0.10670852661132812</v>
      </c>
      <c r="H1323">
        <f t="shared" si="83"/>
        <v>-1.7199935913085938</v>
      </c>
    </row>
    <row r="1324" spans="1:8" x14ac:dyDescent="0.2">
      <c r="A1324" t="s">
        <v>12</v>
      </c>
      <c r="B1324" s="2">
        <v>44769</v>
      </c>
      <c r="C1324">
        <v>21.011997222900391</v>
      </c>
      <c r="D1324">
        <f>_xlfn.XLOOKUP(B1324, Oil_Price!A:A, Oil_Price!B:B, "")</f>
        <v>97.260002136230469</v>
      </c>
      <c r="E1324">
        <f t="shared" si="80"/>
        <v>4.7429033298112495E-2</v>
      </c>
      <c r="F1324">
        <f t="shared" si="81"/>
        <v>2.4005039994878394E-2</v>
      </c>
      <c r="G1324">
        <f t="shared" si="82"/>
        <v>0.95145225524901988</v>
      </c>
      <c r="H1324">
        <f t="shared" si="83"/>
        <v>2.279998779296875</v>
      </c>
    </row>
    <row r="1325" spans="1:8" x14ac:dyDescent="0.2">
      <c r="A1325" t="s">
        <v>12</v>
      </c>
      <c r="B1325" s="2">
        <v>44770</v>
      </c>
      <c r="C1325">
        <v>21.83896446228027</v>
      </c>
      <c r="D1325">
        <f>_xlfn.XLOOKUP(B1325, Oil_Price!A:A, Oil_Price!B:B, "")</f>
        <v>96.419998168945312</v>
      </c>
      <c r="E1325">
        <f t="shared" si="80"/>
        <v>3.9356907894438076E-2</v>
      </c>
      <c r="F1325">
        <f t="shared" si="81"/>
        <v>-8.6366846476990267E-3</v>
      </c>
      <c r="G1325">
        <f t="shared" si="82"/>
        <v>0.82696723937987926</v>
      </c>
      <c r="H1325">
        <f t="shared" si="83"/>
        <v>-0.84000396728515625</v>
      </c>
    </row>
    <row r="1326" spans="1:8" x14ac:dyDescent="0.2">
      <c r="A1326" t="s">
        <v>12</v>
      </c>
      <c r="B1326" s="2">
        <v>44771</v>
      </c>
      <c r="C1326">
        <v>21.69669151306152</v>
      </c>
      <c r="D1326">
        <f>_xlfn.XLOOKUP(B1326, Oil_Price!A:A, Oil_Price!B:B, "")</f>
        <v>98.620002746582031</v>
      </c>
      <c r="E1326">
        <f t="shared" si="80"/>
        <v>-6.5146380664925932E-3</v>
      </c>
      <c r="F1326">
        <f t="shared" si="81"/>
        <v>2.2816890887945383E-2</v>
      </c>
      <c r="G1326">
        <f t="shared" si="82"/>
        <v>-0.14227294921875</v>
      </c>
      <c r="H1326">
        <f t="shared" si="83"/>
        <v>2.2000045776367188</v>
      </c>
    </row>
    <row r="1327" spans="1:8" x14ac:dyDescent="0.2">
      <c r="A1327" t="s">
        <v>12</v>
      </c>
      <c r="B1327" s="2">
        <v>44775</v>
      </c>
      <c r="C1327">
        <v>21.198736190795898</v>
      </c>
      <c r="D1327">
        <f>_xlfn.XLOOKUP(B1327, Oil_Price!A:A, Oil_Price!B:B, "")</f>
        <v>94.419998168945312</v>
      </c>
      <c r="E1327">
        <f t="shared" si="80"/>
        <v>-2.2950749056179824E-2</v>
      </c>
      <c r="F1327">
        <f t="shared" si="81"/>
        <v>-4.2587755634414463E-2</v>
      </c>
      <c r="G1327">
        <f t="shared" si="82"/>
        <v>-0.49795532226562145</v>
      </c>
      <c r="H1327">
        <f t="shared" si="83"/>
        <v>-4.2000045776367188</v>
      </c>
    </row>
    <row r="1328" spans="1:8" x14ac:dyDescent="0.2">
      <c r="A1328" t="s">
        <v>12</v>
      </c>
      <c r="B1328" s="2">
        <v>44776</v>
      </c>
      <c r="C1328">
        <v>19.918272018432621</v>
      </c>
      <c r="D1328">
        <f>_xlfn.XLOOKUP(B1328, Oil_Price!A:A, Oil_Price!B:B, "")</f>
        <v>90.660003662109375</v>
      </c>
      <c r="E1328">
        <f t="shared" si="80"/>
        <v>-6.0402854247473096E-2</v>
      </c>
      <c r="F1328">
        <f t="shared" si="81"/>
        <v>-3.9822014189284299E-2</v>
      </c>
      <c r="G1328">
        <f t="shared" si="82"/>
        <v>-1.2804641723632777</v>
      </c>
      <c r="H1328">
        <f t="shared" si="83"/>
        <v>-3.7599945068359375</v>
      </c>
    </row>
    <row r="1329" spans="1:8" x14ac:dyDescent="0.2">
      <c r="A1329" t="s">
        <v>12</v>
      </c>
      <c r="B1329" s="2">
        <v>44777</v>
      </c>
      <c r="C1329">
        <v>18.406620025634769</v>
      </c>
      <c r="D1329">
        <f>_xlfn.XLOOKUP(B1329, Oil_Price!A:A, Oil_Price!B:B, "")</f>
        <v>88.540000915527344</v>
      </c>
      <c r="E1329">
        <f t="shared" si="80"/>
        <v>-7.5892727612061409E-2</v>
      </c>
      <c r="F1329">
        <f t="shared" si="81"/>
        <v>-2.3384101709098756E-2</v>
      </c>
      <c r="G1329">
        <f t="shared" si="82"/>
        <v>-1.5116519927978516</v>
      </c>
      <c r="H1329">
        <f t="shared" si="83"/>
        <v>-2.1200027465820312</v>
      </c>
    </row>
    <row r="1330" spans="1:8" x14ac:dyDescent="0.2">
      <c r="A1330" t="s">
        <v>12</v>
      </c>
      <c r="B1330" s="2">
        <v>44778</v>
      </c>
      <c r="C1330">
        <v>18.904573440551761</v>
      </c>
      <c r="D1330">
        <f>_xlfn.XLOOKUP(B1330, Oil_Price!A:A, Oil_Price!B:B, "")</f>
        <v>89.010002136230469</v>
      </c>
      <c r="E1330">
        <f t="shared" si="80"/>
        <v>2.7052952373846802E-2</v>
      </c>
      <c r="F1330">
        <f t="shared" si="81"/>
        <v>5.3083489478561825E-3</v>
      </c>
      <c r="G1330">
        <f t="shared" si="82"/>
        <v>0.49795341491699219</v>
      </c>
      <c r="H1330">
        <f t="shared" si="83"/>
        <v>0.470001220703125</v>
      </c>
    </row>
    <row r="1331" spans="1:8" x14ac:dyDescent="0.2">
      <c r="A1331" t="s">
        <v>12</v>
      </c>
      <c r="B1331" s="2">
        <v>44781</v>
      </c>
      <c r="C1331">
        <v>19.5536994934082</v>
      </c>
      <c r="D1331">
        <f>_xlfn.XLOOKUP(B1331, Oil_Price!A:A, Oil_Price!B:B, "")</f>
        <v>90.760002136230469</v>
      </c>
      <c r="E1331">
        <f t="shared" si="80"/>
        <v>3.4336984904616411E-2</v>
      </c>
      <c r="F1331">
        <f t="shared" si="81"/>
        <v>1.9660711807664176E-2</v>
      </c>
      <c r="G1331">
        <f t="shared" si="82"/>
        <v>0.64912605285643821</v>
      </c>
      <c r="H1331">
        <f t="shared" si="83"/>
        <v>1.75</v>
      </c>
    </row>
    <row r="1332" spans="1:8" x14ac:dyDescent="0.2">
      <c r="A1332" t="s">
        <v>12</v>
      </c>
      <c r="B1332" s="2">
        <v>44782</v>
      </c>
      <c r="C1332">
        <v>19.518131256103519</v>
      </c>
      <c r="D1332">
        <f>_xlfn.XLOOKUP(B1332, Oil_Price!A:A, Oil_Price!B:B, "")</f>
        <v>90.5</v>
      </c>
      <c r="E1332">
        <f t="shared" si="80"/>
        <v>-1.8190029624149077E-3</v>
      </c>
      <c r="F1332">
        <f t="shared" si="81"/>
        <v>-2.8647215746007409E-3</v>
      </c>
      <c r="G1332">
        <f t="shared" si="82"/>
        <v>-3.5568237304680395E-2</v>
      </c>
      <c r="H1332">
        <f t="shared" si="83"/>
        <v>-0.26000213623046875</v>
      </c>
    </row>
    <row r="1333" spans="1:8" x14ac:dyDescent="0.2">
      <c r="A1333" t="s">
        <v>12</v>
      </c>
      <c r="B1333" s="2">
        <v>44783</v>
      </c>
      <c r="C1333">
        <v>19.660400390625</v>
      </c>
      <c r="D1333">
        <f>_xlfn.XLOOKUP(B1333, Oil_Price!A:A, Oil_Price!B:B, "")</f>
        <v>91.930000305175781</v>
      </c>
      <c r="E1333">
        <f t="shared" si="80"/>
        <v>7.2890756115287321E-3</v>
      </c>
      <c r="F1333">
        <f t="shared" si="81"/>
        <v>1.5801108344483769E-2</v>
      </c>
      <c r="G1333">
        <f t="shared" si="82"/>
        <v>0.14226913452148082</v>
      </c>
      <c r="H1333">
        <f t="shared" si="83"/>
        <v>1.4300003051757812</v>
      </c>
    </row>
    <row r="1334" spans="1:8" x14ac:dyDescent="0.2">
      <c r="A1334" t="s">
        <v>12</v>
      </c>
      <c r="B1334" s="2">
        <v>44784</v>
      </c>
      <c r="C1334">
        <v>21.07424354553223</v>
      </c>
      <c r="D1334">
        <f>_xlfn.XLOOKUP(B1334, Oil_Price!A:A, Oil_Price!B:B, "")</f>
        <v>94.339996337890625</v>
      </c>
      <c r="E1334">
        <f t="shared" si="80"/>
        <v>7.1913243210520617E-2</v>
      </c>
      <c r="F1334">
        <f t="shared" si="81"/>
        <v>2.6215555582666063E-2</v>
      </c>
      <c r="G1334">
        <f t="shared" si="82"/>
        <v>1.4138431549072301</v>
      </c>
      <c r="H1334">
        <f t="shared" si="83"/>
        <v>2.4099960327148438</v>
      </c>
    </row>
    <row r="1335" spans="1:8" x14ac:dyDescent="0.2">
      <c r="A1335" t="s">
        <v>12</v>
      </c>
      <c r="B1335" s="2">
        <v>44785</v>
      </c>
      <c r="C1335">
        <v>21.198736190795898</v>
      </c>
      <c r="D1335">
        <f>_xlfn.XLOOKUP(B1335, Oil_Price!A:A, Oil_Price!B:B, "")</f>
        <v>92.089996337890625</v>
      </c>
      <c r="E1335">
        <f t="shared" si="80"/>
        <v>5.9073363651081529E-3</v>
      </c>
      <c r="F1335">
        <f t="shared" si="81"/>
        <v>-2.3849905526192098E-2</v>
      </c>
      <c r="G1335">
        <f t="shared" si="82"/>
        <v>0.12449264526366832</v>
      </c>
      <c r="H1335">
        <f t="shared" si="83"/>
        <v>-2.25</v>
      </c>
    </row>
    <row r="1336" spans="1:8" x14ac:dyDescent="0.2">
      <c r="A1336" t="s">
        <v>12</v>
      </c>
      <c r="B1336" s="2">
        <v>44788</v>
      </c>
      <c r="C1336">
        <v>20.718563079833981</v>
      </c>
      <c r="D1336">
        <f>_xlfn.XLOOKUP(B1336, Oil_Price!A:A, Oil_Price!B:B, "")</f>
        <v>89.410003662109375</v>
      </c>
      <c r="E1336">
        <f t="shared" si="80"/>
        <v>-2.2651025355483217E-2</v>
      </c>
      <c r="F1336">
        <f t="shared" si="81"/>
        <v>-2.9101887092578386E-2</v>
      </c>
      <c r="G1336">
        <f t="shared" si="82"/>
        <v>-0.48017311096191762</v>
      </c>
      <c r="H1336">
        <f t="shared" si="83"/>
        <v>-2.67999267578125</v>
      </c>
    </row>
    <row r="1337" spans="1:8" x14ac:dyDescent="0.2">
      <c r="A1337" t="s">
        <v>12</v>
      </c>
      <c r="B1337" s="2">
        <v>44789</v>
      </c>
      <c r="C1337">
        <v>20.238388061523441</v>
      </c>
      <c r="D1337">
        <f>_xlfn.XLOOKUP(B1337, Oil_Price!A:A, Oil_Price!B:B, "")</f>
        <v>86.529998779296875</v>
      </c>
      <c r="E1337">
        <f t="shared" si="80"/>
        <v>-2.317607724340251E-2</v>
      </c>
      <c r="F1337">
        <f t="shared" si="81"/>
        <v>-3.2211215354563318E-2</v>
      </c>
      <c r="G1337">
        <f t="shared" si="82"/>
        <v>-0.48017501831053977</v>
      </c>
      <c r="H1337">
        <f t="shared" si="83"/>
        <v>-2.8800048828125</v>
      </c>
    </row>
    <row r="1338" spans="1:8" x14ac:dyDescent="0.2">
      <c r="A1338" t="s">
        <v>12</v>
      </c>
      <c r="B1338" s="2">
        <v>44790</v>
      </c>
      <c r="C1338">
        <v>20.576288223266602</v>
      </c>
      <c r="D1338">
        <f>_xlfn.XLOOKUP(B1338, Oil_Price!A:A, Oil_Price!B:B, "")</f>
        <v>88.110000610351562</v>
      </c>
      <c r="E1338">
        <f t="shared" si="80"/>
        <v>1.6696001712980552E-2</v>
      </c>
      <c r="F1338">
        <f t="shared" si="81"/>
        <v>1.8259584575802838E-2</v>
      </c>
      <c r="G1338">
        <f t="shared" si="82"/>
        <v>0.33790016174316051</v>
      </c>
      <c r="H1338">
        <f t="shared" si="83"/>
        <v>1.5800018310546875</v>
      </c>
    </row>
    <row r="1339" spans="1:8" x14ac:dyDescent="0.2">
      <c r="A1339" t="s">
        <v>12</v>
      </c>
      <c r="B1339" s="2">
        <v>44791</v>
      </c>
      <c r="C1339">
        <v>21.447713851928711</v>
      </c>
      <c r="D1339">
        <f>_xlfn.XLOOKUP(B1339, Oil_Price!A:A, Oil_Price!B:B, "")</f>
        <v>90.5</v>
      </c>
      <c r="E1339">
        <f t="shared" si="80"/>
        <v>4.2350963361640043E-2</v>
      </c>
      <c r="F1339">
        <f t="shared" si="81"/>
        <v>2.712517731350066E-2</v>
      </c>
      <c r="G1339">
        <f t="shared" si="82"/>
        <v>0.87142562866210938</v>
      </c>
      <c r="H1339">
        <f t="shared" si="83"/>
        <v>2.3899993896484375</v>
      </c>
    </row>
    <row r="1340" spans="1:8" x14ac:dyDescent="0.2">
      <c r="A1340" t="s">
        <v>12</v>
      </c>
      <c r="B1340" s="2">
        <v>44792</v>
      </c>
      <c r="C1340">
        <v>21.020891189575199</v>
      </c>
      <c r="D1340">
        <f>_xlfn.XLOOKUP(B1340, Oil_Price!A:A, Oil_Price!B:B, "")</f>
        <v>90.769996643066406</v>
      </c>
      <c r="E1340">
        <f t="shared" si="80"/>
        <v>-1.9900613431353176E-2</v>
      </c>
      <c r="F1340">
        <f t="shared" si="81"/>
        <v>2.9833883211757596E-3</v>
      </c>
      <c r="G1340">
        <f t="shared" si="82"/>
        <v>-0.42682266235351207</v>
      </c>
      <c r="H1340">
        <f t="shared" si="83"/>
        <v>0.26999664306640625</v>
      </c>
    </row>
    <row r="1341" spans="1:8" x14ac:dyDescent="0.2">
      <c r="A1341" t="s">
        <v>12</v>
      </c>
      <c r="B1341" s="2">
        <v>44795</v>
      </c>
      <c r="C1341">
        <v>21.252082824707031</v>
      </c>
      <c r="D1341">
        <f>_xlfn.XLOOKUP(B1341, Oil_Price!A:A, Oil_Price!B:B, "")</f>
        <v>90.230003356933594</v>
      </c>
      <c r="E1341">
        <f t="shared" si="80"/>
        <v>1.0998184284712262E-2</v>
      </c>
      <c r="F1341">
        <f t="shared" si="81"/>
        <v>-5.9490283805586179E-3</v>
      </c>
      <c r="G1341">
        <f t="shared" si="82"/>
        <v>0.23119163513183238</v>
      </c>
      <c r="H1341">
        <f t="shared" si="83"/>
        <v>-0.5399932861328125</v>
      </c>
    </row>
    <row r="1342" spans="1:8" x14ac:dyDescent="0.2">
      <c r="A1342" t="s">
        <v>12</v>
      </c>
      <c r="B1342" s="2">
        <v>44796</v>
      </c>
      <c r="C1342">
        <v>21.990129470825199</v>
      </c>
      <c r="D1342">
        <f>_xlfn.XLOOKUP(B1342, Oil_Price!A:A, Oil_Price!B:B, "")</f>
        <v>93.739997863769531</v>
      </c>
      <c r="E1342">
        <f t="shared" si="80"/>
        <v>3.4728202981598434E-2</v>
      </c>
      <c r="F1342">
        <f t="shared" si="81"/>
        <v>3.8900525060949334E-2</v>
      </c>
      <c r="G1342">
        <f t="shared" si="82"/>
        <v>0.73804664611816762</v>
      </c>
      <c r="H1342">
        <f t="shared" si="83"/>
        <v>3.5099945068359375</v>
      </c>
    </row>
    <row r="1343" spans="1:8" x14ac:dyDescent="0.2">
      <c r="A1343" t="s">
        <v>12</v>
      </c>
      <c r="B1343" s="2">
        <v>44797</v>
      </c>
      <c r="C1343">
        <v>22.434736251831051</v>
      </c>
      <c r="D1343">
        <f>_xlfn.XLOOKUP(B1343, Oil_Price!A:A, Oil_Price!B:B, "")</f>
        <v>94.889999389648438</v>
      </c>
      <c r="E1343">
        <f t="shared" si="80"/>
        <v>2.0218470363974988E-2</v>
      </c>
      <c r="F1343">
        <f t="shared" si="81"/>
        <v>1.2267991808045275E-2</v>
      </c>
      <c r="G1343">
        <f t="shared" si="82"/>
        <v>0.44460678100585227</v>
      </c>
      <c r="H1343">
        <f t="shared" si="83"/>
        <v>1.1500015258789062</v>
      </c>
    </row>
    <row r="1344" spans="1:8" x14ac:dyDescent="0.2">
      <c r="A1344" t="s">
        <v>12</v>
      </c>
      <c r="B1344" s="2">
        <v>44798</v>
      </c>
      <c r="C1344">
        <v>22.612575531005859</v>
      </c>
      <c r="D1344">
        <f>_xlfn.XLOOKUP(B1344, Oil_Price!A:A, Oil_Price!B:B, "")</f>
        <v>92.519996643066406</v>
      </c>
      <c r="E1344">
        <f t="shared" si="80"/>
        <v>7.9269609938157209E-3</v>
      </c>
      <c r="F1344">
        <f t="shared" si="81"/>
        <v>-2.4976317439417913E-2</v>
      </c>
      <c r="G1344">
        <f t="shared" si="82"/>
        <v>0.17783927917480824</v>
      </c>
      <c r="H1344">
        <f t="shared" si="83"/>
        <v>-2.3700027465820312</v>
      </c>
    </row>
    <row r="1345" spans="1:8" x14ac:dyDescent="0.2">
      <c r="A1345" t="s">
        <v>12</v>
      </c>
      <c r="B1345" s="2">
        <v>44799</v>
      </c>
      <c r="C1345">
        <v>22.36359786987305</v>
      </c>
      <c r="D1345">
        <f>_xlfn.XLOOKUP(B1345, Oil_Price!A:A, Oil_Price!B:B, "")</f>
        <v>93.05999755859375</v>
      </c>
      <c r="E1345">
        <f t="shared" si="80"/>
        <v>-1.1010583946592741E-2</v>
      </c>
      <c r="F1345">
        <f t="shared" si="81"/>
        <v>5.8365859827104981E-3</v>
      </c>
      <c r="G1345">
        <f t="shared" si="82"/>
        <v>-0.24897766113280895</v>
      </c>
      <c r="H1345">
        <f t="shared" si="83"/>
        <v>0.54000091552734375</v>
      </c>
    </row>
    <row r="1346" spans="1:8" x14ac:dyDescent="0.2">
      <c r="A1346" t="s">
        <v>12</v>
      </c>
      <c r="B1346" s="2">
        <v>44802</v>
      </c>
      <c r="C1346">
        <v>22.994937896728519</v>
      </c>
      <c r="D1346">
        <f>_xlfn.XLOOKUP(B1346, Oil_Price!A:A, Oil_Price!B:B, "")</f>
        <v>97.010002136230469</v>
      </c>
      <c r="E1346">
        <f t="shared" si="80"/>
        <v>2.8230700199898231E-2</v>
      </c>
      <c r="F1346">
        <f t="shared" si="81"/>
        <v>4.2445784238814975E-2</v>
      </c>
      <c r="G1346">
        <f t="shared" si="82"/>
        <v>0.63134002685546875</v>
      </c>
      <c r="H1346">
        <f t="shared" si="83"/>
        <v>3.9500045776367188</v>
      </c>
    </row>
    <row r="1347" spans="1:8" x14ac:dyDescent="0.2">
      <c r="A1347" t="s">
        <v>12</v>
      </c>
      <c r="B1347" s="2">
        <v>44803</v>
      </c>
      <c r="C1347">
        <v>21.927883148193359</v>
      </c>
      <c r="D1347">
        <f>_xlfn.XLOOKUP(B1347, Oil_Price!A:A, Oil_Price!B:B, "")</f>
        <v>91.639999389648438</v>
      </c>
      <c r="E1347">
        <f t="shared" ref="E1347:E1410" si="84">IFERROR(IF(AND(A1347=A1346, C1347&lt;&gt;"", C1346&lt;&gt;""), (C1347-C1346)/C1346, ""), "")</f>
        <v>-4.640389781991841E-2</v>
      </c>
      <c r="F1347">
        <f t="shared" ref="F1347:F1410" si="85">IFERROR(IF(AND(A1347=A1346, D1347&lt;&gt;"", D1346&lt;&gt;""), (D1347-D1346)/D1346, ""), "")</f>
        <v>-5.5355145122468648E-2</v>
      </c>
      <c r="G1347">
        <f t="shared" ref="G1347:G1410" si="86">IFERROR(IF(AND(A1347=A1346, C1347&lt;&gt;"", C1346&lt;&gt;""), C1347-C1346, ""), "")</f>
        <v>-1.0670547485351598</v>
      </c>
      <c r="H1347">
        <f t="shared" ref="H1347:H1410" si="87">IFERROR(IF(AND(A1347=A1346, D1347&lt;&gt;"", D1346&lt;&gt;""), D1347-D1346, ""), "")</f>
        <v>-5.3700027465820312</v>
      </c>
    </row>
    <row r="1348" spans="1:8" x14ac:dyDescent="0.2">
      <c r="A1348" t="s">
        <v>12</v>
      </c>
      <c r="B1348" s="2">
        <v>44804</v>
      </c>
      <c r="C1348">
        <v>21.910097122192379</v>
      </c>
      <c r="D1348">
        <f>_xlfn.XLOOKUP(B1348, Oil_Price!A:A, Oil_Price!B:B, "")</f>
        <v>89.550003051757812</v>
      </c>
      <c r="E1348">
        <f t="shared" si="84"/>
        <v>-8.1111459235614855E-4</v>
      </c>
      <c r="F1348">
        <f t="shared" si="85"/>
        <v>-2.2806594847344673E-2</v>
      </c>
      <c r="G1348">
        <f t="shared" si="86"/>
        <v>-1.7786026000980115E-2</v>
      </c>
      <c r="H1348">
        <f t="shared" si="87"/>
        <v>-2.089996337890625</v>
      </c>
    </row>
    <row r="1349" spans="1:8" x14ac:dyDescent="0.2">
      <c r="A1349" t="s">
        <v>12</v>
      </c>
      <c r="B1349" s="2">
        <v>44805</v>
      </c>
      <c r="C1349">
        <v>21.403253555297852</v>
      </c>
      <c r="D1349">
        <f>_xlfn.XLOOKUP(B1349, Oil_Price!A:A, Oil_Price!B:B, "")</f>
        <v>86.610000610351562</v>
      </c>
      <c r="E1349">
        <f t="shared" si="84"/>
        <v>-2.3132876320349768E-2</v>
      </c>
      <c r="F1349">
        <f t="shared" si="85"/>
        <v>-3.2830846914734299E-2</v>
      </c>
      <c r="G1349">
        <f t="shared" si="86"/>
        <v>-0.5068435668945277</v>
      </c>
      <c r="H1349">
        <f t="shared" si="87"/>
        <v>-2.94000244140625</v>
      </c>
    </row>
    <row r="1350" spans="1:8" x14ac:dyDescent="0.2">
      <c r="A1350" t="s">
        <v>12</v>
      </c>
      <c r="B1350" s="2">
        <v>44806</v>
      </c>
      <c r="C1350">
        <v>22.10572624206543</v>
      </c>
      <c r="D1350">
        <f>_xlfn.XLOOKUP(B1350, Oil_Price!A:A, Oil_Price!B:B, "")</f>
        <v>86.870002746582031</v>
      </c>
      <c r="E1350">
        <f t="shared" si="84"/>
        <v>3.2820836558921117E-2</v>
      </c>
      <c r="F1350">
        <f t="shared" si="85"/>
        <v>3.0019874656298465E-3</v>
      </c>
      <c r="G1350">
        <f t="shared" si="86"/>
        <v>0.70247268676757812</v>
      </c>
      <c r="H1350">
        <f t="shared" si="87"/>
        <v>0.26000213623046875</v>
      </c>
    </row>
    <row r="1351" spans="1:8" x14ac:dyDescent="0.2">
      <c r="A1351" t="s">
        <v>12</v>
      </c>
      <c r="B1351" s="2">
        <v>44810</v>
      </c>
      <c r="C1351">
        <v>21.323225021362301</v>
      </c>
      <c r="D1351">
        <f>_xlfn.XLOOKUP(B1351, Oil_Price!A:A, Oil_Price!B:B, "")</f>
        <v>86.879997253417969</v>
      </c>
      <c r="E1351">
        <f t="shared" si="84"/>
        <v>-3.5398123189189383E-2</v>
      </c>
      <c r="F1351">
        <f t="shared" si="85"/>
        <v>1.1505130102382484E-4</v>
      </c>
      <c r="G1351">
        <f t="shared" si="86"/>
        <v>-0.78250122070312855</v>
      </c>
      <c r="H1351">
        <f t="shared" si="87"/>
        <v>9.9945068359375E-3</v>
      </c>
    </row>
    <row r="1352" spans="1:8" x14ac:dyDescent="0.2">
      <c r="A1352" t="s">
        <v>12</v>
      </c>
      <c r="B1352" s="2">
        <v>44811</v>
      </c>
      <c r="C1352">
        <v>20.531829833984379</v>
      </c>
      <c r="D1352">
        <f>_xlfn.XLOOKUP(B1352, Oil_Price!A:A, Oil_Price!B:B, "")</f>
        <v>81.94000244140625</v>
      </c>
      <c r="E1352">
        <f t="shared" si="84"/>
        <v>-3.7114235139622503E-2</v>
      </c>
      <c r="F1352">
        <f t="shared" si="85"/>
        <v>-5.68599789155423E-2</v>
      </c>
      <c r="G1352">
        <f t="shared" si="86"/>
        <v>-0.79139518737792258</v>
      </c>
      <c r="H1352">
        <f t="shared" si="87"/>
        <v>-4.9399948120117188</v>
      </c>
    </row>
    <row r="1353" spans="1:8" x14ac:dyDescent="0.2">
      <c r="A1353" t="s">
        <v>12</v>
      </c>
      <c r="B1353" s="2">
        <v>44812</v>
      </c>
      <c r="C1353">
        <v>20.656316757202148</v>
      </c>
      <c r="D1353">
        <f>_xlfn.XLOOKUP(B1353, Oil_Price!A:A, Oil_Price!B:B, "")</f>
        <v>83.540000915527344</v>
      </c>
      <c r="E1353">
        <f t="shared" si="84"/>
        <v>6.0631187879668941E-3</v>
      </c>
      <c r="F1353">
        <f t="shared" si="85"/>
        <v>1.9526463588589987E-2</v>
      </c>
      <c r="G1353">
        <f t="shared" si="86"/>
        <v>0.12448692321776988</v>
      </c>
      <c r="H1353">
        <f t="shared" si="87"/>
        <v>1.5999984741210938</v>
      </c>
    </row>
    <row r="1354" spans="1:8" x14ac:dyDescent="0.2">
      <c r="A1354" t="s">
        <v>12</v>
      </c>
      <c r="B1354" s="2">
        <v>44813</v>
      </c>
      <c r="C1354">
        <v>21.341007232666019</v>
      </c>
      <c r="D1354">
        <f>_xlfn.XLOOKUP(B1354, Oil_Price!A:A, Oil_Price!B:B, "")</f>
        <v>86.790000915527344</v>
      </c>
      <c r="E1354">
        <f t="shared" si="84"/>
        <v>3.3146784274846228E-2</v>
      </c>
      <c r="F1354">
        <f t="shared" si="85"/>
        <v>3.8903518845855453E-2</v>
      </c>
      <c r="G1354">
        <f t="shared" si="86"/>
        <v>0.68469047546387074</v>
      </c>
      <c r="H1354">
        <f t="shared" si="87"/>
        <v>3.25</v>
      </c>
    </row>
    <row r="1355" spans="1:8" x14ac:dyDescent="0.2">
      <c r="A1355" t="s">
        <v>12</v>
      </c>
      <c r="B1355" s="2">
        <v>44816</v>
      </c>
      <c r="C1355">
        <v>21.69669151306152</v>
      </c>
      <c r="D1355">
        <f>_xlfn.XLOOKUP(B1355, Oil_Price!A:A, Oil_Price!B:B, "")</f>
        <v>87.779998779296875</v>
      </c>
      <c r="E1355">
        <f t="shared" si="84"/>
        <v>1.6666705395754038E-2</v>
      </c>
      <c r="F1355">
        <f t="shared" si="85"/>
        <v>1.1406819372350227E-2</v>
      </c>
      <c r="G1355">
        <f t="shared" si="86"/>
        <v>0.35568428039550071</v>
      </c>
      <c r="H1355">
        <f t="shared" si="87"/>
        <v>0.98999786376953125</v>
      </c>
    </row>
    <row r="1356" spans="1:8" x14ac:dyDescent="0.2">
      <c r="A1356" t="s">
        <v>12</v>
      </c>
      <c r="B1356" s="2">
        <v>44817</v>
      </c>
      <c r="C1356">
        <v>21.616666793823239</v>
      </c>
      <c r="D1356">
        <f>_xlfn.XLOOKUP(B1356, Oil_Price!A:A, Oil_Price!B:B, "")</f>
        <v>87.30999755859375</v>
      </c>
      <c r="E1356">
        <f t="shared" si="84"/>
        <v>-3.6883374218648016E-3</v>
      </c>
      <c r="F1356">
        <f t="shared" si="85"/>
        <v>-5.3543088088305593E-3</v>
      </c>
      <c r="G1356">
        <f t="shared" si="86"/>
        <v>-8.002471923828125E-2</v>
      </c>
      <c r="H1356">
        <f t="shared" si="87"/>
        <v>-0.470001220703125</v>
      </c>
    </row>
    <row r="1357" spans="1:8" x14ac:dyDescent="0.2">
      <c r="A1357" t="s">
        <v>12</v>
      </c>
      <c r="B1357" s="2">
        <v>44818</v>
      </c>
      <c r="C1357">
        <v>22.835695266723629</v>
      </c>
      <c r="D1357">
        <f>_xlfn.XLOOKUP(B1357, Oil_Price!A:A, Oil_Price!B:B, "")</f>
        <v>88.480003356933594</v>
      </c>
      <c r="E1357">
        <f t="shared" si="84"/>
        <v>5.6392989933522805E-2</v>
      </c>
      <c r="F1357">
        <f t="shared" si="85"/>
        <v>1.3400593643982784E-2</v>
      </c>
      <c r="G1357">
        <f t="shared" si="86"/>
        <v>1.2190284729003906</v>
      </c>
      <c r="H1357">
        <f t="shared" si="87"/>
        <v>1.1700057983398438</v>
      </c>
    </row>
    <row r="1358" spans="1:8" x14ac:dyDescent="0.2">
      <c r="A1358" t="s">
        <v>12</v>
      </c>
      <c r="B1358" s="2">
        <v>44819</v>
      </c>
      <c r="C1358">
        <v>22.255203247070309</v>
      </c>
      <c r="D1358">
        <f>_xlfn.XLOOKUP(B1358, Oil_Price!A:A, Oil_Price!B:B, "")</f>
        <v>85.099998474121094</v>
      </c>
      <c r="E1358">
        <f t="shared" si="84"/>
        <v>-2.5420378616595844E-2</v>
      </c>
      <c r="F1358">
        <f t="shared" si="85"/>
        <v>-3.8200777063460985E-2</v>
      </c>
      <c r="G1358">
        <f t="shared" si="86"/>
        <v>-0.58049201965332031</v>
      </c>
      <c r="H1358">
        <f t="shared" si="87"/>
        <v>-3.3800048828125</v>
      </c>
    </row>
    <row r="1359" spans="1:8" x14ac:dyDescent="0.2">
      <c r="A1359" t="s">
        <v>12</v>
      </c>
      <c r="B1359" s="2">
        <v>44820</v>
      </c>
      <c r="C1359">
        <v>21.951555252075199</v>
      </c>
      <c r="D1359">
        <f>_xlfn.XLOOKUP(B1359, Oil_Price!A:A, Oil_Price!B:B, "")</f>
        <v>85.110000610351562</v>
      </c>
      <c r="E1359">
        <f t="shared" si="84"/>
        <v>-1.3643910218392749E-2</v>
      </c>
      <c r="F1359">
        <f t="shared" si="85"/>
        <v>1.1753391785912193E-4</v>
      </c>
      <c r="G1359">
        <f t="shared" si="86"/>
        <v>-0.30364799499511008</v>
      </c>
      <c r="H1359">
        <f t="shared" si="87"/>
        <v>1.000213623046875E-2</v>
      </c>
    </row>
    <row r="1360" spans="1:8" x14ac:dyDescent="0.2">
      <c r="A1360" t="s">
        <v>12</v>
      </c>
      <c r="B1360" s="2">
        <v>44823</v>
      </c>
      <c r="C1360">
        <v>22.17482948303223</v>
      </c>
      <c r="D1360">
        <f>_xlfn.XLOOKUP(B1360, Oil_Price!A:A, Oil_Price!B:B, "")</f>
        <v>85.730003356933594</v>
      </c>
      <c r="E1360">
        <f t="shared" si="84"/>
        <v>1.0171226065448093E-2</v>
      </c>
      <c r="F1360">
        <f t="shared" si="85"/>
        <v>7.2847226193842015E-3</v>
      </c>
      <c r="G1360">
        <f t="shared" si="86"/>
        <v>0.22327423095703125</v>
      </c>
      <c r="H1360">
        <f t="shared" si="87"/>
        <v>0.62000274658203125</v>
      </c>
    </row>
    <row r="1361" spans="1:8" x14ac:dyDescent="0.2">
      <c r="A1361" t="s">
        <v>12</v>
      </c>
      <c r="B1361" s="2">
        <v>44824</v>
      </c>
      <c r="C1361">
        <v>21.93370246887207</v>
      </c>
      <c r="D1361">
        <f>_xlfn.XLOOKUP(B1361, Oil_Price!A:A, Oil_Price!B:B, "")</f>
        <v>84.449996948242188</v>
      </c>
      <c r="E1361">
        <f t="shared" si="84"/>
        <v>-1.0873906126072615E-2</v>
      </c>
      <c r="F1361">
        <f t="shared" si="85"/>
        <v>-1.4930670227109972E-2</v>
      </c>
      <c r="G1361">
        <f t="shared" si="86"/>
        <v>-0.2411270141601598</v>
      </c>
      <c r="H1361">
        <f t="shared" si="87"/>
        <v>-1.2800064086914062</v>
      </c>
    </row>
    <row r="1362" spans="1:8" x14ac:dyDescent="0.2">
      <c r="A1362" t="s">
        <v>12</v>
      </c>
      <c r="B1362" s="2">
        <v>44825</v>
      </c>
      <c r="C1362">
        <v>21.183523178100589</v>
      </c>
      <c r="D1362">
        <f>_xlfn.XLOOKUP(B1362, Oil_Price!A:A, Oil_Price!B:B, "")</f>
        <v>82.94000244140625</v>
      </c>
      <c r="E1362">
        <f t="shared" si="84"/>
        <v>-3.4202127608693622E-2</v>
      </c>
      <c r="F1362">
        <f t="shared" si="85"/>
        <v>-1.7880338204883356E-2</v>
      </c>
      <c r="G1362">
        <f t="shared" si="86"/>
        <v>-0.75017929077148082</v>
      </c>
      <c r="H1362">
        <f t="shared" si="87"/>
        <v>-1.5099945068359375</v>
      </c>
    </row>
    <row r="1363" spans="1:8" x14ac:dyDescent="0.2">
      <c r="A1363" t="s">
        <v>12</v>
      </c>
      <c r="B1363" s="2">
        <v>44826</v>
      </c>
      <c r="C1363">
        <v>20.594095230102539</v>
      </c>
      <c r="D1363">
        <f>_xlfn.XLOOKUP(B1363, Oil_Price!A:A, Oil_Price!B:B, "")</f>
        <v>83.489997863769531</v>
      </c>
      <c r="E1363">
        <f t="shared" si="84"/>
        <v>-2.7824830791480324E-2</v>
      </c>
      <c r="F1363">
        <f t="shared" si="85"/>
        <v>6.6312443474043871E-3</v>
      </c>
      <c r="G1363">
        <f t="shared" si="86"/>
        <v>-0.58942794799805043</v>
      </c>
      <c r="H1363">
        <f t="shared" si="87"/>
        <v>0.54999542236328125</v>
      </c>
    </row>
    <row r="1364" spans="1:8" x14ac:dyDescent="0.2">
      <c r="A1364" t="s">
        <v>12</v>
      </c>
      <c r="B1364" s="2">
        <v>44827</v>
      </c>
      <c r="C1364">
        <v>18.7543830871582</v>
      </c>
      <c r="D1364">
        <f>_xlfn.XLOOKUP(B1364, Oil_Price!A:A, Oil_Price!B:B, "")</f>
        <v>78.739997863769531</v>
      </c>
      <c r="E1364">
        <f t="shared" si="84"/>
        <v>-8.9332020775315185E-2</v>
      </c>
      <c r="F1364">
        <f t="shared" si="85"/>
        <v>-5.6893042538467491E-2</v>
      </c>
      <c r="G1364">
        <f t="shared" si="86"/>
        <v>-1.8397121429443395</v>
      </c>
      <c r="H1364">
        <f t="shared" si="87"/>
        <v>-4.75</v>
      </c>
    </row>
    <row r="1365" spans="1:8" x14ac:dyDescent="0.2">
      <c r="A1365" t="s">
        <v>12</v>
      </c>
      <c r="B1365" s="2">
        <v>44830</v>
      </c>
      <c r="C1365">
        <v>17.897041320800781</v>
      </c>
      <c r="D1365">
        <f>_xlfn.XLOOKUP(B1365, Oil_Price!A:A, Oil_Price!B:B, "")</f>
        <v>76.709999084472656</v>
      </c>
      <c r="E1365">
        <f t="shared" si="84"/>
        <v>-4.571420784000467E-2</v>
      </c>
      <c r="F1365">
        <f t="shared" si="85"/>
        <v>-2.5781036758586631E-2</v>
      </c>
      <c r="G1365">
        <f t="shared" si="86"/>
        <v>-0.85734176635741832</v>
      </c>
      <c r="H1365">
        <f t="shared" si="87"/>
        <v>-2.029998779296875</v>
      </c>
    </row>
    <row r="1366" spans="1:8" x14ac:dyDescent="0.2">
      <c r="A1366" t="s">
        <v>12</v>
      </c>
      <c r="B1366" s="2">
        <v>44831</v>
      </c>
      <c r="C1366">
        <v>18.218545913696289</v>
      </c>
      <c r="D1366">
        <f>_xlfn.XLOOKUP(B1366, Oil_Price!A:A, Oil_Price!B:B, "")</f>
        <v>78.5</v>
      </c>
      <c r="E1366">
        <f t="shared" si="84"/>
        <v>1.7964119718595056E-2</v>
      </c>
      <c r="F1366">
        <f t="shared" si="85"/>
        <v>2.3334649157748053E-2</v>
      </c>
      <c r="G1366">
        <f t="shared" si="86"/>
        <v>0.32150459289550781</v>
      </c>
      <c r="H1366">
        <f t="shared" si="87"/>
        <v>1.7900009155273438</v>
      </c>
    </row>
    <row r="1367" spans="1:8" x14ac:dyDescent="0.2">
      <c r="A1367" t="s">
        <v>12</v>
      </c>
      <c r="B1367" s="2">
        <v>44832</v>
      </c>
      <c r="C1367">
        <v>19.00444412231445</v>
      </c>
      <c r="D1367">
        <f>_xlfn.XLOOKUP(B1367, Oil_Price!A:A, Oil_Price!B:B, "")</f>
        <v>82.150001525878906</v>
      </c>
      <c r="E1367">
        <f t="shared" si="84"/>
        <v>4.3137263113152191E-2</v>
      </c>
      <c r="F1367">
        <f t="shared" si="85"/>
        <v>4.6496834724572056E-2</v>
      </c>
      <c r="G1367">
        <f t="shared" si="86"/>
        <v>0.78589820861816051</v>
      </c>
      <c r="H1367">
        <f t="shared" si="87"/>
        <v>3.6500015258789062</v>
      </c>
    </row>
    <row r="1368" spans="1:8" x14ac:dyDescent="0.2">
      <c r="A1368" t="s">
        <v>12</v>
      </c>
      <c r="B1368" s="2">
        <v>44833</v>
      </c>
      <c r="C1368">
        <v>19.058029174804691</v>
      </c>
      <c r="D1368">
        <f>_xlfn.XLOOKUP(B1368, Oil_Price!A:A, Oil_Price!B:B, "")</f>
        <v>81.230003356933594</v>
      </c>
      <c r="E1368">
        <f t="shared" si="84"/>
        <v>2.819606411287953E-3</v>
      </c>
      <c r="F1368">
        <f t="shared" si="85"/>
        <v>-1.1199003674461217E-2</v>
      </c>
      <c r="G1368">
        <f t="shared" si="86"/>
        <v>5.358505249024148E-2</v>
      </c>
      <c r="H1368">
        <f t="shared" si="87"/>
        <v>-0.9199981689453125</v>
      </c>
    </row>
    <row r="1369" spans="1:8" x14ac:dyDescent="0.2">
      <c r="A1369" t="s">
        <v>12</v>
      </c>
      <c r="B1369" s="2">
        <v>44834</v>
      </c>
      <c r="C1369">
        <v>18.950860977172852</v>
      </c>
      <c r="D1369">
        <f>_xlfn.XLOOKUP(B1369, Oil_Price!A:A, Oil_Price!B:B, "")</f>
        <v>79.489997863769531</v>
      </c>
      <c r="E1369">
        <f t="shared" si="84"/>
        <v>-5.6232570875439309E-3</v>
      </c>
      <c r="F1369">
        <f t="shared" si="85"/>
        <v>-2.1420724132169323E-2</v>
      </c>
      <c r="G1369">
        <f t="shared" si="86"/>
        <v>-0.10716819763183949</v>
      </c>
      <c r="H1369">
        <f t="shared" si="87"/>
        <v>-1.7400054931640625</v>
      </c>
    </row>
    <row r="1370" spans="1:8" x14ac:dyDescent="0.2">
      <c r="A1370" t="s">
        <v>12</v>
      </c>
      <c r="B1370" s="2">
        <v>44837</v>
      </c>
      <c r="C1370">
        <v>19.977884292602539</v>
      </c>
      <c r="D1370">
        <f>_xlfn.XLOOKUP(B1370, Oil_Price!A:A, Oil_Price!B:B, "")</f>
        <v>83.629997253417969</v>
      </c>
      <c r="E1370">
        <f t="shared" si="84"/>
        <v>5.4194018766048804E-2</v>
      </c>
      <c r="F1370">
        <f t="shared" si="85"/>
        <v>5.2082016617280513E-2</v>
      </c>
      <c r="G1370">
        <f t="shared" si="86"/>
        <v>1.0270233154296875</v>
      </c>
      <c r="H1370">
        <f t="shared" si="87"/>
        <v>4.1399993896484375</v>
      </c>
    </row>
    <row r="1371" spans="1:8" x14ac:dyDescent="0.2">
      <c r="A1371" t="s">
        <v>12</v>
      </c>
      <c r="B1371" s="2">
        <v>44838</v>
      </c>
      <c r="C1371">
        <v>20.915609359741211</v>
      </c>
      <c r="D1371">
        <f>_xlfn.XLOOKUP(B1371, Oil_Price!A:A, Oil_Price!B:B, "")</f>
        <v>86.519996643066406</v>
      </c>
      <c r="E1371">
        <f t="shared" si="84"/>
        <v>4.693815688410484E-2</v>
      </c>
      <c r="F1371">
        <f t="shared" si="85"/>
        <v>3.4556970997991071E-2</v>
      </c>
      <c r="G1371">
        <f t="shared" si="86"/>
        <v>0.93772506713867188</v>
      </c>
      <c r="H1371">
        <f t="shared" si="87"/>
        <v>2.8899993896484375</v>
      </c>
    </row>
    <row r="1372" spans="1:8" x14ac:dyDescent="0.2">
      <c r="A1372" t="s">
        <v>12</v>
      </c>
      <c r="B1372" s="2">
        <v>44839</v>
      </c>
      <c r="C1372">
        <v>21.8890495300293</v>
      </c>
      <c r="D1372">
        <f>_xlfn.XLOOKUP(B1372, Oil_Price!A:A, Oil_Price!B:B, "")</f>
        <v>87.760002136230469</v>
      </c>
      <c r="E1372">
        <f t="shared" si="84"/>
        <v>4.6541324880631348E-2</v>
      </c>
      <c r="F1372">
        <f t="shared" si="85"/>
        <v>1.4332010416963359E-2</v>
      </c>
      <c r="G1372">
        <f t="shared" si="86"/>
        <v>0.97344017028808949</v>
      </c>
      <c r="H1372">
        <f t="shared" si="87"/>
        <v>1.2400054931640625</v>
      </c>
    </row>
    <row r="1373" spans="1:8" x14ac:dyDescent="0.2">
      <c r="A1373" t="s">
        <v>12</v>
      </c>
      <c r="B1373" s="2">
        <v>44840</v>
      </c>
      <c r="C1373">
        <v>22.853557586669918</v>
      </c>
      <c r="D1373">
        <f>_xlfn.XLOOKUP(B1373, Oil_Price!A:A, Oil_Price!B:B, "")</f>
        <v>88.449996948242188</v>
      </c>
      <c r="E1373">
        <f t="shared" si="84"/>
        <v>4.4063496467373876E-2</v>
      </c>
      <c r="F1373">
        <f t="shared" si="85"/>
        <v>7.8622925617143329E-3</v>
      </c>
      <c r="G1373">
        <f t="shared" si="86"/>
        <v>0.96450805664061789</v>
      </c>
      <c r="H1373">
        <f t="shared" si="87"/>
        <v>0.68999481201171875</v>
      </c>
    </row>
    <row r="1374" spans="1:8" x14ac:dyDescent="0.2">
      <c r="A1374" t="s">
        <v>12</v>
      </c>
      <c r="B1374" s="2">
        <v>44841</v>
      </c>
      <c r="C1374">
        <v>22.808902740478519</v>
      </c>
      <c r="D1374">
        <f>_xlfn.XLOOKUP(B1374, Oil_Price!A:A, Oil_Price!B:B, "")</f>
        <v>92.639999389648438</v>
      </c>
      <c r="E1374">
        <f t="shared" si="84"/>
        <v>-1.9539560097831567E-3</v>
      </c>
      <c r="F1374">
        <f t="shared" si="85"/>
        <v>4.7371425505623156E-2</v>
      </c>
      <c r="G1374">
        <f t="shared" si="86"/>
        <v>-4.4654846191399145E-2</v>
      </c>
      <c r="H1374">
        <f t="shared" si="87"/>
        <v>4.19000244140625</v>
      </c>
    </row>
    <row r="1375" spans="1:8" x14ac:dyDescent="0.2">
      <c r="A1375" t="s">
        <v>12</v>
      </c>
      <c r="B1375" s="2">
        <v>44845</v>
      </c>
      <c r="C1375">
        <v>21.112077713012699</v>
      </c>
      <c r="D1375">
        <f>_xlfn.XLOOKUP(B1375, Oil_Price!A:A, Oil_Price!B:B, "")</f>
        <v>89.349998474121094</v>
      </c>
      <c r="E1375">
        <f t="shared" si="84"/>
        <v>-7.4393101973050976E-2</v>
      </c>
      <c r="F1375">
        <f t="shared" si="85"/>
        <v>-3.5513827042349566E-2</v>
      </c>
      <c r="G1375">
        <f t="shared" si="86"/>
        <v>-1.6968250274658203</v>
      </c>
      <c r="H1375">
        <f t="shared" si="87"/>
        <v>-3.2900009155273438</v>
      </c>
    </row>
    <row r="1376" spans="1:8" x14ac:dyDescent="0.2">
      <c r="A1376" t="s">
        <v>12</v>
      </c>
      <c r="B1376" s="2">
        <v>44846</v>
      </c>
      <c r="C1376">
        <v>21.174592971801761</v>
      </c>
      <c r="D1376">
        <f>_xlfn.XLOOKUP(B1376, Oil_Price!A:A, Oil_Price!B:B, "")</f>
        <v>87.269996643066406</v>
      </c>
      <c r="E1376">
        <f t="shared" si="84"/>
        <v>2.9611135217890196E-3</v>
      </c>
      <c r="F1376">
        <f t="shared" si="85"/>
        <v>-2.3279259838567646E-2</v>
      </c>
      <c r="G1376">
        <f t="shared" si="86"/>
        <v>6.25152587890625E-2</v>
      </c>
      <c r="H1376">
        <f t="shared" si="87"/>
        <v>-2.0800018310546875</v>
      </c>
    </row>
    <row r="1377" spans="1:8" x14ac:dyDescent="0.2">
      <c r="A1377" t="s">
        <v>12</v>
      </c>
      <c r="B1377" s="2">
        <v>44847</v>
      </c>
      <c r="C1377">
        <v>21.826530456542969</v>
      </c>
      <c r="D1377">
        <f>_xlfn.XLOOKUP(B1377, Oil_Price!A:A, Oil_Price!B:B, "")</f>
        <v>89.110000610351562</v>
      </c>
      <c r="E1377">
        <f t="shared" si="84"/>
        <v>3.0788666663363662E-2</v>
      </c>
      <c r="F1377">
        <f t="shared" si="85"/>
        <v>2.1084038479006226E-2</v>
      </c>
      <c r="G1377">
        <f t="shared" si="86"/>
        <v>0.65193748474120738</v>
      </c>
      <c r="H1377">
        <f t="shared" si="87"/>
        <v>1.8400039672851562</v>
      </c>
    </row>
    <row r="1378" spans="1:8" x14ac:dyDescent="0.2">
      <c r="A1378" t="s">
        <v>12</v>
      </c>
      <c r="B1378" s="2">
        <v>44848</v>
      </c>
      <c r="C1378">
        <v>20.558380126953121</v>
      </c>
      <c r="D1378">
        <f>_xlfn.XLOOKUP(B1378, Oil_Price!A:A, Oil_Price!B:B, "")</f>
        <v>85.610000610351562</v>
      </c>
      <c r="E1378">
        <f t="shared" si="84"/>
        <v>-5.8101324537803131E-2</v>
      </c>
      <c r="F1378">
        <f t="shared" si="85"/>
        <v>-3.9277297452890138E-2</v>
      </c>
      <c r="G1378">
        <f t="shared" si="86"/>
        <v>-1.2681503295898473</v>
      </c>
      <c r="H1378">
        <f t="shared" si="87"/>
        <v>-3.5</v>
      </c>
    </row>
    <row r="1379" spans="1:8" x14ac:dyDescent="0.2">
      <c r="A1379" t="s">
        <v>12</v>
      </c>
      <c r="B1379" s="2">
        <v>44851</v>
      </c>
      <c r="C1379">
        <v>20.790573120117191</v>
      </c>
      <c r="D1379">
        <f>_xlfn.XLOOKUP(B1379, Oil_Price!A:A, Oil_Price!B:B, "")</f>
        <v>85.459999084472656</v>
      </c>
      <c r="E1379">
        <f t="shared" si="84"/>
        <v>1.1294323372280306E-2</v>
      </c>
      <c r="F1379">
        <f t="shared" si="85"/>
        <v>-1.7521495714224859E-3</v>
      </c>
      <c r="G1379">
        <f t="shared" si="86"/>
        <v>0.23219299316406961</v>
      </c>
      <c r="H1379">
        <f t="shared" si="87"/>
        <v>-0.15000152587890625</v>
      </c>
    </row>
    <row r="1380" spans="1:8" x14ac:dyDescent="0.2">
      <c r="A1380" t="s">
        <v>12</v>
      </c>
      <c r="B1380" s="2">
        <v>44852</v>
      </c>
      <c r="C1380">
        <v>20.969186782836911</v>
      </c>
      <c r="D1380">
        <f>_xlfn.XLOOKUP(B1380, Oil_Price!A:A, Oil_Price!B:B, "")</f>
        <v>82.819999694824219</v>
      </c>
      <c r="E1380">
        <f t="shared" si="84"/>
        <v>8.59108893669174E-3</v>
      </c>
      <c r="F1380">
        <f t="shared" si="85"/>
        <v>-3.0891638403119322E-2</v>
      </c>
      <c r="G1380">
        <f t="shared" si="86"/>
        <v>0.17861366271971946</v>
      </c>
      <c r="H1380">
        <f t="shared" si="87"/>
        <v>-2.6399993896484375</v>
      </c>
    </row>
    <row r="1381" spans="1:8" x14ac:dyDescent="0.2">
      <c r="A1381" t="s">
        <v>12</v>
      </c>
      <c r="B1381" s="2">
        <v>44853</v>
      </c>
      <c r="C1381">
        <v>21.817600250244141</v>
      </c>
      <c r="D1381">
        <f>_xlfn.XLOOKUP(B1381, Oil_Price!A:A, Oil_Price!B:B, "")</f>
        <v>85.550003051757812</v>
      </c>
      <c r="E1381">
        <f t="shared" si="84"/>
        <v>4.0460008115414794E-2</v>
      </c>
      <c r="F1381">
        <f t="shared" si="85"/>
        <v>3.2963093057149617E-2</v>
      </c>
      <c r="G1381">
        <f t="shared" si="86"/>
        <v>0.84841346740723012</v>
      </c>
      <c r="H1381">
        <f t="shared" si="87"/>
        <v>2.7300033569335938</v>
      </c>
    </row>
    <row r="1382" spans="1:8" x14ac:dyDescent="0.2">
      <c r="A1382" t="s">
        <v>12</v>
      </c>
      <c r="B1382" s="2">
        <v>44854</v>
      </c>
      <c r="C1382">
        <v>22.496334075927731</v>
      </c>
      <c r="D1382">
        <f>_xlfn.XLOOKUP(B1382, Oil_Price!A:A, Oil_Price!B:B, "")</f>
        <v>85.980003356933594</v>
      </c>
      <c r="E1382">
        <f t="shared" si="84"/>
        <v>3.1109462906031341E-2</v>
      </c>
      <c r="F1382">
        <f t="shared" si="85"/>
        <v>5.0263037970393852E-3</v>
      </c>
      <c r="G1382">
        <f t="shared" si="86"/>
        <v>0.6787338256835902</v>
      </c>
      <c r="H1382">
        <f t="shared" si="87"/>
        <v>0.43000030517578125</v>
      </c>
    </row>
    <row r="1383" spans="1:8" x14ac:dyDescent="0.2">
      <c r="A1383" t="s">
        <v>12</v>
      </c>
      <c r="B1383" s="2">
        <v>44855</v>
      </c>
      <c r="C1383">
        <v>23.005378723144531</v>
      </c>
      <c r="D1383">
        <f>_xlfn.XLOOKUP(B1383, Oil_Price!A:A, Oil_Price!B:B, "")</f>
        <v>85.050003051757812</v>
      </c>
      <c r="E1383">
        <f t="shared" si="84"/>
        <v>2.2627893304692039E-2</v>
      </c>
      <c r="F1383">
        <f t="shared" si="85"/>
        <v>-1.0816472073338019E-2</v>
      </c>
      <c r="G1383">
        <f t="shared" si="86"/>
        <v>0.50904464721680043</v>
      </c>
      <c r="H1383">
        <f t="shared" si="87"/>
        <v>-0.93000030517578125</v>
      </c>
    </row>
    <row r="1384" spans="1:8" x14ac:dyDescent="0.2">
      <c r="A1384" t="s">
        <v>12</v>
      </c>
      <c r="B1384" s="2">
        <v>44858</v>
      </c>
      <c r="C1384">
        <v>23.371538162231449</v>
      </c>
      <c r="D1384">
        <f>_xlfn.XLOOKUP(B1384, Oil_Price!A:A, Oil_Price!B:B, "")</f>
        <v>84.580001831054688</v>
      </c>
      <c r="E1384">
        <f t="shared" si="84"/>
        <v>1.591625347678121E-2</v>
      </c>
      <c r="F1384">
        <f t="shared" si="85"/>
        <v>-5.5261752361972548E-3</v>
      </c>
      <c r="G1384">
        <f t="shared" si="86"/>
        <v>0.36615943908691762</v>
      </c>
      <c r="H1384">
        <f t="shared" si="87"/>
        <v>-0.470001220703125</v>
      </c>
    </row>
    <row r="1385" spans="1:8" x14ac:dyDescent="0.2">
      <c r="A1385" t="s">
        <v>12</v>
      </c>
      <c r="B1385" s="2">
        <v>44859</v>
      </c>
      <c r="C1385">
        <v>23.69304084777832</v>
      </c>
      <c r="D1385">
        <f>_xlfn.XLOOKUP(B1385, Oil_Price!A:A, Oil_Price!B:B, "")</f>
        <v>85.319999694824219</v>
      </c>
      <c r="E1385">
        <f t="shared" si="84"/>
        <v>1.3756162872772397E-2</v>
      </c>
      <c r="F1385">
        <f t="shared" si="85"/>
        <v>8.7490878192181716E-3</v>
      </c>
      <c r="G1385">
        <f t="shared" si="86"/>
        <v>0.32150268554687145</v>
      </c>
      <c r="H1385">
        <f t="shared" si="87"/>
        <v>0.73999786376953125</v>
      </c>
    </row>
    <row r="1386" spans="1:8" x14ac:dyDescent="0.2">
      <c r="A1386" t="s">
        <v>12</v>
      </c>
      <c r="B1386" s="2">
        <v>44860</v>
      </c>
      <c r="C1386">
        <v>24.21102142333984</v>
      </c>
      <c r="D1386">
        <f>_xlfn.XLOOKUP(B1386, Oil_Price!A:A, Oil_Price!B:B, "")</f>
        <v>87.910003662109375</v>
      </c>
      <c r="E1386">
        <f t="shared" si="84"/>
        <v>2.1862139979811436E-2</v>
      </c>
      <c r="F1386">
        <f t="shared" si="85"/>
        <v>3.0356352280229485E-2</v>
      </c>
      <c r="G1386">
        <f t="shared" si="86"/>
        <v>0.51798057556151988</v>
      </c>
      <c r="H1386">
        <f t="shared" si="87"/>
        <v>2.5900039672851562</v>
      </c>
    </row>
    <row r="1387" spans="1:8" x14ac:dyDescent="0.2">
      <c r="A1387" t="s">
        <v>12</v>
      </c>
      <c r="B1387" s="2">
        <v>44861</v>
      </c>
      <c r="C1387">
        <v>24.42535400390625</v>
      </c>
      <c r="D1387">
        <f>_xlfn.XLOOKUP(B1387, Oil_Price!A:A, Oil_Price!B:B, "")</f>
        <v>89.080001831054688</v>
      </c>
      <c r="E1387">
        <f t="shared" si="84"/>
        <v>8.8526864199041811E-3</v>
      </c>
      <c r="F1387">
        <f t="shared" si="85"/>
        <v>1.3309044707156582E-2</v>
      </c>
      <c r="G1387">
        <f t="shared" si="86"/>
        <v>0.2143325805664098</v>
      </c>
      <c r="H1387">
        <f t="shared" si="87"/>
        <v>1.1699981689453125</v>
      </c>
    </row>
    <row r="1388" spans="1:8" x14ac:dyDescent="0.2">
      <c r="A1388" t="s">
        <v>12</v>
      </c>
      <c r="B1388" s="2">
        <v>44862</v>
      </c>
      <c r="C1388">
        <v>24.29139518737793</v>
      </c>
      <c r="D1388">
        <f>_xlfn.XLOOKUP(B1388, Oil_Price!A:A, Oil_Price!B:B, "")</f>
        <v>87.900001525878906</v>
      </c>
      <c r="E1388">
        <f t="shared" si="84"/>
        <v>-5.4844165823306722E-3</v>
      </c>
      <c r="F1388">
        <f t="shared" si="85"/>
        <v>-1.3246523135615997E-2</v>
      </c>
      <c r="G1388">
        <f t="shared" si="86"/>
        <v>-0.13395881652832031</v>
      </c>
      <c r="H1388">
        <f t="shared" si="87"/>
        <v>-1.1800003051757812</v>
      </c>
    </row>
    <row r="1389" spans="1:8" x14ac:dyDescent="0.2">
      <c r="A1389" t="s">
        <v>12</v>
      </c>
      <c r="B1389" s="2">
        <v>44865</v>
      </c>
      <c r="C1389">
        <v>24.595037460327148</v>
      </c>
      <c r="D1389">
        <f>_xlfn.XLOOKUP(B1389, Oil_Price!A:A, Oil_Price!B:B, "")</f>
        <v>86.529998779296875</v>
      </c>
      <c r="E1389">
        <f t="shared" si="84"/>
        <v>1.2499993129542208E-2</v>
      </c>
      <c r="F1389">
        <f t="shared" si="85"/>
        <v>-1.5585924036402713E-2</v>
      </c>
      <c r="G1389">
        <f t="shared" si="86"/>
        <v>0.30364227294921875</v>
      </c>
      <c r="H1389">
        <f t="shared" si="87"/>
        <v>-1.3700027465820312</v>
      </c>
    </row>
    <row r="1390" spans="1:8" x14ac:dyDescent="0.2">
      <c r="A1390" t="s">
        <v>12</v>
      </c>
      <c r="B1390" s="2">
        <v>44866</v>
      </c>
      <c r="C1390">
        <v>24.943332672119141</v>
      </c>
      <c r="D1390">
        <f>_xlfn.XLOOKUP(B1390, Oil_Price!A:A, Oil_Price!B:B, "")</f>
        <v>88.370002746582031</v>
      </c>
      <c r="E1390">
        <f t="shared" si="84"/>
        <v>1.4161198670821596E-2</v>
      </c>
      <c r="F1390">
        <f t="shared" si="85"/>
        <v>2.1264347547008108E-2</v>
      </c>
      <c r="G1390">
        <f t="shared" si="86"/>
        <v>0.34829521179199219</v>
      </c>
      <c r="H1390">
        <f t="shared" si="87"/>
        <v>1.8400039672851562</v>
      </c>
    </row>
    <row r="1391" spans="1:8" x14ac:dyDescent="0.2">
      <c r="A1391" t="s">
        <v>12</v>
      </c>
      <c r="B1391" s="2">
        <v>44867</v>
      </c>
      <c r="C1391">
        <v>24.85402679443359</v>
      </c>
      <c r="D1391">
        <f>_xlfn.XLOOKUP(B1391, Oil_Price!A:A, Oil_Price!B:B, "")</f>
        <v>90</v>
      </c>
      <c r="E1391">
        <f t="shared" si="84"/>
        <v>-3.5803506636213726E-3</v>
      </c>
      <c r="F1391">
        <f t="shared" si="85"/>
        <v>1.8445142047718379E-2</v>
      </c>
      <c r="G1391">
        <f t="shared" si="86"/>
        <v>-8.9305877685550428E-2</v>
      </c>
      <c r="H1391">
        <f t="shared" si="87"/>
        <v>1.6299972534179688</v>
      </c>
    </row>
    <row r="1392" spans="1:8" x14ac:dyDescent="0.2">
      <c r="A1392" t="s">
        <v>12</v>
      </c>
      <c r="B1392" s="2">
        <v>44868</v>
      </c>
      <c r="C1392">
        <v>25.72923469543457</v>
      </c>
      <c r="D1392">
        <f>_xlfn.XLOOKUP(B1392, Oil_Price!A:A, Oil_Price!B:B, "")</f>
        <v>88.169998168945312</v>
      </c>
      <c r="E1392">
        <f t="shared" si="84"/>
        <v>3.5213927635943297E-2</v>
      </c>
      <c r="F1392">
        <f t="shared" si="85"/>
        <v>-2.0333353678385416E-2</v>
      </c>
      <c r="G1392">
        <f t="shared" si="86"/>
        <v>0.87520790100098012</v>
      </c>
      <c r="H1392">
        <f t="shared" si="87"/>
        <v>-1.8300018310546875</v>
      </c>
    </row>
    <row r="1393" spans="1:8" x14ac:dyDescent="0.2">
      <c r="A1393" t="s">
        <v>12</v>
      </c>
      <c r="B1393" s="2">
        <v>44869</v>
      </c>
      <c r="C1393">
        <v>25.443447113037109</v>
      </c>
      <c r="D1393">
        <f>_xlfn.XLOOKUP(B1393, Oil_Price!A:A, Oil_Price!B:B, "")</f>
        <v>92.610000610351562</v>
      </c>
      <c r="E1393">
        <f t="shared" si="84"/>
        <v>-1.1107504198256292E-2</v>
      </c>
      <c r="F1393">
        <f t="shared" si="85"/>
        <v>5.0357293111185294E-2</v>
      </c>
      <c r="G1393">
        <f t="shared" si="86"/>
        <v>-0.28578758239746094</v>
      </c>
      <c r="H1393">
        <f t="shared" si="87"/>
        <v>4.44000244140625</v>
      </c>
    </row>
    <row r="1394" spans="1:8" x14ac:dyDescent="0.2">
      <c r="A1394" t="s">
        <v>12</v>
      </c>
      <c r="B1394" s="2">
        <v>44872</v>
      </c>
      <c r="C1394">
        <v>25.523824691772461</v>
      </c>
      <c r="D1394">
        <f>_xlfn.XLOOKUP(B1394, Oil_Price!A:A, Oil_Price!B:B, "")</f>
        <v>91.790000915527344</v>
      </c>
      <c r="E1394">
        <f t="shared" si="84"/>
        <v>3.1590679666265208E-3</v>
      </c>
      <c r="F1394">
        <f t="shared" si="85"/>
        <v>-8.8543320313137167E-3</v>
      </c>
      <c r="G1394">
        <f t="shared" si="86"/>
        <v>8.0377578735351562E-2</v>
      </c>
      <c r="H1394">
        <f t="shared" si="87"/>
        <v>-0.81999969482421875</v>
      </c>
    </row>
    <row r="1395" spans="1:8" x14ac:dyDescent="0.2">
      <c r="A1395" t="s">
        <v>12</v>
      </c>
      <c r="B1395" s="2">
        <v>44873</v>
      </c>
      <c r="C1395">
        <v>25.5684814453125</v>
      </c>
      <c r="D1395">
        <f>_xlfn.XLOOKUP(B1395, Oil_Price!A:A, Oil_Price!B:B, "")</f>
        <v>88.910003662109375</v>
      </c>
      <c r="E1395">
        <f t="shared" si="84"/>
        <v>1.7496105728399729E-3</v>
      </c>
      <c r="F1395">
        <f t="shared" si="85"/>
        <v>-3.137593664552174E-2</v>
      </c>
      <c r="G1395">
        <f t="shared" si="86"/>
        <v>4.4656753540039062E-2</v>
      </c>
      <c r="H1395">
        <f t="shared" si="87"/>
        <v>-2.8799972534179688</v>
      </c>
    </row>
    <row r="1396" spans="1:8" x14ac:dyDescent="0.2">
      <c r="A1396" t="s">
        <v>12</v>
      </c>
      <c r="B1396" s="2">
        <v>44874</v>
      </c>
      <c r="C1396">
        <v>24.18422698974609</v>
      </c>
      <c r="D1396">
        <f>_xlfn.XLOOKUP(B1396, Oil_Price!A:A, Oil_Price!B:B, "")</f>
        <v>85.830001831054688</v>
      </c>
      <c r="E1396">
        <f t="shared" si="84"/>
        <v>-5.4139095375184541E-2</v>
      </c>
      <c r="F1396">
        <f t="shared" si="85"/>
        <v>-3.464179174662757E-2</v>
      </c>
      <c r="G1396">
        <f t="shared" si="86"/>
        <v>-1.3842544555664098</v>
      </c>
      <c r="H1396">
        <f t="shared" si="87"/>
        <v>-3.0800018310546875</v>
      </c>
    </row>
    <row r="1397" spans="1:8" x14ac:dyDescent="0.2">
      <c r="A1397" t="s">
        <v>12</v>
      </c>
      <c r="B1397" s="2">
        <v>44875</v>
      </c>
      <c r="C1397">
        <v>24.83616828918457</v>
      </c>
      <c r="D1397">
        <f>_xlfn.XLOOKUP(B1397, Oil_Price!A:A, Oil_Price!B:B, "")</f>
        <v>86.470001220703125</v>
      </c>
      <c r="E1397">
        <f t="shared" si="84"/>
        <v>2.6957293268662166E-2</v>
      </c>
      <c r="F1397">
        <f t="shared" si="85"/>
        <v>7.4565929860772222E-3</v>
      </c>
      <c r="G1397">
        <f t="shared" si="86"/>
        <v>0.65194129943848012</v>
      </c>
      <c r="H1397">
        <f t="shared" si="87"/>
        <v>0.6399993896484375</v>
      </c>
    </row>
    <row r="1398" spans="1:8" x14ac:dyDescent="0.2">
      <c r="A1398" t="s">
        <v>12</v>
      </c>
      <c r="B1398" s="2">
        <v>44876</v>
      </c>
      <c r="C1398">
        <v>25.622060775756839</v>
      </c>
      <c r="D1398">
        <f>_xlfn.XLOOKUP(B1398, Oil_Price!A:A, Oil_Price!B:B, "")</f>
        <v>88.959999084472656</v>
      </c>
      <c r="E1398">
        <f t="shared" si="84"/>
        <v>3.1643064961614974E-2</v>
      </c>
      <c r="F1398">
        <f t="shared" si="85"/>
        <v>2.8796089147890079E-2</v>
      </c>
      <c r="G1398">
        <f t="shared" si="86"/>
        <v>0.78589248657226918</v>
      </c>
      <c r="H1398">
        <f t="shared" si="87"/>
        <v>2.4899978637695312</v>
      </c>
    </row>
    <row r="1399" spans="1:8" x14ac:dyDescent="0.2">
      <c r="A1399" t="s">
        <v>12</v>
      </c>
      <c r="B1399" s="2">
        <v>44879</v>
      </c>
      <c r="C1399">
        <v>25.202316284179691</v>
      </c>
      <c r="D1399">
        <f>_xlfn.XLOOKUP(B1399, Oil_Price!A:A, Oil_Price!B:B, "")</f>
        <v>85.870002746582031</v>
      </c>
      <c r="E1399">
        <f t="shared" si="84"/>
        <v>-1.6382151898347831E-2</v>
      </c>
      <c r="F1399">
        <f t="shared" si="85"/>
        <v>-3.4734671421888109E-2</v>
      </c>
      <c r="G1399">
        <f t="shared" si="86"/>
        <v>-0.41974449157714844</v>
      </c>
      <c r="H1399">
        <f t="shared" si="87"/>
        <v>-3.089996337890625</v>
      </c>
    </row>
    <row r="1400" spans="1:8" x14ac:dyDescent="0.2">
      <c r="A1400" t="s">
        <v>12</v>
      </c>
      <c r="B1400" s="2">
        <v>44880</v>
      </c>
      <c r="C1400">
        <v>25.505964279174801</v>
      </c>
      <c r="D1400">
        <f>_xlfn.XLOOKUP(B1400, Oil_Price!A:A, Oil_Price!B:B, "")</f>
        <v>86.919998168945312</v>
      </c>
      <c r="E1400">
        <f t="shared" si="84"/>
        <v>1.2048416168228146E-2</v>
      </c>
      <c r="F1400">
        <f t="shared" si="85"/>
        <v>1.222773248839887E-2</v>
      </c>
      <c r="G1400">
        <f t="shared" si="86"/>
        <v>0.30364799499511008</v>
      </c>
      <c r="H1400">
        <f t="shared" si="87"/>
        <v>1.0499954223632812</v>
      </c>
    </row>
    <row r="1401" spans="1:8" x14ac:dyDescent="0.2">
      <c r="A1401" t="s">
        <v>12</v>
      </c>
      <c r="B1401" s="2">
        <v>44881</v>
      </c>
      <c r="C1401">
        <v>25.059429168701168</v>
      </c>
      <c r="D1401">
        <f>_xlfn.XLOOKUP(B1401, Oil_Price!A:A, Oil_Price!B:B, "")</f>
        <v>85.589996337890625</v>
      </c>
      <c r="E1401">
        <f t="shared" si="84"/>
        <v>-1.7507086012749629E-2</v>
      </c>
      <c r="F1401">
        <f t="shared" si="85"/>
        <v>-1.5301447987488214E-2</v>
      </c>
      <c r="G1401">
        <f t="shared" si="86"/>
        <v>-0.44653511047363281</v>
      </c>
      <c r="H1401">
        <f t="shared" si="87"/>
        <v>-1.3300018310546875</v>
      </c>
    </row>
    <row r="1402" spans="1:8" x14ac:dyDescent="0.2">
      <c r="A1402" t="s">
        <v>12</v>
      </c>
      <c r="B1402" s="2">
        <v>44882</v>
      </c>
      <c r="C1402">
        <v>24.668466567993161</v>
      </c>
      <c r="D1402">
        <f>_xlfn.XLOOKUP(B1402, Oil_Price!A:A, Oil_Price!B:B, "")</f>
        <v>81.639999389648438</v>
      </c>
      <c r="E1402">
        <f t="shared" si="84"/>
        <v>-1.5601416858940823E-2</v>
      </c>
      <c r="F1402">
        <f t="shared" si="85"/>
        <v>-4.6150217516641334E-2</v>
      </c>
      <c r="G1402">
        <f t="shared" si="86"/>
        <v>-0.39096260070800781</v>
      </c>
      <c r="H1402">
        <f t="shared" si="87"/>
        <v>-3.9499969482421875</v>
      </c>
    </row>
    <row r="1403" spans="1:8" x14ac:dyDescent="0.2">
      <c r="A1403" t="s">
        <v>12</v>
      </c>
      <c r="B1403" s="2">
        <v>44883</v>
      </c>
      <c r="C1403">
        <v>24.327718734741211</v>
      </c>
      <c r="D1403">
        <f>_xlfn.XLOOKUP(B1403, Oil_Price!A:A, Oil_Price!B:B, "")</f>
        <v>80.080001831054688</v>
      </c>
      <c r="E1403">
        <f t="shared" si="84"/>
        <v>-1.3813093420815343E-2</v>
      </c>
      <c r="F1403">
        <f t="shared" si="85"/>
        <v>-1.9108250493097754E-2</v>
      </c>
      <c r="G1403">
        <f t="shared" si="86"/>
        <v>-0.34074783325194957</v>
      </c>
      <c r="H1403">
        <f t="shared" si="87"/>
        <v>-1.55999755859375</v>
      </c>
    </row>
    <row r="1404" spans="1:8" x14ac:dyDescent="0.2">
      <c r="A1404" t="s">
        <v>12</v>
      </c>
      <c r="B1404" s="2">
        <v>44886</v>
      </c>
      <c r="C1404">
        <v>23.807621002197269</v>
      </c>
      <c r="D1404">
        <f>_xlfn.XLOOKUP(B1404, Oil_Price!A:A, Oil_Price!B:B, "")</f>
        <v>79.730003356933594</v>
      </c>
      <c r="E1404">
        <f t="shared" si="84"/>
        <v>-2.1378812301098168E-2</v>
      </c>
      <c r="F1404">
        <f t="shared" si="85"/>
        <v>-4.3706102162620808E-3</v>
      </c>
      <c r="G1404">
        <f t="shared" si="86"/>
        <v>-0.52009773254394176</v>
      </c>
      <c r="H1404">
        <f t="shared" si="87"/>
        <v>-0.34999847412109375</v>
      </c>
    </row>
    <row r="1405" spans="1:8" x14ac:dyDescent="0.2">
      <c r="A1405" t="s">
        <v>12</v>
      </c>
      <c r="B1405" s="2">
        <v>44887</v>
      </c>
      <c r="C1405">
        <v>24.61466217041016</v>
      </c>
      <c r="D1405">
        <f>_xlfn.XLOOKUP(B1405, Oil_Price!A:A, Oil_Price!B:B, "")</f>
        <v>80.949996948242188</v>
      </c>
      <c r="E1405">
        <f t="shared" si="84"/>
        <v>3.3898438157193726E-2</v>
      </c>
      <c r="F1405">
        <f t="shared" si="85"/>
        <v>1.5301562021099538E-2</v>
      </c>
      <c r="G1405">
        <f t="shared" si="86"/>
        <v>0.80704116821289062</v>
      </c>
      <c r="H1405">
        <f t="shared" si="87"/>
        <v>1.2199935913085938</v>
      </c>
    </row>
    <row r="1406" spans="1:8" x14ac:dyDescent="0.2">
      <c r="A1406" t="s">
        <v>12</v>
      </c>
      <c r="B1406" s="2">
        <v>44888</v>
      </c>
      <c r="C1406">
        <v>24.26494216918945</v>
      </c>
      <c r="D1406">
        <f>_xlfn.XLOOKUP(B1406, Oil_Price!A:A, Oil_Price!B:B, "")</f>
        <v>77.94000244140625</v>
      </c>
      <c r="E1406">
        <f t="shared" si="84"/>
        <v>-1.4207792038727086E-2</v>
      </c>
      <c r="F1406">
        <f t="shared" si="85"/>
        <v>-3.7183380115016776E-2</v>
      </c>
      <c r="G1406">
        <f t="shared" si="86"/>
        <v>-0.34972000122071023</v>
      </c>
      <c r="H1406">
        <f t="shared" si="87"/>
        <v>-3.0099945068359375</v>
      </c>
    </row>
    <row r="1407" spans="1:8" x14ac:dyDescent="0.2">
      <c r="A1407" t="s">
        <v>12</v>
      </c>
      <c r="B1407" s="2">
        <v>44889</v>
      </c>
      <c r="C1407">
        <v>24.193208694458011</v>
      </c>
      <c r="D1407" t="str">
        <f>_xlfn.XLOOKUP(B1407, Oil_Price!A:A, Oil_Price!B:B, "")</f>
        <v/>
      </c>
      <c r="E1407">
        <f t="shared" si="84"/>
        <v>-2.9562598678896587E-3</v>
      </c>
      <c r="F1407" t="str">
        <f t="shared" si="85"/>
        <v/>
      </c>
      <c r="G1407">
        <f t="shared" si="86"/>
        <v>-7.1733474731438207E-2</v>
      </c>
      <c r="H1407" t="str">
        <f t="shared" si="87"/>
        <v/>
      </c>
    </row>
    <row r="1408" spans="1:8" x14ac:dyDescent="0.2">
      <c r="A1408" t="s">
        <v>12</v>
      </c>
      <c r="B1408" s="2">
        <v>44890</v>
      </c>
      <c r="C1408">
        <v>24.309782028198239</v>
      </c>
      <c r="D1408">
        <f>_xlfn.XLOOKUP(B1408, Oil_Price!A:A, Oil_Price!B:B, "")</f>
        <v>76.279998779296875</v>
      </c>
      <c r="E1408">
        <f t="shared" si="84"/>
        <v>4.8184321150807488E-3</v>
      </c>
      <c r="F1408" t="str">
        <f t="shared" si="85"/>
        <v/>
      </c>
      <c r="G1408">
        <f t="shared" si="86"/>
        <v>0.11657333374022727</v>
      </c>
      <c r="H1408" t="str">
        <f t="shared" si="87"/>
        <v/>
      </c>
    </row>
    <row r="1409" spans="1:8" x14ac:dyDescent="0.2">
      <c r="A1409" t="s">
        <v>12</v>
      </c>
      <c r="B1409" s="2">
        <v>44893</v>
      </c>
      <c r="C1409">
        <v>23.700021743774411</v>
      </c>
      <c r="D1409">
        <f>_xlfn.XLOOKUP(B1409, Oil_Price!A:A, Oil_Price!B:B, "")</f>
        <v>77.239997863769531</v>
      </c>
      <c r="E1409">
        <f t="shared" si="84"/>
        <v>-2.50829186257834E-2</v>
      </c>
      <c r="F1409">
        <f t="shared" si="85"/>
        <v>1.2585200574665049E-2</v>
      </c>
      <c r="G1409">
        <f t="shared" si="86"/>
        <v>-0.60976028442382812</v>
      </c>
      <c r="H1409">
        <f t="shared" si="87"/>
        <v>0.95999908447265625</v>
      </c>
    </row>
    <row r="1410" spans="1:8" x14ac:dyDescent="0.2">
      <c r="A1410" t="s">
        <v>12</v>
      </c>
      <c r="B1410" s="2">
        <v>44894</v>
      </c>
      <c r="C1410">
        <v>24.820905685424801</v>
      </c>
      <c r="D1410">
        <f>_xlfn.XLOOKUP(B1410, Oil_Price!A:A, Oil_Price!B:B, "")</f>
        <v>78.199996948242188</v>
      </c>
      <c r="E1410">
        <f t="shared" si="84"/>
        <v>4.729463769141172E-2</v>
      </c>
      <c r="F1410">
        <f t="shared" si="85"/>
        <v>1.242878186203261E-2</v>
      </c>
      <c r="G1410">
        <f t="shared" si="86"/>
        <v>1.1208839416503906</v>
      </c>
      <c r="H1410">
        <f t="shared" si="87"/>
        <v>0.95999908447265625</v>
      </c>
    </row>
    <row r="1411" spans="1:8" x14ac:dyDescent="0.2">
      <c r="A1411" t="s">
        <v>12</v>
      </c>
      <c r="B1411" s="2">
        <v>44895</v>
      </c>
      <c r="C1411">
        <v>23.986967086791989</v>
      </c>
      <c r="D1411">
        <f>_xlfn.XLOOKUP(B1411, Oil_Price!A:A, Oil_Price!B:B, "")</f>
        <v>80.550003051757812</v>
      </c>
      <c r="E1411">
        <f t="shared" ref="E1411:E1474" si="88">IFERROR(IF(AND(A1411=A1410, C1411&lt;&gt;"", C1410&lt;&gt;""), (C1411-C1410)/C1410, ""), "")</f>
        <v>-3.3598234053260734E-2</v>
      </c>
      <c r="F1411">
        <f t="shared" ref="F1411:F1474" si="89">IFERROR(IF(AND(A1411=A1410, D1411&lt;&gt;"", D1410&lt;&gt;""), (D1411-D1410)/D1410, ""), "")</f>
        <v>3.0051230117962933E-2</v>
      </c>
      <c r="G1411">
        <f t="shared" ref="G1411:G1474" si="90">IFERROR(IF(AND(A1411=A1410, C1411&lt;&gt;"", C1410&lt;&gt;""), C1411-C1410, ""), "")</f>
        <v>-0.8339385986328125</v>
      </c>
      <c r="H1411">
        <f t="shared" ref="H1411:H1474" si="91">IFERROR(IF(AND(A1411=A1410, D1411&lt;&gt;"", D1410&lt;&gt;""), D1411-D1410, ""), "")</f>
        <v>2.350006103515625</v>
      </c>
    </row>
    <row r="1412" spans="1:8" x14ac:dyDescent="0.2">
      <c r="A1412" t="s">
        <v>12</v>
      </c>
      <c r="B1412" s="2">
        <v>44896</v>
      </c>
      <c r="C1412">
        <v>23.66414833068848</v>
      </c>
      <c r="D1412">
        <f>_xlfn.XLOOKUP(B1412, Oil_Price!A:A, Oil_Price!B:B, "")</f>
        <v>81.220001220703125</v>
      </c>
      <c r="E1412">
        <f t="shared" si="88"/>
        <v>-1.3458089759136874E-2</v>
      </c>
      <c r="F1412">
        <f t="shared" si="89"/>
        <v>8.3177919746918166E-3</v>
      </c>
      <c r="G1412">
        <f t="shared" si="90"/>
        <v>-0.32281875610350852</v>
      </c>
      <c r="H1412">
        <f t="shared" si="91"/>
        <v>0.6699981689453125</v>
      </c>
    </row>
    <row r="1413" spans="1:8" x14ac:dyDescent="0.2">
      <c r="A1413" t="s">
        <v>12</v>
      </c>
      <c r="B1413" s="2">
        <v>44897</v>
      </c>
      <c r="C1413">
        <v>24.067670822143551</v>
      </c>
      <c r="D1413">
        <f>_xlfn.XLOOKUP(B1413, Oil_Price!A:A, Oil_Price!B:B, "")</f>
        <v>79.980003356933594</v>
      </c>
      <c r="E1413">
        <f t="shared" si="88"/>
        <v>1.7052060603075632E-2</v>
      </c>
      <c r="F1413">
        <f t="shared" si="89"/>
        <v>-1.5267149041281392E-2</v>
      </c>
      <c r="G1413">
        <f t="shared" si="90"/>
        <v>0.40352249145507102</v>
      </c>
      <c r="H1413">
        <f t="shared" si="91"/>
        <v>-1.2399978637695312</v>
      </c>
    </row>
    <row r="1414" spans="1:8" x14ac:dyDescent="0.2">
      <c r="A1414" t="s">
        <v>12</v>
      </c>
      <c r="B1414" s="2">
        <v>44900</v>
      </c>
      <c r="C1414">
        <v>23.38616943359375</v>
      </c>
      <c r="D1414">
        <f>_xlfn.XLOOKUP(B1414, Oil_Price!A:A, Oil_Price!B:B, "")</f>
        <v>76.930000305175781</v>
      </c>
      <c r="E1414">
        <f t="shared" si="88"/>
        <v>-2.8316050754806869E-2</v>
      </c>
      <c r="F1414">
        <f t="shared" si="89"/>
        <v>-3.8134570189329739E-2</v>
      </c>
      <c r="G1414">
        <f t="shared" si="90"/>
        <v>-0.68150138854980113</v>
      </c>
      <c r="H1414">
        <f t="shared" si="91"/>
        <v>-3.0500030517578125</v>
      </c>
    </row>
    <row r="1415" spans="1:8" x14ac:dyDescent="0.2">
      <c r="A1415" t="s">
        <v>12</v>
      </c>
      <c r="B1415" s="2">
        <v>44901</v>
      </c>
      <c r="C1415">
        <v>22.54326057434082</v>
      </c>
      <c r="D1415">
        <f>_xlfn.XLOOKUP(B1415, Oil_Price!A:A, Oil_Price!B:B, "")</f>
        <v>74.25</v>
      </c>
      <c r="E1415">
        <f t="shared" si="88"/>
        <v>-3.6043049360709262E-2</v>
      </c>
      <c r="F1415">
        <f t="shared" si="89"/>
        <v>-3.4836868510911383E-2</v>
      </c>
      <c r="G1415">
        <f t="shared" si="90"/>
        <v>-0.84290885925292969</v>
      </c>
      <c r="H1415">
        <f t="shared" si="91"/>
        <v>-2.6800003051757812</v>
      </c>
    </row>
    <row r="1416" spans="1:8" x14ac:dyDescent="0.2">
      <c r="A1416" t="s">
        <v>12</v>
      </c>
      <c r="B1416" s="2">
        <v>44902</v>
      </c>
      <c r="C1416">
        <v>22.38185882568359</v>
      </c>
      <c r="D1416">
        <f>_xlfn.XLOOKUP(B1416, Oil_Price!A:A, Oil_Price!B:B, "")</f>
        <v>72.010002136230469</v>
      </c>
      <c r="E1416">
        <f t="shared" si="88"/>
        <v>-7.1596452573919472E-3</v>
      </c>
      <c r="F1416">
        <f t="shared" si="89"/>
        <v>-3.0168321397569444E-2</v>
      </c>
      <c r="G1416">
        <f t="shared" si="90"/>
        <v>-0.16140174865723012</v>
      </c>
      <c r="H1416">
        <f t="shared" si="91"/>
        <v>-2.2399978637695312</v>
      </c>
    </row>
    <row r="1417" spans="1:8" x14ac:dyDescent="0.2">
      <c r="A1417" t="s">
        <v>12</v>
      </c>
      <c r="B1417" s="2">
        <v>44903</v>
      </c>
      <c r="C1417">
        <v>21.969375610351559</v>
      </c>
      <c r="D1417">
        <f>_xlfn.XLOOKUP(B1417, Oil_Price!A:A, Oil_Price!B:B, "")</f>
        <v>71.459999084472656</v>
      </c>
      <c r="E1417">
        <f t="shared" si="88"/>
        <v>-1.8429354708407831E-2</v>
      </c>
      <c r="F1417">
        <f t="shared" si="89"/>
        <v>-7.6378702324893955E-3</v>
      </c>
      <c r="G1417">
        <f t="shared" si="90"/>
        <v>-0.41248321533203125</v>
      </c>
      <c r="H1417">
        <f t="shared" si="91"/>
        <v>-0.5500030517578125</v>
      </c>
    </row>
    <row r="1418" spans="1:8" x14ac:dyDescent="0.2">
      <c r="A1418" t="s">
        <v>12</v>
      </c>
      <c r="B1418" s="2">
        <v>44904</v>
      </c>
      <c r="C1418">
        <v>21.69139289855957</v>
      </c>
      <c r="D1418">
        <f>_xlfn.XLOOKUP(B1418, Oil_Price!A:A, Oil_Price!B:B, "")</f>
        <v>71.019996643066406</v>
      </c>
      <c r="E1418">
        <f t="shared" si="88"/>
        <v>-1.2653191275086051E-2</v>
      </c>
      <c r="F1418">
        <f t="shared" si="89"/>
        <v>-6.1573250355926312E-3</v>
      </c>
      <c r="G1418">
        <f t="shared" si="90"/>
        <v>-0.27798271179198863</v>
      </c>
      <c r="H1418">
        <f t="shared" si="91"/>
        <v>-0.44000244140625</v>
      </c>
    </row>
    <row r="1419" spans="1:8" x14ac:dyDescent="0.2">
      <c r="A1419" t="s">
        <v>12</v>
      </c>
      <c r="B1419" s="2">
        <v>44907</v>
      </c>
      <c r="C1419">
        <v>21.781061172485352</v>
      </c>
      <c r="D1419">
        <f>_xlfn.XLOOKUP(B1419, Oil_Price!A:A, Oil_Price!B:B, "")</f>
        <v>73.169998168945312</v>
      </c>
      <c r="E1419">
        <f t="shared" si="88"/>
        <v>4.1338181621216096E-3</v>
      </c>
      <c r="F1419">
        <f t="shared" si="89"/>
        <v>3.0273185405575602E-2</v>
      </c>
      <c r="G1419">
        <f t="shared" si="90"/>
        <v>8.966827392578125E-2</v>
      </c>
      <c r="H1419">
        <f t="shared" si="91"/>
        <v>2.1500015258789062</v>
      </c>
    </row>
    <row r="1420" spans="1:8" x14ac:dyDescent="0.2">
      <c r="A1420" t="s">
        <v>12</v>
      </c>
      <c r="B1420" s="2">
        <v>44908</v>
      </c>
      <c r="C1420">
        <v>22.345989227294918</v>
      </c>
      <c r="D1420">
        <f>_xlfn.XLOOKUP(B1420, Oil_Price!A:A, Oil_Price!B:B, "")</f>
        <v>75.389999389648438</v>
      </c>
      <c r="E1420">
        <f t="shared" si="88"/>
        <v>2.5936663523226541E-2</v>
      </c>
      <c r="F1420">
        <f t="shared" si="89"/>
        <v>3.0340320845399914E-2</v>
      </c>
      <c r="G1420">
        <f t="shared" si="90"/>
        <v>0.56492805480956676</v>
      </c>
      <c r="H1420">
        <f t="shared" si="91"/>
        <v>2.220001220703125</v>
      </c>
    </row>
    <row r="1421" spans="1:8" x14ac:dyDescent="0.2">
      <c r="A1421" t="s">
        <v>12</v>
      </c>
      <c r="B1421" s="2">
        <v>44909</v>
      </c>
      <c r="C1421">
        <v>22.557607650756839</v>
      </c>
      <c r="D1421">
        <f>_xlfn.XLOOKUP(B1421, Oil_Price!A:A, Oil_Price!B:B, "")</f>
        <v>77.279998779296875</v>
      </c>
      <c r="E1421">
        <f t="shared" si="88"/>
        <v>9.4700852716529532E-3</v>
      </c>
      <c r="F1421">
        <f t="shared" si="89"/>
        <v>2.5069629990048088E-2</v>
      </c>
      <c r="G1421">
        <f t="shared" si="90"/>
        <v>0.21161842346192117</v>
      </c>
      <c r="H1421">
        <f t="shared" si="91"/>
        <v>1.8899993896484375</v>
      </c>
    </row>
    <row r="1422" spans="1:8" x14ac:dyDescent="0.2">
      <c r="A1422" t="s">
        <v>12</v>
      </c>
      <c r="B1422" s="2">
        <v>44910</v>
      </c>
      <c r="C1422">
        <v>22.38651275634766</v>
      </c>
      <c r="D1422">
        <f>_xlfn.XLOOKUP(B1422, Oil_Price!A:A, Oil_Price!B:B, "")</f>
        <v>76.110000610351562</v>
      </c>
      <c r="E1422">
        <f t="shared" si="88"/>
        <v>-7.584797867669235E-3</v>
      </c>
      <c r="F1422">
        <f t="shared" si="89"/>
        <v>-1.5139728098168038E-2</v>
      </c>
      <c r="G1422">
        <f t="shared" si="90"/>
        <v>-0.17109489440917969</v>
      </c>
      <c r="H1422">
        <f t="shared" si="91"/>
        <v>-1.1699981689453125</v>
      </c>
    </row>
    <row r="1423" spans="1:8" x14ac:dyDescent="0.2">
      <c r="A1423" t="s">
        <v>12</v>
      </c>
      <c r="B1423" s="2">
        <v>44911</v>
      </c>
      <c r="C1423">
        <v>21.82819747924805</v>
      </c>
      <c r="D1423">
        <f>_xlfn.XLOOKUP(B1423, Oil_Price!A:A, Oil_Price!B:B, "")</f>
        <v>74.290000915527344</v>
      </c>
      <c r="E1423">
        <f t="shared" si="88"/>
        <v>-2.493980563995167E-2</v>
      </c>
      <c r="F1423">
        <f t="shared" si="89"/>
        <v>-2.3912753649047856E-2</v>
      </c>
      <c r="G1423">
        <f t="shared" si="90"/>
        <v>-0.55831527709960938</v>
      </c>
      <c r="H1423">
        <f t="shared" si="91"/>
        <v>-1.8199996948242188</v>
      </c>
    </row>
    <row r="1424" spans="1:8" x14ac:dyDescent="0.2">
      <c r="A1424" t="s">
        <v>12</v>
      </c>
      <c r="B1424" s="2">
        <v>44914</v>
      </c>
      <c r="C1424">
        <v>21.936262130737301</v>
      </c>
      <c r="D1424">
        <f>_xlfn.XLOOKUP(B1424, Oil_Price!A:A, Oil_Price!B:B, "")</f>
        <v>75.19000244140625</v>
      </c>
      <c r="E1424">
        <f t="shared" si="88"/>
        <v>4.9506905731445386E-3</v>
      </c>
      <c r="F1424">
        <f t="shared" si="89"/>
        <v>1.2114706081404787E-2</v>
      </c>
      <c r="G1424">
        <f t="shared" si="90"/>
        <v>0.10806465148925071</v>
      </c>
      <c r="H1424">
        <f t="shared" si="91"/>
        <v>0.90000152587890625</v>
      </c>
    </row>
    <row r="1425" spans="1:8" x14ac:dyDescent="0.2">
      <c r="A1425" t="s">
        <v>12</v>
      </c>
      <c r="B1425" s="2">
        <v>44915</v>
      </c>
      <c r="C1425">
        <v>22.50357627868652</v>
      </c>
      <c r="D1425">
        <f>_xlfn.XLOOKUP(B1425, Oil_Price!A:A, Oil_Price!B:B, "")</f>
        <v>76.089996337890625</v>
      </c>
      <c r="E1425">
        <f t="shared" si="88"/>
        <v>2.5861933294200234E-2</v>
      </c>
      <c r="F1425">
        <f t="shared" si="89"/>
        <v>1.1969595255509115E-2</v>
      </c>
      <c r="G1425">
        <f t="shared" si="90"/>
        <v>0.56731414794921875</v>
      </c>
      <c r="H1425">
        <f t="shared" si="91"/>
        <v>0.899993896484375</v>
      </c>
    </row>
    <row r="1426" spans="1:8" x14ac:dyDescent="0.2">
      <c r="A1426" t="s">
        <v>12</v>
      </c>
      <c r="B1426" s="2">
        <v>44916</v>
      </c>
      <c r="C1426">
        <v>23.350051879882809</v>
      </c>
      <c r="D1426">
        <f>_xlfn.XLOOKUP(B1426, Oil_Price!A:A, Oil_Price!B:B, "")</f>
        <v>78.290000915527344</v>
      </c>
      <c r="E1426">
        <f t="shared" si="88"/>
        <v>3.7615159062428627E-2</v>
      </c>
      <c r="F1426">
        <f t="shared" si="89"/>
        <v>2.8913190741490152E-2</v>
      </c>
      <c r="G1426">
        <f t="shared" si="90"/>
        <v>0.84647560119628906</v>
      </c>
      <c r="H1426">
        <f t="shared" si="91"/>
        <v>2.2000045776367188</v>
      </c>
    </row>
    <row r="1427" spans="1:8" x14ac:dyDescent="0.2">
      <c r="A1427" t="s">
        <v>12</v>
      </c>
      <c r="B1427" s="2">
        <v>44917</v>
      </c>
      <c r="C1427">
        <v>22.6746711730957</v>
      </c>
      <c r="D1427">
        <f>_xlfn.XLOOKUP(B1427, Oil_Price!A:A, Oil_Price!B:B, "")</f>
        <v>77.489997863769531</v>
      </c>
      <c r="E1427">
        <f t="shared" si="88"/>
        <v>-2.8924163006634786E-2</v>
      </c>
      <c r="F1427">
        <f t="shared" si="89"/>
        <v>-1.0218457560384918E-2</v>
      </c>
      <c r="G1427">
        <f t="shared" si="90"/>
        <v>-0.67538070678710938</v>
      </c>
      <c r="H1427">
        <f t="shared" si="91"/>
        <v>-0.8000030517578125</v>
      </c>
    </row>
    <row r="1428" spans="1:8" x14ac:dyDescent="0.2">
      <c r="A1428" t="s">
        <v>12</v>
      </c>
      <c r="B1428" s="2">
        <v>44918</v>
      </c>
      <c r="C1428">
        <v>23.629205703735352</v>
      </c>
      <c r="D1428">
        <f>_xlfn.XLOOKUP(B1428, Oil_Price!A:A, Oil_Price!B:B, "")</f>
        <v>79.55999755859375</v>
      </c>
      <c r="E1428">
        <f t="shared" si="88"/>
        <v>4.2096951411239911E-2</v>
      </c>
      <c r="F1428">
        <f t="shared" si="89"/>
        <v>2.6713121072262251E-2</v>
      </c>
      <c r="G1428">
        <f t="shared" si="90"/>
        <v>0.95453453063965199</v>
      </c>
      <c r="H1428">
        <f t="shared" si="91"/>
        <v>2.0699996948242188</v>
      </c>
    </row>
    <row r="1429" spans="1:8" x14ac:dyDescent="0.2">
      <c r="A1429" t="s">
        <v>12</v>
      </c>
      <c r="B1429" s="2">
        <v>44923</v>
      </c>
      <c r="C1429">
        <v>23.025869369506839</v>
      </c>
      <c r="D1429">
        <f>_xlfn.XLOOKUP(B1429, Oil_Price!A:A, Oil_Price!B:B, "")</f>
        <v>78.959999084472656</v>
      </c>
      <c r="E1429">
        <f t="shared" si="88"/>
        <v>-2.5533500439802573E-2</v>
      </c>
      <c r="F1429">
        <f t="shared" si="89"/>
        <v>-7.541459182162636E-3</v>
      </c>
      <c r="G1429">
        <f t="shared" si="90"/>
        <v>-0.60333633422851207</v>
      </c>
      <c r="H1429">
        <f t="shared" si="91"/>
        <v>-0.59999847412109375</v>
      </c>
    </row>
    <row r="1430" spans="1:8" x14ac:dyDescent="0.2">
      <c r="A1430" t="s">
        <v>12</v>
      </c>
      <c r="B1430" s="2">
        <v>44924</v>
      </c>
      <c r="C1430">
        <v>23.5301513671875</v>
      </c>
      <c r="D1430">
        <f>_xlfn.XLOOKUP(B1430, Oil_Price!A:A, Oil_Price!B:B, "")</f>
        <v>78.400001525878906</v>
      </c>
      <c r="E1430">
        <f t="shared" si="88"/>
        <v>2.1900671353086074E-2</v>
      </c>
      <c r="F1430">
        <f t="shared" si="89"/>
        <v>-7.0921677442606825E-3</v>
      </c>
      <c r="G1430">
        <f t="shared" si="90"/>
        <v>0.50428199768066051</v>
      </c>
      <c r="H1430">
        <f t="shared" si="91"/>
        <v>-0.55999755859375</v>
      </c>
    </row>
    <row r="1431" spans="1:8" x14ac:dyDescent="0.2">
      <c r="A1431" t="s">
        <v>12</v>
      </c>
      <c r="B1431" s="2">
        <v>44925</v>
      </c>
      <c r="C1431">
        <v>23.656223297119141</v>
      </c>
      <c r="D1431">
        <f>_xlfn.XLOOKUP(B1431, Oil_Price!A:A, Oil_Price!B:B, "")</f>
        <v>80.260002136230469</v>
      </c>
      <c r="E1431">
        <f t="shared" si="88"/>
        <v>5.357888607017052E-3</v>
      </c>
      <c r="F1431">
        <f t="shared" si="89"/>
        <v>2.372449711927108E-2</v>
      </c>
      <c r="G1431">
        <f t="shared" si="90"/>
        <v>0.12607192993164062</v>
      </c>
      <c r="H1431">
        <f t="shared" si="91"/>
        <v>1.8600006103515625</v>
      </c>
    </row>
    <row r="1432" spans="1:8" x14ac:dyDescent="0.2">
      <c r="A1432" t="s">
        <v>12</v>
      </c>
      <c r="B1432" s="2">
        <v>44929</v>
      </c>
      <c r="C1432">
        <v>22.467559814453121</v>
      </c>
      <c r="D1432">
        <f>_xlfn.XLOOKUP(B1432, Oil_Price!A:A, Oil_Price!B:B, "")</f>
        <v>76.930000305175781</v>
      </c>
      <c r="E1432">
        <f t="shared" si="88"/>
        <v>-5.0247390199887693E-2</v>
      </c>
      <c r="F1432">
        <f t="shared" si="89"/>
        <v>-4.149017869950291E-2</v>
      </c>
      <c r="G1432">
        <f t="shared" si="90"/>
        <v>-1.1886634826660192</v>
      </c>
      <c r="H1432">
        <f t="shared" si="91"/>
        <v>-3.3300018310546875</v>
      </c>
    </row>
    <row r="1433" spans="1:8" x14ac:dyDescent="0.2">
      <c r="A1433" t="s">
        <v>12</v>
      </c>
      <c r="B1433" s="2">
        <v>44930</v>
      </c>
      <c r="C1433">
        <v>21.999294281005859</v>
      </c>
      <c r="D1433">
        <f>_xlfn.XLOOKUP(B1433, Oil_Price!A:A, Oil_Price!B:B, "")</f>
        <v>72.839996337890625</v>
      </c>
      <c r="E1433">
        <f t="shared" si="88"/>
        <v>-2.0841850976002843E-2</v>
      </c>
      <c r="F1433">
        <f t="shared" si="89"/>
        <v>-5.3165266489801175E-2</v>
      </c>
      <c r="G1433">
        <f t="shared" si="90"/>
        <v>-0.46826553344726207</v>
      </c>
      <c r="H1433">
        <f t="shared" si="91"/>
        <v>-4.0900039672851562</v>
      </c>
    </row>
    <row r="1434" spans="1:8" x14ac:dyDescent="0.2">
      <c r="A1434" t="s">
        <v>12</v>
      </c>
      <c r="B1434" s="2">
        <v>44931</v>
      </c>
      <c r="C1434">
        <v>22.494569778442379</v>
      </c>
      <c r="D1434">
        <f>_xlfn.XLOOKUP(B1434, Oil_Price!A:A, Oil_Price!B:B, "")</f>
        <v>73.669998168945312</v>
      </c>
      <c r="E1434">
        <f t="shared" si="88"/>
        <v>2.2513244793681386E-2</v>
      </c>
      <c r="F1434">
        <f t="shared" si="89"/>
        <v>1.1394863712025326E-2</v>
      </c>
      <c r="G1434">
        <f t="shared" si="90"/>
        <v>0.49527549743651988</v>
      </c>
      <c r="H1434">
        <f t="shared" si="91"/>
        <v>0.8300018310546875</v>
      </c>
    </row>
    <row r="1435" spans="1:8" x14ac:dyDescent="0.2">
      <c r="A1435" t="s">
        <v>12</v>
      </c>
      <c r="B1435" s="2">
        <v>44932</v>
      </c>
      <c r="C1435">
        <v>22.845771789550781</v>
      </c>
      <c r="D1435">
        <f>_xlfn.XLOOKUP(B1435, Oil_Price!A:A, Oil_Price!B:B, "")</f>
        <v>73.769996643066406</v>
      </c>
      <c r="E1435">
        <f t="shared" si="88"/>
        <v>1.5612746301330718E-2</v>
      </c>
      <c r="F1435">
        <f t="shared" si="89"/>
        <v>1.3573839637103029E-3</v>
      </c>
      <c r="G1435">
        <f t="shared" si="90"/>
        <v>0.35120201110840199</v>
      </c>
      <c r="H1435">
        <f t="shared" si="91"/>
        <v>9.999847412109375E-2</v>
      </c>
    </row>
    <row r="1436" spans="1:8" x14ac:dyDescent="0.2">
      <c r="A1436" t="s">
        <v>12</v>
      </c>
      <c r="B1436" s="2">
        <v>44935</v>
      </c>
      <c r="C1436">
        <v>22.926811218261719</v>
      </c>
      <c r="D1436">
        <f>_xlfn.XLOOKUP(B1436, Oil_Price!A:A, Oil_Price!B:B, "")</f>
        <v>74.629997253417969</v>
      </c>
      <c r="E1436">
        <f t="shared" si="88"/>
        <v>3.5472397018341652E-3</v>
      </c>
      <c r="F1436">
        <f t="shared" si="89"/>
        <v>1.1657864301019911E-2</v>
      </c>
      <c r="G1436">
        <f t="shared" si="90"/>
        <v>8.10394287109375E-2</v>
      </c>
      <c r="H1436">
        <f t="shared" si="91"/>
        <v>0.8600006103515625</v>
      </c>
    </row>
    <row r="1437" spans="1:8" x14ac:dyDescent="0.2">
      <c r="A1437" t="s">
        <v>12</v>
      </c>
      <c r="B1437" s="2">
        <v>44936</v>
      </c>
      <c r="C1437">
        <v>22.656661987304691</v>
      </c>
      <c r="D1437">
        <f>_xlfn.XLOOKUP(B1437, Oil_Price!A:A, Oil_Price!B:B, "")</f>
        <v>75.120002746582031</v>
      </c>
      <c r="E1437">
        <f t="shared" si="88"/>
        <v>-1.1783114031219823E-2</v>
      </c>
      <c r="F1437">
        <f t="shared" si="89"/>
        <v>6.5657980865277445E-3</v>
      </c>
      <c r="G1437">
        <f t="shared" si="90"/>
        <v>-0.2701492309570277</v>
      </c>
      <c r="H1437">
        <f t="shared" si="91"/>
        <v>0.4900054931640625</v>
      </c>
    </row>
    <row r="1438" spans="1:8" x14ac:dyDescent="0.2">
      <c r="A1438" t="s">
        <v>12</v>
      </c>
      <c r="B1438" s="2">
        <v>44937</v>
      </c>
      <c r="C1438">
        <v>22.323476791381839</v>
      </c>
      <c r="D1438">
        <f>_xlfn.XLOOKUP(B1438, Oil_Price!A:A, Oil_Price!B:B, "")</f>
        <v>77.410003662109375</v>
      </c>
      <c r="E1438">
        <f t="shared" si="88"/>
        <v>-1.4705837784469164E-2</v>
      </c>
      <c r="F1438">
        <f t="shared" si="89"/>
        <v>3.0484569113404872E-2</v>
      </c>
      <c r="G1438">
        <f t="shared" si="90"/>
        <v>-0.33318519592285156</v>
      </c>
      <c r="H1438">
        <f t="shared" si="91"/>
        <v>2.2900009155273438</v>
      </c>
    </row>
    <row r="1439" spans="1:8" x14ac:dyDescent="0.2">
      <c r="A1439" t="s">
        <v>12</v>
      </c>
      <c r="B1439" s="2">
        <v>44938</v>
      </c>
      <c r="C1439">
        <v>23.2599983215332</v>
      </c>
      <c r="D1439">
        <f>_xlfn.XLOOKUP(B1439, Oil_Price!A:A, Oil_Price!B:B, "")</f>
        <v>78.389999389648438</v>
      </c>
      <c r="E1439">
        <f t="shared" si="88"/>
        <v>4.1952314995704967E-2</v>
      </c>
      <c r="F1439">
        <f t="shared" si="89"/>
        <v>1.2659807275254665E-2</v>
      </c>
      <c r="G1439">
        <f t="shared" si="90"/>
        <v>0.93652153015136008</v>
      </c>
      <c r="H1439">
        <f t="shared" si="91"/>
        <v>0.9799957275390625</v>
      </c>
    </row>
    <row r="1440" spans="1:8" x14ac:dyDescent="0.2">
      <c r="A1440" t="s">
        <v>12</v>
      </c>
      <c r="B1440" s="2">
        <v>44939</v>
      </c>
      <c r="C1440">
        <v>23.305027008056641</v>
      </c>
      <c r="D1440">
        <f>_xlfn.XLOOKUP(B1440, Oil_Price!A:A, Oil_Price!B:B, "")</f>
        <v>79.860000610351562</v>
      </c>
      <c r="E1440">
        <f t="shared" si="88"/>
        <v>1.9358852008925234E-3</v>
      </c>
      <c r="F1440">
        <f t="shared" si="89"/>
        <v>1.8752407604907338E-2</v>
      </c>
      <c r="G1440">
        <f t="shared" si="90"/>
        <v>4.5028686523441053E-2</v>
      </c>
      <c r="H1440">
        <f t="shared" si="91"/>
        <v>1.470001220703125</v>
      </c>
    </row>
    <row r="1441" spans="1:8" x14ac:dyDescent="0.2">
      <c r="A1441" t="s">
        <v>12</v>
      </c>
      <c r="B1441" s="2">
        <v>44942</v>
      </c>
      <c r="C1441">
        <v>23.187957763671879</v>
      </c>
      <c r="D1441" t="str">
        <f>_xlfn.XLOOKUP(B1441, Oil_Price!A:A, Oil_Price!B:B, "")</f>
        <v/>
      </c>
      <c r="E1441">
        <f t="shared" si="88"/>
        <v>-5.0233472951690108E-3</v>
      </c>
      <c r="F1441" t="str">
        <f t="shared" si="89"/>
        <v/>
      </c>
      <c r="G1441">
        <f t="shared" si="90"/>
        <v>-0.11706924438476207</v>
      </c>
      <c r="H1441" t="str">
        <f t="shared" si="91"/>
        <v/>
      </c>
    </row>
    <row r="1442" spans="1:8" x14ac:dyDescent="0.2">
      <c r="A1442" t="s">
        <v>12</v>
      </c>
      <c r="B1442" s="2">
        <v>44943</v>
      </c>
      <c r="C1442">
        <v>23.10691070556641</v>
      </c>
      <c r="D1442">
        <f>_xlfn.XLOOKUP(B1442, Oil_Price!A:A, Oil_Price!B:B, "")</f>
        <v>80.180000305175781</v>
      </c>
      <c r="E1442">
        <f t="shared" si="88"/>
        <v>-3.4952219135245964E-3</v>
      </c>
      <c r="F1442" t="str">
        <f t="shared" si="89"/>
        <v/>
      </c>
      <c r="G1442">
        <f t="shared" si="90"/>
        <v>-8.104705810546875E-2</v>
      </c>
      <c r="H1442" t="str">
        <f t="shared" si="91"/>
        <v/>
      </c>
    </row>
    <row r="1443" spans="1:8" x14ac:dyDescent="0.2">
      <c r="A1443" t="s">
        <v>12</v>
      </c>
      <c r="B1443" s="2">
        <v>44944</v>
      </c>
      <c r="C1443">
        <v>22.521585464477539</v>
      </c>
      <c r="D1443">
        <f>_xlfn.XLOOKUP(B1443, Oil_Price!A:A, Oil_Price!B:B, "")</f>
        <v>79.480003356933594</v>
      </c>
      <c r="E1443">
        <f t="shared" si="88"/>
        <v>-2.5331176830482451E-2</v>
      </c>
      <c r="F1443">
        <f t="shared" si="89"/>
        <v>-8.7303186028673697E-3</v>
      </c>
      <c r="G1443">
        <f t="shared" si="90"/>
        <v>-0.58532524108887074</v>
      </c>
      <c r="H1443">
        <f t="shared" si="91"/>
        <v>-0.6999969482421875</v>
      </c>
    </row>
    <row r="1444" spans="1:8" x14ac:dyDescent="0.2">
      <c r="A1444" t="s">
        <v>12</v>
      </c>
      <c r="B1444" s="2">
        <v>44945</v>
      </c>
      <c r="C1444">
        <v>22.854770660400391</v>
      </c>
      <c r="D1444">
        <f>_xlfn.XLOOKUP(B1444, Oil_Price!A:A, Oil_Price!B:B, "")</f>
        <v>80.330001831054688</v>
      </c>
      <c r="E1444">
        <f t="shared" si="88"/>
        <v>1.4794038210514629E-2</v>
      </c>
      <c r="F1444">
        <f t="shared" si="89"/>
        <v>1.0694494693261012E-2</v>
      </c>
      <c r="G1444">
        <f t="shared" si="90"/>
        <v>0.33318519592285156</v>
      </c>
      <c r="H1444">
        <f t="shared" si="91"/>
        <v>0.84999847412109375</v>
      </c>
    </row>
    <row r="1445" spans="1:8" x14ac:dyDescent="0.2">
      <c r="A1445" t="s">
        <v>12</v>
      </c>
      <c r="B1445" s="2">
        <v>44946</v>
      </c>
      <c r="C1445">
        <v>22.935817718505859</v>
      </c>
      <c r="D1445">
        <f>_xlfn.XLOOKUP(B1445, Oil_Price!A:A, Oil_Price!B:B, "")</f>
        <v>81.30999755859375</v>
      </c>
      <c r="E1445">
        <f t="shared" si="88"/>
        <v>3.5461768271381503E-3</v>
      </c>
      <c r="F1445">
        <f t="shared" si="89"/>
        <v>1.2199622870669561E-2</v>
      </c>
      <c r="G1445">
        <f t="shared" si="90"/>
        <v>8.104705810546875E-2</v>
      </c>
      <c r="H1445">
        <f t="shared" si="91"/>
        <v>0.9799957275390625</v>
      </c>
    </row>
    <row r="1446" spans="1:8" x14ac:dyDescent="0.2">
      <c r="A1446" t="s">
        <v>12</v>
      </c>
      <c r="B1446" s="2">
        <v>44949</v>
      </c>
      <c r="C1446">
        <v>23.124929428100589</v>
      </c>
      <c r="D1446">
        <f>_xlfn.XLOOKUP(B1446, Oil_Price!A:A, Oil_Price!B:B, "")</f>
        <v>81.620002746582031</v>
      </c>
      <c r="E1446">
        <f t="shared" si="88"/>
        <v>8.2452569128217551E-3</v>
      </c>
      <c r="F1446">
        <f t="shared" si="89"/>
        <v>3.8126330992063404E-3</v>
      </c>
      <c r="G1446">
        <f t="shared" si="90"/>
        <v>0.18911170959473012</v>
      </c>
      <c r="H1446">
        <f t="shared" si="91"/>
        <v>0.31000518798828125</v>
      </c>
    </row>
    <row r="1447" spans="1:8" x14ac:dyDescent="0.2">
      <c r="A1447" t="s">
        <v>12</v>
      </c>
      <c r="B1447" s="2">
        <v>44950</v>
      </c>
      <c r="C1447">
        <v>22.971836090087891</v>
      </c>
      <c r="D1447">
        <f>_xlfn.XLOOKUP(B1447, Oil_Price!A:A, Oil_Price!B:B, "")</f>
        <v>80.129997253417969</v>
      </c>
      <c r="E1447">
        <f t="shared" si="88"/>
        <v>-6.6202726580719979E-3</v>
      </c>
      <c r="F1447">
        <f t="shared" si="89"/>
        <v>-1.8255396263466298E-2</v>
      </c>
      <c r="G1447">
        <f t="shared" si="90"/>
        <v>-0.15309333801269887</v>
      </c>
      <c r="H1447">
        <f t="shared" si="91"/>
        <v>-1.4900054931640625</v>
      </c>
    </row>
    <row r="1448" spans="1:8" x14ac:dyDescent="0.2">
      <c r="A1448" t="s">
        <v>12</v>
      </c>
      <c r="B1448" s="2">
        <v>44951</v>
      </c>
      <c r="C1448">
        <v>23.070896148681641</v>
      </c>
      <c r="D1448">
        <f>_xlfn.XLOOKUP(B1448, Oil_Price!A:A, Oil_Price!B:B, "")</f>
        <v>80.150001525878906</v>
      </c>
      <c r="E1448">
        <f t="shared" si="88"/>
        <v>4.3122394833947728E-3</v>
      </c>
      <c r="F1448">
        <f t="shared" si="89"/>
        <v>2.4964773676045785E-4</v>
      </c>
      <c r="G1448">
        <f t="shared" si="90"/>
        <v>9.906005859375E-2</v>
      </c>
      <c r="H1448">
        <f t="shared" si="91"/>
        <v>2.00042724609375E-2</v>
      </c>
    </row>
    <row r="1449" spans="1:8" x14ac:dyDescent="0.2">
      <c r="A1449" t="s">
        <v>12</v>
      </c>
      <c r="B1449" s="2">
        <v>44952</v>
      </c>
      <c r="C1449">
        <v>24.187520980834961</v>
      </c>
      <c r="D1449">
        <f>_xlfn.XLOOKUP(B1449, Oil_Price!A:A, Oil_Price!B:B, "")</f>
        <v>81.010002136230469</v>
      </c>
      <c r="E1449">
        <f t="shared" si="88"/>
        <v>4.8399716463425217E-2</v>
      </c>
      <c r="F1449">
        <f t="shared" si="89"/>
        <v>1.0729888883082362E-2</v>
      </c>
      <c r="G1449">
        <f t="shared" si="90"/>
        <v>1.1166248321533203</v>
      </c>
      <c r="H1449">
        <f t="shared" si="91"/>
        <v>0.8600006103515625</v>
      </c>
    </row>
    <row r="1450" spans="1:8" x14ac:dyDescent="0.2">
      <c r="A1450" t="s">
        <v>12</v>
      </c>
      <c r="B1450" s="2">
        <v>44953</v>
      </c>
      <c r="C1450">
        <v>24.448661804199219</v>
      </c>
      <c r="D1450">
        <f>_xlfn.XLOOKUP(B1450, Oil_Price!A:A, Oil_Price!B:B, "")</f>
        <v>79.680000305175781</v>
      </c>
      <c r="E1450">
        <f t="shared" si="88"/>
        <v>1.079651046385338E-2</v>
      </c>
      <c r="F1450">
        <f t="shared" si="89"/>
        <v>-1.6417748376528738E-2</v>
      </c>
      <c r="G1450">
        <f t="shared" si="90"/>
        <v>0.26114082336425781</v>
      </c>
      <c r="H1450">
        <f t="shared" si="91"/>
        <v>-1.3300018310546875</v>
      </c>
    </row>
    <row r="1451" spans="1:8" x14ac:dyDescent="0.2">
      <c r="A1451" t="s">
        <v>12</v>
      </c>
      <c r="B1451" s="2">
        <v>44956</v>
      </c>
      <c r="C1451">
        <v>23.845329284667969</v>
      </c>
      <c r="D1451">
        <f>_xlfn.XLOOKUP(B1451, Oil_Price!A:A, Oil_Price!B:B, "")</f>
        <v>77.900001525878906</v>
      </c>
      <c r="E1451">
        <f t="shared" si="88"/>
        <v>-2.4677527316755786E-2</v>
      </c>
      <c r="F1451">
        <f t="shared" si="89"/>
        <v>-2.2339342024089468E-2</v>
      </c>
      <c r="G1451">
        <f t="shared" si="90"/>
        <v>-0.60333251953125</v>
      </c>
      <c r="H1451">
        <f t="shared" si="91"/>
        <v>-1.779998779296875</v>
      </c>
    </row>
    <row r="1452" spans="1:8" x14ac:dyDescent="0.2">
      <c r="A1452" t="s">
        <v>12</v>
      </c>
      <c r="B1452" s="2">
        <v>44957</v>
      </c>
      <c r="C1452">
        <v>23.93537712097168</v>
      </c>
      <c r="D1452">
        <f>_xlfn.XLOOKUP(B1452, Oil_Price!A:A, Oil_Price!B:B, "")</f>
        <v>78.870002746582031</v>
      </c>
      <c r="E1452">
        <f t="shared" si="88"/>
        <v>3.7763301663277828E-3</v>
      </c>
      <c r="F1452">
        <f t="shared" si="89"/>
        <v>1.2451876786945685E-2</v>
      </c>
      <c r="G1452">
        <f t="shared" si="90"/>
        <v>9.0047836303710938E-2</v>
      </c>
      <c r="H1452">
        <f t="shared" si="91"/>
        <v>0.970001220703125</v>
      </c>
    </row>
    <row r="1453" spans="1:8" x14ac:dyDescent="0.2">
      <c r="A1453" t="s">
        <v>12</v>
      </c>
      <c r="B1453" s="2">
        <v>44958</v>
      </c>
      <c r="C1453">
        <v>23.043880462646481</v>
      </c>
      <c r="D1453">
        <f>_xlfn.XLOOKUP(B1453, Oil_Price!A:A, Oil_Price!B:B, "")</f>
        <v>76.410003662109375</v>
      </c>
      <c r="E1453">
        <f t="shared" si="88"/>
        <v>-3.7245983375130867E-2</v>
      </c>
      <c r="F1453">
        <f t="shared" si="89"/>
        <v>-3.1190554061179675E-2</v>
      </c>
      <c r="G1453">
        <f t="shared" si="90"/>
        <v>-0.89149665832519887</v>
      </c>
      <c r="H1453">
        <f t="shared" si="91"/>
        <v>-2.4599990844726562</v>
      </c>
    </row>
    <row r="1454" spans="1:8" x14ac:dyDescent="0.2">
      <c r="A1454" t="s">
        <v>12</v>
      </c>
      <c r="B1454" s="2">
        <v>44959</v>
      </c>
      <c r="C1454">
        <v>22.06233024597168</v>
      </c>
      <c r="D1454">
        <f>_xlfn.XLOOKUP(B1454, Oil_Price!A:A, Oil_Price!B:B, "")</f>
        <v>75.879997253417969</v>
      </c>
      <c r="E1454">
        <f t="shared" si="88"/>
        <v>-4.2594831988729848E-2</v>
      </c>
      <c r="F1454">
        <f t="shared" si="89"/>
        <v>-6.9363484267731925E-3</v>
      </c>
      <c r="G1454">
        <f t="shared" si="90"/>
        <v>-0.98155021667480113</v>
      </c>
      <c r="H1454">
        <f t="shared" si="91"/>
        <v>-0.53000640869140625</v>
      </c>
    </row>
    <row r="1455" spans="1:8" x14ac:dyDescent="0.2">
      <c r="A1455" t="s">
        <v>12</v>
      </c>
      <c r="B1455" s="2">
        <v>44960</v>
      </c>
      <c r="C1455">
        <v>22.512580871582031</v>
      </c>
      <c r="D1455">
        <f>_xlfn.XLOOKUP(B1455, Oil_Price!A:A, Oil_Price!B:B, "")</f>
        <v>73.389999389648438</v>
      </c>
      <c r="E1455">
        <f t="shared" si="88"/>
        <v>2.0408117392430113E-2</v>
      </c>
      <c r="F1455">
        <f t="shared" si="89"/>
        <v>-3.2814944041888075E-2</v>
      </c>
      <c r="G1455">
        <f t="shared" si="90"/>
        <v>0.45025062561035156</v>
      </c>
      <c r="H1455">
        <f t="shared" si="91"/>
        <v>-2.4899978637695312</v>
      </c>
    </row>
    <row r="1456" spans="1:8" x14ac:dyDescent="0.2">
      <c r="A1456" t="s">
        <v>12</v>
      </c>
      <c r="B1456" s="2">
        <v>44963</v>
      </c>
      <c r="C1456">
        <v>22.539596557617191</v>
      </c>
      <c r="D1456">
        <f>_xlfn.XLOOKUP(B1456, Oil_Price!A:A, Oil_Price!B:B, "")</f>
        <v>74.110000610351562</v>
      </c>
      <c r="E1456">
        <f t="shared" si="88"/>
        <v>1.2000261626716512E-3</v>
      </c>
      <c r="F1456">
        <f t="shared" si="89"/>
        <v>9.8106176139944237E-3</v>
      </c>
      <c r="G1456">
        <f t="shared" si="90"/>
        <v>2.7015686035159803E-2</v>
      </c>
      <c r="H1456">
        <f t="shared" si="91"/>
        <v>0.720001220703125</v>
      </c>
    </row>
    <row r="1457" spans="1:8" x14ac:dyDescent="0.2">
      <c r="A1457" t="s">
        <v>12</v>
      </c>
      <c r="B1457" s="2">
        <v>44964</v>
      </c>
      <c r="C1457">
        <v>23.494125366210941</v>
      </c>
      <c r="D1457">
        <f>_xlfn.XLOOKUP(B1457, Oil_Price!A:A, Oil_Price!B:B, "")</f>
        <v>77.139999389648438</v>
      </c>
      <c r="E1457">
        <f t="shared" si="88"/>
        <v>4.2348974887537187E-2</v>
      </c>
      <c r="F1457">
        <f t="shared" si="89"/>
        <v>4.0885153883990791E-2</v>
      </c>
      <c r="G1457">
        <f t="shared" si="90"/>
        <v>0.95452880859375</v>
      </c>
      <c r="H1457">
        <f t="shared" si="91"/>
        <v>3.029998779296875</v>
      </c>
    </row>
    <row r="1458" spans="1:8" x14ac:dyDescent="0.2">
      <c r="A1458" t="s">
        <v>12</v>
      </c>
      <c r="B1458" s="2">
        <v>44965</v>
      </c>
      <c r="C1458">
        <v>23.629205703735352</v>
      </c>
      <c r="D1458">
        <f>_xlfn.XLOOKUP(B1458, Oil_Price!A:A, Oil_Price!B:B, "")</f>
        <v>78.470001220703125</v>
      </c>
      <c r="E1458">
        <f t="shared" si="88"/>
        <v>5.7495367637171949E-3</v>
      </c>
      <c r="F1458">
        <f t="shared" si="89"/>
        <v>1.724140318353649E-2</v>
      </c>
      <c r="G1458">
        <f t="shared" si="90"/>
        <v>0.13508033752441051</v>
      </c>
      <c r="H1458">
        <f t="shared" si="91"/>
        <v>1.3300018310546875</v>
      </c>
    </row>
    <row r="1459" spans="1:8" x14ac:dyDescent="0.2">
      <c r="A1459" t="s">
        <v>12</v>
      </c>
      <c r="B1459" s="2">
        <v>44966</v>
      </c>
      <c r="C1459">
        <v>23.422088623046879</v>
      </c>
      <c r="D1459">
        <f>_xlfn.XLOOKUP(B1459, Oil_Price!A:A, Oil_Price!B:B, "")</f>
        <v>78.05999755859375</v>
      </c>
      <c r="E1459">
        <f t="shared" si="88"/>
        <v>-8.7653001664686307E-3</v>
      </c>
      <c r="F1459">
        <f t="shared" si="89"/>
        <v>-5.2249733112174554E-3</v>
      </c>
      <c r="G1459">
        <f t="shared" si="90"/>
        <v>-0.20711708068847301</v>
      </c>
      <c r="H1459">
        <f t="shared" si="91"/>
        <v>-0.410003662109375</v>
      </c>
    </row>
    <row r="1460" spans="1:8" x14ac:dyDescent="0.2">
      <c r="A1460" t="s">
        <v>12</v>
      </c>
      <c r="B1460" s="2">
        <v>44967</v>
      </c>
      <c r="C1460">
        <v>24.133487701416019</v>
      </c>
      <c r="D1460">
        <f>_xlfn.XLOOKUP(B1460, Oil_Price!A:A, Oil_Price!B:B, "")</f>
        <v>79.720001220703125</v>
      </c>
      <c r="E1460">
        <f t="shared" si="88"/>
        <v>3.0372999172633041E-2</v>
      </c>
      <c r="F1460">
        <f t="shared" si="89"/>
        <v>2.126574063576335E-2</v>
      </c>
      <c r="G1460">
        <f t="shared" si="90"/>
        <v>0.71139907836914062</v>
      </c>
      <c r="H1460">
        <f t="shared" si="91"/>
        <v>1.660003662109375</v>
      </c>
    </row>
    <row r="1461" spans="1:8" x14ac:dyDescent="0.2">
      <c r="A1461" t="s">
        <v>12</v>
      </c>
      <c r="B1461" s="2">
        <v>44970</v>
      </c>
      <c r="C1461">
        <v>23.899356842041019</v>
      </c>
      <c r="D1461">
        <f>_xlfn.XLOOKUP(B1461, Oil_Price!A:A, Oil_Price!B:B, "")</f>
        <v>80.139999389648438</v>
      </c>
      <c r="E1461">
        <f t="shared" si="88"/>
        <v>-9.7014928911937793E-3</v>
      </c>
      <c r="F1461">
        <f t="shared" si="89"/>
        <v>5.2684164891387362E-3</v>
      </c>
      <c r="G1461">
        <f t="shared" si="90"/>
        <v>-0.234130859375</v>
      </c>
      <c r="H1461">
        <f t="shared" si="91"/>
        <v>0.4199981689453125</v>
      </c>
    </row>
    <row r="1462" spans="1:8" x14ac:dyDescent="0.2">
      <c r="A1462" t="s">
        <v>12</v>
      </c>
      <c r="B1462" s="2">
        <v>44971</v>
      </c>
      <c r="C1462">
        <v>23.917367935180661</v>
      </c>
      <c r="D1462">
        <f>_xlfn.XLOOKUP(B1462, Oil_Price!A:A, Oil_Price!B:B, "")</f>
        <v>79.05999755859375</v>
      </c>
      <c r="E1462">
        <f t="shared" si="88"/>
        <v>7.5362250368002685E-4</v>
      </c>
      <c r="F1462">
        <f t="shared" si="89"/>
        <v>-1.3476439222361533E-2</v>
      </c>
      <c r="G1462">
        <f t="shared" si="90"/>
        <v>1.8011093139641332E-2</v>
      </c>
      <c r="H1462">
        <f t="shared" si="91"/>
        <v>-1.0800018310546875</v>
      </c>
    </row>
    <row r="1463" spans="1:8" x14ac:dyDescent="0.2">
      <c r="A1463" t="s">
        <v>12</v>
      </c>
      <c r="B1463" s="2">
        <v>44972</v>
      </c>
      <c r="C1463">
        <v>23.422088623046879</v>
      </c>
      <c r="D1463">
        <f>_xlfn.XLOOKUP(B1463, Oil_Price!A:A, Oil_Price!B:B, "")</f>
        <v>78.589996337890625</v>
      </c>
      <c r="E1463">
        <f t="shared" si="88"/>
        <v>-2.070793548337161E-2</v>
      </c>
      <c r="F1463">
        <f t="shared" si="89"/>
        <v>-5.9448676349223625E-3</v>
      </c>
      <c r="G1463">
        <f t="shared" si="90"/>
        <v>-0.49527931213378196</v>
      </c>
      <c r="H1463">
        <f t="shared" si="91"/>
        <v>-0.470001220703125</v>
      </c>
    </row>
    <row r="1464" spans="1:8" x14ac:dyDescent="0.2">
      <c r="A1464" t="s">
        <v>12</v>
      </c>
      <c r="B1464" s="2">
        <v>44973</v>
      </c>
      <c r="C1464">
        <v>22.37750244140625</v>
      </c>
      <c r="D1464">
        <f>_xlfn.XLOOKUP(B1464, Oil_Price!A:A, Oil_Price!B:B, "")</f>
        <v>78.489997863769531</v>
      </c>
      <c r="E1464">
        <f t="shared" si="88"/>
        <v>-4.4598336145512493E-2</v>
      </c>
      <c r="F1464">
        <f t="shared" si="89"/>
        <v>-1.2724071609719805E-3</v>
      </c>
      <c r="G1464">
        <f t="shared" si="90"/>
        <v>-1.0445861816406286</v>
      </c>
      <c r="H1464">
        <f t="shared" si="91"/>
        <v>-9.999847412109375E-2</v>
      </c>
    </row>
    <row r="1465" spans="1:8" x14ac:dyDescent="0.2">
      <c r="A1465" t="s">
        <v>12</v>
      </c>
      <c r="B1465" s="2">
        <v>44974</v>
      </c>
      <c r="C1465">
        <v>22.071334838867191</v>
      </c>
      <c r="D1465">
        <f>_xlfn.XLOOKUP(B1465, Oil_Price!A:A, Oil_Price!B:B, "")</f>
        <v>76.339996337890625</v>
      </c>
      <c r="E1465">
        <f t="shared" si="88"/>
        <v>-1.368193806885889E-2</v>
      </c>
      <c r="F1465">
        <f t="shared" si="89"/>
        <v>-2.7392044647657366E-2</v>
      </c>
      <c r="G1465">
        <f t="shared" si="90"/>
        <v>-0.30616760253905895</v>
      </c>
      <c r="H1465">
        <f t="shared" si="91"/>
        <v>-2.1500015258789062</v>
      </c>
    </row>
    <row r="1466" spans="1:8" x14ac:dyDescent="0.2">
      <c r="A1466" t="s">
        <v>12</v>
      </c>
      <c r="B1466" s="2">
        <v>44978</v>
      </c>
      <c r="C1466">
        <v>22.458553314208981</v>
      </c>
      <c r="D1466">
        <f>_xlfn.XLOOKUP(B1466, Oil_Price!A:A, Oil_Price!B:B, "")</f>
        <v>76.160003662109375</v>
      </c>
      <c r="E1466">
        <f t="shared" si="88"/>
        <v>1.7543953647058335E-2</v>
      </c>
      <c r="F1466">
        <f t="shared" si="89"/>
        <v>-2.3577768458958172E-3</v>
      </c>
      <c r="G1466">
        <f t="shared" si="90"/>
        <v>0.38721847534178977</v>
      </c>
      <c r="H1466">
        <f t="shared" si="91"/>
        <v>-0.17999267578125</v>
      </c>
    </row>
    <row r="1467" spans="1:8" x14ac:dyDescent="0.2">
      <c r="A1467" t="s">
        <v>12</v>
      </c>
      <c r="B1467" s="2">
        <v>44979</v>
      </c>
      <c r="C1467">
        <v>21.846210479736332</v>
      </c>
      <c r="D1467">
        <f>_xlfn.XLOOKUP(B1467, Oil_Price!A:A, Oil_Price!B:B, "")</f>
        <v>73.949996948242188</v>
      </c>
      <c r="E1467">
        <f t="shared" si="88"/>
        <v>-2.7265462111721806E-2</v>
      </c>
      <c r="F1467">
        <f t="shared" si="89"/>
        <v>-2.9017943902314904E-2</v>
      </c>
      <c r="G1467">
        <f t="shared" si="90"/>
        <v>-0.61234283447264914</v>
      </c>
      <c r="H1467">
        <f t="shared" si="91"/>
        <v>-2.2100067138671875</v>
      </c>
    </row>
    <row r="1468" spans="1:8" x14ac:dyDescent="0.2">
      <c r="A1468" t="s">
        <v>12</v>
      </c>
      <c r="B1468" s="2">
        <v>44980</v>
      </c>
      <c r="C1468">
        <v>22.03531455993652</v>
      </c>
      <c r="D1468">
        <f>_xlfn.XLOOKUP(B1468, Oil_Price!A:A, Oil_Price!B:B, "")</f>
        <v>75.389999389648438</v>
      </c>
      <c r="E1468">
        <f t="shared" si="88"/>
        <v>8.6561502451692283E-3</v>
      </c>
      <c r="F1468">
        <f t="shared" si="89"/>
        <v>1.9472650450737837E-2</v>
      </c>
      <c r="G1468">
        <f t="shared" si="90"/>
        <v>0.18910408020018821</v>
      </c>
      <c r="H1468">
        <f t="shared" si="91"/>
        <v>1.44000244140625</v>
      </c>
    </row>
    <row r="1469" spans="1:8" x14ac:dyDescent="0.2">
      <c r="A1469" t="s">
        <v>12</v>
      </c>
      <c r="B1469" s="2">
        <v>44981</v>
      </c>
      <c r="C1469">
        <v>22.314474105834961</v>
      </c>
      <c r="D1469">
        <f>_xlfn.XLOOKUP(B1469, Oil_Price!A:A, Oil_Price!B:B, "")</f>
        <v>76.319999694824219</v>
      </c>
      <c r="E1469">
        <f t="shared" si="88"/>
        <v>1.26687343236749E-2</v>
      </c>
      <c r="F1469">
        <f t="shared" si="89"/>
        <v>1.2335857709311464E-2</v>
      </c>
      <c r="G1469">
        <f t="shared" si="90"/>
        <v>0.27915954589844105</v>
      </c>
      <c r="H1469">
        <f t="shared" si="91"/>
        <v>0.93000030517578125</v>
      </c>
    </row>
    <row r="1470" spans="1:8" x14ac:dyDescent="0.2">
      <c r="A1470" t="s">
        <v>12</v>
      </c>
      <c r="B1470" s="2">
        <v>44984</v>
      </c>
      <c r="C1470">
        <v>22.701688766479489</v>
      </c>
      <c r="D1470">
        <f>_xlfn.XLOOKUP(B1470, Oil_Price!A:A, Oil_Price!B:B, "")</f>
        <v>75.680000305175781</v>
      </c>
      <c r="E1470">
        <f t="shared" si="88"/>
        <v>1.735262318116992E-2</v>
      </c>
      <c r="F1470">
        <f t="shared" si="89"/>
        <v>-8.3857362710634317E-3</v>
      </c>
      <c r="G1470">
        <f t="shared" si="90"/>
        <v>0.3872146606445277</v>
      </c>
      <c r="H1470">
        <f t="shared" si="91"/>
        <v>-0.6399993896484375</v>
      </c>
    </row>
    <row r="1471" spans="1:8" x14ac:dyDescent="0.2">
      <c r="A1471" t="s">
        <v>12</v>
      </c>
      <c r="B1471" s="2">
        <v>44985</v>
      </c>
      <c r="C1471">
        <v>22.656661987304691</v>
      </c>
      <c r="D1471">
        <f>_xlfn.XLOOKUP(B1471, Oil_Price!A:A, Oil_Price!B:B, "")</f>
        <v>77.050003051757812</v>
      </c>
      <c r="E1471">
        <f t="shared" si="88"/>
        <v>-1.9834109980964294E-3</v>
      </c>
      <c r="F1471">
        <f t="shared" si="89"/>
        <v>1.8102573216933988E-2</v>
      </c>
      <c r="G1471">
        <f t="shared" si="90"/>
        <v>-4.5026779174797582E-2</v>
      </c>
      <c r="H1471">
        <f t="shared" si="91"/>
        <v>1.3700027465820312</v>
      </c>
    </row>
    <row r="1472" spans="1:8" x14ac:dyDescent="0.2">
      <c r="A1472" t="s">
        <v>12</v>
      </c>
      <c r="B1472" s="2">
        <v>44986</v>
      </c>
      <c r="C1472">
        <v>22.77372932434082</v>
      </c>
      <c r="D1472">
        <f>_xlfn.XLOOKUP(B1472, Oil_Price!A:A, Oil_Price!B:B, "")</f>
        <v>77.69000244140625</v>
      </c>
      <c r="E1472">
        <f t="shared" si="88"/>
        <v>5.1670160900897993E-3</v>
      </c>
      <c r="F1472">
        <f t="shared" si="89"/>
        <v>8.3062863633960177E-3</v>
      </c>
      <c r="G1472">
        <f t="shared" si="90"/>
        <v>0.11706733703612926</v>
      </c>
      <c r="H1472">
        <f t="shared" si="91"/>
        <v>0.6399993896484375</v>
      </c>
    </row>
    <row r="1473" spans="1:8" x14ac:dyDescent="0.2">
      <c r="A1473" t="s">
        <v>12</v>
      </c>
      <c r="B1473" s="2">
        <v>44987</v>
      </c>
      <c r="C1473">
        <v>23.341043472290039</v>
      </c>
      <c r="D1473">
        <f>_xlfn.XLOOKUP(B1473, Oil_Price!A:A, Oil_Price!B:B, "")</f>
        <v>78.160003662109375</v>
      </c>
      <c r="E1473">
        <f t="shared" si="88"/>
        <v>2.4910902376575932E-2</v>
      </c>
      <c r="F1473">
        <f t="shared" si="89"/>
        <v>6.0497001664737956E-3</v>
      </c>
      <c r="G1473">
        <f t="shared" si="90"/>
        <v>0.56731414794921875</v>
      </c>
      <c r="H1473">
        <f t="shared" si="91"/>
        <v>0.470001220703125</v>
      </c>
    </row>
    <row r="1474" spans="1:8" x14ac:dyDescent="0.2">
      <c r="A1474" t="s">
        <v>12</v>
      </c>
      <c r="B1474" s="2">
        <v>44988</v>
      </c>
      <c r="C1474">
        <v>23.6832389831543</v>
      </c>
      <c r="D1474">
        <f>_xlfn.XLOOKUP(B1474, Oil_Price!A:A, Oil_Price!B:B, "")</f>
        <v>79.680000305175781</v>
      </c>
      <c r="E1474">
        <f t="shared" si="88"/>
        <v>1.4660677500151532E-2</v>
      </c>
      <c r="F1474">
        <f t="shared" si="89"/>
        <v>1.944724375445845E-2</v>
      </c>
      <c r="G1474">
        <f t="shared" si="90"/>
        <v>0.34219551086426137</v>
      </c>
      <c r="H1474">
        <f t="shared" si="91"/>
        <v>1.5199966430664062</v>
      </c>
    </row>
    <row r="1475" spans="1:8" x14ac:dyDescent="0.2">
      <c r="A1475" t="s">
        <v>12</v>
      </c>
      <c r="B1475" s="2">
        <v>44991</v>
      </c>
      <c r="C1475">
        <v>23.5301513671875</v>
      </c>
      <c r="D1475">
        <f>_xlfn.XLOOKUP(B1475, Oil_Price!A:A, Oil_Price!B:B, "")</f>
        <v>80.459999084472656</v>
      </c>
      <c r="E1475">
        <f t="shared" ref="E1475:E1538" si="92">IFERROR(IF(AND(A1475=A1474, C1475&lt;&gt;"", C1474&lt;&gt;""), (C1475-C1474)/C1474, ""), "")</f>
        <v>-6.4639644972417174E-3</v>
      </c>
      <c r="F1475">
        <f t="shared" ref="F1475:F1538" si="93">IFERROR(IF(AND(A1475=A1474, D1475&lt;&gt;"", D1474&lt;&gt;""), (D1475-D1474)/D1474, ""), "")</f>
        <v>9.7891412689441043E-3</v>
      </c>
      <c r="G1475">
        <f t="shared" ref="G1475:G1538" si="94">IFERROR(IF(AND(A1475=A1474, C1475&lt;&gt;"", C1474&lt;&gt;""), C1475-C1474, ""), "")</f>
        <v>-0.15308761596680043</v>
      </c>
      <c r="H1475">
        <f t="shared" ref="H1475:H1538" si="95">IFERROR(IF(AND(A1475=A1474, D1475&lt;&gt;"", D1474&lt;&gt;""), D1475-D1474, ""), "")</f>
        <v>0.779998779296875</v>
      </c>
    </row>
    <row r="1476" spans="1:8" x14ac:dyDescent="0.2">
      <c r="A1476" t="s">
        <v>12</v>
      </c>
      <c r="B1476" s="2">
        <v>44992</v>
      </c>
      <c r="C1476">
        <v>22.953826904296879</v>
      </c>
      <c r="D1476">
        <f>_xlfn.XLOOKUP(B1476, Oil_Price!A:A, Oil_Price!B:B, "")</f>
        <v>77.580001831054688</v>
      </c>
      <c r="E1476">
        <f t="shared" si="92"/>
        <v>-2.4493019781177381E-2</v>
      </c>
      <c r="F1476">
        <f t="shared" si="93"/>
        <v>-3.5794149716486347E-2</v>
      </c>
      <c r="G1476">
        <f t="shared" si="94"/>
        <v>-0.57632446289062145</v>
      </c>
      <c r="H1476">
        <f t="shared" si="95"/>
        <v>-2.8799972534179688</v>
      </c>
    </row>
    <row r="1477" spans="1:8" x14ac:dyDescent="0.2">
      <c r="A1477" t="s">
        <v>12</v>
      </c>
      <c r="B1477" s="2">
        <v>44993</v>
      </c>
      <c r="C1477">
        <v>22.935817718505859</v>
      </c>
      <c r="D1477">
        <f>_xlfn.XLOOKUP(B1477, Oil_Price!A:A, Oil_Price!B:B, "")</f>
        <v>76.660003662109375</v>
      </c>
      <c r="E1477">
        <f t="shared" si="92"/>
        <v>-7.8458314886255059E-4</v>
      </c>
      <c r="F1477">
        <f t="shared" si="93"/>
        <v>-1.18587025938564E-2</v>
      </c>
      <c r="G1477">
        <f t="shared" si="94"/>
        <v>-1.8009185791019178E-2</v>
      </c>
      <c r="H1477">
        <f t="shared" si="95"/>
        <v>-0.9199981689453125</v>
      </c>
    </row>
    <row r="1478" spans="1:8" x14ac:dyDescent="0.2">
      <c r="A1478" t="s">
        <v>12</v>
      </c>
      <c r="B1478" s="2">
        <v>44994</v>
      </c>
      <c r="C1478">
        <v>23.133932113647461</v>
      </c>
      <c r="D1478">
        <f>_xlfn.XLOOKUP(B1478, Oil_Price!A:A, Oil_Price!B:B, "")</f>
        <v>75.720001220703125</v>
      </c>
      <c r="E1478">
        <f t="shared" si="92"/>
        <v>8.63777335402139E-3</v>
      </c>
      <c r="F1478">
        <f t="shared" si="93"/>
        <v>-1.2261967081940849E-2</v>
      </c>
      <c r="G1478">
        <f t="shared" si="94"/>
        <v>0.19811439514160156</v>
      </c>
      <c r="H1478">
        <f t="shared" si="95"/>
        <v>-0.94000244140625</v>
      </c>
    </row>
    <row r="1479" spans="1:8" x14ac:dyDescent="0.2">
      <c r="A1479" t="s">
        <v>12</v>
      </c>
      <c r="B1479" s="2">
        <v>44995</v>
      </c>
      <c r="C1479">
        <v>22.854770660400391</v>
      </c>
      <c r="D1479">
        <f>_xlfn.XLOOKUP(B1479, Oil_Price!A:A, Oil_Price!B:B, "")</f>
        <v>76.680000305175781</v>
      </c>
      <c r="E1479">
        <f t="shared" si="92"/>
        <v>-1.2067185633452424E-2</v>
      </c>
      <c r="F1479">
        <f t="shared" si="93"/>
        <v>1.2678276135713748E-2</v>
      </c>
      <c r="G1479">
        <f t="shared" si="94"/>
        <v>-0.27916145324707031</v>
      </c>
      <c r="H1479">
        <f t="shared" si="95"/>
        <v>0.95999908447265625</v>
      </c>
    </row>
    <row r="1480" spans="1:8" x14ac:dyDescent="0.2">
      <c r="A1480" t="s">
        <v>12</v>
      </c>
      <c r="B1480" s="2">
        <v>44998</v>
      </c>
      <c r="C1480">
        <v>21.350934982299801</v>
      </c>
      <c r="D1480">
        <f>_xlfn.XLOOKUP(B1480, Oil_Price!A:A, Oil_Price!B:B, "")</f>
        <v>74.800003051757812</v>
      </c>
      <c r="E1480">
        <f t="shared" si="92"/>
        <v>-6.5799639840894555E-2</v>
      </c>
      <c r="F1480">
        <f t="shared" si="93"/>
        <v>-2.4517439305370894E-2</v>
      </c>
      <c r="G1480">
        <f t="shared" si="94"/>
        <v>-1.5038356781005895</v>
      </c>
      <c r="H1480">
        <f t="shared" si="95"/>
        <v>-1.8799972534179688</v>
      </c>
    </row>
    <row r="1481" spans="1:8" x14ac:dyDescent="0.2">
      <c r="A1481" t="s">
        <v>12</v>
      </c>
      <c r="B1481" s="2">
        <v>44999</v>
      </c>
      <c r="C1481">
        <v>21.02983283996582</v>
      </c>
      <c r="D1481">
        <f>_xlfn.XLOOKUP(B1481, Oil_Price!A:A, Oil_Price!B:B, "")</f>
        <v>71.330001831054688</v>
      </c>
      <c r="E1481">
        <f t="shared" si="92"/>
        <v>-1.5039254374582594E-2</v>
      </c>
      <c r="F1481">
        <f t="shared" si="93"/>
        <v>-4.639038875843441E-2</v>
      </c>
      <c r="G1481">
        <f t="shared" si="94"/>
        <v>-0.32110214233398082</v>
      </c>
      <c r="H1481">
        <f t="shared" si="95"/>
        <v>-3.470001220703125</v>
      </c>
    </row>
    <row r="1482" spans="1:8" x14ac:dyDescent="0.2">
      <c r="A1482" t="s">
        <v>12</v>
      </c>
      <c r="B1482" s="2">
        <v>45000</v>
      </c>
      <c r="C1482">
        <v>19.654977798461911</v>
      </c>
      <c r="D1482">
        <f>_xlfn.XLOOKUP(B1482, Oil_Price!A:A, Oil_Price!B:B, "")</f>
        <v>67.610000610351562</v>
      </c>
      <c r="E1482">
        <f t="shared" si="92"/>
        <v>-6.5376413211002224E-2</v>
      </c>
      <c r="F1482">
        <f t="shared" si="93"/>
        <v>-5.2151985492920057E-2</v>
      </c>
      <c r="G1482">
        <f t="shared" si="94"/>
        <v>-1.3748550415039098</v>
      </c>
      <c r="H1482">
        <f t="shared" si="95"/>
        <v>-3.720001220703125</v>
      </c>
    </row>
    <row r="1483" spans="1:8" x14ac:dyDescent="0.2">
      <c r="A1483" t="s">
        <v>12</v>
      </c>
      <c r="B1483" s="2">
        <v>45001</v>
      </c>
      <c r="C1483">
        <v>19.727338790893551</v>
      </c>
      <c r="D1483">
        <f>_xlfn.XLOOKUP(B1483, Oil_Price!A:A, Oil_Price!B:B, "")</f>
        <v>68.349998474121094</v>
      </c>
      <c r="E1483">
        <f t="shared" si="92"/>
        <v>3.6815606292520562E-3</v>
      </c>
      <c r="F1483">
        <f t="shared" si="93"/>
        <v>1.0945094765407122E-2</v>
      </c>
      <c r="G1483">
        <f t="shared" si="94"/>
        <v>7.2360992431640625E-2</v>
      </c>
      <c r="H1483">
        <f t="shared" si="95"/>
        <v>0.73999786376953125</v>
      </c>
    </row>
    <row r="1484" spans="1:8" x14ac:dyDescent="0.2">
      <c r="A1484" t="s">
        <v>12</v>
      </c>
      <c r="B1484" s="2">
        <v>45002</v>
      </c>
      <c r="C1484">
        <v>19.302217483520511</v>
      </c>
      <c r="D1484">
        <f>_xlfn.XLOOKUP(B1484, Oil_Price!A:A, Oil_Price!B:B, "")</f>
        <v>66.739997863769531</v>
      </c>
      <c r="E1484">
        <f t="shared" si="92"/>
        <v>-2.1549855856345026E-2</v>
      </c>
      <c r="F1484">
        <f t="shared" si="93"/>
        <v>-2.3555239887256857E-2</v>
      </c>
      <c r="G1484">
        <f t="shared" si="94"/>
        <v>-0.42512130737303977</v>
      </c>
      <c r="H1484">
        <f t="shared" si="95"/>
        <v>-1.6100006103515625</v>
      </c>
    </row>
    <row r="1485" spans="1:8" x14ac:dyDescent="0.2">
      <c r="A1485" t="s">
        <v>12</v>
      </c>
      <c r="B1485" s="2">
        <v>45005</v>
      </c>
      <c r="C1485">
        <v>20.043918609619141</v>
      </c>
      <c r="D1485">
        <f>_xlfn.XLOOKUP(B1485, Oil_Price!A:A, Oil_Price!B:B, "")</f>
        <v>67.639999389648438</v>
      </c>
      <c r="E1485">
        <f t="shared" si="92"/>
        <v>3.8425695220347875E-2</v>
      </c>
      <c r="F1485">
        <f t="shared" si="93"/>
        <v>1.3485189611722792E-2</v>
      </c>
      <c r="G1485">
        <f t="shared" si="94"/>
        <v>0.74170112609862926</v>
      </c>
      <c r="H1485">
        <f t="shared" si="95"/>
        <v>0.90000152587890625</v>
      </c>
    </row>
    <row r="1486" spans="1:8" x14ac:dyDescent="0.2">
      <c r="A1486" t="s">
        <v>12</v>
      </c>
      <c r="B1486" s="2">
        <v>45006</v>
      </c>
      <c r="C1486">
        <v>20.930337905883789</v>
      </c>
      <c r="D1486">
        <f>_xlfn.XLOOKUP(B1486, Oil_Price!A:A, Oil_Price!B:B, "")</f>
        <v>69.330001831054688</v>
      </c>
      <c r="E1486">
        <f t="shared" si="92"/>
        <v>4.4223852307964023E-2</v>
      </c>
      <c r="F1486">
        <f t="shared" si="93"/>
        <v>2.4985252168185063E-2</v>
      </c>
      <c r="G1486">
        <f t="shared" si="94"/>
        <v>0.88641929626464844</v>
      </c>
      <c r="H1486">
        <f t="shared" si="95"/>
        <v>1.69000244140625</v>
      </c>
    </row>
    <row r="1487" spans="1:8" x14ac:dyDescent="0.2">
      <c r="A1487" t="s">
        <v>12</v>
      </c>
      <c r="B1487" s="2">
        <v>45007</v>
      </c>
      <c r="C1487">
        <v>20.568532943725589</v>
      </c>
      <c r="D1487">
        <f>_xlfn.XLOOKUP(B1487, Oil_Price!A:A, Oil_Price!B:B, "")</f>
        <v>70.900001525878906</v>
      </c>
      <c r="E1487">
        <f t="shared" si="92"/>
        <v>-1.7286150074839045E-2</v>
      </c>
      <c r="F1487">
        <f t="shared" si="93"/>
        <v>2.2645314486649495E-2</v>
      </c>
      <c r="G1487">
        <f t="shared" si="94"/>
        <v>-0.36180496215819957</v>
      </c>
      <c r="H1487">
        <f t="shared" si="95"/>
        <v>1.5699996948242188</v>
      </c>
    </row>
    <row r="1488" spans="1:8" x14ac:dyDescent="0.2">
      <c r="A1488" t="s">
        <v>12</v>
      </c>
      <c r="B1488" s="2">
        <v>45008</v>
      </c>
      <c r="C1488">
        <v>19.519302368164059</v>
      </c>
      <c r="D1488">
        <f>_xlfn.XLOOKUP(B1488, Oil_Price!A:A, Oil_Price!B:B, "")</f>
        <v>69.959999084472656</v>
      </c>
      <c r="E1488">
        <f t="shared" si="92"/>
        <v>-5.1011444444393261E-2</v>
      </c>
      <c r="F1488">
        <f t="shared" si="93"/>
        <v>-1.3258144163271191E-2</v>
      </c>
      <c r="G1488">
        <f t="shared" si="94"/>
        <v>-1.0492305755615305</v>
      </c>
      <c r="H1488">
        <f t="shared" si="95"/>
        <v>-0.94000244140625</v>
      </c>
    </row>
    <row r="1489" spans="1:8" x14ac:dyDescent="0.2">
      <c r="A1489" t="s">
        <v>12</v>
      </c>
      <c r="B1489" s="2">
        <v>45009</v>
      </c>
      <c r="C1489">
        <v>19.284128189086911</v>
      </c>
      <c r="D1489">
        <f>_xlfn.XLOOKUP(B1489, Oil_Price!A:A, Oil_Price!B:B, "")</f>
        <v>69.260002136230469</v>
      </c>
      <c r="E1489">
        <f t="shared" si="92"/>
        <v>-1.2048288132506059E-2</v>
      </c>
      <c r="F1489">
        <f t="shared" si="93"/>
        <v>-1.0005674062359287E-2</v>
      </c>
      <c r="G1489">
        <f t="shared" si="94"/>
        <v>-0.23517417907714844</v>
      </c>
      <c r="H1489">
        <f t="shared" si="95"/>
        <v>-0.6999969482421875</v>
      </c>
    </row>
    <row r="1490" spans="1:8" x14ac:dyDescent="0.2">
      <c r="A1490" t="s">
        <v>12</v>
      </c>
      <c r="B1490" s="2">
        <v>45012</v>
      </c>
      <c r="C1490">
        <v>20.08010101318359</v>
      </c>
      <c r="D1490">
        <f>_xlfn.XLOOKUP(B1490, Oil_Price!A:A, Oil_Price!B:B, "")</f>
        <v>72.80999755859375</v>
      </c>
      <c r="E1490">
        <f t="shared" si="92"/>
        <v>4.1276059580807448E-2</v>
      </c>
      <c r="F1490">
        <f t="shared" si="93"/>
        <v>5.1256068623570683E-2</v>
      </c>
      <c r="G1490">
        <f t="shared" si="94"/>
        <v>0.79597282409667969</v>
      </c>
      <c r="H1490">
        <f t="shared" si="95"/>
        <v>3.5499954223632812</v>
      </c>
    </row>
    <row r="1491" spans="1:8" x14ac:dyDescent="0.2">
      <c r="A1491" t="s">
        <v>12</v>
      </c>
      <c r="B1491" s="2">
        <v>45013</v>
      </c>
      <c r="C1491">
        <v>20.595670700073239</v>
      </c>
      <c r="D1491">
        <f>_xlfn.XLOOKUP(B1491, Oil_Price!A:A, Oil_Price!B:B, "")</f>
        <v>73.199996948242188</v>
      </c>
      <c r="E1491">
        <f t="shared" si="92"/>
        <v>2.5675652057285527E-2</v>
      </c>
      <c r="F1491">
        <f t="shared" si="93"/>
        <v>5.3563988837465075E-3</v>
      </c>
      <c r="G1491">
        <f t="shared" si="94"/>
        <v>0.51556968688964844</v>
      </c>
      <c r="H1491">
        <f t="shared" si="95"/>
        <v>0.3899993896484375</v>
      </c>
    </row>
    <row r="1492" spans="1:8" x14ac:dyDescent="0.2">
      <c r="A1492" t="s">
        <v>12</v>
      </c>
      <c r="B1492" s="2">
        <v>45014</v>
      </c>
      <c r="C1492">
        <v>21.0026969909668</v>
      </c>
      <c r="D1492">
        <f>_xlfn.XLOOKUP(B1492, Oil_Price!A:A, Oil_Price!B:B, "")</f>
        <v>72.970001220703125</v>
      </c>
      <c r="E1492">
        <f t="shared" si="92"/>
        <v>1.9762711145508576E-2</v>
      </c>
      <c r="F1492">
        <f t="shared" si="93"/>
        <v>-3.1420182667724222E-3</v>
      </c>
      <c r="G1492">
        <f t="shared" si="94"/>
        <v>0.40702629089356179</v>
      </c>
      <c r="H1492">
        <f t="shared" si="95"/>
        <v>-0.2299957275390625</v>
      </c>
    </row>
    <row r="1493" spans="1:8" x14ac:dyDescent="0.2">
      <c r="A1493" t="s">
        <v>12</v>
      </c>
      <c r="B1493" s="2">
        <v>45015</v>
      </c>
      <c r="C1493">
        <v>21.21073150634766</v>
      </c>
      <c r="D1493">
        <f>_xlfn.XLOOKUP(B1493, Oil_Price!A:A, Oil_Price!B:B, "")</f>
        <v>74.370002746582031</v>
      </c>
      <c r="E1493">
        <f t="shared" si="92"/>
        <v>9.9051333964554379E-3</v>
      </c>
      <c r="F1493">
        <f t="shared" si="93"/>
        <v>1.9185987425771021E-2</v>
      </c>
      <c r="G1493">
        <f t="shared" si="94"/>
        <v>0.20803451538085938</v>
      </c>
      <c r="H1493">
        <f t="shared" si="95"/>
        <v>1.4000015258789062</v>
      </c>
    </row>
    <row r="1494" spans="1:8" x14ac:dyDescent="0.2">
      <c r="A1494" t="s">
        <v>12</v>
      </c>
      <c r="B1494" s="2">
        <v>45016</v>
      </c>
      <c r="C1494">
        <v>21.32831954956055</v>
      </c>
      <c r="D1494">
        <f>_xlfn.XLOOKUP(B1494, Oil_Price!A:A, Oil_Price!B:B, "")</f>
        <v>75.669998168945312</v>
      </c>
      <c r="E1494">
        <f t="shared" si="92"/>
        <v>5.5437995232602176E-3</v>
      </c>
      <c r="F1494">
        <f t="shared" si="93"/>
        <v>1.7480104536140115E-2</v>
      </c>
      <c r="G1494">
        <f t="shared" si="94"/>
        <v>0.11758804321289062</v>
      </c>
      <c r="H1494">
        <f t="shared" si="95"/>
        <v>1.2999954223632812</v>
      </c>
    </row>
    <row r="1495" spans="1:8" x14ac:dyDescent="0.2">
      <c r="A1495" t="s">
        <v>12</v>
      </c>
      <c r="B1495" s="2">
        <v>45019</v>
      </c>
      <c r="C1495">
        <v>23.064981460571289</v>
      </c>
      <c r="D1495">
        <f>_xlfn.XLOOKUP(B1495, Oil_Price!A:A, Oil_Price!B:B, "")</f>
        <v>80.419998168945312</v>
      </c>
      <c r="E1495">
        <f t="shared" si="92"/>
        <v>8.1425163711339885E-2</v>
      </c>
      <c r="F1495">
        <f t="shared" si="93"/>
        <v>6.2772566604202495E-2</v>
      </c>
      <c r="G1495">
        <f t="shared" si="94"/>
        <v>1.7366619110107386</v>
      </c>
      <c r="H1495">
        <f t="shared" si="95"/>
        <v>4.75</v>
      </c>
    </row>
    <row r="1496" spans="1:8" x14ac:dyDescent="0.2">
      <c r="A1496" t="s">
        <v>12</v>
      </c>
      <c r="B1496" s="2">
        <v>45020</v>
      </c>
      <c r="C1496">
        <v>22.6579475402832</v>
      </c>
      <c r="D1496">
        <f>_xlfn.XLOOKUP(B1496, Oil_Price!A:A, Oil_Price!B:B, "")</f>
        <v>80.709999084472656</v>
      </c>
      <c r="E1496">
        <f t="shared" si="92"/>
        <v>-1.7647268478576433E-2</v>
      </c>
      <c r="F1496">
        <f t="shared" si="93"/>
        <v>3.6060796086828241E-3</v>
      </c>
      <c r="G1496">
        <f t="shared" si="94"/>
        <v>-0.40703392028808949</v>
      </c>
      <c r="H1496">
        <f t="shared" si="95"/>
        <v>0.29000091552734375</v>
      </c>
    </row>
    <row r="1497" spans="1:8" x14ac:dyDescent="0.2">
      <c r="A1497" t="s">
        <v>12</v>
      </c>
      <c r="B1497" s="2">
        <v>45021</v>
      </c>
      <c r="C1497">
        <v>22.35946083068848</v>
      </c>
      <c r="D1497">
        <f>_xlfn.XLOOKUP(B1497, Oil_Price!A:A, Oil_Price!B:B, "")</f>
        <v>80.610000610351562</v>
      </c>
      <c r="E1497">
        <f t="shared" si="92"/>
        <v>-1.3173598758848071E-2</v>
      </c>
      <c r="F1497">
        <f t="shared" si="93"/>
        <v>-1.2389849492679761E-3</v>
      </c>
      <c r="G1497">
        <f t="shared" si="94"/>
        <v>-0.29848670959471946</v>
      </c>
      <c r="H1497">
        <f t="shared" si="95"/>
        <v>-9.999847412109375E-2</v>
      </c>
    </row>
    <row r="1498" spans="1:8" x14ac:dyDescent="0.2">
      <c r="A1498" t="s">
        <v>12</v>
      </c>
      <c r="B1498" s="2">
        <v>45022</v>
      </c>
      <c r="C1498">
        <v>21.690126419067379</v>
      </c>
      <c r="D1498">
        <f>_xlfn.XLOOKUP(B1498, Oil_Price!A:A, Oil_Price!B:B, "")</f>
        <v>80.699996948242188</v>
      </c>
      <c r="E1498">
        <f t="shared" si="92"/>
        <v>-2.9935176732993302E-2</v>
      </c>
      <c r="F1498">
        <f t="shared" si="93"/>
        <v>1.1164413498226432E-3</v>
      </c>
      <c r="G1498">
        <f t="shared" si="94"/>
        <v>-0.66933441162110086</v>
      </c>
      <c r="H1498">
        <f t="shared" si="95"/>
        <v>8.9996337890625E-2</v>
      </c>
    </row>
    <row r="1499" spans="1:8" x14ac:dyDescent="0.2">
      <c r="A1499" t="s">
        <v>12</v>
      </c>
      <c r="B1499" s="2">
        <v>45026</v>
      </c>
      <c r="C1499">
        <v>21.69917106628418</v>
      </c>
      <c r="D1499">
        <f>_xlfn.XLOOKUP(B1499, Oil_Price!A:A, Oil_Price!B:B, "")</f>
        <v>79.739997863769531</v>
      </c>
      <c r="E1499">
        <f t="shared" si="92"/>
        <v>4.1699375292019738E-4</v>
      </c>
      <c r="F1499">
        <f t="shared" si="93"/>
        <v>-1.1895899885700887E-2</v>
      </c>
      <c r="G1499">
        <f t="shared" si="94"/>
        <v>9.0446472168004277E-3</v>
      </c>
      <c r="H1499">
        <f t="shared" si="95"/>
        <v>-0.95999908447265625</v>
      </c>
    </row>
    <row r="1500" spans="1:8" x14ac:dyDescent="0.2">
      <c r="A1500" t="s">
        <v>12</v>
      </c>
      <c r="B1500" s="2">
        <v>45027</v>
      </c>
      <c r="C1500">
        <v>21.943387985229489</v>
      </c>
      <c r="D1500">
        <f>_xlfn.XLOOKUP(B1500, Oil_Price!A:A, Oil_Price!B:B, "")</f>
        <v>81.529998779296875</v>
      </c>
      <c r="E1500">
        <f t="shared" si="92"/>
        <v>1.1254665821072273E-2</v>
      </c>
      <c r="F1500">
        <f t="shared" si="93"/>
        <v>2.2447967939319999E-2</v>
      </c>
      <c r="G1500">
        <f t="shared" si="94"/>
        <v>0.24421691894530895</v>
      </c>
      <c r="H1500">
        <f t="shared" si="95"/>
        <v>1.7900009155273438</v>
      </c>
    </row>
    <row r="1501" spans="1:8" x14ac:dyDescent="0.2">
      <c r="A1501" t="s">
        <v>12</v>
      </c>
      <c r="B1501" s="2">
        <v>45028</v>
      </c>
      <c r="C1501">
        <v>21.943387985229489</v>
      </c>
      <c r="D1501">
        <f>_xlfn.XLOOKUP(B1501, Oil_Price!A:A, Oil_Price!B:B, "")</f>
        <v>83.260002136230469</v>
      </c>
      <c r="E1501">
        <f t="shared" si="92"/>
        <v>0</v>
      </c>
      <c r="F1501">
        <f t="shared" si="93"/>
        <v>2.1219224614693579E-2</v>
      </c>
      <c r="G1501">
        <f t="shared" si="94"/>
        <v>0</v>
      </c>
      <c r="H1501">
        <f t="shared" si="95"/>
        <v>1.7300033569335938</v>
      </c>
    </row>
    <row r="1502" spans="1:8" x14ac:dyDescent="0.2">
      <c r="A1502" t="s">
        <v>12</v>
      </c>
      <c r="B1502" s="2">
        <v>45029</v>
      </c>
      <c r="C1502">
        <v>21.545404434204102</v>
      </c>
      <c r="D1502">
        <f>_xlfn.XLOOKUP(B1502, Oil_Price!A:A, Oil_Price!B:B, "")</f>
        <v>82.160003662109375</v>
      </c>
      <c r="E1502">
        <f t="shared" si="92"/>
        <v>-1.8136832438695308E-2</v>
      </c>
      <c r="F1502">
        <f t="shared" si="93"/>
        <v>-1.3211607565434243E-2</v>
      </c>
      <c r="G1502">
        <f t="shared" si="94"/>
        <v>-0.39798355102538707</v>
      </c>
      <c r="H1502">
        <f t="shared" si="95"/>
        <v>-1.0999984741210938</v>
      </c>
    </row>
    <row r="1503" spans="1:8" x14ac:dyDescent="0.2">
      <c r="A1503" t="s">
        <v>12</v>
      </c>
      <c r="B1503" s="2">
        <v>45030</v>
      </c>
      <c r="C1503">
        <v>21.192642211914059</v>
      </c>
      <c r="D1503">
        <f>_xlfn.XLOOKUP(B1503, Oil_Price!A:A, Oil_Price!B:B, "")</f>
        <v>82.519996643066406</v>
      </c>
      <c r="E1503">
        <f t="shared" si="92"/>
        <v>-1.6372968229364956E-2</v>
      </c>
      <c r="F1503">
        <f t="shared" si="93"/>
        <v>4.3816086284213874E-3</v>
      </c>
      <c r="G1503">
        <f t="shared" si="94"/>
        <v>-0.35276222229004262</v>
      </c>
      <c r="H1503">
        <f t="shared" si="95"/>
        <v>0.35999298095703125</v>
      </c>
    </row>
    <row r="1504" spans="1:8" x14ac:dyDescent="0.2">
      <c r="A1504" t="s">
        <v>12</v>
      </c>
      <c r="B1504" s="2">
        <v>45033</v>
      </c>
      <c r="C1504">
        <v>21.436861038208011</v>
      </c>
      <c r="D1504">
        <f>_xlfn.XLOOKUP(B1504, Oil_Price!A:A, Oil_Price!B:B, "")</f>
        <v>80.830001831054688</v>
      </c>
      <c r="E1504">
        <f t="shared" si="92"/>
        <v>1.1523755454931322E-2</v>
      </c>
      <c r="F1504">
        <f t="shared" si="93"/>
        <v>-2.0479821628224915E-2</v>
      </c>
      <c r="G1504">
        <f t="shared" si="94"/>
        <v>0.24421882629395242</v>
      </c>
      <c r="H1504">
        <f t="shared" si="95"/>
        <v>-1.6899948120117188</v>
      </c>
    </row>
    <row r="1505" spans="1:8" x14ac:dyDescent="0.2">
      <c r="A1505" t="s">
        <v>12</v>
      </c>
      <c r="B1505" s="2">
        <v>45034</v>
      </c>
      <c r="C1505">
        <v>21.726310729980469</v>
      </c>
      <c r="D1505">
        <f>_xlfn.XLOOKUP(B1505, Oil_Price!A:A, Oil_Price!B:B, "")</f>
        <v>80.860000610351562</v>
      </c>
      <c r="E1505">
        <f t="shared" si="92"/>
        <v>1.3502428889031675E-2</v>
      </c>
      <c r="F1505">
        <f t="shared" si="93"/>
        <v>3.711342152333039E-4</v>
      </c>
      <c r="G1505">
        <f t="shared" si="94"/>
        <v>0.28944969177245738</v>
      </c>
      <c r="H1505">
        <f t="shared" si="95"/>
        <v>2.9998779296875E-2</v>
      </c>
    </row>
    <row r="1506" spans="1:8" x14ac:dyDescent="0.2">
      <c r="A1506" t="s">
        <v>12</v>
      </c>
      <c r="B1506" s="2">
        <v>45035</v>
      </c>
      <c r="C1506">
        <v>21.626810073852539</v>
      </c>
      <c r="D1506">
        <f>_xlfn.XLOOKUP(B1506, Oil_Price!A:A, Oil_Price!B:B, "")</f>
        <v>79.160003662109375</v>
      </c>
      <c r="E1506">
        <f t="shared" si="92"/>
        <v>-4.5797308785898569E-3</v>
      </c>
      <c r="F1506">
        <f t="shared" si="93"/>
        <v>-2.102395418513708E-2</v>
      </c>
      <c r="G1506">
        <f t="shared" si="94"/>
        <v>-9.9500656127929688E-2</v>
      </c>
      <c r="H1506">
        <f t="shared" si="95"/>
        <v>-1.6999969482421875</v>
      </c>
    </row>
    <row r="1507" spans="1:8" x14ac:dyDescent="0.2">
      <c r="A1507" t="s">
        <v>12</v>
      </c>
      <c r="B1507" s="2">
        <v>45036</v>
      </c>
      <c r="C1507">
        <v>21.61776161193848</v>
      </c>
      <c r="D1507">
        <f>_xlfn.XLOOKUP(B1507, Oil_Price!A:A, Oil_Price!B:B, "")</f>
        <v>77.290000915527344</v>
      </c>
      <c r="E1507">
        <f t="shared" si="92"/>
        <v>-4.183909639544488E-4</v>
      </c>
      <c r="F1507">
        <f t="shared" si="93"/>
        <v>-2.3623075544109966E-2</v>
      </c>
      <c r="G1507">
        <f t="shared" si="94"/>
        <v>-9.0484619140589473E-3</v>
      </c>
      <c r="H1507">
        <f t="shared" si="95"/>
        <v>-1.8700027465820312</v>
      </c>
    </row>
    <row r="1508" spans="1:8" x14ac:dyDescent="0.2">
      <c r="A1508" t="s">
        <v>12</v>
      </c>
      <c r="B1508" s="2">
        <v>45037</v>
      </c>
      <c r="C1508">
        <v>21.427816390991211</v>
      </c>
      <c r="D1508">
        <f>_xlfn.XLOOKUP(B1508, Oil_Price!A:A, Oil_Price!B:B, "")</f>
        <v>77.870002746582031</v>
      </c>
      <c r="E1508">
        <f t="shared" si="92"/>
        <v>-8.7865350889229574E-3</v>
      </c>
      <c r="F1508">
        <f t="shared" si="93"/>
        <v>7.5042285442406664E-3</v>
      </c>
      <c r="G1508">
        <f t="shared" si="94"/>
        <v>-0.18994522094726918</v>
      </c>
      <c r="H1508">
        <f t="shared" si="95"/>
        <v>0.5800018310546875</v>
      </c>
    </row>
    <row r="1509" spans="1:8" x14ac:dyDescent="0.2">
      <c r="A1509" t="s">
        <v>12</v>
      </c>
      <c r="B1509" s="2">
        <v>45040</v>
      </c>
      <c r="C1509">
        <v>21.871026992797852</v>
      </c>
      <c r="D1509">
        <f>_xlfn.XLOOKUP(B1509, Oil_Price!A:A, Oil_Price!B:B, "")</f>
        <v>78.760002136230469</v>
      </c>
      <c r="E1509">
        <f t="shared" si="92"/>
        <v>2.068389021631609E-2</v>
      </c>
      <c r="F1509">
        <f t="shared" si="93"/>
        <v>1.1429297011133115E-2</v>
      </c>
      <c r="G1509">
        <f t="shared" si="94"/>
        <v>0.44321060180664062</v>
      </c>
      <c r="H1509">
        <f t="shared" si="95"/>
        <v>0.8899993896484375</v>
      </c>
    </row>
    <row r="1510" spans="1:8" x14ac:dyDescent="0.2">
      <c r="A1510" t="s">
        <v>12</v>
      </c>
      <c r="B1510" s="2">
        <v>45041</v>
      </c>
      <c r="C1510">
        <v>20.966520309448239</v>
      </c>
      <c r="D1510">
        <f>_xlfn.XLOOKUP(B1510, Oil_Price!A:A, Oil_Price!B:B, "")</f>
        <v>77.069999694824219</v>
      </c>
      <c r="E1510">
        <f t="shared" si="92"/>
        <v>-4.1356388232133216E-2</v>
      </c>
      <c r="F1510">
        <f t="shared" si="93"/>
        <v>-2.145762310268946E-2</v>
      </c>
      <c r="G1510">
        <f t="shared" si="94"/>
        <v>-0.90450668334961293</v>
      </c>
      <c r="H1510">
        <f t="shared" si="95"/>
        <v>-1.69000244140625</v>
      </c>
    </row>
    <row r="1511" spans="1:8" x14ac:dyDescent="0.2">
      <c r="A1511" t="s">
        <v>12</v>
      </c>
      <c r="B1511" s="2">
        <v>45042</v>
      </c>
      <c r="C1511">
        <v>20.188638687133789</v>
      </c>
      <c r="D1511">
        <f>_xlfn.XLOOKUP(B1511, Oil_Price!A:A, Oil_Price!B:B, "")</f>
        <v>74.300003051757812</v>
      </c>
      <c r="E1511">
        <f t="shared" si="92"/>
        <v>-3.7101131271835758E-2</v>
      </c>
      <c r="F1511">
        <f t="shared" si="93"/>
        <v>-3.594130860302093E-2</v>
      </c>
      <c r="G1511">
        <f t="shared" si="94"/>
        <v>-0.77788162231444957</v>
      </c>
      <c r="H1511">
        <f t="shared" si="95"/>
        <v>-2.7699966430664062</v>
      </c>
    </row>
    <row r="1512" spans="1:8" x14ac:dyDescent="0.2">
      <c r="A1512" t="s">
        <v>12</v>
      </c>
      <c r="B1512" s="2">
        <v>45043</v>
      </c>
      <c r="C1512">
        <v>19.799701690673832</v>
      </c>
      <c r="D1512">
        <f>_xlfn.XLOOKUP(B1512, Oil_Price!A:A, Oil_Price!B:B, "")</f>
        <v>74.760002136230469</v>
      </c>
      <c r="E1512">
        <f t="shared" si="92"/>
        <v>-1.9265142265774797E-2</v>
      </c>
      <c r="F1512">
        <f t="shared" si="93"/>
        <v>6.1911045165397669E-3</v>
      </c>
      <c r="G1512">
        <f t="shared" si="94"/>
        <v>-0.38893699645995738</v>
      </c>
      <c r="H1512">
        <f t="shared" si="95"/>
        <v>0.45999908447265625</v>
      </c>
    </row>
    <row r="1513" spans="1:8" x14ac:dyDescent="0.2">
      <c r="A1513" t="s">
        <v>12</v>
      </c>
      <c r="B1513" s="2">
        <v>45044</v>
      </c>
      <c r="C1513">
        <v>20.568532943725589</v>
      </c>
      <c r="D1513">
        <f>_xlfn.XLOOKUP(B1513, Oil_Price!A:A, Oil_Price!B:B, "")</f>
        <v>76.779998779296875</v>
      </c>
      <c r="E1513">
        <f t="shared" si="92"/>
        <v>3.8830446289698249E-2</v>
      </c>
      <c r="F1513">
        <f t="shared" si="93"/>
        <v>2.7019751007838294E-2</v>
      </c>
      <c r="G1513">
        <f t="shared" si="94"/>
        <v>0.76883125305175781</v>
      </c>
      <c r="H1513">
        <f t="shared" si="95"/>
        <v>2.0199966430664062</v>
      </c>
    </row>
    <row r="1514" spans="1:8" x14ac:dyDescent="0.2">
      <c r="A1514" t="s">
        <v>12</v>
      </c>
      <c r="B1514" s="2">
        <v>45047</v>
      </c>
      <c r="C1514">
        <v>20.161504745483398</v>
      </c>
      <c r="D1514">
        <f>_xlfn.XLOOKUP(B1514, Oil_Price!A:A, Oil_Price!B:B, "")</f>
        <v>75.660003662109375</v>
      </c>
      <c r="E1514">
        <f t="shared" si="92"/>
        <v>-1.9788878446304291E-2</v>
      </c>
      <c r="F1514">
        <f t="shared" si="93"/>
        <v>-1.4587068702708783E-2</v>
      </c>
      <c r="G1514">
        <f t="shared" si="94"/>
        <v>-0.40702819824219105</v>
      </c>
      <c r="H1514">
        <f t="shared" si="95"/>
        <v>-1.1199951171875</v>
      </c>
    </row>
    <row r="1515" spans="1:8" x14ac:dyDescent="0.2">
      <c r="A1515" t="s">
        <v>12</v>
      </c>
      <c r="B1515" s="2">
        <v>45048</v>
      </c>
      <c r="C1515">
        <v>19.058002471923832</v>
      </c>
      <c r="D1515">
        <f>_xlfn.XLOOKUP(B1515, Oil_Price!A:A, Oil_Price!B:B, "")</f>
        <v>71.660003662109375</v>
      </c>
      <c r="E1515">
        <f t="shared" si="92"/>
        <v>-5.4733130661131557E-2</v>
      </c>
      <c r="F1515">
        <f t="shared" si="93"/>
        <v>-5.2868091546276322E-2</v>
      </c>
      <c r="G1515">
        <f t="shared" si="94"/>
        <v>-1.1035022735595668</v>
      </c>
      <c r="H1515">
        <f t="shared" si="95"/>
        <v>-4</v>
      </c>
    </row>
    <row r="1516" spans="1:8" x14ac:dyDescent="0.2">
      <c r="A1516" t="s">
        <v>12</v>
      </c>
      <c r="B1516" s="2">
        <v>45049</v>
      </c>
      <c r="C1516">
        <v>18.669061660766602</v>
      </c>
      <c r="D1516">
        <f>_xlfn.XLOOKUP(B1516, Oil_Price!A:A, Oil_Price!B:B, "")</f>
        <v>68.599998474121094</v>
      </c>
      <c r="E1516">
        <f t="shared" si="92"/>
        <v>-2.0408267431501075E-2</v>
      </c>
      <c r="F1516">
        <f t="shared" si="93"/>
        <v>-4.2701716879848223E-2</v>
      </c>
      <c r="G1516">
        <f t="shared" si="94"/>
        <v>-0.38894081115723012</v>
      </c>
      <c r="H1516">
        <f t="shared" si="95"/>
        <v>-3.0600051879882812</v>
      </c>
    </row>
    <row r="1517" spans="1:8" x14ac:dyDescent="0.2">
      <c r="A1517" t="s">
        <v>12</v>
      </c>
      <c r="B1517" s="2">
        <v>45050</v>
      </c>
      <c r="C1517">
        <v>18.687154769897461</v>
      </c>
      <c r="D1517">
        <f>_xlfn.XLOOKUP(B1517, Oil_Price!A:A, Oil_Price!B:B, "")</f>
        <v>68.55999755859375</v>
      </c>
      <c r="E1517">
        <f t="shared" si="92"/>
        <v>9.6914935842128569E-4</v>
      </c>
      <c r="F1517">
        <f t="shared" si="93"/>
        <v>-5.8310373785844672E-4</v>
      </c>
      <c r="G1517">
        <f t="shared" si="94"/>
        <v>1.8093109130859375E-2</v>
      </c>
      <c r="H1517">
        <f t="shared" si="95"/>
        <v>-4.000091552734375E-2</v>
      </c>
    </row>
    <row r="1518" spans="1:8" x14ac:dyDescent="0.2">
      <c r="A1518" t="s">
        <v>12</v>
      </c>
      <c r="B1518" s="2">
        <v>45051</v>
      </c>
      <c r="C1518">
        <v>19.29317474365234</v>
      </c>
      <c r="D1518">
        <f>_xlfn.XLOOKUP(B1518, Oil_Price!A:A, Oil_Price!B:B, "")</f>
        <v>71.339996337890625</v>
      </c>
      <c r="E1518">
        <f t="shared" si="92"/>
        <v>3.2429761577781623E-2</v>
      </c>
      <c r="F1518">
        <f t="shared" si="93"/>
        <v>4.0548408376487932E-2</v>
      </c>
      <c r="G1518">
        <f t="shared" si="94"/>
        <v>0.60601997375487926</v>
      </c>
      <c r="H1518">
        <f t="shared" si="95"/>
        <v>2.779998779296875</v>
      </c>
    </row>
    <row r="1519" spans="1:8" x14ac:dyDescent="0.2">
      <c r="A1519" t="s">
        <v>12</v>
      </c>
      <c r="B1519" s="2">
        <v>45054</v>
      </c>
      <c r="C1519">
        <v>19.645938873291019</v>
      </c>
      <c r="D1519">
        <f>_xlfn.XLOOKUP(B1519, Oil_Price!A:A, Oil_Price!B:B, "")</f>
        <v>73.160003662109375</v>
      </c>
      <c r="E1519">
        <f t="shared" si="92"/>
        <v>1.8284400277602947E-2</v>
      </c>
      <c r="F1519">
        <f t="shared" si="93"/>
        <v>2.5511738402656664E-2</v>
      </c>
      <c r="G1519">
        <f t="shared" si="94"/>
        <v>0.35276412963867898</v>
      </c>
      <c r="H1519">
        <f t="shared" si="95"/>
        <v>1.82000732421875</v>
      </c>
    </row>
    <row r="1520" spans="1:8" x14ac:dyDescent="0.2">
      <c r="A1520" t="s">
        <v>12</v>
      </c>
      <c r="B1520" s="2">
        <v>45055</v>
      </c>
      <c r="C1520">
        <v>19.89919471740723</v>
      </c>
      <c r="D1520">
        <f>_xlfn.XLOOKUP(B1520, Oil_Price!A:A, Oil_Price!B:B, "")</f>
        <v>73.709999084472656</v>
      </c>
      <c r="E1520">
        <f t="shared" si="92"/>
        <v>1.2891002346572323E-2</v>
      </c>
      <c r="F1520">
        <f t="shared" si="93"/>
        <v>7.517706326306977E-3</v>
      </c>
      <c r="G1520">
        <f t="shared" si="94"/>
        <v>0.25325584411621094</v>
      </c>
      <c r="H1520">
        <f t="shared" si="95"/>
        <v>0.54999542236328125</v>
      </c>
    </row>
    <row r="1521" spans="1:8" x14ac:dyDescent="0.2">
      <c r="A1521" t="s">
        <v>12</v>
      </c>
      <c r="B1521" s="2">
        <v>45056</v>
      </c>
      <c r="C1521">
        <v>19.645938873291019</v>
      </c>
      <c r="D1521">
        <f>_xlfn.XLOOKUP(B1521, Oil_Price!A:A, Oil_Price!B:B, "")</f>
        <v>72.55999755859375</v>
      </c>
      <c r="E1521">
        <f t="shared" si="92"/>
        <v>-1.2726939341654373E-2</v>
      </c>
      <c r="F1521">
        <f t="shared" si="93"/>
        <v>-1.5601703163243686E-2</v>
      </c>
      <c r="G1521">
        <f t="shared" si="94"/>
        <v>-0.25325584411621094</v>
      </c>
      <c r="H1521">
        <f t="shared" si="95"/>
        <v>-1.1500015258789062</v>
      </c>
    </row>
    <row r="1522" spans="1:8" x14ac:dyDescent="0.2">
      <c r="A1522" t="s">
        <v>12</v>
      </c>
      <c r="B1522" s="2">
        <v>45057</v>
      </c>
      <c r="C1522">
        <v>19.365537643432621</v>
      </c>
      <c r="D1522">
        <f>_xlfn.XLOOKUP(B1522, Oil_Price!A:A, Oil_Price!B:B, "")</f>
        <v>70.870002746582031</v>
      </c>
      <c r="E1522">
        <f t="shared" si="92"/>
        <v>-1.4272732480075491E-2</v>
      </c>
      <c r="F1522">
        <f t="shared" si="93"/>
        <v>-2.3290998744136007E-2</v>
      </c>
      <c r="G1522">
        <f t="shared" si="94"/>
        <v>-0.28040122985839844</v>
      </c>
      <c r="H1522">
        <f t="shared" si="95"/>
        <v>-1.6899948120117188</v>
      </c>
    </row>
    <row r="1523" spans="1:8" x14ac:dyDescent="0.2">
      <c r="A1523" t="s">
        <v>12</v>
      </c>
      <c r="B1523" s="2">
        <v>45058</v>
      </c>
      <c r="C1523">
        <v>19.446939468383789</v>
      </c>
      <c r="D1523">
        <f>_xlfn.XLOOKUP(B1523, Oil_Price!A:A, Oil_Price!B:B, "")</f>
        <v>70.040000915527344</v>
      </c>
      <c r="E1523">
        <f t="shared" si="92"/>
        <v>4.2034373870726942E-3</v>
      </c>
      <c r="F1523">
        <f t="shared" si="93"/>
        <v>-1.1711609974429096E-2</v>
      </c>
      <c r="G1523">
        <f t="shared" si="94"/>
        <v>8.1401824951168322E-2</v>
      </c>
      <c r="H1523">
        <f t="shared" si="95"/>
        <v>-0.8300018310546875</v>
      </c>
    </row>
    <row r="1524" spans="1:8" x14ac:dyDescent="0.2">
      <c r="A1524" t="s">
        <v>12</v>
      </c>
      <c r="B1524" s="2">
        <v>45061</v>
      </c>
      <c r="C1524">
        <v>19.772567749023441</v>
      </c>
      <c r="D1524">
        <f>_xlfn.XLOOKUP(B1524, Oil_Price!A:A, Oil_Price!B:B, "")</f>
        <v>71.110000610351562</v>
      </c>
      <c r="E1524">
        <f t="shared" si="92"/>
        <v>1.6744448717447187E-2</v>
      </c>
      <c r="F1524">
        <f t="shared" si="93"/>
        <v>1.5276980023382722E-2</v>
      </c>
      <c r="G1524">
        <f t="shared" si="94"/>
        <v>0.32562828063965199</v>
      </c>
      <c r="H1524">
        <f t="shared" si="95"/>
        <v>1.0699996948242188</v>
      </c>
    </row>
    <row r="1525" spans="1:8" x14ac:dyDescent="0.2">
      <c r="A1525" t="s">
        <v>12</v>
      </c>
      <c r="B1525" s="2">
        <v>45062</v>
      </c>
      <c r="C1525">
        <v>19.383626937866211</v>
      </c>
      <c r="D1525">
        <f>_xlfn.XLOOKUP(B1525, Oil_Price!A:A, Oil_Price!B:B, "")</f>
        <v>70.860000610351562</v>
      </c>
      <c r="E1525">
        <f t="shared" si="92"/>
        <v>-1.9670728460467142E-2</v>
      </c>
      <c r="F1525">
        <f t="shared" si="93"/>
        <v>-3.5156799023231509E-3</v>
      </c>
      <c r="G1525">
        <f t="shared" si="94"/>
        <v>-0.38894081115723012</v>
      </c>
      <c r="H1525">
        <f t="shared" si="95"/>
        <v>-0.25</v>
      </c>
    </row>
    <row r="1526" spans="1:8" x14ac:dyDescent="0.2">
      <c r="A1526" t="s">
        <v>12</v>
      </c>
      <c r="B1526" s="2">
        <v>45063</v>
      </c>
      <c r="C1526">
        <v>19.691160202026371</v>
      </c>
      <c r="D1526">
        <f>_xlfn.XLOOKUP(B1526, Oil_Price!A:A, Oil_Price!B:B, "")</f>
        <v>72.830001831054688</v>
      </c>
      <c r="E1526">
        <f t="shared" si="92"/>
        <v>1.5865620254968325E-2</v>
      </c>
      <c r="F1526">
        <f t="shared" si="93"/>
        <v>2.7801315322248783E-2</v>
      </c>
      <c r="G1526">
        <f t="shared" si="94"/>
        <v>0.3075332641601598</v>
      </c>
      <c r="H1526">
        <f t="shared" si="95"/>
        <v>1.970001220703125</v>
      </c>
    </row>
    <row r="1527" spans="1:8" x14ac:dyDescent="0.2">
      <c r="A1527" t="s">
        <v>12</v>
      </c>
      <c r="B1527" s="2">
        <v>45064</v>
      </c>
      <c r="C1527">
        <v>20.043918609619141</v>
      </c>
      <c r="D1527">
        <f>_xlfn.XLOOKUP(B1527, Oil_Price!A:A, Oil_Price!B:B, "")</f>
        <v>71.860000610351562</v>
      </c>
      <c r="E1527">
        <f t="shared" si="92"/>
        <v>1.7914556784544792E-2</v>
      </c>
      <c r="F1527">
        <f t="shared" si="93"/>
        <v>-1.331870378025333E-2</v>
      </c>
      <c r="G1527">
        <f t="shared" si="94"/>
        <v>0.35275840759276988</v>
      </c>
      <c r="H1527">
        <f t="shared" si="95"/>
        <v>-0.970001220703125</v>
      </c>
    </row>
    <row r="1528" spans="1:8" x14ac:dyDescent="0.2">
      <c r="A1528" t="s">
        <v>12</v>
      </c>
      <c r="B1528" s="2">
        <v>45065</v>
      </c>
      <c r="C1528">
        <v>20.161504745483398</v>
      </c>
      <c r="D1528">
        <f>_xlfn.XLOOKUP(B1528, Oil_Price!A:A, Oil_Price!B:B, "")</f>
        <v>71.550003051757812</v>
      </c>
      <c r="E1528">
        <f t="shared" si="92"/>
        <v>5.8664245327671527E-3</v>
      </c>
      <c r="F1528">
        <f t="shared" si="93"/>
        <v>-4.313909768449046E-3</v>
      </c>
      <c r="G1528">
        <f t="shared" si="94"/>
        <v>0.11758613586425781</v>
      </c>
      <c r="H1528">
        <f t="shared" si="95"/>
        <v>-0.30999755859375</v>
      </c>
    </row>
    <row r="1529" spans="1:8" x14ac:dyDescent="0.2">
      <c r="A1529" t="s">
        <v>12</v>
      </c>
      <c r="B1529" s="2">
        <v>45069</v>
      </c>
      <c r="C1529">
        <v>20.37858772277832</v>
      </c>
      <c r="D1529">
        <f>_xlfn.XLOOKUP(B1529, Oil_Price!A:A, Oil_Price!B:B, "")</f>
        <v>72.910003662109375</v>
      </c>
      <c r="E1529">
        <f t="shared" si="92"/>
        <v>1.0767201160595567E-2</v>
      </c>
      <c r="F1529">
        <f t="shared" si="93"/>
        <v>1.9007694651917286E-2</v>
      </c>
      <c r="G1529">
        <f t="shared" si="94"/>
        <v>0.21708297729492188</v>
      </c>
      <c r="H1529">
        <f t="shared" si="95"/>
        <v>1.3600006103515625</v>
      </c>
    </row>
    <row r="1530" spans="1:8" x14ac:dyDescent="0.2">
      <c r="A1530" t="s">
        <v>12</v>
      </c>
      <c r="B1530" s="2">
        <v>45070</v>
      </c>
      <c r="C1530">
        <v>20.713251113891602</v>
      </c>
      <c r="D1530">
        <f>_xlfn.XLOOKUP(B1530, Oil_Price!A:A, Oil_Price!B:B, "")</f>
        <v>74.339996337890625</v>
      </c>
      <c r="E1530">
        <f t="shared" si="92"/>
        <v>1.6422305395540668E-2</v>
      </c>
      <c r="F1530">
        <f t="shared" si="93"/>
        <v>1.9613120339539956E-2</v>
      </c>
      <c r="G1530">
        <f t="shared" si="94"/>
        <v>0.33466339111328125</v>
      </c>
      <c r="H1530">
        <f t="shared" si="95"/>
        <v>1.42999267578125</v>
      </c>
    </row>
    <row r="1531" spans="1:8" x14ac:dyDescent="0.2">
      <c r="A1531" t="s">
        <v>12</v>
      </c>
      <c r="B1531" s="2">
        <v>45071</v>
      </c>
      <c r="C1531">
        <v>20.224819183349609</v>
      </c>
      <c r="D1531">
        <f>_xlfn.XLOOKUP(B1531, Oil_Price!A:A, Oil_Price!B:B, "")</f>
        <v>71.830001831054688</v>
      </c>
      <c r="E1531">
        <f t="shared" si="92"/>
        <v>-2.358065027340972E-2</v>
      </c>
      <c r="F1531">
        <f t="shared" si="93"/>
        <v>-3.3763715771890739E-2</v>
      </c>
      <c r="G1531">
        <f t="shared" si="94"/>
        <v>-0.48843193054199219</v>
      </c>
      <c r="H1531">
        <f t="shared" si="95"/>
        <v>-2.5099945068359375</v>
      </c>
    </row>
    <row r="1532" spans="1:8" x14ac:dyDescent="0.2">
      <c r="A1532" t="s">
        <v>12</v>
      </c>
      <c r="B1532" s="2">
        <v>45072</v>
      </c>
      <c r="C1532">
        <v>20.523309707641602</v>
      </c>
      <c r="D1532">
        <f>_xlfn.XLOOKUP(B1532, Oil_Price!A:A, Oil_Price!B:B, "")</f>
        <v>72.669998168945312</v>
      </c>
      <c r="E1532">
        <f t="shared" si="92"/>
        <v>1.4758625112343602E-2</v>
      </c>
      <c r="F1532">
        <f t="shared" si="93"/>
        <v>1.1694226875648838E-2</v>
      </c>
      <c r="G1532">
        <f t="shared" si="94"/>
        <v>0.29849052429199219</v>
      </c>
      <c r="H1532">
        <f t="shared" si="95"/>
        <v>0.839996337890625</v>
      </c>
    </row>
    <row r="1533" spans="1:8" x14ac:dyDescent="0.2">
      <c r="A1533" t="s">
        <v>12</v>
      </c>
      <c r="B1533" s="2">
        <v>45075</v>
      </c>
      <c r="C1533">
        <v>20.60471343994141</v>
      </c>
      <c r="D1533" t="str">
        <f>_xlfn.XLOOKUP(B1533, Oil_Price!A:A, Oil_Price!B:B, "")</f>
        <v/>
      </c>
      <c r="E1533">
        <f t="shared" si="92"/>
        <v>3.9664037360162508E-3</v>
      </c>
      <c r="F1533" t="str">
        <f t="shared" si="93"/>
        <v/>
      </c>
      <c r="G1533">
        <f t="shared" si="94"/>
        <v>8.140373229980824E-2</v>
      </c>
      <c r="H1533" t="str">
        <f t="shared" si="95"/>
        <v/>
      </c>
    </row>
    <row r="1534" spans="1:8" x14ac:dyDescent="0.2">
      <c r="A1534" t="s">
        <v>12</v>
      </c>
      <c r="B1534" s="2">
        <v>45076</v>
      </c>
      <c r="C1534">
        <v>20.08010101318359</v>
      </c>
      <c r="D1534">
        <f>_xlfn.XLOOKUP(B1534, Oil_Price!A:A, Oil_Price!B:B, "")</f>
        <v>69.459999084472656</v>
      </c>
      <c r="E1534">
        <f t="shared" si="92"/>
        <v>-2.5460797030104745E-2</v>
      </c>
      <c r="F1534" t="str">
        <f t="shared" si="93"/>
        <v/>
      </c>
      <c r="G1534">
        <f t="shared" si="94"/>
        <v>-0.52461242675781961</v>
      </c>
      <c r="H1534" t="str">
        <f t="shared" si="95"/>
        <v/>
      </c>
    </row>
    <row r="1535" spans="1:8" x14ac:dyDescent="0.2">
      <c r="A1535" t="s">
        <v>12</v>
      </c>
      <c r="B1535" s="2">
        <v>45077</v>
      </c>
      <c r="C1535">
        <v>19.61879920959473</v>
      </c>
      <c r="D1535">
        <f>_xlfn.XLOOKUP(B1535, Oil_Price!A:A, Oil_Price!B:B, "")</f>
        <v>68.089996337890625</v>
      </c>
      <c r="E1535">
        <f t="shared" si="92"/>
        <v>-2.2973081822944635E-2</v>
      </c>
      <c r="F1535">
        <f t="shared" si="93"/>
        <v>-1.9723621719544289E-2</v>
      </c>
      <c r="G1535">
        <f t="shared" si="94"/>
        <v>-0.46130180358886008</v>
      </c>
      <c r="H1535">
        <f t="shared" si="95"/>
        <v>-1.3700027465820312</v>
      </c>
    </row>
    <row r="1536" spans="1:8" x14ac:dyDescent="0.2">
      <c r="A1536" t="s">
        <v>12</v>
      </c>
      <c r="B1536" s="2">
        <v>45078</v>
      </c>
      <c r="C1536">
        <v>20.062009811401371</v>
      </c>
      <c r="D1536">
        <f>_xlfn.XLOOKUP(B1536, Oil_Price!A:A, Oil_Price!B:B, "")</f>
        <v>70.099998474121094</v>
      </c>
      <c r="E1536">
        <f t="shared" si="92"/>
        <v>2.2591117686238664E-2</v>
      </c>
      <c r="F1536">
        <f t="shared" si="93"/>
        <v>2.9519786229037372E-2</v>
      </c>
      <c r="G1536">
        <f t="shared" si="94"/>
        <v>0.44321060180664062</v>
      </c>
      <c r="H1536">
        <f t="shared" si="95"/>
        <v>2.0100021362304688</v>
      </c>
    </row>
    <row r="1537" spans="1:8" x14ac:dyDescent="0.2">
      <c r="A1537" t="s">
        <v>12</v>
      </c>
      <c r="B1537" s="2">
        <v>45079</v>
      </c>
      <c r="C1537">
        <v>20.64089202880859</v>
      </c>
      <c r="D1537">
        <f>_xlfn.XLOOKUP(B1537, Oil_Price!A:A, Oil_Price!B:B, "")</f>
        <v>71.739997863769531</v>
      </c>
      <c r="E1537">
        <f t="shared" si="92"/>
        <v>2.8854647308478382E-2</v>
      </c>
      <c r="F1537">
        <f t="shared" si="93"/>
        <v>2.339514158839644E-2</v>
      </c>
      <c r="G1537">
        <f t="shared" si="94"/>
        <v>0.57888221740721946</v>
      </c>
      <c r="H1537">
        <f t="shared" si="95"/>
        <v>1.6399993896484375</v>
      </c>
    </row>
    <row r="1538" spans="1:8" x14ac:dyDescent="0.2">
      <c r="A1538" t="s">
        <v>12</v>
      </c>
      <c r="B1538" s="2">
        <v>45082</v>
      </c>
      <c r="C1538">
        <v>20.695163726806641</v>
      </c>
      <c r="D1538">
        <f>_xlfn.XLOOKUP(B1538, Oil_Price!A:A, Oil_Price!B:B, "")</f>
        <v>72.150001525878906</v>
      </c>
      <c r="E1538">
        <f t="shared" si="92"/>
        <v>2.6293290969354988E-3</v>
      </c>
      <c r="F1538">
        <f t="shared" si="93"/>
        <v>5.7151334585756513E-3</v>
      </c>
      <c r="G1538">
        <f t="shared" si="94"/>
        <v>5.4271697998050428E-2</v>
      </c>
      <c r="H1538">
        <f t="shared" si="95"/>
        <v>0.410003662109375</v>
      </c>
    </row>
    <row r="1539" spans="1:8" x14ac:dyDescent="0.2">
      <c r="A1539" t="s">
        <v>12</v>
      </c>
      <c r="B1539" s="2">
        <v>45083</v>
      </c>
      <c r="C1539">
        <v>21.147418975830082</v>
      </c>
      <c r="D1539">
        <f>_xlfn.XLOOKUP(B1539, Oil_Price!A:A, Oil_Price!B:B, "")</f>
        <v>71.739997863769531</v>
      </c>
      <c r="E1539">
        <f t="shared" ref="E1539:E1602" si="96">IFERROR(IF(AND(A1539=A1538, C1539&lt;&gt;"", C1538&lt;&gt;""), (C1539-C1538)/C1538, ""), "")</f>
        <v>2.1853185362222121E-2</v>
      </c>
      <c r="F1539">
        <f t="shared" ref="F1539:F1602" si="97">IFERROR(IF(AND(A1539=A1538, D1539&lt;&gt;"", D1538&lt;&gt;""), (D1539-D1538)/D1538, ""), "")</f>
        <v>-5.6826563193115671E-3</v>
      </c>
      <c r="G1539">
        <f t="shared" ref="G1539:G1602" si="98">IFERROR(IF(AND(A1539=A1538, C1539&lt;&gt;"", C1538&lt;&gt;""), C1539-C1538, ""), "")</f>
        <v>0.45225524902344105</v>
      </c>
      <c r="H1539">
        <f t="shared" ref="H1539:H1602" si="99">IFERROR(IF(AND(A1539=A1538, D1539&lt;&gt;"", D1538&lt;&gt;""), D1539-D1538, ""), "")</f>
        <v>-0.410003662109375</v>
      </c>
    </row>
    <row r="1540" spans="1:8" x14ac:dyDescent="0.2">
      <c r="A1540" t="s">
        <v>12</v>
      </c>
      <c r="B1540" s="2">
        <v>45084</v>
      </c>
      <c r="C1540">
        <v>21.265010833740231</v>
      </c>
      <c r="D1540">
        <f>_xlfn.XLOOKUP(B1540, Oil_Price!A:A, Oil_Price!B:B, "")</f>
        <v>72.529998779296875</v>
      </c>
      <c r="E1540">
        <f t="shared" si="96"/>
        <v>5.5605772999791532E-3</v>
      </c>
      <c r="F1540">
        <f t="shared" si="97"/>
        <v>1.1012000823132358E-2</v>
      </c>
      <c r="G1540">
        <f t="shared" si="98"/>
        <v>0.11759185791014914</v>
      </c>
      <c r="H1540">
        <f t="shared" si="99"/>
        <v>0.79000091552734375</v>
      </c>
    </row>
    <row r="1541" spans="1:8" x14ac:dyDescent="0.2">
      <c r="A1541" t="s">
        <v>12</v>
      </c>
      <c r="B1541" s="2">
        <v>45085</v>
      </c>
      <c r="C1541">
        <v>20.912248611450199</v>
      </c>
      <c r="D1541">
        <f>_xlfn.XLOOKUP(B1541, Oil_Price!A:A, Oil_Price!B:B, "")</f>
        <v>71.290000915527344</v>
      </c>
      <c r="E1541">
        <f t="shared" si="96"/>
        <v>-1.6588856927846944E-2</v>
      </c>
      <c r="F1541">
        <f t="shared" si="97"/>
        <v>-1.7096344748918968E-2</v>
      </c>
      <c r="G1541">
        <f t="shared" si="98"/>
        <v>-0.35276222229003196</v>
      </c>
      <c r="H1541">
        <f t="shared" si="99"/>
        <v>-1.2399978637695312</v>
      </c>
    </row>
    <row r="1542" spans="1:8" x14ac:dyDescent="0.2">
      <c r="A1542" t="s">
        <v>12</v>
      </c>
      <c r="B1542" s="2">
        <v>45086</v>
      </c>
      <c r="C1542">
        <v>20.993650436401371</v>
      </c>
      <c r="D1542">
        <f>_xlfn.XLOOKUP(B1542, Oil_Price!A:A, Oil_Price!B:B, "")</f>
        <v>70.169998168945312</v>
      </c>
      <c r="E1542">
        <f t="shared" si="96"/>
        <v>3.8925429045732311E-3</v>
      </c>
      <c r="F1542">
        <f t="shared" si="97"/>
        <v>-1.571051665308772E-2</v>
      </c>
      <c r="G1542">
        <f t="shared" si="98"/>
        <v>8.1401824951171875E-2</v>
      </c>
      <c r="H1542">
        <f t="shared" si="99"/>
        <v>-1.1200027465820312</v>
      </c>
    </row>
    <row r="1543" spans="1:8" x14ac:dyDescent="0.2">
      <c r="A1543" t="s">
        <v>12</v>
      </c>
      <c r="B1543" s="2">
        <v>45089</v>
      </c>
      <c r="C1543">
        <v>20.170547485351559</v>
      </c>
      <c r="D1543">
        <f>_xlfn.XLOOKUP(B1543, Oil_Price!A:A, Oil_Price!B:B, "")</f>
        <v>67.120002746582031</v>
      </c>
      <c r="E1543">
        <f t="shared" si="96"/>
        <v>-3.9207233327207103E-2</v>
      </c>
      <c r="F1543">
        <f t="shared" si="97"/>
        <v>-4.3465804502658488E-2</v>
      </c>
      <c r="G1543">
        <f t="shared" si="98"/>
        <v>-0.82310295104981179</v>
      </c>
      <c r="H1543">
        <f t="shared" si="99"/>
        <v>-3.0499954223632812</v>
      </c>
    </row>
    <row r="1544" spans="1:8" x14ac:dyDescent="0.2">
      <c r="A1544" t="s">
        <v>12</v>
      </c>
      <c r="B1544" s="2">
        <v>45090</v>
      </c>
      <c r="C1544">
        <v>20.432855606079102</v>
      </c>
      <c r="D1544">
        <f>_xlfn.XLOOKUP(B1544, Oil_Price!A:A, Oil_Price!B:B, "")</f>
        <v>69.419998168945312</v>
      </c>
      <c r="E1544">
        <f t="shared" si="96"/>
        <v>1.3004511697961517E-2</v>
      </c>
      <c r="F1544">
        <f t="shared" si="97"/>
        <v>3.426691490235978E-2</v>
      </c>
      <c r="G1544">
        <f t="shared" si="98"/>
        <v>0.26230812072754262</v>
      </c>
      <c r="H1544">
        <f t="shared" si="99"/>
        <v>2.2999954223632812</v>
      </c>
    </row>
    <row r="1545" spans="1:8" x14ac:dyDescent="0.2">
      <c r="A1545" t="s">
        <v>12</v>
      </c>
      <c r="B1545" s="2">
        <v>45091</v>
      </c>
      <c r="C1545">
        <v>20.168912887573239</v>
      </c>
      <c r="D1545">
        <f>_xlfn.XLOOKUP(B1545, Oil_Price!A:A, Oil_Price!B:B, "")</f>
        <v>68.269996643066406</v>
      </c>
      <c r="E1545">
        <f t="shared" si="96"/>
        <v>-1.2917563927155427E-2</v>
      </c>
      <c r="F1545">
        <f t="shared" si="97"/>
        <v>-1.6565853589914869E-2</v>
      </c>
      <c r="G1545">
        <f t="shared" si="98"/>
        <v>-0.26394271850586293</v>
      </c>
      <c r="H1545">
        <f t="shared" si="99"/>
        <v>-1.1500015258789062</v>
      </c>
    </row>
    <row r="1546" spans="1:8" x14ac:dyDescent="0.2">
      <c r="A1546" t="s">
        <v>12</v>
      </c>
      <c r="B1546" s="2">
        <v>45092</v>
      </c>
      <c r="C1546">
        <v>20.40555381774902</v>
      </c>
      <c r="D1546">
        <f>_xlfn.XLOOKUP(B1546, Oil_Price!A:A, Oil_Price!B:B, "")</f>
        <v>70.620002746582031</v>
      </c>
      <c r="E1546">
        <f t="shared" si="96"/>
        <v>1.1732954150522603E-2</v>
      </c>
      <c r="F1546">
        <f t="shared" si="97"/>
        <v>3.4422238451278654E-2</v>
      </c>
      <c r="G1546">
        <f t="shared" si="98"/>
        <v>0.23664093017578125</v>
      </c>
      <c r="H1546">
        <f t="shared" si="99"/>
        <v>2.350006103515625</v>
      </c>
    </row>
    <row r="1547" spans="1:8" x14ac:dyDescent="0.2">
      <c r="A1547" t="s">
        <v>12</v>
      </c>
      <c r="B1547" s="2">
        <v>45093</v>
      </c>
      <c r="C1547">
        <v>19.995986938476559</v>
      </c>
      <c r="D1547">
        <f>_xlfn.XLOOKUP(B1547, Oil_Price!A:A, Oil_Price!B:B, "")</f>
        <v>71.779998779296875</v>
      </c>
      <c r="E1547">
        <f t="shared" si="96"/>
        <v>-2.0071343465141056E-2</v>
      </c>
      <c r="F1547">
        <f t="shared" si="97"/>
        <v>1.6425884842817949E-2</v>
      </c>
      <c r="G1547">
        <f t="shared" si="98"/>
        <v>-0.40956687927246094</v>
      </c>
      <c r="H1547">
        <f t="shared" si="99"/>
        <v>1.1599960327148438</v>
      </c>
    </row>
    <row r="1548" spans="1:8" x14ac:dyDescent="0.2">
      <c r="A1548" t="s">
        <v>12</v>
      </c>
      <c r="B1548" s="2">
        <v>45096</v>
      </c>
      <c r="C1548">
        <v>20.023286819458011</v>
      </c>
      <c r="D1548" t="str">
        <f>_xlfn.XLOOKUP(B1548, Oil_Price!A:A, Oil_Price!B:B, "")</f>
        <v/>
      </c>
      <c r="E1548">
        <f t="shared" si="96"/>
        <v>1.3652679942954755E-3</v>
      </c>
      <c r="F1548" t="str">
        <f t="shared" si="97"/>
        <v/>
      </c>
      <c r="G1548">
        <f t="shared" si="98"/>
        <v>2.7299880981452418E-2</v>
      </c>
      <c r="H1548" t="str">
        <f t="shared" si="99"/>
        <v/>
      </c>
    </row>
    <row r="1549" spans="1:8" x14ac:dyDescent="0.2">
      <c r="A1549" t="s">
        <v>12</v>
      </c>
      <c r="B1549" s="2">
        <v>45097</v>
      </c>
      <c r="C1549">
        <v>19.704732894897461</v>
      </c>
      <c r="D1549">
        <f>_xlfn.XLOOKUP(B1549, Oil_Price!A:A, Oil_Price!B:B, "")</f>
        <v>70.5</v>
      </c>
      <c r="E1549">
        <f t="shared" si="96"/>
        <v>-1.5909172526609845E-2</v>
      </c>
      <c r="F1549" t="str">
        <f t="shared" si="97"/>
        <v/>
      </c>
      <c r="G1549">
        <f t="shared" si="98"/>
        <v>-0.31855392456055043</v>
      </c>
      <c r="H1549" t="str">
        <f t="shared" si="99"/>
        <v/>
      </c>
    </row>
    <row r="1550" spans="1:8" x14ac:dyDescent="0.2">
      <c r="A1550" t="s">
        <v>12</v>
      </c>
      <c r="B1550" s="2">
        <v>45098</v>
      </c>
      <c r="C1550">
        <v>20.159809112548832</v>
      </c>
      <c r="D1550">
        <f>_xlfn.XLOOKUP(B1550, Oil_Price!A:A, Oil_Price!B:B, "")</f>
        <v>72.529998779296875</v>
      </c>
      <c r="E1550">
        <f t="shared" si="96"/>
        <v>2.3094767134306738E-2</v>
      </c>
      <c r="F1550">
        <f t="shared" si="97"/>
        <v>2.8794308926196808E-2</v>
      </c>
      <c r="G1550">
        <f t="shared" si="98"/>
        <v>0.45507621765137074</v>
      </c>
      <c r="H1550">
        <f t="shared" si="99"/>
        <v>2.029998779296875</v>
      </c>
    </row>
    <row r="1551" spans="1:8" x14ac:dyDescent="0.2">
      <c r="A1551" t="s">
        <v>12</v>
      </c>
      <c r="B1551" s="2">
        <v>45099</v>
      </c>
      <c r="C1551">
        <v>19.531808853149411</v>
      </c>
      <c r="D1551">
        <f>_xlfn.XLOOKUP(B1551, Oil_Price!A:A, Oil_Price!B:B, "")</f>
        <v>69.510002136230469</v>
      </c>
      <c r="E1551">
        <f t="shared" si="96"/>
        <v>-3.1151101475882091E-2</v>
      </c>
      <c r="F1551">
        <f t="shared" si="97"/>
        <v>-4.1637897337569528E-2</v>
      </c>
      <c r="G1551">
        <f t="shared" si="98"/>
        <v>-0.62800025939942117</v>
      </c>
      <c r="H1551">
        <f t="shared" si="99"/>
        <v>-3.0199966430664062</v>
      </c>
    </row>
    <row r="1552" spans="1:8" x14ac:dyDescent="0.2">
      <c r="A1552" t="s">
        <v>12</v>
      </c>
      <c r="B1552" s="2">
        <v>45100</v>
      </c>
      <c r="C1552">
        <v>19.24965858459473</v>
      </c>
      <c r="D1552">
        <f>_xlfn.XLOOKUP(B1552, Oil_Price!A:A, Oil_Price!B:B, "")</f>
        <v>69.160003662109375</v>
      </c>
      <c r="E1552">
        <f t="shared" si="96"/>
        <v>-1.4445680411683171E-2</v>
      </c>
      <c r="F1552">
        <f t="shared" si="97"/>
        <v>-5.0352246204099192E-3</v>
      </c>
      <c r="G1552">
        <f t="shared" si="98"/>
        <v>-0.28215026855468039</v>
      </c>
      <c r="H1552">
        <f t="shared" si="99"/>
        <v>-0.34999847412109375</v>
      </c>
    </row>
    <row r="1553" spans="1:8" x14ac:dyDescent="0.2">
      <c r="A1553" t="s">
        <v>12</v>
      </c>
      <c r="B1553" s="2">
        <v>45103</v>
      </c>
      <c r="C1553">
        <v>19.786651611328121</v>
      </c>
      <c r="D1553">
        <f>_xlfn.XLOOKUP(B1553, Oil_Price!A:A, Oil_Price!B:B, "")</f>
        <v>69.370002746582031</v>
      </c>
      <c r="E1553">
        <f t="shared" si="96"/>
        <v>2.7896236412376704E-2</v>
      </c>
      <c r="F1553">
        <f t="shared" si="97"/>
        <v>3.0364238483652399E-3</v>
      </c>
      <c r="G1553">
        <f t="shared" si="98"/>
        <v>0.53699302673339133</v>
      </c>
      <c r="H1553">
        <f t="shared" si="99"/>
        <v>0.20999908447265625</v>
      </c>
    </row>
    <row r="1554" spans="1:8" x14ac:dyDescent="0.2">
      <c r="A1554" t="s">
        <v>12</v>
      </c>
      <c r="B1554" s="2">
        <v>45104</v>
      </c>
      <c r="C1554">
        <v>19.759347915649411</v>
      </c>
      <c r="D1554">
        <f>_xlfn.XLOOKUP(B1554, Oil_Price!A:A, Oil_Price!B:B, "")</f>
        <v>67.699996948242188</v>
      </c>
      <c r="E1554">
        <f t="shared" si="96"/>
        <v>-1.3799048072933779E-3</v>
      </c>
      <c r="F1554">
        <f t="shared" si="97"/>
        <v>-2.4073889753768642E-2</v>
      </c>
      <c r="G1554">
        <f t="shared" si="98"/>
        <v>-2.7303695678710938E-2</v>
      </c>
      <c r="H1554">
        <f t="shared" si="99"/>
        <v>-1.6700057983398438</v>
      </c>
    </row>
    <row r="1555" spans="1:8" x14ac:dyDescent="0.2">
      <c r="A1555" t="s">
        <v>12</v>
      </c>
      <c r="B1555" s="2">
        <v>45105</v>
      </c>
      <c r="C1555">
        <v>20.014190673828121</v>
      </c>
      <c r="D1555">
        <f>_xlfn.XLOOKUP(B1555, Oil_Price!A:A, Oil_Price!B:B, "")</f>
        <v>69.55999755859375</v>
      </c>
      <c r="E1555">
        <f t="shared" si="96"/>
        <v>1.2897326332154685E-2</v>
      </c>
      <c r="F1555">
        <f t="shared" si="97"/>
        <v>2.7474160918700852E-2</v>
      </c>
      <c r="G1555">
        <f t="shared" si="98"/>
        <v>0.25484275817871094</v>
      </c>
      <c r="H1555">
        <f t="shared" si="99"/>
        <v>1.8600006103515625</v>
      </c>
    </row>
    <row r="1556" spans="1:8" x14ac:dyDescent="0.2">
      <c r="A1556" t="s">
        <v>12</v>
      </c>
      <c r="B1556" s="2">
        <v>45106</v>
      </c>
      <c r="C1556">
        <v>20.168912887573239</v>
      </c>
      <c r="D1556">
        <f>_xlfn.XLOOKUP(B1556, Oil_Price!A:A, Oil_Price!B:B, "")</f>
        <v>69.860000610351562</v>
      </c>
      <c r="E1556">
        <f t="shared" si="96"/>
        <v>7.7306255479739272E-3</v>
      </c>
      <c r="F1556">
        <f t="shared" si="97"/>
        <v>4.3128674854409736E-3</v>
      </c>
      <c r="G1556">
        <f t="shared" si="98"/>
        <v>0.15472221374511719</v>
      </c>
      <c r="H1556">
        <f t="shared" si="99"/>
        <v>0.3000030517578125</v>
      </c>
    </row>
    <row r="1557" spans="1:8" x14ac:dyDescent="0.2">
      <c r="A1557" t="s">
        <v>12</v>
      </c>
      <c r="B1557" s="2">
        <v>45107</v>
      </c>
      <c r="C1557">
        <v>20.478363037109379</v>
      </c>
      <c r="D1557">
        <f>_xlfn.XLOOKUP(B1557, Oil_Price!A:A, Oil_Price!B:B, "")</f>
        <v>70.639999389648438</v>
      </c>
      <c r="E1557">
        <f t="shared" si="96"/>
        <v>1.5342926575224727E-2</v>
      </c>
      <c r="F1557">
        <f t="shared" si="97"/>
        <v>1.1165169946782079E-2</v>
      </c>
      <c r="G1557">
        <f t="shared" si="98"/>
        <v>0.30945014953613992</v>
      </c>
      <c r="H1557">
        <f t="shared" si="99"/>
        <v>0.779998779296875</v>
      </c>
    </row>
    <row r="1558" spans="1:8" x14ac:dyDescent="0.2">
      <c r="A1558" t="s">
        <v>12</v>
      </c>
      <c r="B1558" s="2">
        <v>45111</v>
      </c>
      <c r="C1558">
        <v>20.79692268371582</v>
      </c>
      <c r="D1558" t="str">
        <f>_xlfn.XLOOKUP(B1558, Oil_Price!A:A, Oil_Price!B:B, "")</f>
        <v/>
      </c>
      <c r="E1558">
        <f t="shared" si="96"/>
        <v>1.5555913625965683E-2</v>
      </c>
      <c r="F1558" t="str">
        <f t="shared" si="97"/>
        <v/>
      </c>
      <c r="G1558">
        <f t="shared" si="98"/>
        <v>0.31855964660644176</v>
      </c>
      <c r="H1558" t="str">
        <f t="shared" si="99"/>
        <v/>
      </c>
    </row>
    <row r="1559" spans="1:8" x14ac:dyDescent="0.2">
      <c r="A1559" t="s">
        <v>12</v>
      </c>
      <c r="B1559" s="2">
        <v>45112</v>
      </c>
      <c r="C1559">
        <v>20.79692268371582</v>
      </c>
      <c r="D1559">
        <f>_xlfn.XLOOKUP(B1559, Oil_Price!A:A, Oil_Price!B:B, "")</f>
        <v>71.790000915527344</v>
      </c>
      <c r="E1559">
        <f t="shared" si="96"/>
        <v>0</v>
      </c>
      <c r="F1559" t="str">
        <f t="shared" si="97"/>
        <v/>
      </c>
      <c r="G1559">
        <f t="shared" si="98"/>
        <v>0</v>
      </c>
      <c r="H1559" t="str">
        <f t="shared" si="99"/>
        <v/>
      </c>
    </row>
    <row r="1560" spans="1:8" x14ac:dyDescent="0.2">
      <c r="A1560" t="s">
        <v>12</v>
      </c>
      <c r="B1560" s="2">
        <v>45113</v>
      </c>
      <c r="C1560">
        <v>20.432859420776371</v>
      </c>
      <c r="D1560">
        <f>_xlfn.XLOOKUP(B1560, Oil_Price!A:A, Oil_Price!B:B, "")</f>
        <v>71.800003051757812</v>
      </c>
      <c r="E1560">
        <f t="shared" si="96"/>
        <v>-1.7505631408848504E-2</v>
      </c>
      <c r="F1560">
        <f t="shared" si="97"/>
        <v>1.3932492133880727E-4</v>
      </c>
      <c r="G1560">
        <f t="shared" si="98"/>
        <v>-0.36406326293944957</v>
      </c>
      <c r="H1560">
        <f t="shared" si="99"/>
        <v>1.000213623046875E-2</v>
      </c>
    </row>
    <row r="1561" spans="1:8" x14ac:dyDescent="0.2">
      <c r="A1561" t="s">
        <v>12</v>
      </c>
      <c r="B1561" s="2">
        <v>45114</v>
      </c>
      <c r="C1561">
        <v>20.951641082763668</v>
      </c>
      <c r="D1561">
        <f>_xlfn.XLOOKUP(B1561, Oil_Price!A:A, Oil_Price!B:B, "")</f>
        <v>73.860000610351562</v>
      </c>
      <c r="E1561">
        <f t="shared" si="96"/>
        <v>2.5389577215012515E-2</v>
      </c>
      <c r="F1561">
        <f t="shared" si="97"/>
        <v>2.8690772577109478E-2</v>
      </c>
      <c r="G1561">
        <f t="shared" si="98"/>
        <v>0.51878166198729758</v>
      </c>
      <c r="H1561">
        <f t="shared" si="99"/>
        <v>2.05999755859375</v>
      </c>
    </row>
    <row r="1562" spans="1:8" x14ac:dyDescent="0.2">
      <c r="A1562" t="s">
        <v>12</v>
      </c>
      <c r="B1562" s="2">
        <v>45117</v>
      </c>
      <c r="C1562">
        <v>21.02445220947266</v>
      </c>
      <c r="D1562">
        <f>_xlfn.XLOOKUP(B1562, Oil_Price!A:A, Oil_Price!B:B, "")</f>
        <v>72.989997863769531</v>
      </c>
      <c r="E1562">
        <f t="shared" si="96"/>
        <v>3.475199218112378E-3</v>
      </c>
      <c r="F1562">
        <f t="shared" si="97"/>
        <v>-1.1779078518719906E-2</v>
      </c>
      <c r="G1562">
        <f t="shared" si="98"/>
        <v>7.281112670899148E-2</v>
      </c>
      <c r="H1562">
        <f t="shared" si="99"/>
        <v>-0.87000274658203125</v>
      </c>
    </row>
    <row r="1563" spans="1:8" x14ac:dyDescent="0.2">
      <c r="A1563" t="s">
        <v>12</v>
      </c>
      <c r="B1563" s="2">
        <v>45118</v>
      </c>
      <c r="C1563">
        <v>21.324800491333011</v>
      </c>
      <c r="D1563">
        <f>_xlfn.XLOOKUP(B1563, Oil_Price!A:A, Oil_Price!B:B, "")</f>
        <v>74.830001831054688</v>
      </c>
      <c r="E1563">
        <f t="shared" si="96"/>
        <v>1.4285665037447602E-2</v>
      </c>
      <c r="F1563">
        <f t="shared" si="97"/>
        <v>2.5208987822131306E-2</v>
      </c>
      <c r="G1563">
        <f t="shared" si="98"/>
        <v>0.30034828186035156</v>
      </c>
      <c r="H1563">
        <f t="shared" si="99"/>
        <v>1.8400039672851562</v>
      </c>
    </row>
    <row r="1564" spans="1:8" x14ac:dyDescent="0.2">
      <c r="A1564" t="s">
        <v>12</v>
      </c>
      <c r="B1564" s="2">
        <v>45119</v>
      </c>
      <c r="C1564">
        <v>20.933443069458011</v>
      </c>
      <c r="D1564">
        <f>_xlfn.XLOOKUP(B1564, Oil_Price!A:A, Oil_Price!B:B, "")</f>
        <v>75.75</v>
      </c>
      <c r="E1564">
        <f t="shared" si="96"/>
        <v>-1.8352219615562569E-2</v>
      </c>
      <c r="F1564">
        <f t="shared" si="97"/>
        <v>1.2294509507328522E-2</v>
      </c>
      <c r="G1564">
        <f t="shared" si="98"/>
        <v>-0.391357421875</v>
      </c>
      <c r="H1564">
        <f t="shared" si="99"/>
        <v>0.9199981689453125</v>
      </c>
    </row>
    <row r="1565" spans="1:8" x14ac:dyDescent="0.2">
      <c r="A1565" t="s">
        <v>12</v>
      </c>
      <c r="B1565" s="2">
        <v>45120</v>
      </c>
      <c r="C1565">
        <v>21.14277267456055</v>
      </c>
      <c r="D1565">
        <f>_xlfn.XLOOKUP(B1565, Oil_Price!A:A, Oil_Price!B:B, "")</f>
        <v>76.889999389648438</v>
      </c>
      <c r="E1565">
        <f t="shared" si="96"/>
        <v>9.99976947929564E-3</v>
      </c>
      <c r="F1565">
        <f t="shared" si="97"/>
        <v>1.5049496893048679E-2</v>
      </c>
      <c r="G1565">
        <f t="shared" si="98"/>
        <v>0.20932960510253906</v>
      </c>
      <c r="H1565">
        <f t="shared" si="99"/>
        <v>1.1399993896484375</v>
      </c>
    </row>
    <row r="1566" spans="1:8" x14ac:dyDescent="0.2">
      <c r="A1566" t="s">
        <v>12</v>
      </c>
      <c r="B1566" s="2">
        <v>45121</v>
      </c>
      <c r="C1566">
        <v>20.76051139831543</v>
      </c>
      <c r="D1566">
        <f>_xlfn.XLOOKUP(B1566, Oil_Price!A:A, Oil_Price!B:B, "")</f>
        <v>75.419998168945312</v>
      </c>
      <c r="E1566">
        <f t="shared" si="96"/>
        <v>-1.8079997459607838E-2</v>
      </c>
      <c r="F1566">
        <f t="shared" si="97"/>
        <v>-1.9118236862686575E-2</v>
      </c>
      <c r="G1566">
        <f t="shared" si="98"/>
        <v>-0.38226127624512074</v>
      </c>
      <c r="H1566">
        <f t="shared" si="99"/>
        <v>-1.470001220703125</v>
      </c>
    </row>
    <row r="1567" spans="1:8" x14ac:dyDescent="0.2">
      <c r="A1567" t="s">
        <v>12</v>
      </c>
      <c r="B1567" s="2">
        <v>45124</v>
      </c>
      <c r="C1567">
        <v>20.2690315246582</v>
      </c>
      <c r="D1567">
        <f>_xlfn.XLOOKUP(B1567, Oil_Price!A:A, Oil_Price!B:B, "")</f>
        <v>74.150001525878906</v>
      </c>
      <c r="E1567">
        <f t="shared" si="96"/>
        <v>-2.3673784533896899E-2</v>
      </c>
      <c r="F1567">
        <f t="shared" si="97"/>
        <v>-1.6838990637755489E-2</v>
      </c>
      <c r="G1567">
        <f t="shared" si="98"/>
        <v>-0.49147987365723012</v>
      </c>
      <c r="H1567">
        <f t="shared" si="99"/>
        <v>-1.2699966430664062</v>
      </c>
    </row>
    <row r="1568" spans="1:8" x14ac:dyDescent="0.2">
      <c r="A1568" t="s">
        <v>12</v>
      </c>
      <c r="B1568" s="2">
        <v>45125</v>
      </c>
      <c r="C1568">
        <v>20.596683502197269</v>
      </c>
      <c r="D1568">
        <f>_xlfn.XLOOKUP(B1568, Oil_Price!A:A, Oil_Price!B:B, "")</f>
        <v>75.75</v>
      </c>
      <c r="E1568">
        <f t="shared" si="96"/>
        <v>1.61651521011483E-2</v>
      </c>
      <c r="F1568">
        <f t="shared" si="97"/>
        <v>2.157786164795536E-2</v>
      </c>
      <c r="G1568">
        <f t="shared" si="98"/>
        <v>0.32765197753906961</v>
      </c>
      <c r="H1568">
        <f t="shared" si="99"/>
        <v>1.5999984741210938</v>
      </c>
    </row>
    <row r="1569" spans="1:8" x14ac:dyDescent="0.2">
      <c r="A1569" t="s">
        <v>12</v>
      </c>
      <c r="B1569" s="2">
        <v>45126</v>
      </c>
      <c r="C1569">
        <v>20.49656867980957</v>
      </c>
      <c r="D1569">
        <f>_xlfn.XLOOKUP(B1569, Oil_Price!A:A, Oil_Price!B:B, "")</f>
        <v>75.349998474121094</v>
      </c>
      <c r="E1569">
        <f t="shared" si="96"/>
        <v>-4.860725387027409E-3</v>
      </c>
      <c r="F1569">
        <f t="shared" si="97"/>
        <v>-5.2805481964212043E-3</v>
      </c>
      <c r="G1569">
        <f t="shared" si="98"/>
        <v>-0.10011482238769887</v>
      </c>
      <c r="H1569">
        <f t="shared" si="99"/>
        <v>-0.40000152587890625</v>
      </c>
    </row>
    <row r="1570" spans="1:8" x14ac:dyDescent="0.2">
      <c r="A1570" t="s">
        <v>12</v>
      </c>
      <c r="B1570" s="2">
        <v>45127</v>
      </c>
      <c r="C1570">
        <v>20.551174163818359</v>
      </c>
      <c r="D1570">
        <f>_xlfn.XLOOKUP(B1570, Oil_Price!A:A, Oil_Price!B:B, "")</f>
        <v>75.629997253417969</v>
      </c>
      <c r="E1570">
        <f t="shared" si="96"/>
        <v>2.6641280724504367E-3</v>
      </c>
      <c r="F1570">
        <f t="shared" si="97"/>
        <v>3.7159759119708593E-3</v>
      </c>
      <c r="G1570">
        <f t="shared" si="98"/>
        <v>5.4605484008789062E-2</v>
      </c>
      <c r="H1570">
        <f t="shared" si="99"/>
        <v>0.279998779296875</v>
      </c>
    </row>
    <row r="1571" spans="1:8" x14ac:dyDescent="0.2">
      <c r="A1571" t="s">
        <v>12</v>
      </c>
      <c r="B1571" s="2">
        <v>45128</v>
      </c>
      <c r="C1571">
        <v>20.942539215087891</v>
      </c>
      <c r="D1571">
        <f>_xlfn.XLOOKUP(B1571, Oil_Price!A:A, Oil_Price!B:B, "")</f>
        <v>77.069999694824219</v>
      </c>
      <c r="E1571">
        <f t="shared" si="96"/>
        <v>1.904343995870339E-2</v>
      </c>
      <c r="F1571">
        <f t="shared" si="97"/>
        <v>1.9040096439262685E-2</v>
      </c>
      <c r="G1571">
        <f t="shared" si="98"/>
        <v>0.39136505126953125</v>
      </c>
      <c r="H1571">
        <f t="shared" si="99"/>
        <v>1.44000244140625</v>
      </c>
    </row>
    <row r="1572" spans="1:8" x14ac:dyDescent="0.2">
      <c r="A1572" t="s">
        <v>12</v>
      </c>
      <c r="B1572" s="2">
        <v>45131</v>
      </c>
      <c r="C1572">
        <v>21.515933990478519</v>
      </c>
      <c r="D1572">
        <f>_xlfn.XLOOKUP(B1572, Oil_Price!A:A, Oil_Price!B:B, "")</f>
        <v>78.739997863769531</v>
      </c>
      <c r="E1572">
        <f t="shared" si="96"/>
        <v>2.7379429471357072E-2</v>
      </c>
      <c r="F1572">
        <f t="shared" si="97"/>
        <v>2.1668589276735969E-2</v>
      </c>
      <c r="G1572">
        <f t="shared" si="98"/>
        <v>0.57339477539062855</v>
      </c>
      <c r="H1572">
        <f t="shared" si="99"/>
        <v>1.6699981689453125</v>
      </c>
    </row>
    <row r="1573" spans="1:8" x14ac:dyDescent="0.2">
      <c r="A1573" t="s">
        <v>12</v>
      </c>
      <c r="B1573" s="2">
        <v>45132</v>
      </c>
      <c r="C1573">
        <v>21.761674880981449</v>
      </c>
      <c r="D1573">
        <f>_xlfn.XLOOKUP(B1573, Oil_Price!A:A, Oil_Price!B:B, "")</f>
        <v>79.629997253417969</v>
      </c>
      <c r="E1573">
        <f t="shared" si="96"/>
        <v>1.1421344321453942E-2</v>
      </c>
      <c r="F1573">
        <f t="shared" si="97"/>
        <v>1.1303015161217714E-2</v>
      </c>
      <c r="G1573">
        <f t="shared" si="98"/>
        <v>0.24574089050292969</v>
      </c>
      <c r="H1573">
        <f t="shared" si="99"/>
        <v>0.8899993896484375</v>
      </c>
    </row>
    <row r="1574" spans="1:8" x14ac:dyDescent="0.2">
      <c r="A1574" t="s">
        <v>12</v>
      </c>
      <c r="B1574" s="2">
        <v>45133</v>
      </c>
      <c r="C1574">
        <v>21.670663833618161</v>
      </c>
      <c r="D1574">
        <f>_xlfn.XLOOKUP(B1574, Oil_Price!A:A, Oil_Price!B:B, "")</f>
        <v>78.779998779296875</v>
      </c>
      <c r="E1574">
        <f t="shared" si="96"/>
        <v>-4.1821710810883948E-3</v>
      </c>
      <c r="F1574">
        <f t="shared" si="97"/>
        <v>-1.0674350162489916E-2</v>
      </c>
      <c r="G1574">
        <f t="shared" si="98"/>
        <v>-9.1011047363288355E-2</v>
      </c>
      <c r="H1574">
        <f t="shared" si="99"/>
        <v>-0.84999847412109375</v>
      </c>
    </row>
    <row r="1575" spans="1:8" x14ac:dyDescent="0.2">
      <c r="A1575" t="s">
        <v>12</v>
      </c>
      <c r="B1575" s="2">
        <v>45134</v>
      </c>
      <c r="C1575">
        <v>22.262258529663089</v>
      </c>
      <c r="D1575">
        <f>_xlfn.XLOOKUP(B1575, Oil_Price!A:A, Oil_Price!B:B, "")</f>
        <v>80.089996337890625</v>
      </c>
      <c r="E1575">
        <f t="shared" si="96"/>
        <v>2.7299334279145413E-2</v>
      </c>
      <c r="F1575">
        <f t="shared" si="97"/>
        <v>1.6628555202999228E-2</v>
      </c>
      <c r="G1575">
        <f t="shared" si="98"/>
        <v>0.59159469604492898</v>
      </c>
      <c r="H1575">
        <f t="shared" si="99"/>
        <v>1.30999755859375</v>
      </c>
    </row>
    <row r="1576" spans="1:8" x14ac:dyDescent="0.2">
      <c r="A1576" t="s">
        <v>12</v>
      </c>
      <c r="B1576" s="2">
        <v>45135</v>
      </c>
      <c r="C1576">
        <v>22.744638442993161</v>
      </c>
      <c r="D1576">
        <f>_xlfn.XLOOKUP(B1576, Oil_Price!A:A, Oil_Price!B:B, "")</f>
        <v>80.580001831054688</v>
      </c>
      <c r="E1576">
        <f t="shared" si="96"/>
        <v>2.1668058193077287E-2</v>
      </c>
      <c r="F1576">
        <f t="shared" si="97"/>
        <v>6.1181859853855509E-3</v>
      </c>
      <c r="G1576">
        <f t="shared" si="98"/>
        <v>0.48237991333007102</v>
      </c>
      <c r="H1576">
        <f t="shared" si="99"/>
        <v>0.4900054931640625</v>
      </c>
    </row>
    <row r="1577" spans="1:8" x14ac:dyDescent="0.2">
      <c r="A1577" t="s">
        <v>12</v>
      </c>
      <c r="B1577" s="2">
        <v>45138</v>
      </c>
      <c r="C1577">
        <v>22.82655143737793</v>
      </c>
      <c r="D1577">
        <f>_xlfn.XLOOKUP(B1577, Oil_Price!A:A, Oil_Price!B:B, "")</f>
        <v>81.800003051757812</v>
      </c>
      <c r="E1577">
        <f t="shared" si="96"/>
        <v>3.6014199385967266E-3</v>
      </c>
      <c r="F1577">
        <f t="shared" si="97"/>
        <v>1.5140248113433888E-2</v>
      </c>
      <c r="G1577">
        <f t="shared" si="98"/>
        <v>8.1912994384769178E-2</v>
      </c>
      <c r="H1577">
        <f t="shared" si="99"/>
        <v>1.220001220703125</v>
      </c>
    </row>
    <row r="1578" spans="1:8" x14ac:dyDescent="0.2">
      <c r="A1578" t="s">
        <v>12</v>
      </c>
      <c r="B1578" s="2">
        <v>45139</v>
      </c>
      <c r="C1578">
        <v>22.96307373046875</v>
      </c>
      <c r="D1578">
        <f>_xlfn.XLOOKUP(B1578, Oil_Price!A:A, Oil_Price!B:B, "")</f>
        <v>81.370002746582031</v>
      </c>
      <c r="E1578">
        <f t="shared" si="96"/>
        <v>5.9808549471589622E-3</v>
      </c>
      <c r="F1578">
        <f t="shared" si="97"/>
        <v>-5.2567272510210608E-3</v>
      </c>
      <c r="G1578">
        <f t="shared" si="98"/>
        <v>0.13652229309082031</v>
      </c>
      <c r="H1578">
        <f t="shared" si="99"/>
        <v>-0.43000030517578125</v>
      </c>
    </row>
    <row r="1579" spans="1:8" x14ac:dyDescent="0.2">
      <c r="A1579" t="s">
        <v>12</v>
      </c>
      <c r="B1579" s="2">
        <v>45140</v>
      </c>
      <c r="C1579">
        <v>22.571710586547852</v>
      </c>
      <c r="D1579">
        <f>_xlfn.XLOOKUP(B1579, Oil_Price!A:A, Oil_Price!B:B, "")</f>
        <v>79.489997863769531</v>
      </c>
      <c r="E1579">
        <f t="shared" si="96"/>
        <v>-1.7043151475040336E-2</v>
      </c>
      <c r="F1579">
        <f t="shared" si="97"/>
        <v>-2.3104397435840938E-2</v>
      </c>
      <c r="G1579">
        <f t="shared" si="98"/>
        <v>-0.39136314392089844</v>
      </c>
      <c r="H1579">
        <f t="shared" si="99"/>
        <v>-1.8800048828125</v>
      </c>
    </row>
    <row r="1580" spans="1:8" x14ac:dyDescent="0.2">
      <c r="A1580" t="s">
        <v>12</v>
      </c>
      <c r="B1580" s="2">
        <v>45141</v>
      </c>
      <c r="C1580">
        <v>23.154203414916989</v>
      </c>
      <c r="D1580">
        <f>_xlfn.XLOOKUP(B1580, Oil_Price!A:A, Oil_Price!B:B, "")</f>
        <v>81.550003051757812</v>
      </c>
      <c r="E1580">
        <f t="shared" si="96"/>
        <v>2.5806321861856919E-2</v>
      </c>
      <c r="F1580">
        <f t="shared" si="97"/>
        <v>2.5915275422685648E-2</v>
      </c>
      <c r="G1580">
        <f t="shared" si="98"/>
        <v>0.58249282836913707</v>
      </c>
      <c r="H1580">
        <f t="shared" si="99"/>
        <v>2.0600051879882812</v>
      </c>
    </row>
    <row r="1581" spans="1:8" x14ac:dyDescent="0.2">
      <c r="A1581" t="s">
        <v>12</v>
      </c>
      <c r="B1581" s="2">
        <v>45142</v>
      </c>
      <c r="C1581">
        <v>23.208816528320309</v>
      </c>
      <c r="D1581">
        <f>_xlfn.XLOOKUP(B1581, Oil_Price!A:A, Oil_Price!B:B, "")</f>
        <v>82.819999694824219</v>
      </c>
      <c r="E1581">
        <f t="shared" si="96"/>
        <v>2.3586695005078889E-3</v>
      </c>
      <c r="F1581">
        <f t="shared" si="97"/>
        <v>1.5573226186887695E-2</v>
      </c>
      <c r="G1581">
        <f t="shared" si="98"/>
        <v>5.4613113403320312E-2</v>
      </c>
      <c r="H1581">
        <f t="shared" si="99"/>
        <v>1.2699966430664062</v>
      </c>
    </row>
    <row r="1582" spans="1:8" x14ac:dyDescent="0.2">
      <c r="A1582" t="s">
        <v>12</v>
      </c>
      <c r="B1582" s="2">
        <v>45146</v>
      </c>
      <c r="C1582">
        <v>23.509162902832031</v>
      </c>
      <c r="D1582">
        <f>_xlfn.XLOOKUP(B1582, Oil_Price!A:A, Oil_Price!B:B, "")</f>
        <v>82.919998168945312</v>
      </c>
      <c r="E1582">
        <f t="shared" si="96"/>
        <v>1.2941046526229714E-2</v>
      </c>
      <c r="F1582">
        <f t="shared" si="97"/>
        <v>1.2074193973625805E-3</v>
      </c>
      <c r="G1582">
        <f t="shared" si="98"/>
        <v>0.3003463745117223</v>
      </c>
      <c r="H1582">
        <f t="shared" si="99"/>
        <v>9.999847412109375E-2</v>
      </c>
    </row>
    <row r="1583" spans="1:8" x14ac:dyDescent="0.2">
      <c r="A1583" t="s">
        <v>12</v>
      </c>
      <c r="B1583" s="2">
        <v>45147</v>
      </c>
      <c r="C1583">
        <v>23.66389274597168</v>
      </c>
      <c r="D1583">
        <f>_xlfn.XLOOKUP(B1583, Oil_Price!A:A, Oil_Price!B:B, "")</f>
        <v>84.400001525878906</v>
      </c>
      <c r="E1583">
        <f t="shared" si="96"/>
        <v>6.5816823754710936E-3</v>
      </c>
      <c r="F1583">
        <f t="shared" si="97"/>
        <v>1.7848569580502904E-2</v>
      </c>
      <c r="G1583">
        <f t="shared" si="98"/>
        <v>0.15472984313964844</v>
      </c>
      <c r="H1583">
        <f t="shared" si="99"/>
        <v>1.4800033569335938</v>
      </c>
    </row>
    <row r="1584" spans="1:8" x14ac:dyDescent="0.2">
      <c r="A1584" t="s">
        <v>12</v>
      </c>
      <c r="B1584" s="2">
        <v>45148</v>
      </c>
      <c r="C1584">
        <v>23.727594375610352</v>
      </c>
      <c r="D1584">
        <f>_xlfn.XLOOKUP(B1584, Oil_Price!A:A, Oil_Price!B:B, "")</f>
        <v>82.819999694824219</v>
      </c>
      <c r="E1584">
        <f t="shared" si="96"/>
        <v>2.6919336696839893E-3</v>
      </c>
      <c r="F1584">
        <f t="shared" si="97"/>
        <v>-1.8720400503431555E-2</v>
      </c>
      <c r="G1584">
        <f t="shared" si="98"/>
        <v>6.3701629638671875E-2</v>
      </c>
      <c r="H1584">
        <f t="shared" si="99"/>
        <v>-1.5800018310546875</v>
      </c>
    </row>
    <row r="1585" spans="1:8" x14ac:dyDescent="0.2">
      <c r="A1585" t="s">
        <v>12</v>
      </c>
      <c r="B1585" s="2">
        <v>45149</v>
      </c>
      <c r="C1585">
        <v>24.209976196289059</v>
      </c>
      <c r="D1585">
        <f>_xlfn.XLOOKUP(B1585, Oil_Price!A:A, Oil_Price!B:B, "")</f>
        <v>83.19000244140625</v>
      </c>
      <c r="E1585">
        <f t="shared" si="96"/>
        <v>2.0329992709861425E-2</v>
      </c>
      <c r="F1585">
        <f t="shared" si="97"/>
        <v>4.4675531024561729E-3</v>
      </c>
      <c r="G1585">
        <f t="shared" si="98"/>
        <v>0.48238182067870738</v>
      </c>
      <c r="H1585">
        <f t="shared" si="99"/>
        <v>0.37000274658203125</v>
      </c>
    </row>
    <row r="1586" spans="1:8" x14ac:dyDescent="0.2">
      <c r="A1586" t="s">
        <v>12</v>
      </c>
      <c r="B1586" s="2">
        <v>45152</v>
      </c>
      <c r="C1586">
        <v>24.128067016601559</v>
      </c>
      <c r="D1586">
        <f>_xlfn.XLOOKUP(B1586, Oil_Price!A:A, Oil_Price!B:B, "")</f>
        <v>82.510002136230469</v>
      </c>
      <c r="E1586">
        <f t="shared" si="96"/>
        <v>-3.3832821240053577E-3</v>
      </c>
      <c r="F1586">
        <f t="shared" si="97"/>
        <v>-8.174062810669229E-3</v>
      </c>
      <c r="G1586">
        <f t="shared" si="98"/>
        <v>-8.19091796875E-2</v>
      </c>
      <c r="H1586">
        <f t="shared" si="99"/>
        <v>-0.68000030517578125</v>
      </c>
    </row>
    <row r="1587" spans="1:8" x14ac:dyDescent="0.2">
      <c r="A1587" t="s">
        <v>12</v>
      </c>
      <c r="B1587" s="2">
        <v>45153</v>
      </c>
      <c r="C1587">
        <v>23.727594375610352</v>
      </c>
      <c r="D1587">
        <f>_xlfn.XLOOKUP(B1587, Oil_Price!A:A, Oil_Price!B:B, "")</f>
        <v>80.989997863769531</v>
      </c>
      <c r="E1587">
        <f t="shared" si="96"/>
        <v>-1.659779213625601E-2</v>
      </c>
      <c r="F1587">
        <f t="shared" si="97"/>
        <v>-1.842206075757084E-2</v>
      </c>
      <c r="G1587">
        <f t="shared" si="98"/>
        <v>-0.40047264099120738</v>
      </c>
      <c r="H1587">
        <f t="shared" si="99"/>
        <v>-1.5200042724609375</v>
      </c>
    </row>
    <row r="1588" spans="1:8" x14ac:dyDescent="0.2">
      <c r="A1588" t="s">
        <v>12</v>
      </c>
      <c r="B1588" s="2">
        <v>45154</v>
      </c>
      <c r="C1588">
        <v>23.77310752868652</v>
      </c>
      <c r="D1588">
        <f>_xlfn.XLOOKUP(B1588, Oil_Price!A:A, Oil_Price!B:B, "")</f>
        <v>79.379997253417969</v>
      </c>
      <c r="E1588">
        <f t="shared" si="96"/>
        <v>1.9181528626834332E-3</v>
      </c>
      <c r="F1588">
        <f t="shared" si="97"/>
        <v>-1.987900546756019E-2</v>
      </c>
      <c r="G1588">
        <f t="shared" si="98"/>
        <v>4.5513153076168322E-2</v>
      </c>
      <c r="H1588">
        <f t="shared" si="99"/>
        <v>-1.6100006103515625</v>
      </c>
    </row>
    <row r="1589" spans="1:8" x14ac:dyDescent="0.2">
      <c r="A1589" t="s">
        <v>12</v>
      </c>
      <c r="B1589" s="2">
        <v>45155</v>
      </c>
      <c r="C1589">
        <v>23.882322311401371</v>
      </c>
      <c r="D1589">
        <f>_xlfn.XLOOKUP(B1589, Oil_Price!A:A, Oil_Price!B:B, "")</f>
        <v>80.389999389648438</v>
      </c>
      <c r="E1589">
        <f t="shared" si="96"/>
        <v>4.5940473950687186E-3</v>
      </c>
      <c r="F1589">
        <f t="shared" si="97"/>
        <v>1.2723635313390991E-2</v>
      </c>
      <c r="G1589">
        <f t="shared" si="98"/>
        <v>0.10921478271485086</v>
      </c>
      <c r="H1589">
        <f t="shared" si="99"/>
        <v>1.0100021362304688</v>
      </c>
    </row>
    <row r="1590" spans="1:8" x14ac:dyDescent="0.2">
      <c r="A1590" t="s">
        <v>12</v>
      </c>
      <c r="B1590" s="2">
        <v>45156</v>
      </c>
      <c r="C1590">
        <v>23.836818695068359</v>
      </c>
      <c r="D1590">
        <f>_xlfn.XLOOKUP(B1590, Oil_Price!A:A, Oil_Price!B:B, "")</f>
        <v>81.25</v>
      </c>
      <c r="E1590">
        <f t="shared" si="96"/>
        <v>-1.90532628023733E-3</v>
      </c>
      <c r="F1590">
        <f t="shared" si="97"/>
        <v>1.0697855664647536E-2</v>
      </c>
      <c r="G1590">
        <f t="shared" si="98"/>
        <v>-4.5503616333011365E-2</v>
      </c>
      <c r="H1590">
        <f t="shared" si="99"/>
        <v>0.8600006103515625</v>
      </c>
    </row>
    <row r="1591" spans="1:8" x14ac:dyDescent="0.2">
      <c r="A1591" t="s">
        <v>12</v>
      </c>
      <c r="B1591" s="2">
        <v>45159</v>
      </c>
      <c r="C1591">
        <v>23.654787063598629</v>
      </c>
      <c r="D1591">
        <f>_xlfn.XLOOKUP(B1591, Oil_Price!A:A, Oil_Price!B:B, "")</f>
        <v>80.720001220703125</v>
      </c>
      <c r="E1591">
        <f t="shared" si="96"/>
        <v>-7.6365740662948014E-3</v>
      </c>
      <c r="F1591">
        <f t="shared" si="97"/>
        <v>-6.5230618990384619E-3</v>
      </c>
      <c r="G1591">
        <f t="shared" si="98"/>
        <v>-0.18203163146973012</v>
      </c>
      <c r="H1591">
        <f t="shared" si="99"/>
        <v>-0.529998779296875</v>
      </c>
    </row>
    <row r="1592" spans="1:8" x14ac:dyDescent="0.2">
      <c r="A1592" t="s">
        <v>12</v>
      </c>
      <c r="B1592" s="2">
        <v>45160</v>
      </c>
      <c r="C1592">
        <v>23.618381500244141</v>
      </c>
      <c r="D1592">
        <f>_xlfn.XLOOKUP(B1592, Oil_Price!A:A, Oil_Price!B:B, "")</f>
        <v>80.349998474121094</v>
      </c>
      <c r="E1592">
        <f t="shared" si="96"/>
        <v>-1.5390357671201211E-3</v>
      </c>
      <c r="F1592">
        <f t="shared" si="97"/>
        <v>-4.583780240170917E-3</v>
      </c>
      <c r="G1592">
        <f t="shared" si="98"/>
        <v>-3.6405563354488635E-2</v>
      </c>
      <c r="H1592">
        <f t="shared" si="99"/>
        <v>-0.37000274658203125</v>
      </c>
    </row>
    <row r="1593" spans="1:8" x14ac:dyDescent="0.2">
      <c r="A1593" t="s">
        <v>12</v>
      </c>
      <c r="B1593" s="2">
        <v>45161</v>
      </c>
      <c r="C1593">
        <v>23.25432014465332</v>
      </c>
      <c r="D1593">
        <f>_xlfn.XLOOKUP(B1593, Oil_Price!A:A, Oil_Price!B:B, "")</f>
        <v>78.889999389648438</v>
      </c>
      <c r="E1593">
        <f t="shared" si="96"/>
        <v>-1.5414322763270509E-2</v>
      </c>
      <c r="F1593">
        <f t="shared" si="97"/>
        <v>-1.8170492995626984E-2</v>
      </c>
      <c r="G1593">
        <f t="shared" si="98"/>
        <v>-0.36406135559082031</v>
      </c>
      <c r="H1593">
        <f t="shared" si="99"/>
        <v>-1.4599990844726562</v>
      </c>
    </row>
    <row r="1594" spans="1:8" x14ac:dyDescent="0.2">
      <c r="A1594" t="s">
        <v>12</v>
      </c>
      <c r="B1594" s="2">
        <v>45162</v>
      </c>
      <c r="C1594">
        <v>22.844755172729489</v>
      </c>
      <c r="D1594">
        <f>_xlfn.XLOOKUP(B1594, Oil_Price!A:A, Oil_Price!B:B, "")</f>
        <v>79.050003051757812</v>
      </c>
      <c r="E1594">
        <f t="shared" si="96"/>
        <v>-1.7612425105362612E-2</v>
      </c>
      <c r="F1594">
        <f t="shared" si="97"/>
        <v>2.0281868848685768E-3</v>
      </c>
      <c r="G1594">
        <f t="shared" si="98"/>
        <v>-0.40956497192383168</v>
      </c>
      <c r="H1594">
        <f t="shared" si="99"/>
        <v>0.160003662109375</v>
      </c>
    </row>
    <row r="1595" spans="1:8" x14ac:dyDescent="0.2">
      <c r="A1595" t="s">
        <v>12</v>
      </c>
      <c r="B1595" s="2">
        <v>45163</v>
      </c>
      <c r="C1595">
        <v>23.318033218383789</v>
      </c>
      <c r="D1595">
        <f>_xlfn.XLOOKUP(B1595, Oil_Price!A:A, Oil_Price!B:B, "")</f>
        <v>79.830001831054688</v>
      </c>
      <c r="E1595">
        <f t="shared" si="96"/>
        <v>2.0717142384579699E-2</v>
      </c>
      <c r="F1595">
        <f t="shared" si="97"/>
        <v>9.8671568524313982E-3</v>
      </c>
      <c r="G1595">
        <f t="shared" si="98"/>
        <v>0.47327804565430043</v>
      </c>
      <c r="H1595">
        <f t="shared" si="99"/>
        <v>0.779998779296875</v>
      </c>
    </row>
    <row r="1596" spans="1:8" x14ac:dyDescent="0.2">
      <c r="A1596" t="s">
        <v>12</v>
      </c>
      <c r="B1596" s="2">
        <v>45166</v>
      </c>
      <c r="C1596">
        <v>23.48185920715332</v>
      </c>
      <c r="D1596">
        <f>_xlfn.XLOOKUP(B1596, Oil_Price!A:A, Oil_Price!B:B, "")</f>
        <v>80.099998474121094</v>
      </c>
      <c r="E1596">
        <f t="shared" si="96"/>
        <v>7.0257207044534045E-3</v>
      </c>
      <c r="F1596">
        <f t="shared" si="97"/>
        <v>3.3821450190844767E-3</v>
      </c>
      <c r="G1596">
        <f t="shared" si="98"/>
        <v>0.16382598876953125</v>
      </c>
      <c r="H1596">
        <f t="shared" si="99"/>
        <v>0.26999664306640625</v>
      </c>
    </row>
    <row r="1597" spans="1:8" x14ac:dyDescent="0.2">
      <c r="A1597" t="s">
        <v>12</v>
      </c>
      <c r="B1597" s="2">
        <v>45167</v>
      </c>
      <c r="C1597">
        <v>24.00974273681641</v>
      </c>
      <c r="D1597">
        <f>_xlfn.XLOOKUP(B1597, Oil_Price!A:A, Oil_Price!B:B, "")</f>
        <v>81.160003662109375</v>
      </c>
      <c r="E1597">
        <f t="shared" si="96"/>
        <v>2.2480482699695235E-2</v>
      </c>
      <c r="F1597">
        <f t="shared" si="97"/>
        <v>1.3233523198265108E-2</v>
      </c>
      <c r="G1597">
        <f t="shared" si="98"/>
        <v>0.52788352966308949</v>
      </c>
      <c r="H1597">
        <f t="shared" si="99"/>
        <v>1.0600051879882812</v>
      </c>
    </row>
    <row r="1598" spans="1:8" x14ac:dyDescent="0.2">
      <c r="A1598" t="s">
        <v>12</v>
      </c>
      <c r="B1598" s="2">
        <v>45168</v>
      </c>
      <c r="C1598">
        <v>24.32829666137695</v>
      </c>
      <c r="D1598">
        <f>_xlfn.XLOOKUP(B1598, Oil_Price!A:A, Oil_Price!B:B, "")</f>
        <v>81.629997253417969</v>
      </c>
      <c r="E1598">
        <f t="shared" si="96"/>
        <v>1.3267694204489368E-2</v>
      </c>
      <c r="F1598">
        <f t="shared" si="97"/>
        <v>5.7909508391017547E-3</v>
      </c>
      <c r="G1598">
        <f t="shared" si="98"/>
        <v>0.31855392456053977</v>
      </c>
      <c r="H1598">
        <f t="shared" si="99"/>
        <v>0.46999359130859375</v>
      </c>
    </row>
    <row r="1599" spans="1:8" x14ac:dyDescent="0.2">
      <c r="A1599" t="s">
        <v>12</v>
      </c>
      <c r="B1599" s="2">
        <v>45169</v>
      </c>
      <c r="C1599">
        <v>24.51943206787109</v>
      </c>
      <c r="D1599">
        <f>_xlfn.XLOOKUP(B1599, Oil_Price!A:A, Oil_Price!B:B, "")</f>
        <v>83.629997253417969</v>
      </c>
      <c r="E1599">
        <f t="shared" si="96"/>
        <v>7.8565059097451262E-3</v>
      </c>
      <c r="F1599">
        <f t="shared" si="97"/>
        <v>2.4500797100250511E-2</v>
      </c>
      <c r="G1599">
        <f t="shared" si="98"/>
        <v>0.19113540649414062</v>
      </c>
      <c r="H1599">
        <f t="shared" si="99"/>
        <v>2</v>
      </c>
    </row>
    <row r="1600" spans="1:8" x14ac:dyDescent="0.2">
      <c r="A1600" t="s">
        <v>12</v>
      </c>
      <c r="B1600" s="2">
        <v>45170</v>
      </c>
      <c r="C1600">
        <v>24.947202682495121</v>
      </c>
      <c r="D1600">
        <f>_xlfn.XLOOKUP(B1600, Oil_Price!A:A, Oil_Price!B:B, "")</f>
        <v>85.550003051757812</v>
      </c>
      <c r="E1600">
        <f t="shared" si="96"/>
        <v>1.7446187719190997E-2</v>
      </c>
      <c r="F1600">
        <f t="shared" si="97"/>
        <v>2.2958338651163507E-2</v>
      </c>
      <c r="G1600">
        <f t="shared" si="98"/>
        <v>0.42777061462403054</v>
      </c>
      <c r="H1600">
        <f t="shared" si="99"/>
        <v>1.9200057983398438</v>
      </c>
    </row>
    <row r="1601" spans="1:8" x14ac:dyDescent="0.2">
      <c r="A1601" t="s">
        <v>12</v>
      </c>
      <c r="B1601" s="2">
        <v>45174</v>
      </c>
      <c r="C1601">
        <v>25.065517425537109</v>
      </c>
      <c r="D1601">
        <f>_xlfn.XLOOKUP(B1601, Oil_Price!A:A, Oil_Price!B:B, "")</f>
        <v>86.69000244140625</v>
      </c>
      <c r="E1601">
        <f t="shared" si="96"/>
        <v>4.7426055958172562E-3</v>
      </c>
      <c r="F1601">
        <f t="shared" si="97"/>
        <v>1.3325533009726919E-2</v>
      </c>
      <c r="G1601">
        <f t="shared" si="98"/>
        <v>0.11831474304198863</v>
      </c>
      <c r="H1601">
        <f t="shared" si="99"/>
        <v>1.1399993896484375</v>
      </c>
    </row>
    <row r="1602" spans="1:8" x14ac:dyDescent="0.2">
      <c r="A1602" t="s">
        <v>12</v>
      </c>
      <c r="B1602" s="2">
        <v>45175</v>
      </c>
      <c r="C1602">
        <v>25.247549057006839</v>
      </c>
      <c r="D1602">
        <f>_xlfn.XLOOKUP(B1602, Oil_Price!A:A, Oil_Price!B:B, "")</f>
        <v>87.540000915527344</v>
      </c>
      <c r="E1602">
        <f t="shared" si="96"/>
        <v>7.2622331460141199E-3</v>
      </c>
      <c r="F1602">
        <f t="shared" si="97"/>
        <v>9.8050346081788101E-3</v>
      </c>
      <c r="G1602">
        <f t="shared" si="98"/>
        <v>0.18203163146973012</v>
      </c>
      <c r="H1602">
        <f t="shared" si="99"/>
        <v>0.84999847412109375</v>
      </c>
    </row>
    <row r="1603" spans="1:8" x14ac:dyDescent="0.2">
      <c r="A1603" t="s">
        <v>12</v>
      </c>
      <c r="B1603" s="2">
        <v>45176</v>
      </c>
      <c r="C1603">
        <v>25.356765747070309</v>
      </c>
      <c r="D1603">
        <f>_xlfn.XLOOKUP(B1603, Oil_Price!A:A, Oil_Price!B:B, "")</f>
        <v>86.870002746582031</v>
      </c>
      <c r="E1603">
        <f t="shared" ref="E1603:E1666" si="100">IFERROR(IF(AND(A1603=A1602, C1603&lt;&gt;"", C1602&lt;&gt;""), (C1603-C1602)/C1602, ""), "")</f>
        <v>4.3258333637402734E-3</v>
      </c>
      <c r="F1603">
        <f t="shared" ref="F1603:F1666" si="101">IFERROR(IF(AND(A1603=A1602, D1603&lt;&gt;"", D1602&lt;&gt;""), (D1603-D1602)/D1602, ""), "")</f>
        <v>-7.6536230516131062E-3</v>
      </c>
      <c r="G1603">
        <f t="shared" ref="G1603:G1666" si="102">IFERROR(IF(AND(A1603=A1602, C1603&lt;&gt;"", C1602&lt;&gt;""), C1603-C1602, ""), "")</f>
        <v>0.10921669006346946</v>
      </c>
      <c r="H1603">
        <f t="shared" ref="H1603:H1666" si="103">IFERROR(IF(AND(A1603=A1602, D1603&lt;&gt;"", D1602&lt;&gt;""), D1603-D1602, ""), "")</f>
        <v>-0.6699981689453125</v>
      </c>
    </row>
    <row r="1604" spans="1:8" x14ac:dyDescent="0.2">
      <c r="A1604" t="s">
        <v>12</v>
      </c>
      <c r="B1604" s="2">
        <v>45177</v>
      </c>
      <c r="C1604">
        <v>25.38406944274902</v>
      </c>
      <c r="D1604">
        <f>_xlfn.XLOOKUP(B1604, Oil_Price!A:A, Oil_Price!B:B, "")</f>
        <v>87.510002136230469</v>
      </c>
      <c r="E1604">
        <f t="shared" si="100"/>
        <v>1.0767814772223298E-3</v>
      </c>
      <c r="F1604">
        <f t="shared" si="101"/>
        <v>7.367323234873718E-3</v>
      </c>
      <c r="G1604">
        <f t="shared" si="102"/>
        <v>2.7303695678710938E-2</v>
      </c>
      <c r="H1604">
        <f t="shared" si="103"/>
        <v>0.6399993896484375</v>
      </c>
    </row>
    <row r="1605" spans="1:8" x14ac:dyDescent="0.2">
      <c r="A1605" t="s">
        <v>12</v>
      </c>
      <c r="B1605" s="2">
        <v>45180</v>
      </c>
      <c r="C1605">
        <v>24.856182098388668</v>
      </c>
      <c r="D1605">
        <f>_xlfn.XLOOKUP(B1605, Oil_Price!A:A, Oil_Price!B:B, "")</f>
        <v>87.290000915527344</v>
      </c>
      <c r="E1605">
        <f t="shared" si="100"/>
        <v>-2.0796009306188808E-2</v>
      </c>
      <c r="F1605">
        <f t="shared" si="101"/>
        <v>-2.5140122881112483E-3</v>
      </c>
      <c r="G1605">
        <f t="shared" si="102"/>
        <v>-0.52788734436035156</v>
      </c>
      <c r="H1605">
        <f t="shared" si="103"/>
        <v>-0.220001220703125</v>
      </c>
    </row>
    <row r="1606" spans="1:8" x14ac:dyDescent="0.2">
      <c r="A1606" t="s">
        <v>12</v>
      </c>
      <c r="B1606" s="2">
        <v>45181</v>
      </c>
      <c r="C1606">
        <v>25.43868446350098</v>
      </c>
      <c r="D1606">
        <f>_xlfn.XLOOKUP(B1606, Oil_Price!A:A, Oil_Price!B:B, "")</f>
        <v>88.839996337890625</v>
      </c>
      <c r="E1606">
        <f t="shared" si="100"/>
        <v>2.3434908981861426E-2</v>
      </c>
      <c r="F1606">
        <f t="shared" si="101"/>
        <v>1.7756849651808911E-2</v>
      </c>
      <c r="G1606">
        <f t="shared" si="102"/>
        <v>0.58250236511231179</v>
      </c>
      <c r="H1606">
        <f t="shared" si="103"/>
        <v>1.5499954223632812</v>
      </c>
    </row>
    <row r="1607" spans="1:8" x14ac:dyDescent="0.2">
      <c r="A1607" t="s">
        <v>12</v>
      </c>
      <c r="B1607" s="2">
        <v>45182</v>
      </c>
      <c r="C1607">
        <v>25.27485275268555</v>
      </c>
      <c r="D1607">
        <f>_xlfn.XLOOKUP(B1607, Oil_Price!A:A, Oil_Price!B:B, "")</f>
        <v>88.519996643066406</v>
      </c>
      <c r="E1607">
        <f t="shared" si="100"/>
        <v>-6.4402587740137593E-3</v>
      </c>
      <c r="F1607">
        <f t="shared" si="101"/>
        <v>-3.6019778029610021E-3</v>
      </c>
      <c r="G1607">
        <f t="shared" si="102"/>
        <v>-0.16383171081542969</v>
      </c>
      <c r="H1607">
        <f t="shared" si="103"/>
        <v>-0.31999969482421875</v>
      </c>
    </row>
    <row r="1608" spans="1:8" x14ac:dyDescent="0.2">
      <c r="A1608" t="s">
        <v>12</v>
      </c>
      <c r="B1608" s="2">
        <v>45183</v>
      </c>
      <c r="C1608">
        <v>25.750532150268551</v>
      </c>
      <c r="D1608">
        <f>_xlfn.XLOOKUP(B1608, Oil_Price!A:A, Oil_Price!B:B, "")</f>
        <v>90.160003662109375</v>
      </c>
      <c r="E1608">
        <f t="shared" si="100"/>
        <v>1.8820263850299106E-2</v>
      </c>
      <c r="F1608">
        <f t="shared" si="101"/>
        <v>1.8526966575200692E-2</v>
      </c>
      <c r="G1608">
        <f t="shared" si="102"/>
        <v>0.47567939758300071</v>
      </c>
      <c r="H1608">
        <f t="shared" si="103"/>
        <v>1.6400070190429688</v>
      </c>
    </row>
    <row r="1609" spans="1:8" x14ac:dyDescent="0.2">
      <c r="A1609" t="s">
        <v>12</v>
      </c>
      <c r="B1609" s="2">
        <v>45184</v>
      </c>
      <c r="C1609">
        <v>25.677347183227539</v>
      </c>
      <c r="D1609">
        <f>_xlfn.XLOOKUP(B1609, Oil_Price!A:A, Oil_Price!B:B, "")</f>
        <v>90.769996643066406</v>
      </c>
      <c r="E1609">
        <f t="shared" si="100"/>
        <v>-2.8420759079438611E-3</v>
      </c>
      <c r="F1609">
        <f t="shared" si="101"/>
        <v>6.7656716524001955E-3</v>
      </c>
      <c r="G1609">
        <f t="shared" si="102"/>
        <v>-7.3184967041012072E-2</v>
      </c>
      <c r="H1609">
        <f t="shared" si="103"/>
        <v>0.60999298095703125</v>
      </c>
    </row>
    <row r="1610" spans="1:8" x14ac:dyDescent="0.2">
      <c r="A1610" t="s">
        <v>12</v>
      </c>
      <c r="B1610" s="2">
        <v>45187</v>
      </c>
      <c r="C1610">
        <v>25.4943962097168</v>
      </c>
      <c r="D1610">
        <f>_xlfn.XLOOKUP(B1610, Oil_Price!A:A, Oil_Price!B:B, "")</f>
        <v>91.480003356933594</v>
      </c>
      <c r="E1610">
        <f t="shared" si="100"/>
        <v>-7.124995125284684E-3</v>
      </c>
      <c r="F1610">
        <f t="shared" si="101"/>
        <v>7.8220418654320004E-3</v>
      </c>
      <c r="G1610">
        <f t="shared" si="102"/>
        <v>-0.18295097351073863</v>
      </c>
      <c r="H1610">
        <f t="shared" si="103"/>
        <v>0.7100067138671875</v>
      </c>
    </row>
    <row r="1611" spans="1:8" x14ac:dyDescent="0.2">
      <c r="A1611" t="s">
        <v>12</v>
      </c>
      <c r="B1611" s="2">
        <v>45188</v>
      </c>
      <c r="C1611">
        <v>25.311445236206051</v>
      </c>
      <c r="D1611">
        <f>_xlfn.XLOOKUP(B1611, Oil_Price!A:A, Oil_Price!B:B, "")</f>
        <v>91.199996948242188</v>
      </c>
      <c r="E1611">
        <f t="shared" si="100"/>
        <v>-7.1761249807916734E-3</v>
      </c>
      <c r="F1611">
        <f t="shared" si="101"/>
        <v>-3.0608482555350013E-3</v>
      </c>
      <c r="G1611">
        <f t="shared" si="102"/>
        <v>-0.18295097351074929</v>
      </c>
      <c r="H1611">
        <f t="shared" si="103"/>
        <v>-0.28000640869140625</v>
      </c>
    </row>
    <row r="1612" spans="1:8" x14ac:dyDescent="0.2">
      <c r="A1612" t="s">
        <v>12</v>
      </c>
      <c r="B1612" s="2">
        <v>45189</v>
      </c>
      <c r="C1612">
        <v>24.82662200927734</v>
      </c>
      <c r="D1612">
        <f>_xlfn.XLOOKUP(B1612, Oil_Price!A:A, Oil_Price!B:B, "")</f>
        <v>90.279998779296875</v>
      </c>
      <c r="E1612">
        <f t="shared" si="100"/>
        <v>-1.915430835356683E-2</v>
      </c>
      <c r="F1612">
        <f t="shared" si="101"/>
        <v>-1.0087699558448777E-2</v>
      </c>
      <c r="G1612">
        <f t="shared" si="102"/>
        <v>-0.48482322692871094</v>
      </c>
      <c r="H1612">
        <f t="shared" si="103"/>
        <v>-0.9199981689453125</v>
      </c>
    </row>
    <row r="1613" spans="1:8" x14ac:dyDescent="0.2">
      <c r="A1613" t="s">
        <v>12</v>
      </c>
      <c r="B1613" s="2">
        <v>45190</v>
      </c>
      <c r="C1613">
        <v>24.305206298828121</v>
      </c>
      <c r="D1613">
        <f>_xlfn.XLOOKUP(B1613, Oil_Price!A:A, Oil_Price!B:B, "")</f>
        <v>89.629997253417969</v>
      </c>
      <c r="E1613">
        <f t="shared" si="100"/>
        <v>-2.1002281754415621E-2</v>
      </c>
      <c r="F1613">
        <f t="shared" si="101"/>
        <v>-7.1998397725717006E-3</v>
      </c>
      <c r="G1613">
        <f t="shared" si="102"/>
        <v>-0.52141571044921875</v>
      </c>
      <c r="H1613">
        <f t="shared" si="103"/>
        <v>-0.65000152587890625</v>
      </c>
    </row>
    <row r="1614" spans="1:8" x14ac:dyDescent="0.2">
      <c r="A1614" t="s">
        <v>12</v>
      </c>
      <c r="B1614" s="2">
        <v>45191</v>
      </c>
      <c r="C1614">
        <v>24.369241714477539</v>
      </c>
      <c r="D1614">
        <f>_xlfn.XLOOKUP(B1614, Oil_Price!A:A, Oil_Price!B:B, "")</f>
        <v>90.029998779296875</v>
      </c>
      <c r="E1614">
        <f t="shared" si="100"/>
        <v>2.6346378163638585E-3</v>
      </c>
      <c r="F1614">
        <f t="shared" si="101"/>
        <v>4.4628086370230536E-3</v>
      </c>
      <c r="G1614">
        <f t="shared" si="102"/>
        <v>6.4035415649417615E-2</v>
      </c>
      <c r="H1614">
        <f t="shared" si="103"/>
        <v>0.40000152587890625</v>
      </c>
    </row>
    <row r="1615" spans="1:8" x14ac:dyDescent="0.2">
      <c r="A1615" t="s">
        <v>12</v>
      </c>
      <c r="B1615" s="2">
        <v>45194</v>
      </c>
      <c r="C1615">
        <v>24.872354507446289</v>
      </c>
      <c r="D1615">
        <f>_xlfn.XLOOKUP(B1615, Oil_Price!A:A, Oil_Price!B:B, "")</f>
        <v>89.680000305175781</v>
      </c>
      <c r="E1615">
        <f t="shared" si="100"/>
        <v>2.0645402054913158E-2</v>
      </c>
      <c r="F1615">
        <f t="shared" si="101"/>
        <v>-3.8875761286978794E-3</v>
      </c>
      <c r="G1615">
        <f t="shared" si="102"/>
        <v>0.50311279296875</v>
      </c>
      <c r="H1615">
        <f t="shared" si="103"/>
        <v>-0.34999847412109375</v>
      </c>
    </row>
    <row r="1616" spans="1:8" x14ac:dyDescent="0.2">
      <c r="A1616" t="s">
        <v>12</v>
      </c>
      <c r="B1616" s="2">
        <v>45195</v>
      </c>
      <c r="C1616">
        <v>25.165081024169918</v>
      </c>
      <c r="D1616">
        <f>_xlfn.XLOOKUP(B1616, Oil_Price!A:A, Oil_Price!B:B, "")</f>
        <v>90.389999389648438</v>
      </c>
      <c r="E1616">
        <f t="shared" si="100"/>
        <v>1.1769151836268366E-2</v>
      </c>
      <c r="F1616">
        <f t="shared" si="101"/>
        <v>7.9170281228431207E-3</v>
      </c>
      <c r="G1616">
        <f t="shared" si="102"/>
        <v>0.29272651672362926</v>
      </c>
      <c r="H1616">
        <f t="shared" si="103"/>
        <v>0.70999908447265625</v>
      </c>
    </row>
    <row r="1617" spans="1:8" x14ac:dyDescent="0.2">
      <c r="A1617" t="s">
        <v>12</v>
      </c>
      <c r="B1617" s="2">
        <v>45196</v>
      </c>
      <c r="C1617">
        <v>25.91518592834473</v>
      </c>
      <c r="D1617">
        <f>_xlfn.XLOOKUP(B1617, Oil_Price!A:A, Oil_Price!B:B, "")</f>
        <v>93.680000305175781</v>
      </c>
      <c r="E1617">
        <f t="shared" si="100"/>
        <v>2.9807370914258932E-2</v>
      </c>
      <c r="F1617">
        <f t="shared" si="101"/>
        <v>3.6397841992950805E-2</v>
      </c>
      <c r="G1617">
        <f t="shared" si="102"/>
        <v>0.75010490417481179</v>
      </c>
      <c r="H1617">
        <f t="shared" si="103"/>
        <v>3.2900009155273438</v>
      </c>
    </row>
    <row r="1618" spans="1:8" x14ac:dyDescent="0.2">
      <c r="A1618" t="s">
        <v>12</v>
      </c>
      <c r="B1618" s="2">
        <v>45197</v>
      </c>
      <c r="C1618">
        <v>26.03410720825195</v>
      </c>
      <c r="D1618">
        <f>_xlfn.XLOOKUP(B1618, Oil_Price!A:A, Oil_Price!B:B, "")</f>
        <v>91.709999084472656</v>
      </c>
      <c r="E1618">
        <f t="shared" si="100"/>
        <v>4.5888646230837701E-3</v>
      </c>
      <c r="F1618">
        <f t="shared" si="101"/>
        <v>-2.1029047974867304E-2</v>
      </c>
      <c r="G1618">
        <f t="shared" si="102"/>
        <v>0.11892127990721946</v>
      </c>
      <c r="H1618">
        <f t="shared" si="103"/>
        <v>-1.970001220703125</v>
      </c>
    </row>
    <row r="1619" spans="1:8" x14ac:dyDescent="0.2">
      <c r="A1619" t="s">
        <v>12</v>
      </c>
      <c r="B1619" s="2">
        <v>45198</v>
      </c>
      <c r="C1619">
        <v>25.86944580078125</v>
      </c>
      <c r="D1619">
        <f>_xlfn.XLOOKUP(B1619, Oil_Price!A:A, Oil_Price!B:B, "")</f>
        <v>90.790000915527344</v>
      </c>
      <c r="E1619">
        <f t="shared" si="100"/>
        <v>-6.3248340399592179E-3</v>
      </c>
      <c r="F1619">
        <f t="shared" si="101"/>
        <v>-1.0031601549771214E-2</v>
      </c>
      <c r="G1619">
        <f t="shared" si="102"/>
        <v>-0.16466140747069957</v>
      </c>
      <c r="H1619">
        <f t="shared" si="103"/>
        <v>-0.9199981689453125</v>
      </c>
    </row>
    <row r="1620" spans="1:8" x14ac:dyDescent="0.2">
      <c r="A1620" t="s">
        <v>12</v>
      </c>
      <c r="B1620" s="2">
        <v>45201</v>
      </c>
      <c r="C1620">
        <v>25.137636184692379</v>
      </c>
      <c r="D1620">
        <f>_xlfn.XLOOKUP(B1620, Oil_Price!A:A, Oil_Price!B:B, "")</f>
        <v>88.819999694824219</v>
      </c>
      <c r="E1620">
        <f t="shared" si="100"/>
        <v>-2.8288569524236591E-2</v>
      </c>
      <c r="F1620">
        <f t="shared" si="101"/>
        <v>-2.1698438163207528E-2</v>
      </c>
      <c r="G1620">
        <f t="shared" si="102"/>
        <v>-0.73180961608887074</v>
      </c>
      <c r="H1620">
        <f t="shared" si="103"/>
        <v>-1.970001220703125</v>
      </c>
    </row>
    <row r="1621" spans="1:8" x14ac:dyDescent="0.2">
      <c r="A1621" t="s">
        <v>12</v>
      </c>
      <c r="B1621" s="2">
        <v>45202</v>
      </c>
      <c r="C1621">
        <v>25.101047515869141</v>
      </c>
      <c r="D1621">
        <f>_xlfn.XLOOKUP(B1621, Oil_Price!A:A, Oil_Price!B:B, "")</f>
        <v>89.230003356933594</v>
      </c>
      <c r="E1621">
        <f t="shared" si="100"/>
        <v>-1.4555333904275132E-3</v>
      </c>
      <c r="F1621">
        <f t="shared" si="101"/>
        <v>4.6161187065762513E-3</v>
      </c>
      <c r="G1621">
        <f t="shared" si="102"/>
        <v>-3.6588668823238635E-2</v>
      </c>
      <c r="H1621">
        <f t="shared" si="103"/>
        <v>0.410003662109375</v>
      </c>
    </row>
    <row r="1622" spans="1:8" x14ac:dyDescent="0.2">
      <c r="A1622" t="s">
        <v>12</v>
      </c>
      <c r="B1622" s="2">
        <v>45203</v>
      </c>
      <c r="C1622">
        <v>24.085664749145511</v>
      </c>
      <c r="D1622">
        <f>_xlfn.XLOOKUP(B1622, Oil_Price!A:A, Oil_Price!B:B, "")</f>
        <v>84.220001220703125</v>
      </c>
      <c r="E1622">
        <f t="shared" si="100"/>
        <v>-4.045180847857819E-2</v>
      </c>
      <c r="F1622">
        <f t="shared" si="101"/>
        <v>-5.6147057578712599E-2</v>
      </c>
      <c r="G1622">
        <f t="shared" si="102"/>
        <v>-1.0153827667236293</v>
      </c>
      <c r="H1622">
        <f t="shared" si="103"/>
        <v>-5.0100021362304688</v>
      </c>
    </row>
    <row r="1623" spans="1:8" x14ac:dyDescent="0.2">
      <c r="A1623" t="s">
        <v>12</v>
      </c>
      <c r="B1623" s="2">
        <v>45204</v>
      </c>
      <c r="C1623">
        <v>24.030776977539059</v>
      </c>
      <c r="D1623">
        <f>_xlfn.XLOOKUP(B1623, Oil_Price!A:A, Oil_Price!B:B, "")</f>
        <v>82.30999755859375</v>
      </c>
      <c r="E1623">
        <f t="shared" si="100"/>
        <v>-2.2788564143075883E-3</v>
      </c>
      <c r="F1623">
        <f t="shared" si="101"/>
        <v>-2.2678741800348658E-2</v>
      </c>
      <c r="G1623">
        <f t="shared" si="102"/>
        <v>-5.4887771606452418E-2</v>
      </c>
      <c r="H1623">
        <f t="shared" si="103"/>
        <v>-1.910003662109375</v>
      </c>
    </row>
    <row r="1624" spans="1:8" x14ac:dyDescent="0.2">
      <c r="A1624" t="s">
        <v>12</v>
      </c>
      <c r="B1624" s="2">
        <v>45205</v>
      </c>
      <c r="C1624">
        <v>24.241176605224609</v>
      </c>
      <c r="D1624">
        <f>_xlfn.XLOOKUP(B1624, Oil_Price!A:A, Oil_Price!B:B, "")</f>
        <v>82.790000915527344</v>
      </c>
      <c r="E1624">
        <f t="shared" si="100"/>
        <v>8.7554234256431024E-3</v>
      </c>
      <c r="F1624">
        <f t="shared" si="101"/>
        <v>5.8316531547931991E-3</v>
      </c>
      <c r="G1624">
        <f t="shared" si="102"/>
        <v>0.21039962768555043</v>
      </c>
      <c r="H1624">
        <f t="shared" si="103"/>
        <v>0.48000335693359375</v>
      </c>
    </row>
    <row r="1625" spans="1:8" x14ac:dyDescent="0.2">
      <c r="A1625" t="s">
        <v>12</v>
      </c>
      <c r="B1625" s="2">
        <v>45209</v>
      </c>
      <c r="C1625">
        <v>25.24741172790527</v>
      </c>
      <c r="D1625">
        <f>_xlfn.XLOOKUP(B1625, Oil_Price!A:A, Oil_Price!B:B, "")</f>
        <v>85.970001220703125</v>
      </c>
      <c r="E1625">
        <f t="shared" si="100"/>
        <v>4.1509335089939092E-2</v>
      </c>
      <c r="F1625">
        <f t="shared" si="101"/>
        <v>3.8410439304384272E-2</v>
      </c>
      <c r="G1625">
        <f t="shared" si="102"/>
        <v>1.0062351226806605</v>
      </c>
      <c r="H1625">
        <f t="shared" si="103"/>
        <v>3.1800003051757812</v>
      </c>
    </row>
    <row r="1626" spans="1:8" x14ac:dyDescent="0.2">
      <c r="A1626" t="s">
        <v>12</v>
      </c>
      <c r="B1626" s="2">
        <v>45210</v>
      </c>
      <c r="C1626">
        <v>25.47609901428223</v>
      </c>
      <c r="D1626">
        <f>_xlfn.XLOOKUP(B1626, Oil_Price!A:A, Oil_Price!B:B, "")</f>
        <v>83.489997863769531</v>
      </c>
      <c r="E1626">
        <f t="shared" si="100"/>
        <v>9.0578507152160263E-3</v>
      </c>
      <c r="F1626">
        <f t="shared" si="101"/>
        <v>-2.884731094241702E-2</v>
      </c>
      <c r="G1626">
        <f t="shared" si="102"/>
        <v>0.22868728637696023</v>
      </c>
      <c r="H1626">
        <f t="shared" si="103"/>
        <v>-2.4800033569335938</v>
      </c>
    </row>
    <row r="1627" spans="1:8" x14ac:dyDescent="0.2">
      <c r="A1627" t="s">
        <v>12</v>
      </c>
      <c r="B1627" s="2">
        <v>45211</v>
      </c>
      <c r="C1627">
        <v>25.695644378662109</v>
      </c>
      <c r="D1627">
        <f>_xlfn.XLOOKUP(B1627, Oil_Price!A:A, Oil_Price!B:B, "")</f>
        <v>82.910003662109375</v>
      </c>
      <c r="E1627">
        <f t="shared" si="100"/>
        <v>8.617699446716677E-3</v>
      </c>
      <c r="F1627">
        <f t="shared" si="101"/>
        <v>-6.9468704814980549E-3</v>
      </c>
      <c r="G1627">
        <f t="shared" si="102"/>
        <v>0.21954536437987926</v>
      </c>
      <c r="H1627">
        <f t="shared" si="103"/>
        <v>-0.57999420166015625</v>
      </c>
    </row>
    <row r="1628" spans="1:8" x14ac:dyDescent="0.2">
      <c r="A1628" t="s">
        <v>12</v>
      </c>
      <c r="B1628" s="2">
        <v>45212</v>
      </c>
      <c r="C1628">
        <v>26.35427284240723</v>
      </c>
      <c r="D1628">
        <f>_xlfn.XLOOKUP(B1628, Oil_Price!A:A, Oil_Price!B:B, "")</f>
        <v>87.69000244140625</v>
      </c>
      <c r="E1628">
        <f t="shared" si="100"/>
        <v>2.5631910764302594E-2</v>
      </c>
      <c r="F1628">
        <f t="shared" si="101"/>
        <v>5.7652859343454328E-2</v>
      </c>
      <c r="G1628">
        <f t="shared" si="102"/>
        <v>0.65862846374512074</v>
      </c>
      <c r="H1628">
        <f t="shared" si="103"/>
        <v>4.779998779296875</v>
      </c>
    </row>
    <row r="1629" spans="1:8" x14ac:dyDescent="0.2">
      <c r="A1629" t="s">
        <v>12</v>
      </c>
      <c r="B1629" s="2">
        <v>45215</v>
      </c>
      <c r="C1629">
        <v>26.15302658081055</v>
      </c>
      <c r="D1629">
        <f>_xlfn.XLOOKUP(B1629, Oil_Price!A:A, Oil_Price!B:B, "")</f>
        <v>86.660003662109375</v>
      </c>
      <c r="E1629">
        <f t="shared" si="100"/>
        <v>-7.6361910191978426E-3</v>
      </c>
      <c r="F1629">
        <f t="shared" si="101"/>
        <v>-1.1745908890641346E-2</v>
      </c>
      <c r="G1629">
        <f t="shared" si="102"/>
        <v>-0.20124626159667969</v>
      </c>
      <c r="H1629">
        <f t="shared" si="103"/>
        <v>-1.029998779296875</v>
      </c>
    </row>
    <row r="1630" spans="1:8" x14ac:dyDescent="0.2">
      <c r="A1630" t="s">
        <v>12</v>
      </c>
      <c r="B1630" s="2">
        <v>45216</v>
      </c>
      <c r="C1630">
        <v>26.335979461669918</v>
      </c>
      <c r="D1630">
        <f>_xlfn.XLOOKUP(B1630, Oil_Price!A:A, Oil_Price!B:B, "")</f>
        <v>86.660003662109375</v>
      </c>
      <c r="E1630">
        <f t="shared" si="100"/>
        <v>6.9954764238876746E-3</v>
      </c>
      <c r="F1630">
        <f t="shared" si="101"/>
        <v>0</v>
      </c>
      <c r="G1630">
        <f t="shared" si="102"/>
        <v>0.18295288085936789</v>
      </c>
      <c r="H1630">
        <f t="shared" si="103"/>
        <v>0</v>
      </c>
    </row>
    <row r="1631" spans="1:8" x14ac:dyDescent="0.2">
      <c r="A1631" t="s">
        <v>12</v>
      </c>
      <c r="B1631" s="2">
        <v>45217</v>
      </c>
      <c r="C1631">
        <v>26.57381439208984</v>
      </c>
      <c r="D1631">
        <f>_xlfn.XLOOKUP(B1631, Oil_Price!A:A, Oil_Price!B:B, "")</f>
        <v>88.319999694824219</v>
      </c>
      <c r="E1631">
        <f t="shared" si="100"/>
        <v>9.030798750662497E-3</v>
      </c>
      <c r="F1631">
        <f t="shared" si="101"/>
        <v>1.9155273050613188E-2</v>
      </c>
      <c r="G1631">
        <f t="shared" si="102"/>
        <v>0.23783493041992188</v>
      </c>
      <c r="H1631">
        <f t="shared" si="103"/>
        <v>1.6599960327148438</v>
      </c>
    </row>
    <row r="1632" spans="1:8" x14ac:dyDescent="0.2">
      <c r="A1632" t="s">
        <v>12</v>
      </c>
      <c r="B1632" s="2">
        <v>45218</v>
      </c>
      <c r="C1632">
        <v>26.55551910400391</v>
      </c>
      <c r="D1632">
        <f>_xlfn.XLOOKUP(B1632, Oil_Price!A:A, Oil_Price!B:B, "")</f>
        <v>89.370002746582031</v>
      </c>
      <c r="E1632">
        <f t="shared" si="100"/>
        <v>-6.8847053027420503E-4</v>
      </c>
      <c r="F1632">
        <f t="shared" si="101"/>
        <v>1.188862155101825E-2</v>
      </c>
      <c r="G1632">
        <f t="shared" si="102"/>
        <v>-1.8295288085930395E-2</v>
      </c>
      <c r="H1632">
        <f t="shared" si="103"/>
        <v>1.0500030517578125</v>
      </c>
    </row>
    <row r="1633" spans="1:8" x14ac:dyDescent="0.2">
      <c r="A1633" t="s">
        <v>12</v>
      </c>
      <c r="B1633" s="2">
        <v>45219</v>
      </c>
      <c r="C1633">
        <v>25.906038284301761</v>
      </c>
      <c r="D1633">
        <f>_xlfn.XLOOKUP(B1633, Oil_Price!A:A, Oil_Price!B:B, "")</f>
        <v>88.75</v>
      </c>
      <c r="E1633">
        <f t="shared" si="100"/>
        <v>-2.4457470296795025E-2</v>
      </c>
      <c r="F1633">
        <f t="shared" si="101"/>
        <v>-6.9374815657118616E-3</v>
      </c>
      <c r="G1633">
        <f t="shared" si="102"/>
        <v>-0.64948081970214844</v>
      </c>
      <c r="H1633">
        <f t="shared" si="103"/>
        <v>-0.62000274658203125</v>
      </c>
    </row>
    <row r="1634" spans="1:8" x14ac:dyDescent="0.2">
      <c r="A1634" t="s">
        <v>12</v>
      </c>
      <c r="B1634" s="2">
        <v>45222</v>
      </c>
      <c r="C1634">
        <v>25.30229568481445</v>
      </c>
      <c r="D1634">
        <f>_xlfn.XLOOKUP(B1634, Oil_Price!A:A, Oil_Price!B:B, "")</f>
        <v>85.489997863769531</v>
      </c>
      <c r="E1634">
        <f t="shared" si="100"/>
        <v>-2.330509176515657E-2</v>
      </c>
      <c r="F1634">
        <f t="shared" si="101"/>
        <v>-3.6732418436399648E-2</v>
      </c>
      <c r="G1634">
        <f t="shared" si="102"/>
        <v>-0.60374259948731179</v>
      </c>
      <c r="H1634">
        <f t="shared" si="103"/>
        <v>-3.2600021362304688</v>
      </c>
    </row>
    <row r="1635" spans="1:8" x14ac:dyDescent="0.2">
      <c r="A1635" t="s">
        <v>12</v>
      </c>
      <c r="B1635" s="2">
        <v>45223</v>
      </c>
      <c r="C1635">
        <v>24.70770263671875</v>
      </c>
      <c r="D1635">
        <f>_xlfn.XLOOKUP(B1635, Oil_Price!A:A, Oil_Price!B:B, "")</f>
        <v>83.739997863769531</v>
      </c>
      <c r="E1635">
        <f t="shared" si="100"/>
        <v>-2.3499569189389936E-2</v>
      </c>
      <c r="F1635">
        <f t="shared" si="101"/>
        <v>-2.0470230947819992E-2</v>
      </c>
      <c r="G1635">
        <f t="shared" si="102"/>
        <v>-0.59459304809569957</v>
      </c>
      <c r="H1635">
        <f t="shared" si="103"/>
        <v>-1.75</v>
      </c>
    </row>
    <row r="1636" spans="1:8" x14ac:dyDescent="0.2">
      <c r="A1636" t="s">
        <v>12</v>
      </c>
      <c r="B1636" s="2">
        <v>45224</v>
      </c>
      <c r="C1636">
        <v>25.000423431396481</v>
      </c>
      <c r="D1636">
        <f>_xlfn.XLOOKUP(B1636, Oil_Price!A:A, Oil_Price!B:B, "")</f>
        <v>85.389999389648438</v>
      </c>
      <c r="E1636">
        <f t="shared" si="100"/>
        <v>1.1847349750871251E-2</v>
      </c>
      <c r="F1636">
        <f t="shared" si="101"/>
        <v>1.9703863959528313E-2</v>
      </c>
      <c r="G1636">
        <f t="shared" si="102"/>
        <v>0.29272079467773082</v>
      </c>
      <c r="H1636">
        <f t="shared" si="103"/>
        <v>1.6500015258789062</v>
      </c>
    </row>
    <row r="1637" spans="1:8" x14ac:dyDescent="0.2">
      <c r="A1637" t="s">
        <v>12</v>
      </c>
      <c r="B1637" s="2">
        <v>45225</v>
      </c>
      <c r="C1637">
        <v>24.7625846862793</v>
      </c>
      <c r="D1637">
        <f>_xlfn.XLOOKUP(B1637, Oil_Price!A:A, Oil_Price!B:B, "")</f>
        <v>83.209999084472656</v>
      </c>
      <c r="E1637">
        <f t="shared" si="100"/>
        <v>-9.5133886739891555E-3</v>
      </c>
      <c r="F1637">
        <f t="shared" si="101"/>
        <v>-2.5529925292868148E-2</v>
      </c>
      <c r="G1637">
        <f t="shared" si="102"/>
        <v>-0.23783874511718039</v>
      </c>
      <c r="H1637">
        <f t="shared" si="103"/>
        <v>-2.1800003051757812</v>
      </c>
    </row>
    <row r="1638" spans="1:8" x14ac:dyDescent="0.2">
      <c r="A1638" t="s">
        <v>12</v>
      </c>
      <c r="B1638" s="2">
        <v>45226</v>
      </c>
      <c r="C1638">
        <v>24.51560211181641</v>
      </c>
      <c r="D1638">
        <f>_xlfn.XLOOKUP(B1638, Oil_Price!A:A, Oil_Price!B:B, "")</f>
        <v>85.540000915527344</v>
      </c>
      <c r="E1638">
        <f t="shared" si="100"/>
        <v>-9.9740224048477932E-3</v>
      </c>
      <c r="F1638">
        <f t="shared" si="101"/>
        <v>2.800146444767208E-2</v>
      </c>
      <c r="G1638">
        <f t="shared" si="102"/>
        <v>-0.24698257446289062</v>
      </c>
      <c r="H1638">
        <f t="shared" si="103"/>
        <v>2.3300018310546875</v>
      </c>
    </row>
    <row r="1639" spans="1:8" x14ac:dyDescent="0.2">
      <c r="A1639" t="s">
        <v>12</v>
      </c>
      <c r="B1639" s="2">
        <v>45229</v>
      </c>
      <c r="C1639">
        <v>24.195436477661129</v>
      </c>
      <c r="D1639">
        <f>_xlfn.XLOOKUP(B1639, Oil_Price!A:A, Oil_Price!B:B, "")</f>
        <v>82.30999755859375</v>
      </c>
      <c r="E1639">
        <f t="shared" si="100"/>
        <v>-1.3059668397904131E-2</v>
      </c>
      <c r="F1639">
        <f t="shared" si="101"/>
        <v>-3.7760151068075086E-2</v>
      </c>
      <c r="G1639">
        <f t="shared" si="102"/>
        <v>-0.32016563415528054</v>
      </c>
      <c r="H1639">
        <f t="shared" si="103"/>
        <v>-3.2300033569335938</v>
      </c>
    </row>
    <row r="1640" spans="1:8" x14ac:dyDescent="0.2">
      <c r="A1640" t="s">
        <v>12</v>
      </c>
      <c r="B1640" s="2">
        <v>45230</v>
      </c>
      <c r="C1640">
        <v>24.16799163818359</v>
      </c>
      <c r="D1640">
        <f>_xlfn.XLOOKUP(B1640, Oil_Price!A:A, Oil_Price!B:B, "")</f>
        <v>81.019996643066406</v>
      </c>
      <c r="E1640">
        <f t="shared" si="100"/>
        <v>-1.1342981765539962E-3</v>
      </c>
      <c r="F1640">
        <f t="shared" si="101"/>
        <v>-1.5672469369337971E-2</v>
      </c>
      <c r="G1640">
        <f t="shared" si="102"/>
        <v>-2.7444839477539062E-2</v>
      </c>
      <c r="H1640">
        <f t="shared" si="103"/>
        <v>-1.2900009155273438</v>
      </c>
    </row>
    <row r="1641" spans="1:8" x14ac:dyDescent="0.2">
      <c r="A1641" t="s">
        <v>12</v>
      </c>
      <c r="B1641" s="2">
        <v>45231</v>
      </c>
      <c r="C1641">
        <v>24.113107681274411</v>
      </c>
      <c r="D1641">
        <f>_xlfn.XLOOKUP(B1641, Oil_Price!A:A, Oil_Price!B:B, "")</f>
        <v>80.44000244140625</v>
      </c>
      <c r="E1641">
        <f t="shared" si="100"/>
        <v>-2.2709357786464641E-3</v>
      </c>
      <c r="F1641">
        <f t="shared" si="101"/>
        <v>-7.1586549702701259E-3</v>
      </c>
      <c r="G1641">
        <f t="shared" si="102"/>
        <v>-5.4883956909179688E-2</v>
      </c>
      <c r="H1641">
        <f t="shared" si="103"/>
        <v>-0.57999420166015625</v>
      </c>
    </row>
    <row r="1642" spans="1:8" x14ac:dyDescent="0.2">
      <c r="A1642" t="s">
        <v>12</v>
      </c>
      <c r="B1642" s="2">
        <v>45232</v>
      </c>
      <c r="C1642">
        <v>24.469865798950199</v>
      </c>
      <c r="D1642">
        <f>_xlfn.XLOOKUP(B1642, Oil_Price!A:A, Oil_Price!B:B, "")</f>
        <v>82.459999084472656</v>
      </c>
      <c r="E1642">
        <f t="shared" si="100"/>
        <v>1.4795194480586884E-2</v>
      </c>
      <c r="F1642">
        <f t="shared" si="101"/>
        <v>2.5111842140206338E-2</v>
      </c>
      <c r="G1642">
        <f t="shared" si="102"/>
        <v>0.35675811767578836</v>
      </c>
      <c r="H1642">
        <f t="shared" si="103"/>
        <v>2.0199966430664062</v>
      </c>
    </row>
    <row r="1643" spans="1:8" x14ac:dyDescent="0.2">
      <c r="A1643" t="s">
        <v>12</v>
      </c>
      <c r="B1643" s="2">
        <v>45233</v>
      </c>
      <c r="C1643">
        <v>23.911855697631839</v>
      </c>
      <c r="D1643">
        <f>_xlfn.XLOOKUP(B1643, Oil_Price!A:A, Oil_Price!B:B, "")</f>
        <v>80.510002136230469</v>
      </c>
      <c r="E1643">
        <f t="shared" si="100"/>
        <v>-2.2803970643038796E-2</v>
      </c>
      <c r="F1643">
        <f t="shared" si="101"/>
        <v>-2.3647792504152172E-2</v>
      </c>
      <c r="G1643">
        <f t="shared" si="102"/>
        <v>-0.55801010131835938</v>
      </c>
      <c r="H1643">
        <f t="shared" si="103"/>
        <v>-1.9499969482421875</v>
      </c>
    </row>
    <row r="1644" spans="1:8" x14ac:dyDescent="0.2">
      <c r="A1644" t="s">
        <v>12</v>
      </c>
      <c r="B1644" s="2">
        <v>45236</v>
      </c>
      <c r="C1644">
        <v>23.573394775390621</v>
      </c>
      <c r="D1644">
        <f>_xlfn.XLOOKUP(B1644, Oil_Price!A:A, Oil_Price!B:B, "")</f>
        <v>80.819999694824219</v>
      </c>
      <c r="E1644">
        <f t="shared" si="100"/>
        <v>-1.4154523451508543E-2</v>
      </c>
      <c r="F1644">
        <f t="shared" si="101"/>
        <v>3.8504229334040394E-3</v>
      </c>
      <c r="G1644">
        <f t="shared" si="102"/>
        <v>-0.33846092224121804</v>
      </c>
      <c r="H1644">
        <f t="shared" si="103"/>
        <v>0.30999755859375</v>
      </c>
    </row>
    <row r="1645" spans="1:8" x14ac:dyDescent="0.2">
      <c r="A1645" t="s">
        <v>12</v>
      </c>
      <c r="B1645" s="2">
        <v>45237</v>
      </c>
      <c r="C1645">
        <v>22.512273788452148</v>
      </c>
      <c r="D1645">
        <f>_xlfn.XLOOKUP(B1645, Oil_Price!A:A, Oil_Price!B:B, "")</f>
        <v>77.370002746582031</v>
      </c>
      <c r="E1645">
        <f t="shared" si="100"/>
        <v>-4.5013499203187625E-2</v>
      </c>
      <c r="F1645">
        <f t="shared" si="101"/>
        <v>-4.2687416001847972E-2</v>
      </c>
      <c r="G1645">
        <f t="shared" si="102"/>
        <v>-1.061120986938473</v>
      </c>
      <c r="H1645">
        <f t="shared" si="103"/>
        <v>-3.4499969482421875</v>
      </c>
    </row>
    <row r="1646" spans="1:8" x14ac:dyDescent="0.2">
      <c r="A1646" t="s">
        <v>12</v>
      </c>
      <c r="B1646" s="2">
        <v>45238</v>
      </c>
      <c r="C1646">
        <v>22.109781265258789</v>
      </c>
      <c r="D1646">
        <f>_xlfn.XLOOKUP(B1646, Oil_Price!A:A, Oil_Price!B:B, "")</f>
        <v>75.330001831054688</v>
      </c>
      <c r="E1646">
        <f t="shared" si="100"/>
        <v>-1.7878803668415811E-2</v>
      </c>
      <c r="F1646">
        <f t="shared" si="101"/>
        <v>-2.6366819737736982E-2</v>
      </c>
      <c r="G1646">
        <f t="shared" si="102"/>
        <v>-0.40249252319335938</v>
      </c>
      <c r="H1646">
        <f t="shared" si="103"/>
        <v>-2.0400009155273438</v>
      </c>
    </row>
    <row r="1647" spans="1:8" x14ac:dyDescent="0.2">
      <c r="A1647" t="s">
        <v>12</v>
      </c>
      <c r="B1647" s="2">
        <v>45239</v>
      </c>
      <c r="C1647">
        <v>22.13722038269043</v>
      </c>
      <c r="D1647">
        <f>_xlfn.XLOOKUP(B1647, Oil_Price!A:A, Oil_Price!B:B, "")</f>
        <v>75.739997863769531</v>
      </c>
      <c r="E1647">
        <f t="shared" si="100"/>
        <v>1.2410397507982519E-3</v>
      </c>
      <c r="F1647">
        <f t="shared" si="101"/>
        <v>5.442665906664341E-3</v>
      </c>
      <c r="G1647">
        <f t="shared" si="102"/>
        <v>2.7439117431640625E-2</v>
      </c>
      <c r="H1647">
        <f t="shared" si="103"/>
        <v>0.40999603271484375</v>
      </c>
    </row>
    <row r="1648" spans="1:8" x14ac:dyDescent="0.2">
      <c r="A1648" t="s">
        <v>12</v>
      </c>
      <c r="B1648" s="2">
        <v>45240</v>
      </c>
      <c r="C1648">
        <v>22.795854568481449</v>
      </c>
      <c r="D1648">
        <f>_xlfn.XLOOKUP(B1648, Oil_Price!A:A, Oil_Price!B:B, "")</f>
        <v>77.169998168945312</v>
      </c>
      <c r="E1648">
        <f t="shared" si="100"/>
        <v>2.975234353749396E-2</v>
      </c>
      <c r="F1648">
        <f t="shared" si="101"/>
        <v>1.8880384809989895E-2</v>
      </c>
      <c r="G1648">
        <f t="shared" si="102"/>
        <v>0.65863418579101918</v>
      </c>
      <c r="H1648">
        <f t="shared" si="103"/>
        <v>1.4300003051757812</v>
      </c>
    </row>
    <row r="1649" spans="1:8" x14ac:dyDescent="0.2">
      <c r="A1649" t="s">
        <v>12</v>
      </c>
      <c r="B1649" s="2">
        <v>45243</v>
      </c>
      <c r="C1649">
        <v>22.905622482299801</v>
      </c>
      <c r="D1649">
        <f>_xlfn.XLOOKUP(B1649, Oil_Price!A:A, Oil_Price!B:B, "")</f>
        <v>78.260002136230469</v>
      </c>
      <c r="E1649">
        <f t="shared" si="100"/>
        <v>4.815257681548917E-3</v>
      </c>
      <c r="F1649">
        <f t="shared" si="101"/>
        <v>1.4124711586734166E-2</v>
      </c>
      <c r="G1649">
        <f t="shared" si="102"/>
        <v>0.10976791381835227</v>
      </c>
      <c r="H1649">
        <f t="shared" si="103"/>
        <v>1.0900039672851562</v>
      </c>
    </row>
    <row r="1650" spans="1:8" x14ac:dyDescent="0.2">
      <c r="A1650" t="s">
        <v>12</v>
      </c>
      <c r="B1650" s="2">
        <v>45244</v>
      </c>
      <c r="C1650">
        <v>22.814146041870121</v>
      </c>
      <c r="D1650">
        <f>_xlfn.XLOOKUP(B1650, Oil_Price!A:A, Oil_Price!B:B, "")</f>
        <v>78.260002136230469</v>
      </c>
      <c r="E1650">
        <f t="shared" si="100"/>
        <v>-3.9936238580884813E-3</v>
      </c>
      <c r="F1650">
        <f t="shared" si="101"/>
        <v>0</v>
      </c>
      <c r="G1650">
        <f t="shared" si="102"/>
        <v>-9.1476440429680395E-2</v>
      </c>
      <c r="H1650">
        <f t="shared" si="103"/>
        <v>0</v>
      </c>
    </row>
    <row r="1651" spans="1:8" x14ac:dyDescent="0.2">
      <c r="A1651" t="s">
        <v>12</v>
      </c>
      <c r="B1651" s="2">
        <v>45245</v>
      </c>
      <c r="C1651">
        <v>22.420797348022461</v>
      </c>
      <c r="D1651">
        <f>_xlfn.XLOOKUP(B1651, Oil_Price!A:A, Oil_Price!B:B, "")</f>
        <v>76.660003662109375</v>
      </c>
      <c r="E1651">
        <f t="shared" si="100"/>
        <v>-1.7241438409562149E-2</v>
      </c>
      <c r="F1651">
        <f t="shared" si="101"/>
        <v>-2.0444651551834989E-2</v>
      </c>
      <c r="G1651">
        <f t="shared" si="102"/>
        <v>-0.3933486938476598</v>
      </c>
      <c r="H1651">
        <f t="shared" si="103"/>
        <v>-1.5999984741210938</v>
      </c>
    </row>
    <row r="1652" spans="1:8" x14ac:dyDescent="0.2">
      <c r="A1652" t="s">
        <v>12</v>
      </c>
      <c r="B1652" s="2">
        <v>45246</v>
      </c>
      <c r="C1652">
        <v>21.98171234130859</v>
      </c>
      <c r="D1652">
        <f>_xlfn.XLOOKUP(B1652, Oil_Price!A:A, Oil_Price!B:B, "")</f>
        <v>72.900001525878906</v>
      </c>
      <c r="E1652">
        <f t="shared" si="100"/>
        <v>-1.9583826565052937E-2</v>
      </c>
      <c r="F1652">
        <f t="shared" si="101"/>
        <v>-4.9047768805272306E-2</v>
      </c>
      <c r="G1652">
        <f t="shared" si="102"/>
        <v>-0.43908500671387074</v>
      </c>
      <c r="H1652">
        <f t="shared" si="103"/>
        <v>-3.7600021362304688</v>
      </c>
    </row>
    <row r="1653" spans="1:8" x14ac:dyDescent="0.2">
      <c r="A1653" t="s">
        <v>12</v>
      </c>
      <c r="B1653" s="2">
        <v>45247</v>
      </c>
      <c r="C1653">
        <v>22.686077117919918</v>
      </c>
      <c r="D1653">
        <f>_xlfn.XLOOKUP(B1653, Oil_Price!A:A, Oil_Price!B:B, "")</f>
        <v>75.889999389648438</v>
      </c>
      <c r="E1653">
        <f t="shared" si="100"/>
        <v>3.2043216910252623E-2</v>
      </c>
      <c r="F1653">
        <f t="shared" si="101"/>
        <v>4.1015059001173082E-2</v>
      </c>
      <c r="G1653">
        <f t="shared" si="102"/>
        <v>0.70436477661132812</v>
      </c>
      <c r="H1653">
        <f t="shared" si="103"/>
        <v>2.9899978637695312</v>
      </c>
    </row>
    <row r="1654" spans="1:8" x14ac:dyDescent="0.2">
      <c r="A1654" t="s">
        <v>12</v>
      </c>
      <c r="B1654" s="2">
        <v>45250</v>
      </c>
      <c r="C1654">
        <v>22.795854568481449</v>
      </c>
      <c r="D1654">
        <f>_xlfn.XLOOKUP(B1654, Oil_Price!A:A, Oil_Price!B:B, "")</f>
        <v>77.599998474121094</v>
      </c>
      <c r="E1654">
        <f t="shared" si="100"/>
        <v>4.838978990987227E-3</v>
      </c>
      <c r="F1654">
        <f t="shared" si="101"/>
        <v>2.253260110983614E-2</v>
      </c>
      <c r="G1654">
        <f t="shared" si="102"/>
        <v>0.10977745056153054</v>
      </c>
      <c r="H1654">
        <f t="shared" si="103"/>
        <v>1.7099990844726562</v>
      </c>
    </row>
    <row r="1655" spans="1:8" x14ac:dyDescent="0.2">
      <c r="A1655" t="s">
        <v>12</v>
      </c>
      <c r="B1655" s="2">
        <v>45251</v>
      </c>
      <c r="C1655">
        <v>22.50312614440918</v>
      </c>
      <c r="D1655">
        <f>_xlfn.XLOOKUP(B1655, Oil_Price!A:A, Oil_Price!B:B, "")</f>
        <v>77.769996643066406</v>
      </c>
      <c r="E1655">
        <f t="shared" si="100"/>
        <v>-1.2841300737065079E-2</v>
      </c>
      <c r="F1655">
        <f t="shared" si="101"/>
        <v>2.1906980964955221E-3</v>
      </c>
      <c r="G1655">
        <f t="shared" si="102"/>
        <v>-0.29272842407226918</v>
      </c>
      <c r="H1655">
        <f t="shared" si="103"/>
        <v>0.1699981689453125</v>
      </c>
    </row>
    <row r="1656" spans="1:8" x14ac:dyDescent="0.2">
      <c r="A1656" t="s">
        <v>12</v>
      </c>
      <c r="B1656" s="2">
        <v>45252</v>
      </c>
      <c r="C1656">
        <v>21.935979843139648</v>
      </c>
      <c r="D1656">
        <f>_xlfn.XLOOKUP(B1656, Oil_Price!A:A, Oil_Price!B:B, "")</f>
        <v>77.099998474121094</v>
      </c>
      <c r="E1656">
        <f t="shared" si="100"/>
        <v>-2.5203000580007712E-2</v>
      </c>
      <c r="F1656">
        <f t="shared" si="101"/>
        <v>-8.615124056393364E-3</v>
      </c>
      <c r="G1656">
        <f t="shared" si="102"/>
        <v>-0.56714630126953125</v>
      </c>
      <c r="H1656">
        <f t="shared" si="103"/>
        <v>-0.6699981689453125</v>
      </c>
    </row>
    <row r="1657" spans="1:8" x14ac:dyDescent="0.2">
      <c r="A1657" t="s">
        <v>12</v>
      </c>
      <c r="B1657" s="2">
        <v>45253</v>
      </c>
      <c r="C1657">
        <v>22.100631713867191</v>
      </c>
      <c r="D1657" t="str">
        <f>_xlfn.XLOOKUP(B1657, Oil_Price!A:A, Oil_Price!B:B, "")</f>
        <v/>
      </c>
      <c r="E1657">
        <f t="shared" si="100"/>
        <v>7.5060185095418269E-3</v>
      </c>
      <c r="F1657" t="str">
        <f t="shared" si="101"/>
        <v/>
      </c>
      <c r="G1657">
        <f t="shared" si="102"/>
        <v>0.16465187072754262</v>
      </c>
      <c r="H1657" t="str">
        <f t="shared" si="103"/>
        <v/>
      </c>
    </row>
    <row r="1658" spans="1:8" x14ac:dyDescent="0.2">
      <c r="A1658" t="s">
        <v>12</v>
      </c>
      <c r="B1658" s="2">
        <v>45254</v>
      </c>
      <c r="C1658">
        <v>22.03659820556641</v>
      </c>
      <c r="D1658">
        <f>_xlfn.XLOOKUP(B1658, Oil_Price!A:A, Oil_Price!B:B, "")</f>
        <v>75.540000915527344</v>
      </c>
      <c r="E1658">
        <f t="shared" si="100"/>
        <v>-2.8973609953693311E-3</v>
      </c>
      <c r="F1658" t="str">
        <f t="shared" si="101"/>
        <v/>
      </c>
      <c r="G1658">
        <f t="shared" si="102"/>
        <v>-6.403350830078125E-2</v>
      </c>
      <c r="H1658" t="str">
        <f t="shared" si="103"/>
        <v/>
      </c>
    </row>
    <row r="1659" spans="1:8" x14ac:dyDescent="0.2">
      <c r="A1659" t="s">
        <v>12</v>
      </c>
      <c r="B1659" s="2">
        <v>45257</v>
      </c>
      <c r="C1659">
        <v>21.826206207275391</v>
      </c>
      <c r="D1659">
        <f>_xlfn.XLOOKUP(B1659, Oil_Price!A:A, Oil_Price!B:B, "")</f>
        <v>74.860000610351562</v>
      </c>
      <c r="E1659">
        <f t="shared" si="100"/>
        <v>-9.5473900430727322E-3</v>
      </c>
      <c r="F1659">
        <f t="shared" si="101"/>
        <v>-9.0018572535654588E-3</v>
      </c>
      <c r="G1659">
        <f t="shared" si="102"/>
        <v>-0.21039199829101918</v>
      </c>
      <c r="H1659">
        <f t="shared" si="103"/>
        <v>-0.68000030517578125</v>
      </c>
    </row>
    <row r="1660" spans="1:8" x14ac:dyDescent="0.2">
      <c r="A1660" t="s">
        <v>12</v>
      </c>
      <c r="B1660" s="2">
        <v>45258</v>
      </c>
      <c r="C1660">
        <v>21.935979843139648</v>
      </c>
      <c r="D1660">
        <f>_xlfn.XLOOKUP(B1660, Oil_Price!A:A, Oil_Price!B:B, "")</f>
        <v>76.410003662109375</v>
      </c>
      <c r="E1660">
        <f t="shared" si="100"/>
        <v>5.0294418930059712E-3</v>
      </c>
      <c r="F1660">
        <f t="shared" si="101"/>
        <v>2.0705357188355134E-2</v>
      </c>
      <c r="G1660">
        <f t="shared" si="102"/>
        <v>0.10977363586425781</v>
      </c>
      <c r="H1660">
        <f t="shared" si="103"/>
        <v>1.5500030517578125</v>
      </c>
    </row>
    <row r="1661" spans="1:8" x14ac:dyDescent="0.2">
      <c r="A1661" t="s">
        <v>12</v>
      </c>
      <c r="B1661" s="2">
        <v>45259</v>
      </c>
      <c r="C1661">
        <v>21.96341514587402</v>
      </c>
      <c r="D1661">
        <f>_xlfn.XLOOKUP(B1661, Oil_Price!A:A, Oil_Price!B:B, "")</f>
        <v>77.860000610351562</v>
      </c>
      <c r="E1661">
        <f t="shared" si="100"/>
        <v>1.2506987575005308E-3</v>
      </c>
      <c r="F1661">
        <f t="shared" si="101"/>
        <v>1.8976532898155325E-2</v>
      </c>
      <c r="G1661">
        <f t="shared" si="102"/>
        <v>2.7435302734371447E-2</v>
      </c>
      <c r="H1661">
        <f t="shared" si="103"/>
        <v>1.4499969482421875</v>
      </c>
    </row>
    <row r="1662" spans="1:8" x14ac:dyDescent="0.2">
      <c r="A1662" t="s">
        <v>12</v>
      </c>
      <c r="B1662" s="2">
        <v>45260</v>
      </c>
      <c r="C1662">
        <v>22.018302917480469</v>
      </c>
      <c r="D1662">
        <f>_xlfn.XLOOKUP(B1662, Oil_Price!A:A, Oil_Price!B:B, "")</f>
        <v>75.959999084472656</v>
      </c>
      <c r="E1662">
        <f t="shared" si="100"/>
        <v>2.4990545068652456E-3</v>
      </c>
      <c r="F1662">
        <f t="shared" si="101"/>
        <v>-2.4402793616550515E-2</v>
      </c>
      <c r="G1662">
        <f t="shared" si="102"/>
        <v>5.4887771606448865E-2</v>
      </c>
      <c r="H1662">
        <f t="shared" si="103"/>
        <v>-1.9000015258789062</v>
      </c>
    </row>
    <row r="1663" spans="1:8" x14ac:dyDescent="0.2">
      <c r="A1663" t="s">
        <v>12</v>
      </c>
      <c r="B1663" s="2">
        <v>45261</v>
      </c>
      <c r="C1663">
        <v>21.871938705444339</v>
      </c>
      <c r="D1663">
        <f>_xlfn.XLOOKUP(B1663, Oil_Price!A:A, Oil_Price!B:B, "")</f>
        <v>74.069999694824219</v>
      </c>
      <c r="E1663">
        <f t="shared" si="100"/>
        <v>-6.6473884288298073E-3</v>
      </c>
      <c r="F1663">
        <f t="shared" si="101"/>
        <v>-2.488150885239783E-2</v>
      </c>
      <c r="G1663">
        <f t="shared" si="102"/>
        <v>-0.14636421203612926</v>
      </c>
      <c r="H1663">
        <f t="shared" si="103"/>
        <v>-1.8899993896484375</v>
      </c>
    </row>
    <row r="1664" spans="1:8" x14ac:dyDescent="0.2">
      <c r="A1664" t="s">
        <v>12</v>
      </c>
      <c r="B1664" s="2">
        <v>45264</v>
      </c>
      <c r="C1664">
        <v>21.259050369262699</v>
      </c>
      <c r="D1664">
        <f>_xlfn.XLOOKUP(B1664, Oil_Price!A:A, Oil_Price!B:B, "")</f>
        <v>73.040000915527344</v>
      </c>
      <c r="E1664">
        <f t="shared" si="100"/>
        <v>-2.8021674001357782E-2</v>
      </c>
      <c r="F1664">
        <f t="shared" si="101"/>
        <v>-1.3905748393959399E-2</v>
      </c>
      <c r="G1664">
        <f t="shared" si="102"/>
        <v>-0.61288833618164062</v>
      </c>
      <c r="H1664">
        <f t="shared" si="103"/>
        <v>-1.029998779296875</v>
      </c>
    </row>
    <row r="1665" spans="1:8" x14ac:dyDescent="0.2">
      <c r="A1665" t="s">
        <v>12</v>
      </c>
      <c r="B1665" s="2">
        <v>45265</v>
      </c>
      <c r="C1665">
        <v>20.774227142333981</v>
      </c>
      <c r="D1665">
        <f>_xlfn.XLOOKUP(B1665, Oil_Price!A:A, Oil_Price!B:B, "")</f>
        <v>72.319999694824219</v>
      </c>
      <c r="E1665">
        <f t="shared" si="100"/>
        <v>-2.280549782363268E-2</v>
      </c>
      <c r="F1665">
        <f t="shared" si="101"/>
        <v>-9.8576288564922818E-3</v>
      </c>
      <c r="G1665">
        <f t="shared" si="102"/>
        <v>-0.48482322692871804</v>
      </c>
      <c r="H1665">
        <f t="shared" si="103"/>
        <v>-0.720001220703125</v>
      </c>
    </row>
    <row r="1666" spans="1:8" x14ac:dyDescent="0.2">
      <c r="A1666" t="s">
        <v>12</v>
      </c>
      <c r="B1666" s="2">
        <v>45266</v>
      </c>
      <c r="C1666">
        <v>20.143045425415039</v>
      </c>
      <c r="D1666">
        <f>_xlfn.XLOOKUP(B1666, Oil_Price!A:A, Oil_Price!B:B, "")</f>
        <v>69.379997253417969</v>
      </c>
      <c r="E1666">
        <f t="shared" si="100"/>
        <v>-3.0382921713256506E-2</v>
      </c>
      <c r="F1666">
        <f t="shared" si="101"/>
        <v>-4.065268879718565E-2</v>
      </c>
      <c r="G1666">
        <f t="shared" si="102"/>
        <v>-0.63118171691894176</v>
      </c>
      <c r="H1666">
        <f t="shared" si="103"/>
        <v>-2.94000244140625</v>
      </c>
    </row>
    <row r="1667" spans="1:8" x14ac:dyDescent="0.2">
      <c r="A1667" t="s">
        <v>12</v>
      </c>
      <c r="B1667" s="2">
        <v>45267</v>
      </c>
      <c r="C1667">
        <v>19.95094108581543</v>
      </c>
      <c r="D1667">
        <f>_xlfn.XLOOKUP(B1667, Oil_Price!A:A, Oil_Price!B:B, "")</f>
        <v>69.339996337890625</v>
      </c>
      <c r="E1667">
        <f t="shared" ref="E1667:E1730" si="104">IFERROR(IF(AND(A1667=A1666, C1667&lt;&gt;"", C1666&lt;&gt;""), (C1667-C1666)/C1666, ""), "")</f>
        <v>-9.5370057279037853E-3</v>
      </c>
      <c r="F1667">
        <f t="shared" ref="F1667:F1730" si="105">IFERROR(IF(AND(A1667=A1666, D1667&lt;&gt;"", D1666&lt;&gt;""), (D1667-D1666)/D1666, ""), "")</f>
        <v>-5.7654824316634185E-4</v>
      </c>
      <c r="G1667">
        <f t="shared" ref="G1667:G1730" si="106">IFERROR(IF(AND(A1667=A1666, C1667&lt;&gt;"", C1666&lt;&gt;""), C1667-C1666, ""), "")</f>
        <v>-0.19210433959960938</v>
      </c>
      <c r="H1667">
        <f t="shared" ref="H1667:H1730" si="107">IFERROR(IF(AND(A1667=A1666, D1667&lt;&gt;"", D1666&lt;&gt;""), D1667-D1666, ""), "")</f>
        <v>-4.000091552734375E-2</v>
      </c>
    </row>
    <row r="1668" spans="1:8" x14ac:dyDescent="0.2">
      <c r="A1668" t="s">
        <v>12</v>
      </c>
      <c r="B1668" s="2">
        <v>45268</v>
      </c>
      <c r="C1668">
        <v>20.234518051147461</v>
      </c>
      <c r="D1668">
        <f>_xlfn.XLOOKUP(B1668, Oil_Price!A:A, Oil_Price!B:B, "")</f>
        <v>71.230003356933594</v>
      </c>
      <c r="E1668">
        <f t="shared" si="104"/>
        <v>1.4213713734719345E-2</v>
      </c>
      <c r="F1668">
        <f t="shared" si="105"/>
        <v>2.7257097185772135E-2</v>
      </c>
      <c r="G1668">
        <f t="shared" si="106"/>
        <v>0.28357696533203125</v>
      </c>
      <c r="H1668">
        <f t="shared" si="107"/>
        <v>1.8900070190429688</v>
      </c>
    </row>
    <row r="1669" spans="1:8" x14ac:dyDescent="0.2">
      <c r="A1669" t="s">
        <v>12</v>
      </c>
      <c r="B1669" s="2">
        <v>45271</v>
      </c>
      <c r="C1669">
        <v>20.069866180419918</v>
      </c>
      <c r="D1669">
        <f>_xlfn.XLOOKUP(B1669, Oil_Price!A:A, Oil_Price!B:B, "")</f>
        <v>71.319999694824219</v>
      </c>
      <c r="E1669">
        <f t="shared" si="104"/>
        <v>-8.1371777826062686E-3</v>
      </c>
      <c r="F1669">
        <f t="shared" si="105"/>
        <v>1.2634610929281203E-3</v>
      </c>
      <c r="G1669">
        <f t="shared" si="106"/>
        <v>-0.16465187072754262</v>
      </c>
      <c r="H1669">
        <f t="shared" si="107"/>
        <v>8.9996337890625E-2</v>
      </c>
    </row>
    <row r="1670" spans="1:8" x14ac:dyDescent="0.2">
      <c r="A1670" t="s">
        <v>12</v>
      </c>
      <c r="B1670" s="2">
        <v>45272</v>
      </c>
      <c r="C1670">
        <v>19.585039138793949</v>
      </c>
      <c r="D1670">
        <f>_xlfn.XLOOKUP(B1670, Oil_Price!A:A, Oil_Price!B:B, "")</f>
        <v>68.610000610351562</v>
      </c>
      <c r="E1670">
        <f t="shared" si="104"/>
        <v>-2.4156964339850196E-2</v>
      </c>
      <c r="F1670">
        <f t="shared" si="105"/>
        <v>-3.799774391571295E-2</v>
      </c>
      <c r="G1670">
        <f t="shared" si="106"/>
        <v>-0.48482704162596946</v>
      </c>
      <c r="H1670">
        <f t="shared" si="107"/>
        <v>-2.7099990844726562</v>
      </c>
    </row>
    <row r="1671" spans="1:8" x14ac:dyDescent="0.2">
      <c r="A1671" t="s">
        <v>12</v>
      </c>
      <c r="B1671" s="2">
        <v>45273</v>
      </c>
      <c r="C1671">
        <v>20.014974594116211</v>
      </c>
      <c r="D1671">
        <f>_xlfn.XLOOKUP(B1671, Oil_Price!A:A, Oil_Price!B:B, "")</f>
        <v>69.470001220703125</v>
      </c>
      <c r="E1671">
        <f t="shared" si="104"/>
        <v>2.1952238761200536E-2</v>
      </c>
      <c r="F1671">
        <f t="shared" si="105"/>
        <v>1.2534624729646331E-2</v>
      </c>
      <c r="G1671">
        <f t="shared" si="106"/>
        <v>0.42993545532226207</v>
      </c>
      <c r="H1671">
        <f t="shared" si="107"/>
        <v>0.8600006103515625</v>
      </c>
    </row>
    <row r="1672" spans="1:8" x14ac:dyDescent="0.2">
      <c r="A1672" t="s">
        <v>12</v>
      </c>
      <c r="B1672" s="2">
        <v>45274</v>
      </c>
      <c r="C1672">
        <v>20.641021728515621</v>
      </c>
      <c r="D1672">
        <f>_xlfn.XLOOKUP(B1672, Oil_Price!A:A, Oil_Price!B:B, "")</f>
        <v>71.580001831054688</v>
      </c>
      <c r="E1672">
        <f t="shared" si="104"/>
        <v>3.1278937250484903E-2</v>
      </c>
      <c r="F1672">
        <f t="shared" si="105"/>
        <v>3.0372831053337452E-2</v>
      </c>
      <c r="G1672">
        <f t="shared" si="106"/>
        <v>0.62604713439941051</v>
      </c>
      <c r="H1672">
        <f t="shared" si="107"/>
        <v>2.1100006103515625</v>
      </c>
    </row>
    <row r="1673" spans="1:8" x14ac:dyDescent="0.2">
      <c r="A1673" t="s">
        <v>12</v>
      </c>
      <c r="B1673" s="2">
        <v>45275</v>
      </c>
      <c r="C1673">
        <v>20.02418327331543</v>
      </c>
      <c r="D1673">
        <f>_xlfn.XLOOKUP(B1673, Oil_Price!A:A, Oil_Price!B:B, "")</f>
        <v>71.430000305175781</v>
      </c>
      <c r="E1673">
        <f t="shared" si="104"/>
        <v>-2.9884104736347811E-2</v>
      </c>
      <c r="F1673">
        <f t="shared" si="105"/>
        <v>-2.0955786817796465E-3</v>
      </c>
      <c r="G1673">
        <f t="shared" si="106"/>
        <v>-0.61683845520019176</v>
      </c>
      <c r="H1673">
        <f t="shared" si="107"/>
        <v>-0.15000152587890625</v>
      </c>
    </row>
    <row r="1674" spans="1:8" x14ac:dyDescent="0.2">
      <c r="A1674" t="s">
        <v>12</v>
      </c>
      <c r="B1674" s="2">
        <v>45278</v>
      </c>
      <c r="C1674">
        <v>20.217523574829102</v>
      </c>
      <c r="D1674">
        <f>_xlfn.XLOOKUP(B1674, Oil_Price!A:A, Oil_Price!B:B, "")</f>
        <v>72.470001220703125</v>
      </c>
      <c r="E1674">
        <f t="shared" si="104"/>
        <v>9.6553401891462144E-3</v>
      </c>
      <c r="F1674">
        <f t="shared" si="105"/>
        <v>1.4559721560745757E-2</v>
      </c>
      <c r="G1674">
        <f t="shared" si="106"/>
        <v>0.19334030151367188</v>
      </c>
      <c r="H1674">
        <f t="shared" si="107"/>
        <v>1.0400009155273438</v>
      </c>
    </row>
    <row r="1675" spans="1:8" x14ac:dyDescent="0.2">
      <c r="A1675" t="s">
        <v>12</v>
      </c>
      <c r="B1675" s="2">
        <v>45279</v>
      </c>
      <c r="C1675">
        <v>20.696262359619141</v>
      </c>
      <c r="D1675">
        <f>_xlfn.XLOOKUP(B1675, Oil_Price!A:A, Oil_Price!B:B, "")</f>
        <v>73.44000244140625</v>
      </c>
      <c r="E1675">
        <f t="shared" si="104"/>
        <v>2.3679397875715637E-2</v>
      </c>
      <c r="F1675">
        <f t="shared" si="105"/>
        <v>1.338486552179078E-2</v>
      </c>
      <c r="G1675">
        <f t="shared" si="106"/>
        <v>0.47873878479003906</v>
      </c>
      <c r="H1675">
        <f t="shared" si="107"/>
        <v>0.970001220703125</v>
      </c>
    </row>
    <row r="1676" spans="1:8" x14ac:dyDescent="0.2">
      <c r="A1676" t="s">
        <v>12</v>
      </c>
      <c r="B1676" s="2">
        <v>45280</v>
      </c>
      <c r="C1676">
        <v>20.34641265869141</v>
      </c>
      <c r="D1676">
        <f>_xlfn.XLOOKUP(B1676, Oil_Price!A:A, Oil_Price!B:B, "")</f>
        <v>74.220001220703125</v>
      </c>
      <c r="E1676">
        <f t="shared" si="104"/>
        <v>-1.6904003962103276E-2</v>
      </c>
      <c r="F1676">
        <f t="shared" si="105"/>
        <v>1.0620898057828815E-2</v>
      </c>
      <c r="G1676">
        <f t="shared" si="106"/>
        <v>-0.34984970092773082</v>
      </c>
      <c r="H1676">
        <f t="shared" si="107"/>
        <v>0.779998779296875</v>
      </c>
    </row>
    <row r="1677" spans="1:8" x14ac:dyDescent="0.2">
      <c r="A1677" t="s">
        <v>12</v>
      </c>
      <c r="B1677" s="2">
        <v>45281</v>
      </c>
      <c r="C1677">
        <v>20.374031066894531</v>
      </c>
      <c r="D1677">
        <f>_xlfn.XLOOKUP(B1677, Oil_Price!A:A, Oil_Price!B:B, "")</f>
        <v>73.889999389648438</v>
      </c>
      <c r="E1677">
        <f t="shared" si="104"/>
        <v>1.3574092232580197E-3</v>
      </c>
      <c r="F1677">
        <f t="shared" si="105"/>
        <v>-4.4462655029253208E-3</v>
      </c>
      <c r="G1677">
        <f t="shared" si="106"/>
        <v>2.7618408203121447E-2</v>
      </c>
      <c r="H1677">
        <f t="shared" si="107"/>
        <v>-0.3300018310546875</v>
      </c>
    </row>
    <row r="1678" spans="1:8" x14ac:dyDescent="0.2">
      <c r="A1678" t="s">
        <v>12</v>
      </c>
      <c r="B1678" s="2">
        <v>45282</v>
      </c>
      <c r="C1678">
        <v>20.401653289794918</v>
      </c>
      <c r="D1678">
        <f>_xlfn.XLOOKUP(B1678, Oil_Price!A:A, Oil_Price!B:B, "")</f>
        <v>73.55999755859375</v>
      </c>
      <c r="E1678">
        <f t="shared" si="104"/>
        <v>1.3557563944854303E-3</v>
      </c>
      <c r="F1678">
        <f t="shared" si="105"/>
        <v>-4.4661230718716022E-3</v>
      </c>
      <c r="G1678">
        <f t="shared" si="106"/>
        <v>2.7622222900387072E-2</v>
      </c>
      <c r="H1678">
        <f t="shared" si="107"/>
        <v>-0.3300018310546875</v>
      </c>
    </row>
    <row r="1679" spans="1:8" x14ac:dyDescent="0.2">
      <c r="A1679" t="s">
        <v>12</v>
      </c>
      <c r="B1679" s="2">
        <v>45287</v>
      </c>
      <c r="C1679">
        <v>20.57657432556152</v>
      </c>
      <c r="D1679">
        <f>_xlfn.XLOOKUP(B1679, Oil_Price!A:A, Oil_Price!B:B, "")</f>
        <v>74.110000610351562</v>
      </c>
      <c r="E1679">
        <f t="shared" si="104"/>
        <v>8.5738657197011858E-3</v>
      </c>
      <c r="F1679">
        <f t="shared" si="105"/>
        <v>7.476931348722668E-3</v>
      </c>
      <c r="G1679">
        <f t="shared" si="106"/>
        <v>0.17492103576660156</v>
      </c>
      <c r="H1679">
        <f t="shared" si="107"/>
        <v>0.5500030517578125</v>
      </c>
    </row>
    <row r="1680" spans="1:8" x14ac:dyDescent="0.2">
      <c r="A1680" t="s">
        <v>12</v>
      </c>
      <c r="B1680" s="2">
        <v>45288</v>
      </c>
      <c r="C1680">
        <v>20.30037689208984</v>
      </c>
      <c r="D1680">
        <f>_xlfn.XLOOKUP(B1680, Oil_Price!A:A, Oil_Price!B:B, "")</f>
        <v>71.769996643066406</v>
      </c>
      <c r="E1680">
        <f t="shared" si="104"/>
        <v>-1.342290651017501E-2</v>
      </c>
      <c r="F1680">
        <f t="shared" si="105"/>
        <v>-3.1574739549500262E-2</v>
      </c>
      <c r="G1680">
        <f t="shared" si="106"/>
        <v>-0.27619743347167969</v>
      </c>
      <c r="H1680">
        <f t="shared" si="107"/>
        <v>-2.3400039672851562</v>
      </c>
    </row>
    <row r="1681" spans="1:8" x14ac:dyDescent="0.2">
      <c r="A1681" t="s">
        <v>12</v>
      </c>
      <c r="B1681" s="2">
        <v>45289</v>
      </c>
      <c r="C1681">
        <v>20.327997207641602</v>
      </c>
      <c r="D1681">
        <f>_xlfn.XLOOKUP(B1681, Oil_Price!A:A, Oil_Price!B:B, "")</f>
        <v>71.650001525878906</v>
      </c>
      <c r="E1681">
        <f t="shared" si="104"/>
        <v>1.3605814167186119E-3</v>
      </c>
      <c r="F1681">
        <f t="shared" si="105"/>
        <v>-1.6719398467338865E-3</v>
      </c>
      <c r="G1681">
        <f t="shared" si="106"/>
        <v>2.7620315551761365E-2</v>
      </c>
      <c r="H1681">
        <f t="shared" si="107"/>
        <v>-0.1199951171875</v>
      </c>
    </row>
    <row r="1682" spans="1:8" x14ac:dyDescent="0.2">
      <c r="A1682" t="s">
        <v>12</v>
      </c>
      <c r="B1682" s="2">
        <v>45293</v>
      </c>
      <c r="C1682">
        <v>20.34641265869141</v>
      </c>
      <c r="D1682">
        <f>_xlfn.XLOOKUP(B1682, Oil_Price!A:A, Oil_Price!B:B, "")</f>
        <v>70.379997253417969</v>
      </c>
      <c r="E1682">
        <f t="shared" si="104"/>
        <v>9.0591566211380592E-4</v>
      </c>
      <c r="F1682">
        <f t="shared" si="105"/>
        <v>-1.7725111589875279E-2</v>
      </c>
      <c r="G1682">
        <f t="shared" si="106"/>
        <v>1.841545104980824E-2</v>
      </c>
      <c r="H1682">
        <f t="shared" si="107"/>
        <v>-1.2700042724609375</v>
      </c>
    </row>
    <row r="1683" spans="1:8" x14ac:dyDescent="0.2">
      <c r="A1683" t="s">
        <v>12</v>
      </c>
      <c r="B1683" s="2">
        <v>45294</v>
      </c>
      <c r="C1683">
        <v>20.90800666809082</v>
      </c>
      <c r="D1683">
        <f>_xlfn.XLOOKUP(B1683, Oil_Price!A:A, Oil_Price!B:B, "")</f>
        <v>72.699996948242188</v>
      </c>
      <c r="E1683">
        <f t="shared" si="104"/>
        <v>2.7601622891468953E-2</v>
      </c>
      <c r="F1683">
        <f t="shared" si="105"/>
        <v>3.2963907152064417E-2</v>
      </c>
      <c r="G1683">
        <f t="shared" si="106"/>
        <v>0.56159400939941051</v>
      </c>
      <c r="H1683">
        <f t="shared" si="107"/>
        <v>2.3199996948242188</v>
      </c>
    </row>
    <row r="1684" spans="1:8" x14ac:dyDescent="0.2">
      <c r="A1684" t="s">
        <v>12</v>
      </c>
      <c r="B1684" s="2">
        <v>45295</v>
      </c>
      <c r="C1684">
        <v>20.162282943725589</v>
      </c>
      <c r="D1684">
        <f>_xlfn.XLOOKUP(B1684, Oil_Price!A:A, Oil_Price!B:B, "")</f>
        <v>72.19000244140625</v>
      </c>
      <c r="E1684">
        <f t="shared" si="104"/>
        <v>-3.5666897194142004E-2</v>
      </c>
      <c r="F1684">
        <f t="shared" si="105"/>
        <v>-7.0150554091360064E-3</v>
      </c>
      <c r="G1684">
        <f t="shared" si="106"/>
        <v>-0.74572372436523082</v>
      </c>
      <c r="H1684">
        <f t="shared" si="107"/>
        <v>-0.5099945068359375</v>
      </c>
    </row>
    <row r="1685" spans="1:8" x14ac:dyDescent="0.2">
      <c r="A1685" t="s">
        <v>12</v>
      </c>
      <c r="B1685" s="2">
        <v>45296</v>
      </c>
      <c r="C1685">
        <v>20.291172027587891</v>
      </c>
      <c r="D1685">
        <f>_xlfn.XLOOKUP(B1685, Oil_Price!A:A, Oil_Price!B:B, "")</f>
        <v>73.80999755859375</v>
      </c>
      <c r="E1685">
        <f t="shared" si="104"/>
        <v>6.3925838270418095E-3</v>
      </c>
      <c r="F1685">
        <f t="shared" si="105"/>
        <v>2.2440712874367687E-2</v>
      </c>
      <c r="G1685">
        <f t="shared" si="106"/>
        <v>0.12888908386230113</v>
      </c>
      <c r="H1685">
        <f t="shared" si="107"/>
        <v>1.6199951171875</v>
      </c>
    </row>
    <row r="1686" spans="1:8" x14ac:dyDescent="0.2">
      <c r="A1686" t="s">
        <v>12</v>
      </c>
      <c r="B1686" s="2">
        <v>45299</v>
      </c>
      <c r="C1686">
        <v>20.02418327331543</v>
      </c>
      <c r="D1686">
        <f>_xlfn.XLOOKUP(B1686, Oil_Price!A:A, Oil_Price!B:B, "")</f>
        <v>70.769996643066406</v>
      </c>
      <c r="E1686">
        <f t="shared" si="104"/>
        <v>-1.315787742124816E-2</v>
      </c>
      <c r="F1686">
        <f t="shared" si="105"/>
        <v>-4.1186844818875003E-2</v>
      </c>
      <c r="G1686">
        <f t="shared" si="106"/>
        <v>-0.26698875427246094</v>
      </c>
      <c r="H1686">
        <f t="shared" si="107"/>
        <v>-3.0400009155273438</v>
      </c>
    </row>
    <row r="1687" spans="1:8" x14ac:dyDescent="0.2">
      <c r="A1687" t="s">
        <v>12</v>
      </c>
      <c r="B1687" s="2">
        <v>45300</v>
      </c>
      <c r="C1687">
        <v>19.9321174621582</v>
      </c>
      <c r="D1687">
        <f>_xlfn.XLOOKUP(B1687, Oil_Price!A:A, Oil_Price!B:B, "")</f>
        <v>72.239997863769531</v>
      </c>
      <c r="E1687">
        <f t="shared" si="104"/>
        <v>-4.5977311484118599E-3</v>
      </c>
      <c r="F1687">
        <f t="shared" si="105"/>
        <v>2.0771531587279599E-2</v>
      </c>
      <c r="G1687">
        <f t="shared" si="106"/>
        <v>-9.2065811157230115E-2</v>
      </c>
      <c r="H1687">
        <f t="shared" si="107"/>
        <v>1.470001220703125</v>
      </c>
    </row>
    <row r="1688" spans="1:8" x14ac:dyDescent="0.2">
      <c r="A1688" t="s">
        <v>12</v>
      </c>
      <c r="B1688" s="2">
        <v>45301</v>
      </c>
      <c r="C1688">
        <v>19.876876831054691</v>
      </c>
      <c r="D1688">
        <f>_xlfn.XLOOKUP(B1688, Oil_Price!A:A, Oil_Price!B:B, "")</f>
        <v>71.370002746582031</v>
      </c>
      <c r="E1688">
        <f t="shared" si="104"/>
        <v>-2.7714381679911694E-3</v>
      </c>
      <c r="F1688">
        <f t="shared" si="105"/>
        <v>-1.204312213336634E-2</v>
      </c>
      <c r="G1688">
        <f t="shared" si="106"/>
        <v>-5.524063110350852E-2</v>
      </c>
      <c r="H1688">
        <f t="shared" si="107"/>
        <v>-0.8699951171875</v>
      </c>
    </row>
    <row r="1689" spans="1:8" x14ac:dyDescent="0.2">
      <c r="A1689" t="s">
        <v>12</v>
      </c>
      <c r="B1689" s="2">
        <v>45302</v>
      </c>
      <c r="C1689">
        <v>19.59147834777832</v>
      </c>
      <c r="D1689">
        <f>_xlfn.XLOOKUP(B1689, Oil_Price!A:A, Oil_Price!B:B, "")</f>
        <v>72.019996643066406</v>
      </c>
      <c r="E1689">
        <f t="shared" si="104"/>
        <v>-1.4358316233588452E-2</v>
      </c>
      <c r="F1689">
        <f t="shared" si="105"/>
        <v>9.1073822540311405E-3</v>
      </c>
      <c r="G1689">
        <f t="shared" si="106"/>
        <v>-0.28539848327637074</v>
      </c>
      <c r="H1689">
        <f t="shared" si="107"/>
        <v>0.649993896484375</v>
      </c>
    </row>
    <row r="1690" spans="1:8" x14ac:dyDescent="0.2">
      <c r="A1690" t="s">
        <v>12</v>
      </c>
      <c r="B1690" s="2">
        <v>45303</v>
      </c>
      <c r="C1690">
        <v>19.260042190551761</v>
      </c>
      <c r="D1690">
        <f>_xlfn.XLOOKUP(B1690, Oil_Price!A:A, Oil_Price!B:B, "")</f>
        <v>72.680000305175781</v>
      </c>
      <c r="E1690">
        <f t="shared" si="104"/>
        <v>-1.6917363322107026E-2</v>
      </c>
      <c r="F1690">
        <f t="shared" si="105"/>
        <v>9.1641723531365321E-3</v>
      </c>
      <c r="G1690">
        <f t="shared" si="106"/>
        <v>-0.33143615722655895</v>
      </c>
      <c r="H1690">
        <f t="shared" si="107"/>
        <v>0.660003662109375</v>
      </c>
    </row>
    <row r="1691" spans="1:8" x14ac:dyDescent="0.2">
      <c r="A1691" t="s">
        <v>12</v>
      </c>
      <c r="B1691" s="2">
        <v>45306</v>
      </c>
      <c r="C1691">
        <v>19.444173812866211</v>
      </c>
      <c r="D1691" t="str">
        <f>_xlfn.XLOOKUP(B1691, Oil_Price!A:A, Oil_Price!B:B, "")</f>
        <v/>
      </c>
      <c r="E1691">
        <f t="shared" si="104"/>
        <v>9.5602917424956364E-3</v>
      </c>
      <c r="F1691" t="str">
        <f t="shared" si="105"/>
        <v/>
      </c>
      <c r="G1691">
        <f t="shared" si="106"/>
        <v>0.18413162231444957</v>
      </c>
      <c r="H1691" t="str">
        <f t="shared" si="107"/>
        <v/>
      </c>
    </row>
    <row r="1692" spans="1:8" x14ac:dyDescent="0.2">
      <c r="A1692" t="s">
        <v>12</v>
      </c>
      <c r="B1692" s="2">
        <v>45307</v>
      </c>
      <c r="C1692">
        <v>19.002256393432621</v>
      </c>
      <c r="D1692">
        <f>_xlfn.XLOOKUP(B1692, Oil_Price!A:A, Oil_Price!B:B, "")</f>
        <v>72.400001525878906</v>
      </c>
      <c r="E1692">
        <f t="shared" si="104"/>
        <v>-2.2727497896628212E-2</v>
      </c>
      <c r="F1692" t="str">
        <f t="shared" si="105"/>
        <v/>
      </c>
      <c r="G1692">
        <f t="shared" si="106"/>
        <v>-0.4419174194335902</v>
      </c>
      <c r="H1692" t="str">
        <f t="shared" si="107"/>
        <v/>
      </c>
    </row>
    <row r="1693" spans="1:8" x14ac:dyDescent="0.2">
      <c r="A1693" t="s">
        <v>12</v>
      </c>
      <c r="B1693" s="2">
        <v>45308</v>
      </c>
      <c r="C1693">
        <v>18.52352142333984</v>
      </c>
      <c r="D1693">
        <f>_xlfn.XLOOKUP(B1693, Oil_Price!A:A, Oil_Price!B:B, "")</f>
        <v>72.55999755859375</v>
      </c>
      <c r="E1693">
        <f t="shared" si="104"/>
        <v>-2.5193585444844138E-2</v>
      </c>
      <c r="F1693">
        <f t="shared" si="105"/>
        <v>2.2098899080499911E-3</v>
      </c>
      <c r="G1693">
        <f t="shared" si="106"/>
        <v>-0.47873497009278054</v>
      </c>
      <c r="H1693">
        <f t="shared" si="107"/>
        <v>0.15999603271484375</v>
      </c>
    </row>
    <row r="1694" spans="1:8" x14ac:dyDescent="0.2">
      <c r="A1694" t="s">
        <v>12</v>
      </c>
      <c r="B1694" s="2">
        <v>45309</v>
      </c>
      <c r="C1694">
        <v>18.514316558837891</v>
      </c>
      <c r="D1694">
        <f>_xlfn.XLOOKUP(B1694, Oil_Price!A:A, Oil_Price!B:B, "")</f>
        <v>74.080001831054688</v>
      </c>
      <c r="E1694">
        <f t="shared" si="104"/>
        <v>-4.9692843447959856E-4</v>
      </c>
      <c r="F1694">
        <f t="shared" si="105"/>
        <v>2.094824040248212E-2</v>
      </c>
      <c r="G1694">
        <f t="shared" si="106"/>
        <v>-9.2048645019495723E-3</v>
      </c>
      <c r="H1694">
        <f t="shared" si="107"/>
        <v>1.5200042724609375</v>
      </c>
    </row>
    <row r="1695" spans="1:8" x14ac:dyDescent="0.2">
      <c r="A1695" t="s">
        <v>12</v>
      </c>
      <c r="B1695" s="2">
        <v>45310</v>
      </c>
      <c r="C1695">
        <v>18.468278884887699</v>
      </c>
      <c r="D1695">
        <f>_xlfn.XLOOKUP(B1695, Oil_Price!A:A, Oil_Price!B:B, "")</f>
        <v>73.410003662109375</v>
      </c>
      <c r="E1695">
        <f t="shared" si="104"/>
        <v>-2.4865986170154075E-3</v>
      </c>
      <c r="F1695">
        <f t="shared" si="105"/>
        <v>-9.0442515170733439E-3</v>
      </c>
      <c r="G1695">
        <f t="shared" si="106"/>
        <v>-4.603767395019176E-2</v>
      </c>
      <c r="H1695">
        <f t="shared" si="107"/>
        <v>-0.6699981689453125</v>
      </c>
    </row>
    <row r="1696" spans="1:8" x14ac:dyDescent="0.2">
      <c r="A1696" t="s">
        <v>12</v>
      </c>
      <c r="B1696" s="2">
        <v>45313</v>
      </c>
      <c r="C1696">
        <v>18.606378555297852</v>
      </c>
      <c r="D1696">
        <f>_xlfn.XLOOKUP(B1696, Oil_Price!A:A, Oil_Price!B:B, "")</f>
        <v>75.19000244140625</v>
      </c>
      <c r="E1696">
        <f t="shared" si="104"/>
        <v>7.4776686702060511E-3</v>
      </c>
      <c r="F1696">
        <f t="shared" si="105"/>
        <v>2.4247359903288256E-2</v>
      </c>
      <c r="G1696">
        <f t="shared" si="106"/>
        <v>0.1380996704101527</v>
      </c>
      <c r="H1696">
        <f t="shared" si="107"/>
        <v>1.779998779296875</v>
      </c>
    </row>
    <row r="1697" spans="1:8" x14ac:dyDescent="0.2">
      <c r="A1697" t="s">
        <v>12</v>
      </c>
      <c r="B1697" s="2">
        <v>45314</v>
      </c>
      <c r="C1697">
        <v>18.790508270263668</v>
      </c>
      <c r="D1697">
        <f>_xlfn.XLOOKUP(B1697, Oil_Price!A:A, Oil_Price!B:B, "")</f>
        <v>74.370002746582031</v>
      </c>
      <c r="E1697">
        <f t="shared" si="104"/>
        <v>9.8960533571101038E-3</v>
      </c>
      <c r="F1697">
        <f t="shared" si="105"/>
        <v>-1.0905701133115731E-2</v>
      </c>
      <c r="G1697">
        <f t="shared" si="106"/>
        <v>0.18412971496581676</v>
      </c>
      <c r="H1697">
        <f t="shared" si="107"/>
        <v>-0.81999969482421875</v>
      </c>
    </row>
    <row r="1698" spans="1:8" x14ac:dyDescent="0.2">
      <c r="A1698" t="s">
        <v>12</v>
      </c>
      <c r="B1698" s="2">
        <v>45315</v>
      </c>
      <c r="C1698">
        <v>19.232421875</v>
      </c>
      <c r="D1698">
        <f>_xlfn.XLOOKUP(B1698, Oil_Price!A:A, Oil_Price!B:B, "")</f>
        <v>75.089996337890625</v>
      </c>
      <c r="E1698">
        <f t="shared" si="104"/>
        <v>2.3517916512969916E-2</v>
      </c>
      <c r="F1698">
        <f t="shared" si="105"/>
        <v>9.6812365835455601E-3</v>
      </c>
      <c r="G1698">
        <f t="shared" si="106"/>
        <v>0.44191360473633168</v>
      </c>
      <c r="H1698">
        <f t="shared" si="107"/>
        <v>0.71999359130859375</v>
      </c>
    </row>
    <row r="1699" spans="1:8" x14ac:dyDescent="0.2">
      <c r="A1699" t="s">
        <v>12</v>
      </c>
      <c r="B1699" s="2">
        <v>45316</v>
      </c>
      <c r="C1699">
        <v>19.674335479736332</v>
      </c>
      <c r="D1699">
        <f>_xlfn.XLOOKUP(B1699, Oil_Price!A:A, Oil_Price!B:B, "")</f>
        <v>77.360000610351562</v>
      </c>
      <c r="E1699">
        <f t="shared" si="104"/>
        <v>2.2977532814562995E-2</v>
      </c>
      <c r="F1699">
        <f t="shared" si="105"/>
        <v>3.0230448570623875E-2</v>
      </c>
      <c r="G1699">
        <f t="shared" si="106"/>
        <v>0.44191360473633168</v>
      </c>
      <c r="H1699">
        <f t="shared" si="107"/>
        <v>2.2700042724609375</v>
      </c>
    </row>
    <row r="1700" spans="1:8" x14ac:dyDescent="0.2">
      <c r="A1700" t="s">
        <v>12</v>
      </c>
      <c r="B1700" s="2">
        <v>45317</v>
      </c>
      <c r="C1700">
        <v>20.051803588867191</v>
      </c>
      <c r="D1700">
        <f>_xlfn.XLOOKUP(B1700, Oil_Price!A:A, Oil_Price!B:B, "")</f>
        <v>78.010002136230469</v>
      </c>
      <c r="E1700">
        <f t="shared" si="104"/>
        <v>1.9185812375703073E-2</v>
      </c>
      <c r="F1700">
        <f t="shared" si="105"/>
        <v>8.402294735658641E-3</v>
      </c>
      <c r="G1700">
        <f t="shared" si="106"/>
        <v>0.37746810913085938</v>
      </c>
      <c r="H1700">
        <f t="shared" si="107"/>
        <v>0.65000152587890625</v>
      </c>
    </row>
    <row r="1701" spans="1:8" x14ac:dyDescent="0.2">
      <c r="A1701" t="s">
        <v>12</v>
      </c>
      <c r="B1701" s="2">
        <v>45320</v>
      </c>
      <c r="C1701">
        <v>19.88608360290527</v>
      </c>
      <c r="D1701">
        <f>_xlfn.XLOOKUP(B1701, Oil_Price!A:A, Oil_Price!B:B, "")</f>
        <v>76.779998779296875</v>
      </c>
      <c r="E1701">
        <f t="shared" si="104"/>
        <v>-8.2645925204418661E-3</v>
      </c>
      <c r="F1701">
        <f t="shared" si="105"/>
        <v>-1.5767251932458783E-2</v>
      </c>
      <c r="G1701">
        <f t="shared" si="106"/>
        <v>-0.16571998596192117</v>
      </c>
      <c r="H1701">
        <f t="shared" si="107"/>
        <v>-1.2300033569335938</v>
      </c>
    </row>
    <row r="1702" spans="1:8" x14ac:dyDescent="0.2">
      <c r="A1702" t="s">
        <v>12</v>
      </c>
      <c r="B1702" s="2">
        <v>45321</v>
      </c>
      <c r="C1702">
        <v>20.281965255737301</v>
      </c>
      <c r="D1702">
        <f>_xlfn.XLOOKUP(B1702, Oil_Price!A:A, Oil_Price!B:B, "")</f>
        <v>77.819999694824219</v>
      </c>
      <c r="E1702">
        <f t="shared" si="104"/>
        <v>1.9907472015967723E-2</v>
      </c>
      <c r="F1702">
        <f t="shared" si="105"/>
        <v>1.3545206200338882E-2</v>
      </c>
      <c r="G1702">
        <f t="shared" si="106"/>
        <v>0.39588165283203125</v>
      </c>
      <c r="H1702">
        <f t="shared" si="107"/>
        <v>1.0400009155273438</v>
      </c>
    </row>
    <row r="1703" spans="1:8" x14ac:dyDescent="0.2">
      <c r="A1703" t="s">
        <v>12</v>
      </c>
      <c r="B1703" s="2">
        <v>45322</v>
      </c>
      <c r="C1703">
        <v>20.051803588867191</v>
      </c>
      <c r="D1703">
        <f>_xlfn.XLOOKUP(B1703, Oil_Price!A:A, Oil_Price!B:B, "")</f>
        <v>75.849998474121094</v>
      </c>
      <c r="E1703">
        <f t="shared" si="104"/>
        <v>-1.1348094919204275E-2</v>
      </c>
      <c r="F1703">
        <f t="shared" si="105"/>
        <v>-2.531484487829096E-2</v>
      </c>
      <c r="G1703">
        <f t="shared" si="106"/>
        <v>-0.23016166687011008</v>
      </c>
      <c r="H1703">
        <f t="shared" si="107"/>
        <v>-1.970001220703125</v>
      </c>
    </row>
    <row r="1704" spans="1:8" x14ac:dyDescent="0.2">
      <c r="A1704" t="s">
        <v>12</v>
      </c>
      <c r="B1704" s="2">
        <v>45323</v>
      </c>
      <c r="C1704">
        <v>19.89528846740723</v>
      </c>
      <c r="D1704">
        <f>_xlfn.XLOOKUP(B1704, Oil_Price!A:A, Oil_Price!B:B, "")</f>
        <v>73.819999694824219</v>
      </c>
      <c r="E1704">
        <f t="shared" si="104"/>
        <v>-7.8055383280763082E-3</v>
      </c>
      <c r="F1704">
        <f t="shared" si="105"/>
        <v>-2.6763333159320772E-2</v>
      </c>
      <c r="G1704">
        <f t="shared" si="106"/>
        <v>-0.15651512145996094</v>
      </c>
      <c r="H1704">
        <f t="shared" si="107"/>
        <v>-2.029998779296875</v>
      </c>
    </row>
    <row r="1705" spans="1:8" x14ac:dyDescent="0.2">
      <c r="A1705" t="s">
        <v>12</v>
      </c>
      <c r="B1705" s="2">
        <v>45324</v>
      </c>
      <c r="C1705">
        <v>19.637508392333981</v>
      </c>
      <c r="D1705">
        <f>_xlfn.XLOOKUP(B1705, Oil_Price!A:A, Oil_Price!B:B, "")</f>
        <v>72.279998779296875</v>
      </c>
      <c r="E1705">
        <f t="shared" si="104"/>
        <v>-1.295684028384653E-2</v>
      </c>
      <c r="F1705">
        <f t="shared" si="105"/>
        <v>-2.0861567622511366E-2</v>
      </c>
      <c r="G1705">
        <f t="shared" si="106"/>
        <v>-0.25778007507324929</v>
      </c>
      <c r="H1705">
        <f t="shared" si="107"/>
        <v>-1.5400009155273438</v>
      </c>
    </row>
    <row r="1706" spans="1:8" x14ac:dyDescent="0.2">
      <c r="A1706" t="s">
        <v>12</v>
      </c>
      <c r="B1706" s="2">
        <v>45327</v>
      </c>
      <c r="C1706">
        <v>19.628301620483398</v>
      </c>
      <c r="D1706">
        <f>_xlfn.XLOOKUP(B1706, Oil_Price!A:A, Oil_Price!B:B, "")</f>
        <v>72.779998779296875</v>
      </c>
      <c r="E1706">
        <f t="shared" si="104"/>
        <v>-4.6883604918923882E-4</v>
      </c>
      <c r="F1706">
        <f t="shared" si="105"/>
        <v>6.9175430055930598E-3</v>
      </c>
      <c r="G1706">
        <f t="shared" si="106"/>
        <v>-9.2067718505823848E-3</v>
      </c>
      <c r="H1706">
        <f t="shared" si="107"/>
        <v>0.5</v>
      </c>
    </row>
    <row r="1707" spans="1:8" x14ac:dyDescent="0.2">
      <c r="A1707" t="s">
        <v>12</v>
      </c>
      <c r="B1707" s="2">
        <v>45328</v>
      </c>
      <c r="C1707">
        <v>19.683542251586911</v>
      </c>
      <c r="D1707">
        <f>_xlfn.XLOOKUP(B1707, Oil_Price!A:A, Oil_Price!B:B, "")</f>
        <v>73.30999755859375</v>
      </c>
      <c r="E1707">
        <f t="shared" si="104"/>
        <v>2.8143357571938322E-3</v>
      </c>
      <c r="F1707">
        <f t="shared" si="105"/>
        <v>7.2822037398500121E-3</v>
      </c>
      <c r="G1707">
        <f t="shared" si="106"/>
        <v>5.5240631103512072E-2</v>
      </c>
      <c r="H1707">
        <f t="shared" si="107"/>
        <v>0.529998779296875</v>
      </c>
    </row>
    <row r="1708" spans="1:8" x14ac:dyDescent="0.2">
      <c r="A1708" t="s">
        <v>12</v>
      </c>
      <c r="B1708" s="2">
        <v>45329</v>
      </c>
      <c r="C1708">
        <v>19.738779067993161</v>
      </c>
      <c r="D1708">
        <f>_xlfn.XLOOKUP(B1708, Oil_Price!A:A, Oil_Price!B:B, "")</f>
        <v>73.860000610351562</v>
      </c>
      <c r="E1708">
        <f t="shared" si="104"/>
        <v>2.8062436984276416E-3</v>
      </c>
      <c r="F1708">
        <f t="shared" si="105"/>
        <v>7.5024290011497692E-3</v>
      </c>
      <c r="G1708">
        <f t="shared" si="106"/>
        <v>5.523681640625E-2</v>
      </c>
      <c r="H1708">
        <f t="shared" si="107"/>
        <v>0.5500030517578125</v>
      </c>
    </row>
    <row r="1709" spans="1:8" x14ac:dyDescent="0.2">
      <c r="A1709" t="s">
        <v>12</v>
      </c>
      <c r="B1709" s="2">
        <v>45330</v>
      </c>
      <c r="C1709">
        <v>20.19911003112793</v>
      </c>
      <c r="D1709">
        <f>_xlfn.XLOOKUP(B1709, Oil_Price!A:A, Oil_Price!B:B, "")</f>
        <v>76.220001220703125</v>
      </c>
      <c r="E1709">
        <f t="shared" si="104"/>
        <v>2.3321146741097344E-2</v>
      </c>
      <c r="F1709">
        <f t="shared" si="105"/>
        <v>3.1952350268743511E-2</v>
      </c>
      <c r="G1709">
        <f t="shared" si="106"/>
        <v>0.46033096313476918</v>
      </c>
      <c r="H1709">
        <f t="shared" si="107"/>
        <v>2.3600006103515625</v>
      </c>
    </row>
    <row r="1710" spans="1:8" x14ac:dyDescent="0.2">
      <c r="A1710" t="s">
        <v>12</v>
      </c>
      <c r="B1710" s="2">
        <v>45331</v>
      </c>
      <c r="C1710">
        <v>20.107040405273441</v>
      </c>
      <c r="D1710">
        <f>_xlfn.XLOOKUP(B1710, Oil_Price!A:A, Oil_Price!B:B, "")</f>
        <v>76.839996337890625</v>
      </c>
      <c r="E1710">
        <f t="shared" si="104"/>
        <v>-4.5581030903145891E-3</v>
      </c>
      <c r="F1710">
        <f t="shared" si="105"/>
        <v>8.1342837478083751E-3</v>
      </c>
      <c r="G1710">
        <f t="shared" si="106"/>
        <v>-9.2069625854488635E-2</v>
      </c>
      <c r="H1710">
        <f t="shared" si="107"/>
        <v>0.6199951171875</v>
      </c>
    </row>
    <row r="1711" spans="1:8" x14ac:dyDescent="0.2">
      <c r="A1711" t="s">
        <v>12</v>
      </c>
      <c r="B1711" s="2">
        <v>45334</v>
      </c>
      <c r="C1711">
        <v>20.512128829956051</v>
      </c>
      <c r="D1711">
        <f>_xlfn.XLOOKUP(B1711, Oil_Price!A:A, Oil_Price!B:B, "")</f>
        <v>76.919998168945312</v>
      </c>
      <c r="E1711">
        <f t="shared" si="104"/>
        <v>2.0146596242795047E-2</v>
      </c>
      <c r="F1711">
        <f t="shared" si="105"/>
        <v>1.0411482934342324E-3</v>
      </c>
      <c r="G1711">
        <f t="shared" si="106"/>
        <v>0.40508842468261008</v>
      </c>
      <c r="H1711">
        <f t="shared" si="107"/>
        <v>8.00018310546875E-2</v>
      </c>
    </row>
    <row r="1712" spans="1:8" x14ac:dyDescent="0.2">
      <c r="A1712" t="s">
        <v>12</v>
      </c>
      <c r="B1712" s="2">
        <v>45335</v>
      </c>
      <c r="C1712">
        <v>20.263553619384769</v>
      </c>
      <c r="D1712">
        <f>_xlfn.XLOOKUP(B1712, Oil_Price!A:A, Oil_Price!B:B, "")</f>
        <v>77.870002746582031</v>
      </c>
      <c r="E1712">
        <f t="shared" si="104"/>
        <v>-1.2118450143910029E-2</v>
      </c>
      <c r="F1712">
        <f t="shared" si="105"/>
        <v>1.2350553825419374E-2</v>
      </c>
      <c r="G1712">
        <f t="shared" si="106"/>
        <v>-0.24857521057128196</v>
      </c>
      <c r="H1712">
        <f t="shared" si="107"/>
        <v>0.95000457763671875</v>
      </c>
    </row>
    <row r="1713" spans="1:8" x14ac:dyDescent="0.2">
      <c r="A1713" t="s">
        <v>12</v>
      </c>
      <c r="B1713" s="2">
        <v>45336</v>
      </c>
      <c r="C1713">
        <v>20.226726531982418</v>
      </c>
      <c r="D1713">
        <f>_xlfn.XLOOKUP(B1713, Oil_Price!A:A, Oil_Price!B:B, "")</f>
        <v>76.639999389648438</v>
      </c>
      <c r="E1713">
        <f t="shared" si="104"/>
        <v>-1.8174051844056056E-3</v>
      </c>
      <c r="F1713">
        <f t="shared" si="105"/>
        <v>-1.579559924938596E-2</v>
      </c>
      <c r="G1713">
        <f t="shared" si="106"/>
        <v>-3.6827087402350855E-2</v>
      </c>
      <c r="H1713">
        <f t="shared" si="107"/>
        <v>-1.2300033569335938</v>
      </c>
    </row>
    <row r="1714" spans="1:8" x14ac:dyDescent="0.2">
      <c r="A1714" t="s">
        <v>12</v>
      </c>
      <c r="B1714" s="2">
        <v>45337</v>
      </c>
      <c r="C1714">
        <v>21.64453125</v>
      </c>
      <c r="D1714">
        <f>_xlfn.XLOOKUP(B1714, Oil_Price!A:A, Oil_Price!B:B, "")</f>
        <v>78.029998779296875</v>
      </c>
      <c r="E1714">
        <f t="shared" si="104"/>
        <v>7.0095609182027285E-2</v>
      </c>
      <c r="F1714">
        <f t="shared" si="105"/>
        <v>1.8136735395592671E-2</v>
      </c>
      <c r="G1714">
        <f t="shared" si="106"/>
        <v>1.4178047180175817</v>
      </c>
      <c r="H1714">
        <f t="shared" si="107"/>
        <v>1.3899993896484375</v>
      </c>
    </row>
    <row r="1715" spans="1:8" x14ac:dyDescent="0.2">
      <c r="A1715" t="s">
        <v>12</v>
      </c>
      <c r="B1715" s="2">
        <v>45338</v>
      </c>
      <c r="C1715">
        <v>21.635320663452148</v>
      </c>
      <c r="D1715">
        <f>_xlfn.XLOOKUP(B1715, Oil_Price!A:A, Oil_Price!B:B, "")</f>
        <v>79.19000244140625</v>
      </c>
      <c r="E1715">
        <f t="shared" si="104"/>
        <v>-4.2553873962281177E-4</v>
      </c>
      <c r="F1715">
        <f t="shared" si="105"/>
        <v>1.4866124314449563E-2</v>
      </c>
      <c r="G1715">
        <f t="shared" si="106"/>
        <v>-9.2105865478515625E-3</v>
      </c>
      <c r="H1715">
        <f t="shared" si="107"/>
        <v>1.160003662109375</v>
      </c>
    </row>
    <row r="1716" spans="1:8" x14ac:dyDescent="0.2">
      <c r="A1716" t="s">
        <v>12</v>
      </c>
      <c r="B1716" s="2">
        <v>45342</v>
      </c>
      <c r="C1716">
        <v>21.39595794677734</v>
      </c>
      <c r="D1716">
        <f>_xlfn.XLOOKUP(B1716, Oil_Price!A:A, Oil_Price!B:B, "")</f>
        <v>78.180000305175781</v>
      </c>
      <c r="E1716">
        <f t="shared" si="104"/>
        <v>-1.1063516016157597E-2</v>
      </c>
      <c r="F1716">
        <f t="shared" si="105"/>
        <v>-1.275416220599037E-2</v>
      </c>
      <c r="G1716">
        <f t="shared" si="106"/>
        <v>-0.23936271667480824</v>
      </c>
      <c r="H1716">
        <f t="shared" si="107"/>
        <v>-1.0100021362304688</v>
      </c>
    </row>
    <row r="1717" spans="1:8" x14ac:dyDescent="0.2">
      <c r="A1717" t="s">
        <v>12</v>
      </c>
      <c r="B1717" s="2">
        <v>45343</v>
      </c>
      <c r="C1717">
        <v>21.755008697509769</v>
      </c>
      <c r="D1717">
        <f>_xlfn.XLOOKUP(B1717, Oil_Price!A:A, Oil_Price!B:B, "")</f>
        <v>77.910003662109375</v>
      </c>
      <c r="E1717">
        <f t="shared" si="104"/>
        <v>1.6781242121786336E-2</v>
      </c>
      <c r="F1717">
        <f t="shared" si="105"/>
        <v>-3.4535257356417734E-3</v>
      </c>
      <c r="G1717">
        <f t="shared" si="106"/>
        <v>0.35905075073242898</v>
      </c>
      <c r="H1717">
        <f t="shared" si="107"/>
        <v>-0.26999664306640625</v>
      </c>
    </row>
    <row r="1718" spans="1:8" x14ac:dyDescent="0.2">
      <c r="A1718" t="s">
        <v>12</v>
      </c>
      <c r="B1718" s="2">
        <v>45344</v>
      </c>
      <c r="C1718">
        <v>21.856279373168949</v>
      </c>
      <c r="D1718">
        <f>_xlfn.XLOOKUP(B1718, Oil_Price!A:A, Oil_Price!B:B, "")</f>
        <v>78.610000610351562</v>
      </c>
      <c r="E1718">
        <f t="shared" si="104"/>
        <v>4.6550510306517063E-3</v>
      </c>
      <c r="F1718">
        <f t="shared" si="105"/>
        <v>8.9846863732419881E-3</v>
      </c>
      <c r="G1718">
        <f t="shared" si="106"/>
        <v>0.10127067565917969</v>
      </c>
      <c r="H1718">
        <f t="shared" si="107"/>
        <v>0.6999969482421875</v>
      </c>
    </row>
    <row r="1719" spans="1:8" x14ac:dyDescent="0.2">
      <c r="A1719" t="s">
        <v>12</v>
      </c>
      <c r="B1719" s="2">
        <v>45345</v>
      </c>
      <c r="C1719">
        <v>21.893108367919918</v>
      </c>
      <c r="D1719">
        <f>_xlfn.XLOOKUP(B1719, Oil_Price!A:A, Oil_Price!B:B, "")</f>
        <v>76.489997863769531</v>
      </c>
      <c r="E1719">
        <f t="shared" si="104"/>
        <v>1.6850532573344211E-3</v>
      </c>
      <c r="F1719">
        <f t="shared" si="105"/>
        <v>-2.6968613791142293E-2</v>
      </c>
      <c r="G1719">
        <f t="shared" si="106"/>
        <v>3.6828994750969457E-2</v>
      </c>
      <c r="H1719">
        <f t="shared" si="107"/>
        <v>-2.1200027465820312</v>
      </c>
    </row>
    <row r="1720" spans="1:8" x14ac:dyDescent="0.2">
      <c r="A1720" t="s">
        <v>12</v>
      </c>
      <c r="B1720" s="2">
        <v>45348</v>
      </c>
      <c r="C1720">
        <v>22.03120231628418</v>
      </c>
      <c r="D1720">
        <f>_xlfn.XLOOKUP(B1720, Oil_Price!A:A, Oil_Price!B:B, "")</f>
        <v>77.580001831054688</v>
      </c>
      <c r="E1720">
        <f t="shared" si="104"/>
        <v>6.3076446726318281E-3</v>
      </c>
      <c r="F1720">
        <f t="shared" si="105"/>
        <v>1.4250281052778674E-2</v>
      </c>
      <c r="G1720">
        <f t="shared" si="106"/>
        <v>0.13809394836426137</v>
      </c>
      <c r="H1720">
        <f t="shared" si="107"/>
        <v>1.0900039672851562</v>
      </c>
    </row>
    <row r="1721" spans="1:8" x14ac:dyDescent="0.2">
      <c r="A1721" t="s">
        <v>12</v>
      </c>
      <c r="B1721" s="2">
        <v>45349</v>
      </c>
      <c r="C1721">
        <v>21.856279373168949</v>
      </c>
      <c r="D1721">
        <f>_xlfn.XLOOKUP(B1721, Oil_Price!A:A, Oil_Price!B:B, "")</f>
        <v>78.870002746582031</v>
      </c>
      <c r="E1721">
        <f t="shared" si="104"/>
        <v>-7.939781978486847E-3</v>
      </c>
      <c r="F1721">
        <f t="shared" si="105"/>
        <v>1.662800831503675E-2</v>
      </c>
      <c r="G1721">
        <f t="shared" si="106"/>
        <v>-0.17492294311523082</v>
      </c>
      <c r="H1721">
        <f t="shared" si="107"/>
        <v>1.2900009155273438</v>
      </c>
    </row>
    <row r="1722" spans="1:8" x14ac:dyDescent="0.2">
      <c r="A1722" t="s">
        <v>12</v>
      </c>
      <c r="B1722" s="2">
        <v>45350</v>
      </c>
      <c r="C1722">
        <v>21.561676025390621</v>
      </c>
      <c r="D1722">
        <f>_xlfn.XLOOKUP(B1722, Oil_Price!A:A, Oil_Price!B:B, "")</f>
        <v>78.540000915527344</v>
      </c>
      <c r="E1722">
        <f t="shared" si="104"/>
        <v>-1.347911704221654E-2</v>
      </c>
      <c r="F1722">
        <f t="shared" si="105"/>
        <v>-4.1841234888125916E-3</v>
      </c>
      <c r="G1722">
        <f t="shared" si="106"/>
        <v>-0.29460334777832742</v>
      </c>
      <c r="H1722">
        <f t="shared" si="107"/>
        <v>-0.3300018310546875</v>
      </c>
    </row>
    <row r="1723" spans="1:8" x14ac:dyDescent="0.2">
      <c r="A1723" t="s">
        <v>12</v>
      </c>
      <c r="B1723" s="2">
        <v>45351</v>
      </c>
      <c r="C1723">
        <v>21.77342414855957</v>
      </c>
      <c r="D1723">
        <f>_xlfn.XLOOKUP(B1723, Oil_Price!A:A, Oil_Price!B:B, "")</f>
        <v>78.260002136230469</v>
      </c>
      <c r="E1723">
        <f t="shared" si="104"/>
        <v>9.820578090478602E-3</v>
      </c>
      <c r="F1723">
        <f t="shared" si="105"/>
        <v>-3.5650468045960934E-3</v>
      </c>
      <c r="G1723">
        <f t="shared" si="106"/>
        <v>0.21174812316894887</v>
      </c>
      <c r="H1723">
        <f t="shared" si="107"/>
        <v>-0.279998779296875</v>
      </c>
    </row>
    <row r="1724" spans="1:8" x14ac:dyDescent="0.2">
      <c r="A1724" t="s">
        <v>12</v>
      </c>
      <c r="B1724" s="2">
        <v>45352</v>
      </c>
      <c r="C1724">
        <v>22.095651626586911</v>
      </c>
      <c r="D1724">
        <f>_xlfn.XLOOKUP(B1724, Oil_Price!A:A, Oil_Price!B:B, "")</f>
        <v>79.970001220703125</v>
      </c>
      <c r="E1724">
        <f t="shared" si="104"/>
        <v>1.4799118219935898E-2</v>
      </c>
      <c r="F1724">
        <f t="shared" si="105"/>
        <v>2.1850230485503809E-2</v>
      </c>
      <c r="G1724">
        <f t="shared" si="106"/>
        <v>0.3222274780273402</v>
      </c>
      <c r="H1724">
        <f t="shared" si="107"/>
        <v>1.7099990844726562</v>
      </c>
    </row>
    <row r="1725" spans="1:8" x14ac:dyDescent="0.2">
      <c r="A1725" t="s">
        <v>12</v>
      </c>
      <c r="B1725" s="2">
        <v>45355</v>
      </c>
      <c r="C1725">
        <v>21.819456100463871</v>
      </c>
      <c r="D1725">
        <f>_xlfn.XLOOKUP(B1725, Oil_Price!A:A, Oil_Price!B:B, "")</f>
        <v>78.739997863769531</v>
      </c>
      <c r="E1725">
        <f t="shared" si="104"/>
        <v>-1.2499994604852637E-2</v>
      </c>
      <c r="F1725">
        <f t="shared" si="105"/>
        <v>-1.538080953055135E-2</v>
      </c>
      <c r="G1725">
        <f t="shared" si="106"/>
        <v>-0.27619552612303977</v>
      </c>
      <c r="H1725">
        <f t="shared" si="107"/>
        <v>-1.2300033569335938</v>
      </c>
    </row>
    <row r="1726" spans="1:8" x14ac:dyDescent="0.2">
      <c r="A1726" t="s">
        <v>12</v>
      </c>
      <c r="B1726" s="2">
        <v>45356</v>
      </c>
      <c r="C1726">
        <v>21.95755577087402</v>
      </c>
      <c r="D1726">
        <f>_xlfn.XLOOKUP(B1726, Oil_Price!A:A, Oil_Price!B:B, "")</f>
        <v>78.150001525878906</v>
      </c>
      <c r="E1726">
        <f t="shared" si="104"/>
        <v>6.3291985727917943E-3</v>
      </c>
      <c r="F1726">
        <f t="shared" si="105"/>
        <v>-7.49296868043349E-3</v>
      </c>
      <c r="G1726">
        <f t="shared" si="106"/>
        <v>0.13809967041014914</v>
      </c>
      <c r="H1726">
        <f t="shared" si="107"/>
        <v>-0.589996337890625</v>
      </c>
    </row>
    <row r="1727" spans="1:8" x14ac:dyDescent="0.2">
      <c r="A1727" t="s">
        <v>12</v>
      </c>
      <c r="B1727" s="2">
        <v>45357</v>
      </c>
      <c r="C1727">
        <v>22.242954254150391</v>
      </c>
      <c r="D1727">
        <f>_xlfn.XLOOKUP(B1727, Oil_Price!A:A, Oil_Price!B:B, "")</f>
        <v>79.129997253417969</v>
      </c>
      <c r="E1727">
        <f t="shared" si="104"/>
        <v>1.2997734641072504E-2</v>
      </c>
      <c r="F1727">
        <f t="shared" si="105"/>
        <v>1.2539932289246889E-2</v>
      </c>
      <c r="G1727">
        <f t="shared" si="106"/>
        <v>0.28539848327637074</v>
      </c>
      <c r="H1727">
        <f t="shared" si="107"/>
        <v>0.9799957275390625</v>
      </c>
    </row>
    <row r="1728" spans="1:8" x14ac:dyDescent="0.2">
      <c r="A1728" t="s">
        <v>12</v>
      </c>
      <c r="B1728" s="2">
        <v>45358</v>
      </c>
      <c r="C1728">
        <v>22.224542617797852</v>
      </c>
      <c r="D1728">
        <f>_xlfn.XLOOKUP(B1728, Oil_Price!A:A, Oil_Price!B:B, "")</f>
        <v>78.930000305175781</v>
      </c>
      <c r="E1728">
        <f t="shared" si="104"/>
        <v>-8.2775139229104746E-4</v>
      </c>
      <c r="F1728">
        <f t="shared" si="105"/>
        <v>-2.5274479361055298E-3</v>
      </c>
      <c r="G1728">
        <f t="shared" si="106"/>
        <v>-1.8411636352539062E-2</v>
      </c>
      <c r="H1728">
        <f t="shared" si="107"/>
        <v>-0.1999969482421875</v>
      </c>
    </row>
    <row r="1729" spans="1:8" x14ac:dyDescent="0.2">
      <c r="A1729" t="s">
        <v>12</v>
      </c>
      <c r="B1729" s="2">
        <v>45359</v>
      </c>
      <c r="C1729">
        <v>21.948345184326168</v>
      </c>
      <c r="D1729">
        <f>_xlfn.XLOOKUP(B1729, Oil_Price!A:A, Oil_Price!B:B, "")</f>
        <v>78.010002136230469</v>
      </c>
      <c r="E1729">
        <f t="shared" si="104"/>
        <v>-1.2427586844936863E-2</v>
      </c>
      <c r="F1729">
        <f t="shared" si="105"/>
        <v>-1.165587438728268E-2</v>
      </c>
      <c r="G1729">
        <f t="shared" si="106"/>
        <v>-0.27619743347168324</v>
      </c>
      <c r="H1729">
        <f t="shared" si="107"/>
        <v>-0.9199981689453125</v>
      </c>
    </row>
    <row r="1730" spans="1:8" x14ac:dyDescent="0.2">
      <c r="A1730" t="s">
        <v>12</v>
      </c>
      <c r="B1730" s="2">
        <v>45362</v>
      </c>
      <c r="C1730">
        <v>22.1048583984375</v>
      </c>
      <c r="D1730">
        <f>_xlfn.XLOOKUP(B1730, Oil_Price!A:A, Oil_Price!B:B, "")</f>
        <v>77.930000305175781</v>
      </c>
      <c r="E1730">
        <f t="shared" si="104"/>
        <v>7.1309801626002062E-3</v>
      </c>
      <c r="F1730">
        <f t="shared" si="105"/>
        <v>-1.0255329940252874E-3</v>
      </c>
      <c r="G1730">
        <f t="shared" si="106"/>
        <v>0.15651321411133168</v>
      </c>
      <c r="H1730">
        <f t="shared" si="107"/>
        <v>-8.00018310546875E-2</v>
      </c>
    </row>
    <row r="1731" spans="1:8" x14ac:dyDescent="0.2">
      <c r="A1731" t="s">
        <v>12</v>
      </c>
      <c r="B1731" s="2">
        <v>45363</v>
      </c>
      <c r="C1731">
        <v>22.270572662353519</v>
      </c>
      <c r="D1731">
        <f>_xlfn.XLOOKUP(B1731, Oil_Price!A:A, Oil_Price!B:B, "")</f>
        <v>77.55999755859375</v>
      </c>
      <c r="E1731">
        <f t="shared" ref="E1731:E1794" si="108">IFERROR(IF(AND(A1731=A1730, C1731&lt;&gt;"", C1730&lt;&gt;""), (C1731-C1730)/C1730, ""), "")</f>
        <v>7.4967349226599351E-3</v>
      </c>
      <c r="F1731">
        <f t="shared" ref="F1731:F1794" si="109">IFERROR(IF(AND(A1731=A1730, D1731&lt;&gt;"", D1730&lt;&gt;""), (D1731-D1730)/D1730, ""), "")</f>
        <v>-4.747885860812158E-3</v>
      </c>
      <c r="G1731">
        <f t="shared" ref="G1731:G1794" si="110">IFERROR(IF(AND(A1731=A1730, C1731&lt;&gt;"", C1730&lt;&gt;""), C1731-C1730, ""), "")</f>
        <v>0.16571426391601918</v>
      </c>
      <c r="H1731">
        <f t="shared" ref="H1731:H1794" si="111">IFERROR(IF(AND(A1731=A1730, D1731&lt;&gt;"", D1730&lt;&gt;""), D1731-D1730, ""), "")</f>
        <v>-0.37000274658203125</v>
      </c>
    </row>
    <row r="1732" spans="1:8" x14ac:dyDescent="0.2">
      <c r="A1732" t="s">
        <v>12</v>
      </c>
      <c r="B1732" s="2">
        <v>45364</v>
      </c>
      <c r="C1732">
        <v>22.8505859375</v>
      </c>
      <c r="D1732">
        <f>_xlfn.XLOOKUP(B1732, Oil_Price!A:A, Oil_Price!B:B, "")</f>
        <v>79.720001220703125</v>
      </c>
      <c r="E1732">
        <f t="shared" si="108"/>
        <v>2.6043931781194976E-2</v>
      </c>
      <c r="F1732">
        <f t="shared" si="109"/>
        <v>2.7849455003883555E-2</v>
      </c>
      <c r="G1732">
        <f t="shared" si="110"/>
        <v>0.58001327514648082</v>
      </c>
      <c r="H1732">
        <f t="shared" si="111"/>
        <v>2.160003662109375</v>
      </c>
    </row>
    <row r="1733" spans="1:8" x14ac:dyDescent="0.2">
      <c r="A1733" t="s">
        <v>12</v>
      </c>
      <c r="B1733" s="2">
        <v>45365</v>
      </c>
      <c r="C1733">
        <v>23.369075775146481</v>
      </c>
      <c r="D1733">
        <f>_xlfn.XLOOKUP(B1733, Oil_Price!A:A, Oil_Price!B:B, "")</f>
        <v>81.260002136230469</v>
      </c>
      <c r="E1733">
        <f t="shared" si="108"/>
        <v>2.269043949527742E-2</v>
      </c>
      <c r="F1733">
        <f t="shared" si="109"/>
        <v>1.9317622829230573E-2</v>
      </c>
      <c r="G1733">
        <f t="shared" si="110"/>
        <v>0.51848983764648082</v>
      </c>
      <c r="H1733">
        <f t="shared" si="111"/>
        <v>1.5400009155273438</v>
      </c>
    </row>
    <row r="1734" spans="1:8" x14ac:dyDescent="0.2">
      <c r="A1734" t="s">
        <v>12</v>
      </c>
      <c r="B1734" s="2">
        <v>45366</v>
      </c>
      <c r="C1734">
        <v>23.313522338867191</v>
      </c>
      <c r="D1734">
        <f>_xlfn.XLOOKUP(B1734, Oil_Price!A:A, Oil_Price!B:B, "")</f>
        <v>81.040000915527344</v>
      </c>
      <c r="E1734">
        <f t="shared" si="108"/>
        <v>-2.3772200840895923E-3</v>
      </c>
      <c r="F1734">
        <f t="shared" si="109"/>
        <v>-2.707374045281197E-3</v>
      </c>
      <c r="G1734">
        <f t="shared" si="110"/>
        <v>-5.555343627928977E-2</v>
      </c>
      <c r="H1734">
        <f t="shared" si="111"/>
        <v>-0.220001220703125</v>
      </c>
    </row>
    <row r="1735" spans="1:8" x14ac:dyDescent="0.2">
      <c r="A1735" t="s">
        <v>12</v>
      </c>
      <c r="B1735" s="2">
        <v>45369</v>
      </c>
      <c r="C1735">
        <v>23.757940292358398</v>
      </c>
      <c r="D1735">
        <f>_xlfn.XLOOKUP(B1735, Oil_Price!A:A, Oil_Price!B:B, "")</f>
        <v>82.720001220703125</v>
      </c>
      <c r="E1735">
        <f t="shared" si="108"/>
        <v>1.9062668739261893E-2</v>
      </c>
      <c r="F1735">
        <f t="shared" si="109"/>
        <v>2.073050698662926E-2</v>
      </c>
      <c r="G1735">
        <f t="shared" si="110"/>
        <v>0.44441795349120738</v>
      </c>
      <c r="H1735">
        <f t="shared" si="111"/>
        <v>1.6800003051757812</v>
      </c>
    </row>
    <row r="1736" spans="1:8" x14ac:dyDescent="0.2">
      <c r="A1736" t="s">
        <v>12</v>
      </c>
      <c r="B1736" s="2">
        <v>45370</v>
      </c>
      <c r="C1736">
        <v>23.952377319335941</v>
      </c>
      <c r="D1736">
        <f>_xlfn.XLOOKUP(B1736, Oil_Price!A:A, Oil_Price!B:B, "")</f>
        <v>83.470001220703125</v>
      </c>
      <c r="E1736">
        <f t="shared" si="108"/>
        <v>8.1840860186049944E-3</v>
      </c>
      <c r="F1736">
        <f t="shared" si="109"/>
        <v>9.0667310074010292E-3</v>
      </c>
      <c r="G1736">
        <f t="shared" si="110"/>
        <v>0.19443702697754262</v>
      </c>
      <c r="H1736">
        <f t="shared" si="111"/>
        <v>0.75</v>
      </c>
    </row>
    <row r="1737" spans="1:8" x14ac:dyDescent="0.2">
      <c r="A1737" t="s">
        <v>12</v>
      </c>
      <c r="B1737" s="2">
        <v>45371</v>
      </c>
      <c r="C1737">
        <v>24.044961929321289</v>
      </c>
      <c r="D1737">
        <f>_xlfn.XLOOKUP(B1737, Oil_Price!A:A, Oil_Price!B:B, "")</f>
        <v>81.680000305175781</v>
      </c>
      <c r="E1737">
        <f t="shared" si="108"/>
        <v>3.865362036970234E-3</v>
      </c>
      <c r="F1737">
        <f t="shared" si="109"/>
        <v>-2.1444841132737022E-2</v>
      </c>
      <c r="G1737">
        <f t="shared" si="110"/>
        <v>9.258460998534801E-2</v>
      </c>
      <c r="H1737">
        <f t="shared" si="111"/>
        <v>-1.7900009155273438</v>
      </c>
    </row>
    <row r="1738" spans="1:8" x14ac:dyDescent="0.2">
      <c r="A1738" t="s">
        <v>12</v>
      </c>
      <c r="B1738" s="2">
        <v>45372</v>
      </c>
      <c r="C1738">
        <v>24.202362060546879</v>
      </c>
      <c r="D1738">
        <f>_xlfn.XLOOKUP(B1738, Oil_Price!A:A, Oil_Price!B:B, "")</f>
        <v>81.069999694824219</v>
      </c>
      <c r="E1738">
        <f t="shared" si="108"/>
        <v>6.5460752937874329E-3</v>
      </c>
      <c r="F1738">
        <f t="shared" si="109"/>
        <v>-7.4681759068616071E-3</v>
      </c>
      <c r="G1738">
        <f t="shared" si="110"/>
        <v>0.15740013122558949</v>
      </c>
      <c r="H1738">
        <f t="shared" si="111"/>
        <v>-0.6100006103515625</v>
      </c>
    </row>
    <row r="1739" spans="1:8" x14ac:dyDescent="0.2">
      <c r="A1739" t="s">
        <v>12</v>
      </c>
      <c r="B1739" s="2">
        <v>45373</v>
      </c>
      <c r="C1739">
        <v>24.396799087524411</v>
      </c>
      <c r="D1739">
        <f>_xlfn.XLOOKUP(B1739, Oil_Price!A:A, Oil_Price!B:B, "")</f>
        <v>80.629997253417969</v>
      </c>
      <c r="E1739">
        <f t="shared" si="108"/>
        <v>8.0338037457298676E-3</v>
      </c>
      <c r="F1739">
        <f t="shared" si="109"/>
        <v>-5.4274385477065847E-3</v>
      </c>
      <c r="G1739">
        <f t="shared" si="110"/>
        <v>0.19443702697753196</v>
      </c>
      <c r="H1739">
        <f t="shared" si="111"/>
        <v>-0.44000244140625</v>
      </c>
    </row>
    <row r="1740" spans="1:8" x14ac:dyDescent="0.2">
      <c r="A1740" t="s">
        <v>12</v>
      </c>
      <c r="B1740" s="2">
        <v>45376</v>
      </c>
      <c r="C1740">
        <v>24.952325820922852</v>
      </c>
      <c r="D1740">
        <f>_xlfn.XLOOKUP(B1740, Oil_Price!A:A, Oil_Price!B:B, "")</f>
        <v>81.949996948242188</v>
      </c>
      <c r="E1740">
        <f t="shared" si="108"/>
        <v>2.2770476217206549E-2</v>
      </c>
      <c r="F1740">
        <f t="shared" si="109"/>
        <v>1.6371074535392757E-2</v>
      </c>
      <c r="G1740">
        <f t="shared" si="110"/>
        <v>0.55552673339844105</v>
      </c>
      <c r="H1740">
        <f t="shared" si="111"/>
        <v>1.3199996948242188</v>
      </c>
    </row>
    <row r="1741" spans="1:8" x14ac:dyDescent="0.2">
      <c r="A1741" t="s">
        <v>12</v>
      </c>
      <c r="B1741" s="2">
        <v>45377</v>
      </c>
      <c r="C1741">
        <v>25.017133712768551</v>
      </c>
      <c r="D1741">
        <f>_xlfn.XLOOKUP(B1741, Oil_Price!A:A, Oil_Price!B:B, "")</f>
        <v>81.620002746582031</v>
      </c>
      <c r="E1741">
        <f t="shared" si="108"/>
        <v>2.5972685797232302E-3</v>
      </c>
      <c r="F1741">
        <f t="shared" si="109"/>
        <v>-4.0267750329334769E-3</v>
      </c>
      <c r="G1741">
        <f t="shared" si="110"/>
        <v>6.4807891845699572E-2</v>
      </c>
      <c r="H1741">
        <f t="shared" si="111"/>
        <v>-0.32999420166015625</v>
      </c>
    </row>
    <row r="1742" spans="1:8" x14ac:dyDescent="0.2">
      <c r="A1742" t="s">
        <v>12</v>
      </c>
      <c r="B1742" s="2">
        <v>45378</v>
      </c>
      <c r="C1742">
        <v>24.933803558349609</v>
      </c>
      <c r="D1742">
        <f>_xlfn.XLOOKUP(B1742, Oil_Price!A:A, Oil_Price!B:B, "")</f>
        <v>81.349998474121094</v>
      </c>
      <c r="E1742">
        <f t="shared" si="108"/>
        <v>-3.3309233334117209E-3</v>
      </c>
      <c r="F1742">
        <f t="shared" si="109"/>
        <v>-3.308064976415899E-3</v>
      </c>
      <c r="G1742">
        <f t="shared" si="110"/>
        <v>-8.333015441894176E-2</v>
      </c>
      <c r="H1742">
        <f t="shared" si="111"/>
        <v>-0.2700042724609375</v>
      </c>
    </row>
    <row r="1743" spans="1:8" x14ac:dyDescent="0.2">
      <c r="A1743" t="s">
        <v>12</v>
      </c>
      <c r="B1743" s="2">
        <v>45379</v>
      </c>
      <c r="C1743">
        <v>25.072685241699219</v>
      </c>
      <c r="D1743">
        <f>_xlfn.XLOOKUP(B1743, Oil_Price!A:A, Oil_Price!B:B, "")</f>
        <v>83.169998168945312</v>
      </c>
      <c r="E1743">
        <f t="shared" si="108"/>
        <v>5.5700159433999356E-3</v>
      </c>
      <c r="F1743">
        <f t="shared" si="109"/>
        <v>2.2372461327128279E-2</v>
      </c>
      <c r="G1743">
        <f t="shared" si="110"/>
        <v>0.13888168334960938</v>
      </c>
      <c r="H1743">
        <f t="shared" si="111"/>
        <v>1.8199996948242188</v>
      </c>
    </row>
    <row r="1744" spans="1:8" x14ac:dyDescent="0.2">
      <c r="A1744" t="s">
        <v>12</v>
      </c>
      <c r="B1744" s="2">
        <v>45383</v>
      </c>
      <c r="C1744">
        <v>25.276374816894531</v>
      </c>
      <c r="D1744">
        <f>_xlfn.XLOOKUP(B1744, Oil_Price!A:A, Oil_Price!B:B, "")</f>
        <v>83.709999084472656</v>
      </c>
      <c r="E1744">
        <f t="shared" si="108"/>
        <v>8.1239633183185968E-3</v>
      </c>
      <c r="F1744">
        <f t="shared" si="109"/>
        <v>6.492736893301672E-3</v>
      </c>
      <c r="G1744">
        <f t="shared" si="110"/>
        <v>0.2036895751953125</v>
      </c>
      <c r="H1744">
        <f t="shared" si="111"/>
        <v>0.54000091552734375</v>
      </c>
    </row>
    <row r="1745" spans="1:8" x14ac:dyDescent="0.2">
      <c r="A1745" t="s">
        <v>12</v>
      </c>
      <c r="B1745" s="2">
        <v>45384</v>
      </c>
      <c r="C1745">
        <v>25.702280044555661</v>
      </c>
      <c r="D1745">
        <f>_xlfn.XLOOKUP(B1745, Oil_Price!A:A, Oil_Price!B:B, "")</f>
        <v>85.150001525878906</v>
      </c>
      <c r="E1745">
        <f t="shared" si="108"/>
        <v>1.6849933218131326E-2</v>
      </c>
      <c r="F1745">
        <f t="shared" si="109"/>
        <v>1.7202275201952017E-2</v>
      </c>
      <c r="G1745">
        <f t="shared" si="110"/>
        <v>0.42590522766112926</v>
      </c>
      <c r="H1745">
        <f t="shared" si="111"/>
        <v>1.44000244140625</v>
      </c>
    </row>
    <row r="1746" spans="1:8" x14ac:dyDescent="0.2">
      <c r="A1746" t="s">
        <v>12</v>
      </c>
      <c r="B1746" s="2">
        <v>45385</v>
      </c>
      <c r="C1746">
        <v>26.29483795166016</v>
      </c>
      <c r="D1746">
        <f>_xlfn.XLOOKUP(B1746, Oil_Price!A:A, Oil_Price!B:B, "")</f>
        <v>85.430000305175781</v>
      </c>
      <c r="E1746">
        <f t="shared" si="108"/>
        <v>2.3054682544789127E-2</v>
      </c>
      <c r="F1746">
        <f t="shared" si="109"/>
        <v>3.2883003438558644E-3</v>
      </c>
      <c r="G1746">
        <f t="shared" si="110"/>
        <v>0.59255790710449929</v>
      </c>
      <c r="H1746">
        <f t="shared" si="111"/>
        <v>0.279998779296875</v>
      </c>
    </row>
    <row r="1747" spans="1:8" x14ac:dyDescent="0.2">
      <c r="A1747" t="s">
        <v>12</v>
      </c>
      <c r="B1747" s="2">
        <v>45386</v>
      </c>
      <c r="C1747">
        <v>26.498533248901371</v>
      </c>
      <c r="D1747">
        <f>_xlfn.XLOOKUP(B1747, Oil_Price!A:A, Oil_Price!B:B, "")</f>
        <v>86.589996337890625</v>
      </c>
      <c r="E1747">
        <f t="shared" si="108"/>
        <v>7.7465888025505161E-3</v>
      </c>
      <c r="F1747">
        <f t="shared" si="109"/>
        <v>1.3578321767190317E-2</v>
      </c>
      <c r="G1747">
        <f t="shared" si="110"/>
        <v>0.20369529724121094</v>
      </c>
      <c r="H1747">
        <f t="shared" si="111"/>
        <v>1.1599960327148438</v>
      </c>
    </row>
    <row r="1748" spans="1:8" x14ac:dyDescent="0.2">
      <c r="A1748" t="s">
        <v>12</v>
      </c>
      <c r="B1748" s="2">
        <v>45387</v>
      </c>
      <c r="C1748">
        <v>26.89665603637695</v>
      </c>
      <c r="D1748">
        <f>_xlfn.XLOOKUP(B1748, Oil_Price!A:A, Oil_Price!B:B, "")</f>
        <v>86.910003662109375</v>
      </c>
      <c r="E1748">
        <f t="shared" si="108"/>
        <v>1.502433299745317E-2</v>
      </c>
      <c r="F1748">
        <f t="shared" si="109"/>
        <v>3.6956615977903565E-3</v>
      </c>
      <c r="G1748">
        <f t="shared" si="110"/>
        <v>0.39812278747557883</v>
      </c>
      <c r="H1748">
        <f t="shared" si="111"/>
        <v>0.32000732421875</v>
      </c>
    </row>
    <row r="1749" spans="1:8" x14ac:dyDescent="0.2">
      <c r="A1749" t="s">
        <v>12</v>
      </c>
      <c r="B1749" s="2">
        <v>45390</v>
      </c>
      <c r="C1749">
        <v>26.979990005493161</v>
      </c>
      <c r="D1749">
        <f>_xlfn.XLOOKUP(B1749, Oil_Price!A:A, Oil_Price!B:B, "")</f>
        <v>86.430000305175781</v>
      </c>
      <c r="E1749">
        <f t="shared" si="108"/>
        <v>3.0983022203021873E-3</v>
      </c>
      <c r="F1749">
        <f t="shared" si="109"/>
        <v>-5.5229931734873854E-3</v>
      </c>
      <c r="G1749">
        <f t="shared" si="110"/>
        <v>8.3333969116210938E-2</v>
      </c>
      <c r="H1749">
        <f t="shared" si="111"/>
        <v>-0.48000335693359375</v>
      </c>
    </row>
    <row r="1750" spans="1:8" x14ac:dyDescent="0.2">
      <c r="A1750" t="s">
        <v>12</v>
      </c>
      <c r="B1750" s="2">
        <v>45391</v>
      </c>
      <c r="C1750">
        <v>27.100351333618161</v>
      </c>
      <c r="D1750">
        <f>_xlfn.XLOOKUP(B1750, Oil_Price!A:A, Oil_Price!B:B, "")</f>
        <v>85.230003356933594</v>
      </c>
      <c r="E1750">
        <f t="shared" si="108"/>
        <v>4.4611331620395068E-3</v>
      </c>
      <c r="F1750">
        <f t="shared" si="109"/>
        <v>-1.3884032673899305E-2</v>
      </c>
      <c r="G1750">
        <f t="shared" si="110"/>
        <v>0.120361328125</v>
      </c>
      <c r="H1750">
        <f t="shared" si="111"/>
        <v>-1.1999969482421875</v>
      </c>
    </row>
    <row r="1751" spans="1:8" x14ac:dyDescent="0.2">
      <c r="A1751" t="s">
        <v>12</v>
      </c>
      <c r="B1751" s="2">
        <v>45392</v>
      </c>
      <c r="C1751">
        <v>27.600320816040039</v>
      </c>
      <c r="D1751">
        <f>_xlfn.XLOOKUP(B1751, Oil_Price!A:A, Oil_Price!B:B, "")</f>
        <v>86.209999084472656</v>
      </c>
      <c r="E1751">
        <f t="shared" si="108"/>
        <v>1.8448819215183501E-2</v>
      </c>
      <c r="F1751">
        <f t="shared" si="109"/>
        <v>1.1498248139624629E-2</v>
      </c>
      <c r="G1751">
        <f t="shared" si="110"/>
        <v>0.49996948242187855</v>
      </c>
      <c r="H1751">
        <f t="shared" si="111"/>
        <v>0.9799957275390625</v>
      </c>
    </row>
    <row r="1752" spans="1:8" x14ac:dyDescent="0.2">
      <c r="A1752" t="s">
        <v>12</v>
      </c>
      <c r="B1752" s="2">
        <v>45393</v>
      </c>
      <c r="C1752">
        <v>26.730001449584961</v>
      </c>
      <c r="D1752">
        <f>_xlfn.XLOOKUP(B1752, Oil_Price!A:A, Oil_Price!B:B, "")</f>
        <v>85.019996643066406</v>
      </c>
      <c r="E1752">
        <f t="shared" si="108"/>
        <v>-3.1532943847134141E-2</v>
      </c>
      <c r="F1752">
        <f t="shared" si="109"/>
        <v>-1.3803531539772191E-2</v>
      </c>
      <c r="G1752">
        <f t="shared" si="110"/>
        <v>-0.87031936645507812</v>
      </c>
      <c r="H1752">
        <f t="shared" si="111"/>
        <v>-1.19000244140625</v>
      </c>
    </row>
    <row r="1753" spans="1:8" x14ac:dyDescent="0.2">
      <c r="A1753" t="s">
        <v>12</v>
      </c>
      <c r="B1753" s="2">
        <v>45394</v>
      </c>
      <c r="C1753">
        <v>26.711481094360352</v>
      </c>
      <c r="D1753">
        <f>_xlfn.XLOOKUP(B1753, Oil_Price!A:A, Oil_Price!B:B, "")</f>
        <v>85.660003662109375</v>
      </c>
      <c r="E1753">
        <f t="shared" si="108"/>
        <v>-6.9286772241820968E-4</v>
      </c>
      <c r="F1753">
        <f t="shared" si="109"/>
        <v>7.5277234099392657E-3</v>
      </c>
      <c r="G1753">
        <f t="shared" si="110"/>
        <v>-1.8520355224609375E-2</v>
      </c>
      <c r="H1753">
        <f t="shared" si="111"/>
        <v>0.64000701904296875</v>
      </c>
    </row>
    <row r="1754" spans="1:8" x14ac:dyDescent="0.2">
      <c r="A1754" t="s">
        <v>12</v>
      </c>
      <c r="B1754" s="2">
        <v>45397</v>
      </c>
      <c r="C1754">
        <v>26.239288330078121</v>
      </c>
      <c r="D1754">
        <f>_xlfn.XLOOKUP(B1754, Oil_Price!A:A, Oil_Price!B:B, "")</f>
        <v>85.410003662109375</v>
      </c>
      <c r="E1754">
        <f t="shared" si="108"/>
        <v>-1.7677520861317013E-2</v>
      </c>
      <c r="F1754">
        <f t="shared" si="109"/>
        <v>-2.9185149347662749E-3</v>
      </c>
      <c r="G1754">
        <f t="shared" si="110"/>
        <v>-0.47219276428223012</v>
      </c>
      <c r="H1754">
        <f t="shared" si="111"/>
        <v>-0.25</v>
      </c>
    </row>
    <row r="1755" spans="1:8" x14ac:dyDescent="0.2">
      <c r="A1755" t="s">
        <v>12</v>
      </c>
      <c r="B1755" s="2">
        <v>45398</v>
      </c>
      <c r="C1755">
        <v>26.405946731567379</v>
      </c>
      <c r="D1755">
        <f>_xlfn.XLOOKUP(B1755, Oil_Price!A:A, Oil_Price!B:B, "")</f>
        <v>85.360000610351562</v>
      </c>
      <c r="E1755">
        <f t="shared" si="108"/>
        <v>6.3514832945456498E-3</v>
      </c>
      <c r="F1755">
        <f t="shared" si="109"/>
        <v>-5.8544724989861418E-4</v>
      </c>
      <c r="G1755">
        <f t="shared" si="110"/>
        <v>0.16665840148925781</v>
      </c>
      <c r="H1755">
        <f t="shared" si="111"/>
        <v>-5.00030517578125E-2</v>
      </c>
    </row>
    <row r="1756" spans="1:8" x14ac:dyDescent="0.2">
      <c r="A1756" t="s">
        <v>12</v>
      </c>
      <c r="B1756" s="2">
        <v>45399</v>
      </c>
      <c r="C1756">
        <v>26.44297981262207</v>
      </c>
      <c r="D1756">
        <f>_xlfn.XLOOKUP(B1756, Oil_Price!A:A, Oil_Price!B:B, "")</f>
        <v>82.69000244140625</v>
      </c>
      <c r="E1756">
        <f t="shared" si="108"/>
        <v>1.4024523123959539E-3</v>
      </c>
      <c r="F1756">
        <f t="shared" si="109"/>
        <v>-3.1279266047961149E-2</v>
      </c>
      <c r="G1756">
        <f t="shared" si="110"/>
        <v>3.7033081054691053E-2</v>
      </c>
      <c r="H1756">
        <f t="shared" si="111"/>
        <v>-2.6699981689453125</v>
      </c>
    </row>
    <row r="1757" spans="1:8" x14ac:dyDescent="0.2">
      <c r="A1757" t="s">
        <v>12</v>
      </c>
      <c r="B1757" s="2">
        <v>45400</v>
      </c>
      <c r="C1757">
        <v>26.35039138793945</v>
      </c>
      <c r="D1757">
        <f>_xlfn.XLOOKUP(B1757, Oil_Price!A:A, Oil_Price!B:B, "")</f>
        <v>82.730003356933594</v>
      </c>
      <c r="E1757">
        <f t="shared" si="108"/>
        <v>-3.5014368780944029E-3</v>
      </c>
      <c r="F1757">
        <f t="shared" si="109"/>
        <v>4.837454873179888E-4</v>
      </c>
      <c r="G1757">
        <f t="shared" si="110"/>
        <v>-9.258842468262074E-2</v>
      </c>
      <c r="H1757">
        <f t="shared" si="111"/>
        <v>4.000091552734375E-2</v>
      </c>
    </row>
    <row r="1758" spans="1:8" x14ac:dyDescent="0.2">
      <c r="A1758" t="s">
        <v>12</v>
      </c>
      <c r="B1758" s="2">
        <v>45401</v>
      </c>
      <c r="C1758">
        <v>26.5633430480957</v>
      </c>
      <c r="D1758">
        <f>_xlfn.XLOOKUP(B1758, Oil_Price!A:A, Oil_Price!B:B, "")</f>
        <v>83.139999389648438</v>
      </c>
      <c r="E1758">
        <f t="shared" si="108"/>
        <v>8.0815368933653785E-3</v>
      </c>
      <c r="F1758">
        <f t="shared" si="109"/>
        <v>4.9558324196596571E-3</v>
      </c>
      <c r="G1758">
        <f t="shared" si="110"/>
        <v>0.21295166015625</v>
      </c>
      <c r="H1758">
        <f t="shared" si="111"/>
        <v>0.40999603271484375</v>
      </c>
    </row>
    <row r="1759" spans="1:8" x14ac:dyDescent="0.2">
      <c r="A1759" t="s">
        <v>12</v>
      </c>
      <c r="B1759" s="2">
        <v>45404</v>
      </c>
      <c r="C1759">
        <v>26.794815063476559</v>
      </c>
      <c r="D1759">
        <f>_xlfn.XLOOKUP(B1759, Oil_Price!A:A, Oil_Price!B:B, "")</f>
        <v>82.849998474121094</v>
      </c>
      <c r="E1759">
        <f t="shared" si="108"/>
        <v>8.7139640128034782E-3</v>
      </c>
      <c r="F1759">
        <f t="shared" si="109"/>
        <v>-3.4881034117911127E-3</v>
      </c>
      <c r="G1759">
        <f t="shared" si="110"/>
        <v>0.23147201538085938</v>
      </c>
      <c r="H1759">
        <f t="shared" si="111"/>
        <v>-0.29000091552734375</v>
      </c>
    </row>
    <row r="1760" spans="1:8" x14ac:dyDescent="0.2">
      <c r="A1760" t="s">
        <v>12</v>
      </c>
      <c r="B1760" s="2">
        <v>45405</v>
      </c>
      <c r="C1760">
        <v>26.905916213989261</v>
      </c>
      <c r="D1760">
        <f>_xlfn.XLOOKUP(B1760, Oil_Price!A:A, Oil_Price!B:B, "")</f>
        <v>83.360000610351562</v>
      </c>
      <c r="E1760">
        <f t="shared" si="108"/>
        <v>4.1463675061576381E-3</v>
      </c>
      <c r="F1760">
        <f t="shared" si="109"/>
        <v>6.155728975538512E-3</v>
      </c>
      <c r="G1760">
        <f t="shared" si="110"/>
        <v>0.11110115051270242</v>
      </c>
      <c r="H1760">
        <f t="shared" si="111"/>
        <v>0.51000213623046875</v>
      </c>
    </row>
    <row r="1761" spans="1:8" x14ac:dyDescent="0.2">
      <c r="A1761" t="s">
        <v>12</v>
      </c>
      <c r="B1761" s="2">
        <v>45406</v>
      </c>
      <c r="C1761">
        <v>26.942953109741211</v>
      </c>
      <c r="D1761">
        <f>_xlfn.XLOOKUP(B1761, Oil_Price!A:A, Oil_Price!B:B, "")</f>
        <v>82.80999755859375</v>
      </c>
      <c r="E1761">
        <f t="shared" si="108"/>
        <v>1.3765335273248523E-3</v>
      </c>
      <c r="F1761">
        <f t="shared" si="109"/>
        <v>-6.5979252366933604E-3</v>
      </c>
      <c r="G1761">
        <f t="shared" si="110"/>
        <v>3.7036895751949572E-2</v>
      </c>
      <c r="H1761">
        <f t="shared" si="111"/>
        <v>-0.5500030517578125</v>
      </c>
    </row>
    <row r="1762" spans="1:8" x14ac:dyDescent="0.2">
      <c r="A1762" t="s">
        <v>12</v>
      </c>
      <c r="B1762" s="2">
        <v>45407</v>
      </c>
      <c r="C1762">
        <v>26.933694839477539</v>
      </c>
      <c r="D1762">
        <f>_xlfn.XLOOKUP(B1762, Oil_Price!A:A, Oil_Price!B:B, "")</f>
        <v>83.569999694824219</v>
      </c>
      <c r="E1762">
        <f t="shared" si="108"/>
        <v>-3.436249258187126E-4</v>
      </c>
      <c r="F1762">
        <f t="shared" si="109"/>
        <v>9.1776616186072836E-3</v>
      </c>
      <c r="G1762">
        <f t="shared" si="110"/>
        <v>-9.258270263671875E-3</v>
      </c>
      <c r="H1762">
        <f t="shared" si="111"/>
        <v>0.76000213623046875</v>
      </c>
    </row>
    <row r="1763" spans="1:8" x14ac:dyDescent="0.2">
      <c r="A1763" t="s">
        <v>12</v>
      </c>
      <c r="B1763" s="2">
        <v>45408</v>
      </c>
      <c r="C1763">
        <v>27.14664268493652</v>
      </c>
      <c r="D1763">
        <f>_xlfn.XLOOKUP(B1763, Oil_Price!A:A, Oil_Price!B:B, "")</f>
        <v>83.849998474121094</v>
      </c>
      <c r="E1763">
        <f t="shared" si="108"/>
        <v>7.9063732892249404E-3</v>
      </c>
      <c r="F1763">
        <f t="shared" si="109"/>
        <v>3.3504700289500697E-3</v>
      </c>
      <c r="G1763">
        <f t="shared" si="110"/>
        <v>0.21294784545898082</v>
      </c>
      <c r="H1763">
        <f t="shared" si="111"/>
        <v>0.279998779296875</v>
      </c>
    </row>
    <row r="1764" spans="1:8" x14ac:dyDescent="0.2">
      <c r="A1764" t="s">
        <v>12</v>
      </c>
      <c r="B1764" s="2">
        <v>45411</v>
      </c>
      <c r="C1764">
        <v>27.248491287231449</v>
      </c>
      <c r="D1764">
        <f>_xlfn.XLOOKUP(B1764, Oil_Price!A:A, Oil_Price!B:B, "")</f>
        <v>82.629997253417969</v>
      </c>
      <c r="E1764">
        <f t="shared" si="108"/>
        <v>3.7517936739722164E-3</v>
      </c>
      <c r="F1764">
        <f t="shared" si="109"/>
        <v>-1.4549806116927457E-2</v>
      </c>
      <c r="G1764">
        <f t="shared" si="110"/>
        <v>0.10184860229492898</v>
      </c>
      <c r="H1764">
        <f t="shared" si="111"/>
        <v>-1.220001220703125</v>
      </c>
    </row>
    <row r="1765" spans="1:8" x14ac:dyDescent="0.2">
      <c r="A1765" t="s">
        <v>12</v>
      </c>
      <c r="B1765" s="2">
        <v>45412</v>
      </c>
      <c r="C1765">
        <v>26.183734893798832</v>
      </c>
      <c r="D1765">
        <f>_xlfn.XLOOKUP(B1765, Oil_Price!A:A, Oil_Price!B:B, "")</f>
        <v>81.930000305175781</v>
      </c>
      <c r="E1765">
        <f t="shared" si="108"/>
        <v>-3.9075792571736198E-2</v>
      </c>
      <c r="F1765">
        <f t="shared" si="109"/>
        <v>-8.4714628041843761E-3</v>
      </c>
      <c r="G1765">
        <f t="shared" si="110"/>
        <v>-1.0647563934326172</v>
      </c>
      <c r="H1765">
        <f t="shared" si="111"/>
        <v>-0.6999969482421875</v>
      </c>
    </row>
    <row r="1766" spans="1:8" x14ac:dyDescent="0.2">
      <c r="A1766" t="s">
        <v>12</v>
      </c>
      <c r="B1766" s="2">
        <v>45413</v>
      </c>
      <c r="C1766">
        <v>25.915229797363281</v>
      </c>
      <c r="D1766">
        <f>_xlfn.XLOOKUP(B1766, Oil_Price!A:A, Oil_Price!B:B, "")</f>
        <v>79</v>
      </c>
      <c r="E1766">
        <f t="shared" si="108"/>
        <v>-1.0254652268845773E-2</v>
      </c>
      <c r="F1766">
        <f t="shared" si="109"/>
        <v>-3.5762239646796187E-2</v>
      </c>
      <c r="G1766">
        <f t="shared" si="110"/>
        <v>-0.26850509643555043</v>
      </c>
      <c r="H1766">
        <f t="shared" si="111"/>
        <v>-2.9300003051757812</v>
      </c>
    </row>
    <row r="1767" spans="1:8" x14ac:dyDescent="0.2">
      <c r="A1767" t="s">
        <v>12</v>
      </c>
      <c r="B1767" s="2">
        <v>45414</v>
      </c>
      <c r="C1767">
        <v>26.081892013549801</v>
      </c>
      <c r="D1767">
        <f>_xlfn.XLOOKUP(B1767, Oil_Price!A:A, Oil_Price!B:B, "")</f>
        <v>78.949996948242188</v>
      </c>
      <c r="E1767">
        <f t="shared" si="108"/>
        <v>6.4310529943082647E-3</v>
      </c>
      <c r="F1767">
        <f t="shared" si="109"/>
        <v>-6.3295002225079112E-4</v>
      </c>
      <c r="G1767">
        <f t="shared" si="110"/>
        <v>0.16666221618651988</v>
      </c>
      <c r="H1767">
        <f t="shared" si="111"/>
        <v>-5.00030517578125E-2</v>
      </c>
    </row>
    <row r="1768" spans="1:8" x14ac:dyDescent="0.2">
      <c r="A1768" t="s">
        <v>12</v>
      </c>
      <c r="B1768" s="2">
        <v>45415</v>
      </c>
      <c r="C1768">
        <v>25.952268600463871</v>
      </c>
      <c r="D1768">
        <f>_xlfn.XLOOKUP(B1768, Oil_Price!A:A, Oil_Price!B:B, "")</f>
        <v>78.110000610351562</v>
      </c>
      <c r="E1768">
        <f t="shared" si="108"/>
        <v>-4.9698623481222049E-3</v>
      </c>
      <c r="F1768">
        <f t="shared" si="109"/>
        <v>-1.0639599371248962E-2</v>
      </c>
      <c r="G1768">
        <f t="shared" si="110"/>
        <v>-0.12962341308593039</v>
      </c>
      <c r="H1768">
        <f t="shared" si="111"/>
        <v>-0.839996337890625</v>
      </c>
    </row>
    <row r="1769" spans="1:8" x14ac:dyDescent="0.2">
      <c r="A1769" t="s">
        <v>12</v>
      </c>
      <c r="B1769" s="2">
        <v>45418</v>
      </c>
      <c r="C1769">
        <v>26.183734893798832</v>
      </c>
      <c r="D1769">
        <f>_xlfn.XLOOKUP(B1769, Oil_Price!A:A, Oil_Price!B:B, "")</f>
        <v>78.480003356933594</v>
      </c>
      <c r="E1769">
        <f t="shared" si="108"/>
        <v>8.9189233087246834E-3</v>
      </c>
      <c r="F1769">
        <f t="shared" si="109"/>
        <v>4.7369446126082409E-3</v>
      </c>
      <c r="G1769">
        <f t="shared" si="110"/>
        <v>0.23146629333496094</v>
      </c>
      <c r="H1769">
        <f t="shared" si="111"/>
        <v>0.37000274658203125</v>
      </c>
    </row>
    <row r="1770" spans="1:8" x14ac:dyDescent="0.2">
      <c r="A1770" t="s">
        <v>12</v>
      </c>
      <c r="B1770" s="2">
        <v>45419</v>
      </c>
      <c r="C1770">
        <v>26.183734893798832</v>
      </c>
      <c r="D1770">
        <f>_xlfn.XLOOKUP(B1770, Oil_Price!A:A, Oil_Price!B:B, "")</f>
        <v>78.379997253417969</v>
      </c>
      <c r="E1770">
        <f t="shared" si="108"/>
        <v>0</v>
      </c>
      <c r="F1770">
        <f t="shared" si="109"/>
        <v>-1.2742877069052726E-3</v>
      </c>
      <c r="G1770">
        <f t="shared" si="110"/>
        <v>0</v>
      </c>
      <c r="H1770">
        <f t="shared" si="111"/>
        <v>-0.100006103515625</v>
      </c>
    </row>
    <row r="1771" spans="1:8" x14ac:dyDescent="0.2">
      <c r="A1771" t="s">
        <v>12</v>
      </c>
      <c r="B1771" s="2">
        <v>45420</v>
      </c>
      <c r="C1771">
        <v>26.387430191040039</v>
      </c>
      <c r="D1771">
        <f>_xlfn.XLOOKUP(B1771, Oil_Price!A:A, Oil_Price!B:B, "")</f>
        <v>78.989997863769531</v>
      </c>
      <c r="E1771">
        <f t="shared" si="108"/>
        <v>7.7794591973755862E-3</v>
      </c>
      <c r="F1771">
        <f t="shared" si="109"/>
        <v>7.7826056612289793E-3</v>
      </c>
      <c r="G1771">
        <f t="shared" si="110"/>
        <v>0.20369529724120738</v>
      </c>
      <c r="H1771">
        <f t="shared" si="111"/>
        <v>0.6100006103515625</v>
      </c>
    </row>
    <row r="1772" spans="1:8" x14ac:dyDescent="0.2">
      <c r="A1772" t="s">
        <v>12</v>
      </c>
      <c r="B1772" s="2">
        <v>45421</v>
      </c>
      <c r="C1772">
        <v>26.313356399536129</v>
      </c>
      <c r="D1772">
        <f>_xlfn.XLOOKUP(B1772, Oil_Price!A:A, Oil_Price!B:B, "")</f>
        <v>79.260002136230469</v>
      </c>
      <c r="E1772">
        <f t="shared" si="108"/>
        <v>-2.807162007350828E-3</v>
      </c>
      <c r="F1772">
        <f t="shared" si="109"/>
        <v>3.4182083778075503E-3</v>
      </c>
      <c r="G1772">
        <f t="shared" si="110"/>
        <v>-7.4073791503909803E-2</v>
      </c>
      <c r="H1772">
        <f t="shared" si="111"/>
        <v>0.2700042724609375</v>
      </c>
    </row>
    <row r="1773" spans="1:8" x14ac:dyDescent="0.2">
      <c r="A1773" t="s">
        <v>12</v>
      </c>
      <c r="B1773" s="2">
        <v>45422</v>
      </c>
      <c r="C1773">
        <v>25.989301681518551</v>
      </c>
      <c r="D1773">
        <f>_xlfn.XLOOKUP(B1773, Oil_Price!A:A, Oil_Price!B:B, "")</f>
        <v>78.260002136230469</v>
      </c>
      <c r="E1773">
        <f t="shared" si="108"/>
        <v>-1.2315217910524361E-2</v>
      </c>
      <c r="F1773">
        <f t="shared" si="109"/>
        <v>-1.2616704176732427E-2</v>
      </c>
      <c r="G1773">
        <f t="shared" si="110"/>
        <v>-0.32405471801757812</v>
      </c>
      <c r="H1773">
        <f t="shared" si="111"/>
        <v>-1</v>
      </c>
    </row>
    <row r="1774" spans="1:8" x14ac:dyDescent="0.2">
      <c r="A1774" t="s">
        <v>12</v>
      </c>
      <c r="B1774" s="2">
        <v>45425</v>
      </c>
      <c r="C1774">
        <v>25.859676361083981</v>
      </c>
      <c r="D1774">
        <f>_xlfn.XLOOKUP(B1774, Oil_Price!A:A, Oil_Price!B:B, "")</f>
        <v>79.120002746582031</v>
      </c>
      <c r="E1774">
        <f t="shared" si="108"/>
        <v>-4.9876415312362608E-3</v>
      </c>
      <c r="F1774">
        <f t="shared" si="109"/>
        <v>1.0989018488071638E-2</v>
      </c>
      <c r="G1774">
        <f t="shared" si="110"/>
        <v>-0.12962532043457031</v>
      </c>
      <c r="H1774">
        <f t="shared" si="111"/>
        <v>0.8600006103515625</v>
      </c>
    </row>
    <row r="1775" spans="1:8" x14ac:dyDescent="0.2">
      <c r="A1775" t="s">
        <v>12</v>
      </c>
      <c r="B1775" s="2">
        <v>45426</v>
      </c>
      <c r="C1775">
        <v>25.50785064697266</v>
      </c>
      <c r="D1775">
        <f>_xlfn.XLOOKUP(B1775, Oil_Price!A:A, Oil_Price!B:B, "")</f>
        <v>78.019996643066406</v>
      </c>
      <c r="E1775">
        <f t="shared" si="108"/>
        <v>-1.3605186283026368E-2</v>
      </c>
      <c r="F1775">
        <f t="shared" si="109"/>
        <v>-1.3903008914684916E-2</v>
      </c>
      <c r="G1775">
        <f t="shared" si="110"/>
        <v>-0.35182571411132102</v>
      </c>
      <c r="H1775">
        <f t="shared" si="111"/>
        <v>-1.100006103515625</v>
      </c>
    </row>
    <row r="1776" spans="1:8" x14ac:dyDescent="0.2">
      <c r="A1776" t="s">
        <v>12</v>
      </c>
      <c r="B1776" s="2">
        <v>45427</v>
      </c>
      <c r="C1776">
        <v>25.41525840759277</v>
      </c>
      <c r="D1776">
        <f>_xlfn.XLOOKUP(B1776, Oil_Price!A:A, Oil_Price!B:B, "")</f>
        <v>78.629997253417969</v>
      </c>
      <c r="E1776">
        <f t="shared" si="108"/>
        <v>-3.6299506634785402E-3</v>
      </c>
      <c r="F1776">
        <f t="shared" si="109"/>
        <v>7.8185162342707289E-3</v>
      </c>
      <c r="G1776">
        <f t="shared" si="110"/>
        <v>-9.2592239379889918E-2</v>
      </c>
      <c r="H1776">
        <f t="shared" si="111"/>
        <v>0.6100006103515625</v>
      </c>
    </row>
    <row r="1777" spans="1:8" x14ac:dyDescent="0.2">
      <c r="A1777" t="s">
        <v>12</v>
      </c>
      <c r="B1777" s="2">
        <v>45428</v>
      </c>
      <c r="C1777">
        <v>25.317558288574219</v>
      </c>
      <c r="D1777">
        <f>_xlfn.XLOOKUP(B1777, Oil_Price!A:A, Oil_Price!B:B, "")</f>
        <v>79.230003356933594</v>
      </c>
      <c r="E1777">
        <f t="shared" si="108"/>
        <v>-3.844152101532966E-3</v>
      </c>
      <c r="F1777">
        <f t="shared" si="109"/>
        <v>7.6307532045544278E-3</v>
      </c>
      <c r="G1777">
        <f t="shared" si="110"/>
        <v>-9.7700119018551135E-2</v>
      </c>
      <c r="H1777">
        <f t="shared" si="111"/>
        <v>0.600006103515625</v>
      </c>
    </row>
    <row r="1778" spans="1:8" x14ac:dyDescent="0.2">
      <c r="A1778" t="s">
        <v>12</v>
      </c>
      <c r="B1778" s="2">
        <v>45429</v>
      </c>
      <c r="C1778">
        <v>25.606002807617191</v>
      </c>
      <c r="D1778">
        <f>_xlfn.XLOOKUP(B1778, Oil_Price!A:A, Oil_Price!B:B, "")</f>
        <v>80.05999755859375</v>
      </c>
      <c r="E1778">
        <f t="shared" si="108"/>
        <v>1.1393062307005606E-2</v>
      </c>
      <c r="F1778">
        <f t="shared" si="109"/>
        <v>1.0475756234932958E-2</v>
      </c>
      <c r="G1778">
        <f t="shared" si="110"/>
        <v>0.2884445190429723</v>
      </c>
      <c r="H1778">
        <f t="shared" si="111"/>
        <v>0.82999420166015625</v>
      </c>
    </row>
    <row r="1779" spans="1:8" x14ac:dyDescent="0.2">
      <c r="A1779" t="s">
        <v>12</v>
      </c>
      <c r="B1779" s="2">
        <v>45433</v>
      </c>
      <c r="C1779">
        <v>25.736265182495121</v>
      </c>
      <c r="D1779">
        <f>_xlfn.XLOOKUP(B1779, Oil_Price!A:A, Oil_Price!B:B, "")</f>
        <v>79.260002136230469</v>
      </c>
      <c r="E1779">
        <f t="shared" si="108"/>
        <v>5.0871811526623616E-3</v>
      </c>
      <c r="F1779">
        <f t="shared" si="109"/>
        <v>-9.9924487479254066E-3</v>
      </c>
      <c r="G1779">
        <f t="shared" si="110"/>
        <v>0.13026237487792969</v>
      </c>
      <c r="H1779">
        <f t="shared" si="111"/>
        <v>-0.79999542236328125</v>
      </c>
    </row>
    <row r="1780" spans="1:8" x14ac:dyDescent="0.2">
      <c r="A1780" t="s">
        <v>12</v>
      </c>
      <c r="B1780" s="2">
        <v>45434</v>
      </c>
      <c r="C1780">
        <v>25.45712852478027</v>
      </c>
      <c r="D1780">
        <f>_xlfn.XLOOKUP(B1780, Oil_Price!A:A, Oil_Price!B:B, "")</f>
        <v>77.569999694824219</v>
      </c>
      <c r="E1780">
        <f t="shared" si="108"/>
        <v>-1.0846043733832427E-2</v>
      </c>
      <c r="F1780">
        <f t="shared" si="109"/>
        <v>-2.1322260861178232E-2</v>
      </c>
      <c r="G1780">
        <f t="shared" si="110"/>
        <v>-0.27913665771485086</v>
      </c>
      <c r="H1780">
        <f t="shared" si="111"/>
        <v>-1.69000244140625</v>
      </c>
    </row>
    <row r="1781" spans="1:8" x14ac:dyDescent="0.2">
      <c r="A1781" t="s">
        <v>12</v>
      </c>
      <c r="B1781" s="2">
        <v>45435</v>
      </c>
      <c r="C1781">
        <v>25.49434661865234</v>
      </c>
      <c r="D1781">
        <f>_xlfn.XLOOKUP(B1781, Oil_Price!A:A, Oil_Price!B:B, "")</f>
        <v>76.870002746582031</v>
      </c>
      <c r="E1781">
        <f t="shared" si="108"/>
        <v>1.461991042542044E-3</v>
      </c>
      <c r="F1781">
        <f t="shared" si="109"/>
        <v>-9.0240679514775619E-3</v>
      </c>
      <c r="G1781">
        <f t="shared" si="110"/>
        <v>3.7218093872070312E-2</v>
      </c>
      <c r="H1781">
        <f t="shared" si="111"/>
        <v>-0.6999969482421875</v>
      </c>
    </row>
    <row r="1782" spans="1:8" x14ac:dyDescent="0.2">
      <c r="A1782" t="s">
        <v>12</v>
      </c>
      <c r="B1782" s="2">
        <v>45436</v>
      </c>
      <c r="C1782">
        <v>25.820003509521481</v>
      </c>
      <c r="D1782">
        <f>_xlfn.XLOOKUP(B1782, Oil_Price!A:A, Oil_Price!B:B, "")</f>
        <v>77.720001220703125</v>
      </c>
      <c r="E1782">
        <f t="shared" si="108"/>
        <v>1.2773690408322973E-2</v>
      </c>
      <c r="F1782">
        <f t="shared" si="109"/>
        <v>1.1057609519324342E-2</v>
      </c>
      <c r="G1782">
        <f t="shared" si="110"/>
        <v>0.32565689086914062</v>
      </c>
      <c r="H1782">
        <f t="shared" si="111"/>
        <v>0.84999847412109375</v>
      </c>
    </row>
    <row r="1783" spans="1:8" x14ac:dyDescent="0.2">
      <c r="A1783" t="s">
        <v>12</v>
      </c>
      <c r="B1783" s="2">
        <v>45439</v>
      </c>
      <c r="C1783">
        <v>25.885135650634769</v>
      </c>
      <c r="D1783" t="str">
        <f>_xlfn.XLOOKUP(B1783, Oil_Price!A:A, Oil_Price!B:B, "")</f>
        <v/>
      </c>
      <c r="E1783">
        <f t="shared" si="108"/>
        <v>2.5225457885499508E-3</v>
      </c>
      <c r="F1783" t="str">
        <f t="shared" si="109"/>
        <v/>
      </c>
      <c r="G1783">
        <f t="shared" si="110"/>
        <v>6.5132141113288355E-2</v>
      </c>
      <c r="H1783" t="str">
        <f t="shared" si="111"/>
        <v/>
      </c>
    </row>
    <row r="1784" spans="1:8" x14ac:dyDescent="0.2">
      <c r="A1784" t="s">
        <v>12</v>
      </c>
      <c r="B1784" s="2">
        <v>45440</v>
      </c>
      <c r="C1784">
        <v>26.629497528076168</v>
      </c>
      <c r="D1784">
        <f>_xlfn.XLOOKUP(B1784, Oil_Price!A:A, Oil_Price!B:B, "")</f>
        <v>79.830001831054688</v>
      </c>
      <c r="E1784">
        <f t="shared" si="108"/>
        <v>2.8756344470736644E-2</v>
      </c>
      <c r="F1784" t="str">
        <f t="shared" si="109"/>
        <v/>
      </c>
      <c r="G1784">
        <f t="shared" si="110"/>
        <v>0.74436187744139914</v>
      </c>
      <c r="H1784" t="str">
        <f t="shared" si="111"/>
        <v/>
      </c>
    </row>
    <row r="1785" spans="1:8" x14ac:dyDescent="0.2">
      <c r="A1785" t="s">
        <v>12</v>
      </c>
      <c r="B1785" s="2">
        <v>45441</v>
      </c>
      <c r="C1785">
        <v>26.33175086975098</v>
      </c>
      <c r="D1785">
        <f>_xlfn.XLOOKUP(B1785, Oil_Price!A:A, Oil_Price!B:B, "")</f>
        <v>79.230003356933594</v>
      </c>
      <c r="E1785">
        <f t="shared" si="108"/>
        <v>-1.1181084359975857E-2</v>
      </c>
      <c r="F1785">
        <f t="shared" si="109"/>
        <v>-7.5159521528119048E-3</v>
      </c>
      <c r="G1785">
        <f t="shared" si="110"/>
        <v>-0.29774665832518821</v>
      </c>
      <c r="H1785">
        <f t="shared" si="111"/>
        <v>-0.59999847412109375</v>
      </c>
    </row>
    <row r="1786" spans="1:8" x14ac:dyDescent="0.2">
      <c r="A1786" t="s">
        <v>12</v>
      </c>
      <c r="B1786" s="2">
        <v>45442</v>
      </c>
      <c r="C1786">
        <v>26.229404449462891</v>
      </c>
      <c r="D1786">
        <f>_xlfn.XLOOKUP(B1786, Oil_Price!A:A, Oil_Price!B:B, "")</f>
        <v>77.910003662109375</v>
      </c>
      <c r="E1786">
        <f t="shared" si="108"/>
        <v>-3.886806494347536E-3</v>
      </c>
      <c r="F1786">
        <f t="shared" si="109"/>
        <v>-1.6660351368124771E-2</v>
      </c>
      <c r="G1786">
        <f t="shared" si="110"/>
        <v>-0.10234642028808949</v>
      </c>
      <c r="H1786">
        <f t="shared" si="111"/>
        <v>-1.3199996948242188</v>
      </c>
    </row>
    <row r="1787" spans="1:8" x14ac:dyDescent="0.2">
      <c r="A1787" t="s">
        <v>12</v>
      </c>
      <c r="B1787" s="2">
        <v>45443</v>
      </c>
      <c r="C1787">
        <v>26.434097290039059</v>
      </c>
      <c r="D1787">
        <f>_xlfn.XLOOKUP(B1787, Oil_Price!A:A, Oil_Price!B:B, "")</f>
        <v>76.989997863769531</v>
      </c>
      <c r="E1787">
        <f t="shared" si="108"/>
        <v>7.8039454144129411E-3</v>
      </c>
      <c r="F1787">
        <f t="shared" si="109"/>
        <v>-1.180857085220852E-2</v>
      </c>
      <c r="G1787">
        <f t="shared" si="110"/>
        <v>0.20469284057616832</v>
      </c>
      <c r="H1787">
        <f t="shared" si="111"/>
        <v>-0.92000579833984375</v>
      </c>
    </row>
    <row r="1788" spans="1:8" x14ac:dyDescent="0.2">
      <c r="A1788" t="s">
        <v>12</v>
      </c>
      <c r="B1788" s="2">
        <v>45446</v>
      </c>
      <c r="C1788">
        <v>24.83372688293457</v>
      </c>
      <c r="D1788">
        <f>_xlfn.XLOOKUP(B1788, Oil_Price!A:A, Oil_Price!B:B, "")</f>
        <v>74.220001220703125</v>
      </c>
      <c r="E1788">
        <f t="shared" si="108"/>
        <v>-6.0541897441965718E-2</v>
      </c>
      <c r="F1788">
        <f t="shared" si="109"/>
        <v>-3.5978655928368714E-2</v>
      </c>
      <c r="G1788">
        <f t="shared" si="110"/>
        <v>-1.6003704071044886</v>
      </c>
      <c r="H1788">
        <f t="shared" si="111"/>
        <v>-2.7699966430664062</v>
      </c>
    </row>
    <row r="1789" spans="1:8" x14ac:dyDescent="0.2">
      <c r="A1789" t="s">
        <v>12</v>
      </c>
      <c r="B1789" s="2">
        <v>45447</v>
      </c>
      <c r="C1789">
        <v>24.424325942993161</v>
      </c>
      <c r="D1789">
        <f>_xlfn.XLOOKUP(B1789, Oil_Price!A:A, Oil_Price!B:B, "")</f>
        <v>73.25</v>
      </c>
      <c r="E1789">
        <f t="shared" si="108"/>
        <v>-1.6485682631177886E-2</v>
      </c>
      <c r="F1789">
        <f t="shared" si="109"/>
        <v>-1.3069269802606124E-2</v>
      </c>
      <c r="G1789">
        <f t="shared" si="110"/>
        <v>-0.4094009399414098</v>
      </c>
      <c r="H1789">
        <f t="shared" si="111"/>
        <v>-0.970001220703125</v>
      </c>
    </row>
    <row r="1790" spans="1:8" x14ac:dyDescent="0.2">
      <c r="A1790" t="s">
        <v>12</v>
      </c>
      <c r="B1790" s="2">
        <v>45448</v>
      </c>
      <c r="C1790">
        <v>24.3778076171875</v>
      </c>
      <c r="D1790">
        <f>_xlfn.XLOOKUP(B1790, Oil_Price!A:A, Oil_Price!B:B, "")</f>
        <v>74.069999694824219</v>
      </c>
      <c r="E1790">
        <f t="shared" si="108"/>
        <v>-1.9045899532390438E-3</v>
      </c>
      <c r="F1790">
        <f t="shared" si="109"/>
        <v>1.1194535082924489E-2</v>
      </c>
      <c r="G1790">
        <f t="shared" si="110"/>
        <v>-4.651832580566051E-2</v>
      </c>
      <c r="H1790">
        <f t="shared" si="111"/>
        <v>0.81999969482421875</v>
      </c>
    </row>
    <row r="1791" spans="1:8" x14ac:dyDescent="0.2">
      <c r="A1791" t="s">
        <v>12</v>
      </c>
      <c r="B1791" s="2">
        <v>45449</v>
      </c>
      <c r="C1791">
        <v>24.256845474243161</v>
      </c>
      <c r="D1791">
        <f>_xlfn.XLOOKUP(B1791, Oil_Price!A:A, Oil_Price!B:B, "")</f>
        <v>75.550003051757812</v>
      </c>
      <c r="E1791">
        <f t="shared" si="108"/>
        <v>-4.9619779121997621E-3</v>
      </c>
      <c r="F1791">
        <f t="shared" si="109"/>
        <v>1.9981144363863307E-2</v>
      </c>
      <c r="G1791">
        <f t="shared" si="110"/>
        <v>-0.12096214294433949</v>
      </c>
      <c r="H1791">
        <f t="shared" si="111"/>
        <v>1.4800033569335938</v>
      </c>
    </row>
    <row r="1792" spans="1:8" x14ac:dyDescent="0.2">
      <c r="A1792" t="s">
        <v>12</v>
      </c>
      <c r="B1792" s="2">
        <v>45450</v>
      </c>
      <c r="C1792">
        <v>24.210329055786129</v>
      </c>
      <c r="D1792">
        <f>_xlfn.XLOOKUP(B1792, Oil_Price!A:A, Oil_Price!B:B, "")</f>
        <v>75.529998779296875</v>
      </c>
      <c r="E1792">
        <f t="shared" si="108"/>
        <v>-1.9176614909149727E-3</v>
      </c>
      <c r="F1792">
        <f t="shared" si="109"/>
        <v>-2.6478188819175784E-4</v>
      </c>
      <c r="G1792">
        <f t="shared" si="110"/>
        <v>-4.651641845703125E-2</v>
      </c>
      <c r="H1792">
        <f t="shared" si="111"/>
        <v>-2.00042724609375E-2</v>
      </c>
    </row>
    <row r="1793" spans="1:8" x14ac:dyDescent="0.2">
      <c r="A1793" t="s">
        <v>12</v>
      </c>
      <c r="B1793" s="2">
        <v>45453</v>
      </c>
      <c r="C1793">
        <v>24.83372688293457</v>
      </c>
      <c r="D1793">
        <f>_xlfn.XLOOKUP(B1793, Oil_Price!A:A, Oil_Price!B:B, "")</f>
        <v>77.739997863769531</v>
      </c>
      <c r="E1793">
        <f t="shared" si="108"/>
        <v>2.5749250483625814E-2</v>
      </c>
      <c r="F1793">
        <f t="shared" si="109"/>
        <v>2.9259885081296032E-2</v>
      </c>
      <c r="G1793">
        <f t="shared" si="110"/>
        <v>0.62339782714844105</v>
      </c>
      <c r="H1793">
        <f t="shared" si="111"/>
        <v>2.2099990844726562</v>
      </c>
    </row>
    <row r="1794" spans="1:8" x14ac:dyDescent="0.2">
      <c r="A1794" t="s">
        <v>12</v>
      </c>
      <c r="B1794" s="2">
        <v>45454</v>
      </c>
      <c r="C1794">
        <v>24.6755485534668</v>
      </c>
      <c r="D1794">
        <f>_xlfn.XLOOKUP(B1794, Oil_Price!A:A, Oil_Price!B:B, "")</f>
        <v>77.900001525878906</v>
      </c>
      <c r="E1794">
        <f t="shared" si="108"/>
        <v>-6.3694962183250903E-3</v>
      </c>
      <c r="F1794">
        <f t="shared" si="109"/>
        <v>2.0581896900712959E-3</v>
      </c>
      <c r="G1794">
        <f t="shared" si="110"/>
        <v>-0.15817832946776988</v>
      </c>
      <c r="H1794">
        <f t="shared" si="111"/>
        <v>0.160003662109375</v>
      </c>
    </row>
    <row r="1795" spans="1:8" x14ac:dyDescent="0.2">
      <c r="A1795" t="s">
        <v>12</v>
      </c>
      <c r="B1795" s="2">
        <v>45455</v>
      </c>
      <c r="C1795">
        <v>24.489461898803711</v>
      </c>
      <c r="D1795">
        <f>_xlfn.XLOOKUP(B1795, Oil_Price!A:A, Oil_Price!B:B, "")</f>
        <v>78.5</v>
      </c>
      <c r="E1795">
        <f t="shared" ref="E1795:E1858" si="112">IFERROR(IF(AND(A1795=A1794, C1795&lt;&gt;"", C1794&lt;&gt;""), (C1795-C1794)/C1794, ""), "")</f>
        <v>-7.5413381088520999E-3</v>
      </c>
      <c r="F1795">
        <f t="shared" ref="F1795:F1858" si="113">IFERROR(IF(AND(A1795=A1794, D1795&lt;&gt;"", D1794&lt;&gt;""), (D1795-D1794)/D1794, ""), "")</f>
        <v>7.702162546450916E-3</v>
      </c>
      <c r="G1795">
        <f t="shared" ref="G1795:G1858" si="114">IFERROR(IF(AND(A1795=A1794, C1795&lt;&gt;"", C1794&lt;&gt;""), C1795-C1794, ""), "")</f>
        <v>-0.18608665466308949</v>
      </c>
      <c r="H1795">
        <f t="shared" ref="H1795:H1858" si="115">IFERROR(IF(AND(A1795=A1794, D1795&lt;&gt;"", D1794&lt;&gt;""), D1795-D1794, ""), "")</f>
        <v>0.59999847412109375</v>
      </c>
    </row>
    <row r="1796" spans="1:8" x14ac:dyDescent="0.2">
      <c r="A1796" t="s">
        <v>12</v>
      </c>
      <c r="B1796" s="2">
        <v>45456</v>
      </c>
      <c r="C1796">
        <v>23.54970550537109</v>
      </c>
      <c r="D1796">
        <f>_xlfn.XLOOKUP(B1796, Oil_Price!A:A, Oil_Price!B:B, "")</f>
        <v>78.620002746582031</v>
      </c>
      <c r="E1796">
        <f t="shared" si="112"/>
        <v>-3.8373909451988694E-2</v>
      </c>
      <c r="F1796">
        <f t="shared" si="113"/>
        <v>1.5286974086882962E-3</v>
      </c>
      <c r="G1796">
        <f t="shared" si="114"/>
        <v>-0.93975639343262074</v>
      </c>
      <c r="H1796">
        <f t="shared" si="115"/>
        <v>0.12000274658203125</v>
      </c>
    </row>
    <row r="1797" spans="1:8" x14ac:dyDescent="0.2">
      <c r="A1797" t="s">
        <v>12</v>
      </c>
      <c r="B1797" s="2">
        <v>45457</v>
      </c>
      <c r="C1797">
        <v>23.484104156494141</v>
      </c>
      <c r="D1797">
        <f>_xlfn.XLOOKUP(B1797, Oil_Price!A:A, Oil_Price!B:B, "")</f>
        <v>78.449996948242188</v>
      </c>
      <c r="E1797">
        <f t="shared" si="112"/>
        <v>-2.7856547446840712E-3</v>
      </c>
      <c r="F1797">
        <f t="shared" si="113"/>
        <v>-2.1623733452137877E-3</v>
      </c>
      <c r="G1797">
        <f t="shared" si="114"/>
        <v>-6.5601348876949572E-2</v>
      </c>
      <c r="H1797">
        <f t="shared" si="115"/>
        <v>-0.17000579833984375</v>
      </c>
    </row>
    <row r="1798" spans="1:8" x14ac:dyDescent="0.2">
      <c r="A1798" t="s">
        <v>12</v>
      </c>
      <c r="B1798" s="2">
        <v>45460</v>
      </c>
      <c r="C1798">
        <v>23.484104156494141</v>
      </c>
      <c r="D1798">
        <f>_xlfn.XLOOKUP(B1798, Oil_Price!A:A, Oil_Price!B:B, "")</f>
        <v>80.330001831054688</v>
      </c>
      <c r="E1798">
        <f t="shared" si="112"/>
        <v>0</v>
      </c>
      <c r="F1798">
        <f t="shared" si="113"/>
        <v>2.3964371650044083E-2</v>
      </c>
      <c r="G1798">
        <f t="shared" si="114"/>
        <v>0</v>
      </c>
      <c r="H1798">
        <f t="shared" si="115"/>
        <v>1.8800048828125</v>
      </c>
    </row>
    <row r="1799" spans="1:8" x14ac:dyDescent="0.2">
      <c r="A1799" t="s">
        <v>12</v>
      </c>
      <c r="B1799" s="2">
        <v>45461</v>
      </c>
      <c r="C1799">
        <v>23.99015045166016</v>
      </c>
      <c r="D1799">
        <f>_xlfn.XLOOKUP(B1799, Oil_Price!A:A, Oil_Price!B:B, "")</f>
        <v>81.569999694824219</v>
      </c>
      <c r="E1799">
        <f t="shared" si="112"/>
        <v>2.1548460686165047E-2</v>
      </c>
      <c r="F1799">
        <f t="shared" si="113"/>
        <v>1.5436298213678888E-2</v>
      </c>
      <c r="G1799">
        <f t="shared" si="114"/>
        <v>0.50604629516601918</v>
      </c>
      <c r="H1799">
        <f t="shared" si="115"/>
        <v>1.2399978637695312</v>
      </c>
    </row>
    <row r="1800" spans="1:8" x14ac:dyDescent="0.2">
      <c r="A1800" t="s">
        <v>12</v>
      </c>
      <c r="B1800" s="2">
        <v>45462</v>
      </c>
      <c r="C1800">
        <v>23.952663421630859</v>
      </c>
      <c r="D1800" t="str">
        <f>_xlfn.XLOOKUP(B1800, Oil_Price!A:A, Oil_Price!B:B, "")</f>
        <v/>
      </c>
      <c r="E1800">
        <f t="shared" si="112"/>
        <v>-1.5626008725887861E-3</v>
      </c>
      <c r="F1800" t="str">
        <f t="shared" si="113"/>
        <v/>
      </c>
      <c r="G1800">
        <f t="shared" si="114"/>
        <v>-3.7487030029300428E-2</v>
      </c>
      <c r="H1800" t="str">
        <f t="shared" si="115"/>
        <v/>
      </c>
    </row>
    <row r="1801" spans="1:8" x14ac:dyDescent="0.2">
      <c r="A1801" t="s">
        <v>12</v>
      </c>
      <c r="B1801" s="2">
        <v>45463</v>
      </c>
      <c r="C1801">
        <v>24.13071441650391</v>
      </c>
      <c r="D1801">
        <f>_xlfn.XLOOKUP(B1801, Oil_Price!A:A, Oil_Price!B:B, "")</f>
        <v>82.169998168945312</v>
      </c>
      <c r="E1801">
        <f t="shared" si="112"/>
        <v>7.4334528790755876E-3</v>
      </c>
      <c r="F1801" t="str">
        <f t="shared" si="113"/>
        <v/>
      </c>
      <c r="G1801">
        <f t="shared" si="114"/>
        <v>0.17805099487305043</v>
      </c>
      <c r="H1801" t="str">
        <f t="shared" si="115"/>
        <v/>
      </c>
    </row>
    <row r="1802" spans="1:8" x14ac:dyDescent="0.2">
      <c r="A1802" t="s">
        <v>12</v>
      </c>
      <c r="B1802" s="2">
        <v>45464</v>
      </c>
      <c r="C1802">
        <v>23.971405029296879</v>
      </c>
      <c r="D1802">
        <f>_xlfn.XLOOKUP(B1802, Oil_Price!A:A, Oil_Price!B:B, "")</f>
        <v>80.730003356933594</v>
      </c>
      <c r="E1802">
        <f t="shared" si="112"/>
        <v>-6.6019341349493376E-3</v>
      </c>
      <c r="F1802">
        <f t="shared" si="113"/>
        <v>-1.7524581283925832E-2</v>
      </c>
      <c r="G1802">
        <f t="shared" si="114"/>
        <v>-0.15930938720703125</v>
      </c>
      <c r="H1802">
        <f t="shared" si="115"/>
        <v>-1.4399948120117188</v>
      </c>
    </row>
    <row r="1803" spans="1:8" x14ac:dyDescent="0.2">
      <c r="A1803" t="s">
        <v>12</v>
      </c>
      <c r="B1803" s="2">
        <v>45467</v>
      </c>
      <c r="C1803">
        <v>24.655498504638668</v>
      </c>
      <c r="D1803">
        <f>_xlfn.XLOOKUP(B1803, Oil_Price!A:A, Oil_Price!B:B, "")</f>
        <v>81.629997253417969</v>
      </c>
      <c r="E1803">
        <f t="shared" si="112"/>
        <v>2.8537896485655242E-2</v>
      </c>
      <c r="F1803">
        <f t="shared" si="113"/>
        <v>1.1148195950212084E-2</v>
      </c>
      <c r="G1803">
        <f t="shared" si="114"/>
        <v>0.68409347534178977</v>
      </c>
      <c r="H1803">
        <f t="shared" si="115"/>
        <v>0.899993896484375</v>
      </c>
    </row>
    <row r="1804" spans="1:8" x14ac:dyDescent="0.2">
      <c r="A1804" t="s">
        <v>12</v>
      </c>
      <c r="B1804" s="2">
        <v>45468</v>
      </c>
      <c r="C1804">
        <v>24.721097946166989</v>
      </c>
      <c r="D1804">
        <f>_xlfn.XLOOKUP(B1804, Oil_Price!A:A, Oil_Price!B:B, "")</f>
        <v>80.830001831054688</v>
      </c>
      <c r="E1804">
        <f t="shared" si="112"/>
        <v>2.6606414595907878E-3</v>
      </c>
      <c r="F1804">
        <f t="shared" si="113"/>
        <v>-9.8002627622259808E-3</v>
      </c>
      <c r="G1804">
        <f t="shared" si="114"/>
        <v>6.5599441528320312E-2</v>
      </c>
      <c r="H1804">
        <f t="shared" si="115"/>
        <v>-0.79999542236328125</v>
      </c>
    </row>
    <row r="1805" spans="1:8" x14ac:dyDescent="0.2">
      <c r="A1805" t="s">
        <v>12</v>
      </c>
      <c r="B1805" s="2">
        <v>45469</v>
      </c>
      <c r="C1805">
        <v>24.824178695678711</v>
      </c>
      <c r="D1805">
        <f>_xlfn.XLOOKUP(B1805, Oil_Price!A:A, Oil_Price!B:B, "")</f>
        <v>80.900001525878906</v>
      </c>
      <c r="E1805">
        <f t="shared" si="112"/>
        <v>4.1697480320733483E-3</v>
      </c>
      <c r="F1805">
        <f t="shared" si="113"/>
        <v>8.6601129826184217E-4</v>
      </c>
      <c r="G1805">
        <f t="shared" si="114"/>
        <v>0.1030807495117223</v>
      </c>
      <c r="H1805">
        <f t="shared" si="115"/>
        <v>6.999969482421875E-2</v>
      </c>
    </row>
    <row r="1806" spans="1:8" x14ac:dyDescent="0.2">
      <c r="A1806" t="s">
        <v>12</v>
      </c>
      <c r="B1806" s="2">
        <v>45470</v>
      </c>
      <c r="C1806">
        <v>25.236515045166019</v>
      </c>
      <c r="D1806">
        <f>_xlfn.XLOOKUP(B1806, Oil_Price!A:A, Oil_Price!B:B, "")</f>
        <v>81.739997863769531</v>
      </c>
      <c r="E1806">
        <f t="shared" si="112"/>
        <v>1.6610271563952526E-2</v>
      </c>
      <c r="F1806">
        <f t="shared" si="113"/>
        <v>1.038314365942157E-2</v>
      </c>
      <c r="G1806">
        <f t="shared" si="114"/>
        <v>0.41233634948730824</v>
      </c>
      <c r="H1806">
        <f t="shared" si="115"/>
        <v>0.839996337890625</v>
      </c>
    </row>
    <row r="1807" spans="1:8" x14ac:dyDescent="0.2">
      <c r="A1807" t="s">
        <v>12</v>
      </c>
      <c r="B1807" s="2">
        <v>45471</v>
      </c>
      <c r="C1807">
        <v>25.199028015136719</v>
      </c>
      <c r="D1807">
        <f>_xlfn.XLOOKUP(B1807, Oil_Price!A:A, Oil_Price!B:B, "")</f>
        <v>81.540000915527344</v>
      </c>
      <c r="E1807">
        <f t="shared" si="112"/>
        <v>-1.4854281568675212E-3</v>
      </c>
      <c r="F1807">
        <f t="shared" si="113"/>
        <v>-2.4467452100440318E-3</v>
      </c>
      <c r="G1807">
        <f t="shared" si="114"/>
        <v>-3.7487030029300428E-2</v>
      </c>
      <c r="H1807">
        <f t="shared" si="115"/>
        <v>-0.1999969482421875</v>
      </c>
    </row>
    <row r="1808" spans="1:8" x14ac:dyDescent="0.2">
      <c r="A1808" t="s">
        <v>12</v>
      </c>
      <c r="B1808" s="2">
        <v>45475</v>
      </c>
      <c r="C1808">
        <v>25.873748779296879</v>
      </c>
      <c r="D1808">
        <f>_xlfn.XLOOKUP(B1808, Oil_Price!A:A, Oil_Price!B:B, "")</f>
        <v>82.80999755859375</v>
      </c>
      <c r="E1808">
        <f t="shared" si="112"/>
        <v>2.6775666258034399E-2</v>
      </c>
      <c r="F1808">
        <f t="shared" si="113"/>
        <v>1.5575136482793021E-2</v>
      </c>
      <c r="G1808">
        <f t="shared" si="114"/>
        <v>0.6747207641601598</v>
      </c>
      <c r="H1808">
        <f t="shared" si="115"/>
        <v>1.2699966430664062</v>
      </c>
    </row>
    <row r="1809" spans="1:8" x14ac:dyDescent="0.2">
      <c r="A1809" t="s">
        <v>12</v>
      </c>
      <c r="B1809" s="2">
        <v>45476</v>
      </c>
      <c r="C1809">
        <v>25.733182907104489</v>
      </c>
      <c r="D1809">
        <f>_xlfn.XLOOKUP(B1809, Oil_Price!A:A, Oil_Price!B:B, "")</f>
        <v>83.879997253417969</v>
      </c>
      <c r="E1809">
        <f t="shared" si="112"/>
        <v>-5.4327601845181794E-3</v>
      </c>
      <c r="F1809">
        <f t="shared" si="113"/>
        <v>1.2921141484965273E-2</v>
      </c>
      <c r="G1809">
        <f t="shared" si="114"/>
        <v>-0.14056587219238992</v>
      </c>
      <c r="H1809">
        <f t="shared" si="115"/>
        <v>1.0699996948242188</v>
      </c>
    </row>
    <row r="1810" spans="1:8" x14ac:dyDescent="0.2">
      <c r="A1810" t="s">
        <v>12</v>
      </c>
      <c r="B1810" s="2">
        <v>45477</v>
      </c>
      <c r="C1810">
        <v>25.845638275146481</v>
      </c>
      <c r="D1810" t="str">
        <f>_xlfn.XLOOKUP(B1810, Oil_Price!A:A, Oil_Price!B:B, "")</f>
        <v/>
      </c>
      <c r="E1810">
        <f t="shared" si="112"/>
        <v>4.3700528010060195E-3</v>
      </c>
      <c r="F1810" t="str">
        <f t="shared" si="113"/>
        <v/>
      </c>
      <c r="G1810">
        <f t="shared" si="114"/>
        <v>0.11245536804199219</v>
      </c>
      <c r="H1810" t="str">
        <f t="shared" si="115"/>
        <v/>
      </c>
    </row>
    <row r="1811" spans="1:8" x14ac:dyDescent="0.2">
      <c r="A1811" t="s">
        <v>12</v>
      </c>
      <c r="B1811" s="2">
        <v>45478</v>
      </c>
      <c r="C1811">
        <v>25.095943450927731</v>
      </c>
      <c r="D1811">
        <f>_xlfn.XLOOKUP(B1811, Oil_Price!A:A, Oil_Price!B:B, "")</f>
        <v>83.160003662109375</v>
      </c>
      <c r="E1811">
        <f t="shared" si="112"/>
        <v>-2.9006628361725035E-2</v>
      </c>
      <c r="F1811" t="str">
        <f t="shared" si="113"/>
        <v/>
      </c>
      <c r="G1811">
        <f t="shared" si="114"/>
        <v>-0.74969482421875</v>
      </c>
      <c r="H1811" t="str">
        <f t="shared" si="115"/>
        <v/>
      </c>
    </row>
    <row r="1812" spans="1:8" x14ac:dyDescent="0.2">
      <c r="A1812" t="s">
        <v>12</v>
      </c>
      <c r="B1812" s="2">
        <v>45481</v>
      </c>
      <c r="C1812">
        <v>25.011604309082031</v>
      </c>
      <c r="D1812">
        <f>_xlfn.XLOOKUP(B1812, Oil_Price!A:A, Oil_Price!B:B, "")</f>
        <v>82.330001831054688</v>
      </c>
      <c r="E1812">
        <f t="shared" si="112"/>
        <v>-3.3606683092275527E-3</v>
      </c>
      <c r="F1812">
        <f t="shared" si="113"/>
        <v>-9.9807815596918443E-3</v>
      </c>
      <c r="G1812">
        <f t="shared" si="114"/>
        <v>-8.4339141845699572E-2</v>
      </c>
      <c r="H1812">
        <f t="shared" si="115"/>
        <v>-0.8300018310546875</v>
      </c>
    </row>
    <row r="1813" spans="1:8" x14ac:dyDescent="0.2">
      <c r="A1813" t="s">
        <v>12</v>
      </c>
      <c r="B1813" s="2">
        <v>45482</v>
      </c>
      <c r="C1813">
        <v>24.608644485473629</v>
      </c>
      <c r="D1813">
        <f>_xlfn.XLOOKUP(B1813, Oil_Price!A:A, Oil_Price!B:B, "")</f>
        <v>81.410003662109375</v>
      </c>
      <c r="E1813">
        <f t="shared" si="112"/>
        <v>-1.6110914702983772E-2</v>
      </c>
      <c r="F1813">
        <f t="shared" si="113"/>
        <v>-1.1174518990454962E-2</v>
      </c>
      <c r="G1813">
        <f t="shared" si="114"/>
        <v>-0.40295982360840199</v>
      </c>
      <c r="H1813">
        <f t="shared" si="115"/>
        <v>-0.9199981689453125</v>
      </c>
    </row>
    <row r="1814" spans="1:8" x14ac:dyDescent="0.2">
      <c r="A1814" t="s">
        <v>12</v>
      </c>
      <c r="B1814" s="2">
        <v>45483</v>
      </c>
      <c r="C1814">
        <v>25.077203750610352</v>
      </c>
      <c r="D1814">
        <f>_xlfn.XLOOKUP(B1814, Oil_Price!A:A, Oil_Price!B:B, "")</f>
        <v>82.099998474121094</v>
      </c>
      <c r="E1814">
        <f t="shared" si="112"/>
        <v>1.9040433755435442E-2</v>
      </c>
      <c r="F1814">
        <f t="shared" si="113"/>
        <v>8.4755531381073106E-3</v>
      </c>
      <c r="G1814">
        <f t="shared" si="114"/>
        <v>0.4685592651367223</v>
      </c>
      <c r="H1814">
        <f t="shared" si="115"/>
        <v>0.68999481201171875</v>
      </c>
    </row>
    <row r="1815" spans="1:8" x14ac:dyDescent="0.2">
      <c r="A1815" t="s">
        <v>12</v>
      </c>
      <c r="B1815" s="2">
        <v>45484</v>
      </c>
      <c r="C1815">
        <v>25.386453628540039</v>
      </c>
      <c r="D1815">
        <f>_xlfn.XLOOKUP(B1815, Oil_Price!A:A, Oil_Price!B:B, "")</f>
        <v>82.620002746582031</v>
      </c>
      <c r="E1815">
        <f t="shared" si="112"/>
        <v>1.2331912321849707E-2</v>
      </c>
      <c r="F1815">
        <f t="shared" si="113"/>
        <v>6.3337914997020264E-3</v>
      </c>
      <c r="G1815">
        <f t="shared" si="114"/>
        <v>0.3092498779296875</v>
      </c>
      <c r="H1815">
        <f t="shared" si="115"/>
        <v>0.5200042724609375</v>
      </c>
    </row>
    <row r="1816" spans="1:8" x14ac:dyDescent="0.2">
      <c r="A1816" t="s">
        <v>12</v>
      </c>
      <c r="B1816" s="2">
        <v>45485</v>
      </c>
      <c r="C1816">
        <v>25.442678451538089</v>
      </c>
      <c r="D1816">
        <f>_xlfn.XLOOKUP(B1816, Oil_Price!A:A, Oil_Price!B:B, "")</f>
        <v>82.209999084472656</v>
      </c>
      <c r="E1816">
        <f t="shared" si="112"/>
        <v>2.2147568865168777E-3</v>
      </c>
      <c r="F1816">
        <f t="shared" si="113"/>
        <v>-4.9625229784483003E-3</v>
      </c>
      <c r="G1816">
        <f t="shared" si="114"/>
        <v>5.6224822998050428E-2</v>
      </c>
      <c r="H1816">
        <f t="shared" si="115"/>
        <v>-0.410003662109375</v>
      </c>
    </row>
    <row r="1817" spans="1:8" x14ac:dyDescent="0.2">
      <c r="A1817" t="s">
        <v>12</v>
      </c>
      <c r="B1817" s="2">
        <v>45488</v>
      </c>
      <c r="C1817">
        <v>26.464130401611332</v>
      </c>
      <c r="D1817">
        <f>_xlfn.XLOOKUP(B1817, Oil_Price!A:A, Oil_Price!B:B, "")</f>
        <v>81.910003662109375</v>
      </c>
      <c r="E1817">
        <f t="shared" si="112"/>
        <v>4.0147186233511205E-2</v>
      </c>
      <c r="F1817">
        <f t="shared" si="113"/>
        <v>-3.6491354543749487E-3</v>
      </c>
      <c r="G1817">
        <f t="shared" si="114"/>
        <v>1.0214519500732422</v>
      </c>
      <c r="H1817">
        <f t="shared" si="115"/>
        <v>-0.29999542236328125</v>
      </c>
    </row>
    <row r="1818" spans="1:8" x14ac:dyDescent="0.2">
      <c r="A1818" t="s">
        <v>12</v>
      </c>
      <c r="B1818" s="2">
        <v>45489</v>
      </c>
      <c r="C1818">
        <v>26.145511627197269</v>
      </c>
      <c r="D1818">
        <f>_xlfn.XLOOKUP(B1818, Oil_Price!A:A, Oil_Price!B:B, "")</f>
        <v>80.760002136230469</v>
      </c>
      <c r="E1818">
        <f t="shared" si="112"/>
        <v>-1.203964647917026E-2</v>
      </c>
      <c r="F1818">
        <f t="shared" si="113"/>
        <v>-1.4039817781266731E-2</v>
      </c>
      <c r="G1818">
        <f t="shared" si="114"/>
        <v>-0.3186187744140625</v>
      </c>
      <c r="H1818">
        <f t="shared" si="115"/>
        <v>-1.1500015258789062</v>
      </c>
    </row>
    <row r="1819" spans="1:8" x14ac:dyDescent="0.2">
      <c r="A1819" t="s">
        <v>12</v>
      </c>
      <c r="B1819" s="2">
        <v>45490</v>
      </c>
      <c r="C1819">
        <v>26.3048210144043</v>
      </c>
      <c r="D1819">
        <f>_xlfn.XLOOKUP(B1819, Oil_Price!A:A, Oil_Price!B:B, "")</f>
        <v>82.849998474121094</v>
      </c>
      <c r="E1819">
        <f t="shared" si="112"/>
        <v>6.0931830089457229E-3</v>
      </c>
      <c r="F1819">
        <f t="shared" si="113"/>
        <v>2.5879102062987849E-2</v>
      </c>
      <c r="G1819">
        <f t="shared" si="114"/>
        <v>0.15930938720703125</v>
      </c>
      <c r="H1819">
        <f t="shared" si="115"/>
        <v>2.089996337890625</v>
      </c>
    </row>
    <row r="1820" spans="1:8" x14ac:dyDescent="0.2">
      <c r="A1820" t="s">
        <v>12</v>
      </c>
      <c r="B1820" s="2">
        <v>45491</v>
      </c>
      <c r="C1820">
        <v>25.967460632324219</v>
      </c>
      <c r="D1820">
        <f>_xlfn.XLOOKUP(B1820, Oil_Price!A:A, Oil_Price!B:B, "")</f>
        <v>82.819999694824219</v>
      </c>
      <c r="E1820">
        <f t="shared" si="112"/>
        <v>-1.2825040014351207E-2</v>
      </c>
      <c r="F1820">
        <f t="shared" si="113"/>
        <v>-3.6208545382466573E-4</v>
      </c>
      <c r="G1820">
        <f t="shared" si="114"/>
        <v>-0.33736038208008168</v>
      </c>
      <c r="H1820">
        <f t="shared" si="115"/>
        <v>-2.9998779296875E-2</v>
      </c>
    </row>
    <row r="1821" spans="1:8" x14ac:dyDescent="0.2">
      <c r="A1821" t="s">
        <v>12</v>
      </c>
      <c r="B1821" s="2">
        <v>45492</v>
      </c>
      <c r="C1821">
        <v>25.648843765258789</v>
      </c>
      <c r="D1821">
        <f>_xlfn.XLOOKUP(B1821, Oil_Price!A:A, Oil_Price!B:B, "")</f>
        <v>80.129997253417969</v>
      </c>
      <c r="E1821">
        <f t="shared" si="112"/>
        <v>-1.2269850778894273E-2</v>
      </c>
      <c r="F1821">
        <f t="shared" si="113"/>
        <v>-3.2480106874165561E-2</v>
      </c>
      <c r="G1821">
        <f t="shared" si="114"/>
        <v>-0.31861686706542969</v>
      </c>
      <c r="H1821">
        <f t="shared" si="115"/>
        <v>-2.69000244140625</v>
      </c>
    </row>
    <row r="1822" spans="1:8" x14ac:dyDescent="0.2">
      <c r="A1822" t="s">
        <v>12</v>
      </c>
      <c r="B1822" s="2">
        <v>45495</v>
      </c>
      <c r="C1822">
        <v>25.77066802978516</v>
      </c>
      <c r="D1822">
        <f>_xlfn.XLOOKUP(B1822, Oil_Price!A:A, Oil_Price!B:B, "")</f>
        <v>79.779998779296875</v>
      </c>
      <c r="E1822">
        <f t="shared" si="112"/>
        <v>4.7496981010653203E-3</v>
      </c>
      <c r="F1822">
        <f t="shared" si="113"/>
        <v>-4.367883266165524E-3</v>
      </c>
      <c r="G1822">
        <f t="shared" si="114"/>
        <v>0.12182426452637074</v>
      </c>
      <c r="H1822">
        <f t="shared" si="115"/>
        <v>-0.34999847412109375</v>
      </c>
    </row>
    <row r="1823" spans="1:8" x14ac:dyDescent="0.2">
      <c r="A1823" t="s">
        <v>12</v>
      </c>
      <c r="B1823" s="2">
        <v>45496</v>
      </c>
      <c r="C1823">
        <v>25.133428573608398</v>
      </c>
      <c r="D1823">
        <f>_xlfn.XLOOKUP(B1823, Oil_Price!A:A, Oil_Price!B:B, "")</f>
        <v>76.959999084472656</v>
      </c>
      <c r="E1823">
        <f t="shared" si="112"/>
        <v>-2.4727316165815114E-2</v>
      </c>
      <c r="F1823">
        <f t="shared" si="113"/>
        <v>-3.5347201528862601E-2</v>
      </c>
      <c r="G1823">
        <f t="shared" si="114"/>
        <v>-0.63723945617676137</v>
      </c>
      <c r="H1823">
        <f t="shared" si="115"/>
        <v>-2.8199996948242188</v>
      </c>
    </row>
    <row r="1824" spans="1:8" x14ac:dyDescent="0.2">
      <c r="A1824" t="s">
        <v>12</v>
      </c>
      <c r="B1824" s="2">
        <v>45497</v>
      </c>
      <c r="C1824">
        <v>25.14279747009277</v>
      </c>
      <c r="D1824">
        <f>_xlfn.XLOOKUP(B1824, Oil_Price!A:A, Oil_Price!B:B, "")</f>
        <v>77.589996337890625</v>
      </c>
      <c r="E1824">
        <f t="shared" si="112"/>
        <v>3.7276635206902683E-4</v>
      </c>
      <c r="F1824">
        <f t="shared" si="113"/>
        <v>8.186035095016992E-3</v>
      </c>
      <c r="G1824">
        <f t="shared" si="114"/>
        <v>9.3688964843714473E-3</v>
      </c>
      <c r="H1824">
        <f t="shared" si="115"/>
        <v>0.62999725341796875</v>
      </c>
    </row>
    <row r="1825" spans="1:8" x14ac:dyDescent="0.2">
      <c r="A1825" t="s">
        <v>12</v>
      </c>
      <c r="B1825" s="2">
        <v>45498</v>
      </c>
      <c r="C1825">
        <v>25.592611312866211</v>
      </c>
      <c r="D1825">
        <f>_xlfn.XLOOKUP(B1825, Oil_Price!A:A, Oil_Price!B:B, "")</f>
        <v>78.279998779296875</v>
      </c>
      <c r="E1825">
        <f t="shared" si="112"/>
        <v>1.7890365752199704E-2</v>
      </c>
      <c r="F1825">
        <f t="shared" si="113"/>
        <v>8.8929304546092793E-3</v>
      </c>
      <c r="G1825">
        <f t="shared" si="114"/>
        <v>0.44981384277344105</v>
      </c>
      <c r="H1825">
        <f t="shared" si="115"/>
        <v>0.69000244140625</v>
      </c>
    </row>
    <row r="1826" spans="1:8" x14ac:dyDescent="0.2">
      <c r="A1826" t="s">
        <v>12</v>
      </c>
      <c r="B1826" s="2">
        <v>45499</v>
      </c>
      <c r="C1826">
        <v>25.620729446411129</v>
      </c>
      <c r="D1826">
        <f>_xlfn.XLOOKUP(B1826, Oil_Price!A:A, Oil_Price!B:B, "")</f>
        <v>77.160003662109375</v>
      </c>
      <c r="E1826">
        <f t="shared" si="112"/>
        <v>1.0986816937583251E-3</v>
      </c>
      <c r="F1826">
        <f t="shared" si="113"/>
        <v>-1.4307551541297559E-2</v>
      </c>
      <c r="G1826">
        <f t="shared" si="114"/>
        <v>2.8118133544918322E-2</v>
      </c>
      <c r="H1826">
        <f t="shared" si="115"/>
        <v>-1.1199951171875</v>
      </c>
    </row>
    <row r="1827" spans="1:8" x14ac:dyDescent="0.2">
      <c r="A1827" t="s">
        <v>12</v>
      </c>
      <c r="B1827" s="2">
        <v>45502</v>
      </c>
      <c r="C1827">
        <v>25.348966598510739</v>
      </c>
      <c r="D1827">
        <f>_xlfn.XLOOKUP(B1827, Oil_Price!A:A, Oil_Price!B:B, "")</f>
        <v>75.80999755859375</v>
      </c>
      <c r="E1827">
        <f t="shared" si="112"/>
        <v>-1.0607147172324491E-2</v>
      </c>
      <c r="F1827">
        <f t="shared" si="113"/>
        <v>-1.7496190246794489E-2</v>
      </c>
      <c r="G1827">
        <f t="shared" si="114"/>
        <v>-0.27176284790039062</v>
      </c>
      <c r="H1827">
        <f t="shared" si="115"/>
        <v>-1.350006103515625</v>
      </c>
    </row>
    <row r="1828" spans="1:8" x14ac:dyDescent="0.2">
      <c r="A1828" t="s">
        <v>12</v>
      </c>
      <c r="B1828" s="2">
        <v>45503</v>
      </c>
      <c r="C1828">
        <v>25.386453628540039</v>
      </c>
      <c r="D1828">
        <f>_xlfn.XLOOKUP(B1828, Oil_Price!A:A, Oil_Price!B:B, "")</f>
        <v>74.730003356933594</v>
      </c>
      <c r="E1828">
        <f t="shared" si="112"/>
        <v>1.478838590268323E-3</v>
      </c>
      <c r="F1828">
        <f t="shared" si="113"/>
        <v>-1.4246065643590423E-2</v>
      </c>
      <c r="G1828">
        <f t="shared" si="114"/>
        <v>3.7487030029300428E-2</v>
      </c>
      <c r="H1828">
        <f t="shared" si="115"/>
        <v>-1.0799942016601562</v>
      </c>
    </row>
    <row r="1829" spans="1:8" x14ac:dyDescent="0.2">
      <c r="A1829" t="s">
        <v>12</v>
      </c>
      <c r="B1829" s="2">
        <v>45504</v>
      </c>
      <c r="C1829">
        <v>26.07054328918457</v>
      </c>
      <c r="D1829">
        <f>_xlfn.XLOOKUP(B1829, Oil_Price!A:A, Oil_Price!B:B, "")</f>
        <v>77.910003662109375</v>
      </c>
      <c r="E1829">
        <f t="shared" si="112"/>
        <v>2.6947035243846024E-2</v>
      </c>
      <c r="F1829">
        <f t="shared" si="113"/>
        <v>4.2553193661548722E-2</v>
      </c>
      <c r="G1829">
        <f t="shared" si="114"/>
        <v>0.68408966064453125</v>
      </c>
      <c r="H1829">
        <f t="shared" si="115"/>
        <v>3.1800003051757812</v>
      </c>
    </row>
    <row r="1830" spans="1:8" x14ac:dyDescent="0.2">
      <c r="A1830" t="s">
        <v>12</v>
      </c>
      <c r="B1830" s="2">
        <v>45505</v>
      </c>
      <c r="C1830">
        <v>24.524307250976559</v>
      </c>
      <c r="D1830">
        <f>_xlfn.XLOOKUP(B1830, Oil_Price!A:A, Oil_Price!B:B, "")</f>
        <v>76.30999755859375</v>
      </c>
      <c r="E1830">
        <f t="shared" si="112"/>
        <v>-5.9309697579239602E-2</v>
      </c>
      <c r="F1830">
        <f t="shared" si="113"/>
        <v>-2.0536593868673753E-2</v>
      </c>
      <c r="G1830">
        <f t="shared" si="114"/>
        <v>-1.5462360382080114</v>
      </c>
      <c r="H1830">
        <f t="shared" si="115"/>
        <v>-1.600006103515625</v>
      </c>
    </row>
    <row r="1831" spans="1:8" x14ac:dyDescent="0.2">
      <c r="A1831" t="s">
        <v>12</v>
      </c>
      <c r="B1831" s="2">
        <v>45506</v>
      </c>
      <c r="C1831">
        <v>23.240457534790039</v>
      </c>
      <c r="D1831">
        <f>_xlfn.XLOOKUP(B1831, Oil_Price!A:A, Oil_Price!B:B, "")</f>
        <v>73.519996643066406</v>
      </c>
      <c r="E1831">
        <f t="shared" si="112"/>
        <v>-5.2350090995348993E-2</v>
      </c>
      <c r="F1831">
        <f t="shared" si="113"/>
        <v>-3.6561407479866234E-2</v>
      </c>
      <c r="G1831">
        <f t="shared" si="114"/>
        <v>-1.2838497161865199</v>
      </c>
      <c r="H1831">
        <f t="shared" si="115"/>
        <v>-2.7900009155273438</v>
      </c>
    </row>
    <row r="1832" spans="1:8" x14ac:dyDescent="0.2">
      <c r="A1832" t="s">
        <v>12</v>
      </c>
      <c r="B1832" s="2">
        <v>45510</v>
      </c>
      <c r="C1832">
        <v>23.259195327758789</v>
      </c>
      <c r="D1832">
        <f>_xlfn.XLOOKUP(B1832, Oil_Price!A:A, Oil_Price!B:B, "")</f>
        <v>73.199996948242188</v>
      </c>
      <c r="E1832">
        <f t="shared" si="112"/>
        <v>8.0625749044313218E-4</v>
      </c>
      <c r="F1832">
        <f t="shared" si="113"/>
        <v>-4.3525531751285465E-3</v>
      </c>
      <c r="G1832">
        <f t="shared" si="114"/>
        <v>1.873779296875E-2</v>
      </c>
      <c r="H1832">
        <f t="shared" si="115"/>
        <v>-0.31999969482421875</v>
      </c>
    </row>
    <row r="1833" spans="1:8" x14ac:dyDescent="0.2">
      <c r="A1833" t="s">
        <v>12</v>
      </c>
      <c r="B1833" s="2">
        <v>45511</v>
      </c>
      <c r="C1833">
        <v>23.109258651733398</v>
      </c>
      <c r="D1833">
        <f>_xlfn.XLOOKUP(B1833, Oil_Price!A:A, Oil_Price!B:B, "")</f>
        <v>75.230003356933594</v>
      </c>
      <c r="E1833">
        <f t="shared" si="112"/>
        <v>-6.4463397771309843E-3</v>
      </c>
      <c r="F1833">
        <f t="shared" si="113"/>
        <v>2.7732329143767193E-2</v>
      </c>
      <c r="G1833">
        <f t="shared" si="114"/>
        <v>-0.14993667602539062</v>
      </c>
      <c r="H1833">
        <f t="shared" si="115"/>
        <v>2.0300064086914062</v>
      </c>
    </row>
    <row r="1834" spans="1:8" x14ac:dyDescent="0.2">
      <c r="A1834" t="s">
        <v>12</v>
      </c>
      <c r="B1834" s="2">
        <v>45512</v>
      </c>
      <c r="C1834">
        <v>23.465362548828121</v>
      </c>
      <c r="D1834">
        <f>_xlfn.XLOOKUP(B1834, Oil_Price!A:A, Oil_Price!B:B, "")</f>
        <v>76.19000244140625</v>
      </c>
      <c r="E1834">
        <f t="shared" si="112"/>
        <v>1.5409576848022863E-2</v>
      </c>
      <c r="F1834">
        <f t="shared" si="113"/>
        <v>1.2760853936399268E-2</v>
      </c>
      <c r="G1834">
        <f t="shared" si="114"/>
        <v>0.35610389709472301</v>
      </c>
      <c r="H1834">
        <f t="shared" si="115"/>
        <v>0.95999908447265625</v>
      </c>
    </row>
    <row r="1835" spans="1:8" x14ac:dyDescent="0.2">
      <c r="A1835" t="s">
        <v>12</v>
      </c>
      <c r="B1835" s="2">
        <v>45513</v>
      </c>
      <c r="C1835">
        <v>23.69027137756348</v>
      </c>
      <c r="D1835">
        <f>_xlfn.XLOOKUP(B1835, Oil_Price!A:A, Oil_Price!B:B, "")</f>
        <v>76.839996337890625</v>
      </c>
      <c r="E1835">
        <f t="shared" si="112"/>
        <v>9.584715696054345E-3</v>
      </c>
      <c r="F1835">
        <f t="shared" si="113"/>
        <v>8.5312229381309095E-3</v>
      </c>
      <c r="G1835">
        <f t="shared" si="114"/>
        <v>0.22490882873535867</v>
      </c>
      <c r="H1835">
        <f t="shared" si="115"/>
        <v>0.649993896484375</v>
      </c>
    </row>
    <row r="1836" spans="1:8" x14ac:dyDescent="0.2">
      <c r="A1836" t="s">
        <v>12</v>
      </c>
      <c r="B1836" s="2">
        <v>45516</v>
      </c>
      <c r="C1836">
        <v>24.46807861328125</v>
      </c>
      <c r="D1836">
        <f>_xlfn.XLOOKUP(B1836, Oil_Price!A:A, Oil_Price!B:B, "")</f>
        <v>80.05999755859375</v>
      </c>
      <c r="E1836">
        <f t="shared" si="112"/>
        <v>3.2832348069022695E-2</v>
      </c>
      <c r="F1836">
        <f t="shared" si="113"/>
        <v>4.1905275561749444E-2</v>
      </c>
      <c r="G1836">
        <f t="shared" si="114"/>
        <v>0.77780723571776988</v>
      </c>
      <c r="H1836">
        <f t="shared" si="115"/>
        <v>3.220001220703125</v>
      </c>
    </row>
    <row r="1837" spans="1:8" x14ac:dyDescent="0.2">
      <c r="A1837" t="s">
        <v>12</v>
      </c>
      <c r="B1837" s="2">
        <v>45517</v>
      </c>
      <c r="C1837">
        <v>24.589902877807621</v>
      </c>
      <c r="D1837">
        <f>_xlfn.XLOOKUP(B1837, Oil_Price!A:A, Oil_Price!B:B, "")</f>
        <v>78.349998474121094</v>
      </c>
      <c r="E1837">
        <f t="shared" si="112"/>
        <v>4.9789060453747543E-3</v>
      </c>
      <c r="F1837">
        <f t="shared" si="113"/>
        <v>-2.1358969980247052E-2</v>
      </c>
      <c r="G1837">
        <f t="shared" si="114"/>
        <v>0.12182426452637074</v>
      </c>
      <c r="H1837">
        <f t="shared" si="115"/>
        <v>-1.7099990844726562</v>
      </c>
    </row>
    <row r="1838" spans="1:8" x14ac:dyDescent="0.2">
      <c r="A1838" t="s">
        <v>12</v>
      </c>
      <c r="B1838" s="2">
        <v>45518</v>
      </c>
      <c r="C1838">
        <v>24.79607009887695</v>
      </c>
      <c r="D1838">
        <f>_xlfn.XLOOKUP(B1838, Oil_Price!A:A, Oil_Price!B:B, "")</f>
        <v>76.980003356933594</v>
      </c>
      <c r="E1838">
        <f t="shared" si="112"/>
        <v>8.3842226662633416E-3</v>
      </c>
      <c r="F1838">
        <f t="shared" si="113"/>
        <v>-1.7485579372921209E-2</v>
      </c>
      <c r="G1838">
        <f t="shared" si="114"/>
        <v>0.20616722106932883</v>
      </c>
      <c r="H1838">
        <f t="shared" si="115"/>
        <v>-1.3699951171875</v>
      </c>
    </row>
    <row r="1839" spans="1:8" x14ac:dyDescent="0.2">
      <c r="A1839" t="s">
        <v>12</v>
      </c>
      <c r="B1839" s="2">
        <v>45519</v>
      </c>
      <c r="C1839">
        <v>25.592611312866211</v>
      </c>
      <c r="D1839">
        <f>_xlfn.XLOOKUP(B1839, Oil_Price!A:A, Oil_Price!B:B, "")</f>
        <v>78.160003662109375</v>
      </c>
      <c r="E1839">
        <f t="shared" si="112"/>
        <v>3.2123687778465262E-2</v>
      </c>
      <c r="F1839">
        <f t="shared" si="113"/>
        <v>1.5328660089873828E-2</v>
      </c>
      <c r="G1839">
        <f t="shared" si="114"/>
        <v>0.79654121398926137</v>
      </c>
      <c r="H1839">
        <f t="shared" si="115"/>
        <v>1.1800003051757812</v>
      </c>
    </row>
    <row r="1840" spans="1:8" x14ac:dyDescent="0.2">
      <c r="A1840" t="s">
        <v>12</v>
      </c>
      <c r="B1840" s="2">
        <v>45520</v>
      </c>
      <c r="C1840">
        <v>25.152170181274411</v>
      </c>
      <c r="D1840">
        <f>_xlfn.XLOOKUP(B1840, Oil_Price!A:A, Oil_Price!B:B, "")</f>
        <v>76.650001525878906</v>
      </c>
      <c r="E1840">
        <f t="shared" si="112"/>
        <v>-1.7209698776239249E-2</v>
      </c>
      <c r="F1840">
        <f t="shared" si="113"/>
        <v>-1.9319371359785283E-2</v>
      </c>
      <c r="G1840">
        <f t="shared" si="114"/>
        <v>-0.44044113159180043</v>
      </c>
      <c r="H1840">
        <f t="shared" si="115"/>
        <v>-1.5100021362304688</v>
      </c>
    </row>
    <row r="1841" spans="1:8" x14ac:dyDescent="0.2">
      <c r="A1841" t="s">
        <v>12</v>
      </c>
      <c r="B1841" s="2">
        <v>45523</v>
      </c>
      <c r="C1841">
        <v>24.927267074584961</v>
      </c>
      <c r="D1841">
        <f>_xlfn.XLOOKUP(B1841, Oil_Price!A:A, Oil_Price!B:B, "")</f>
        <v>74.370002746582031</v>
      </c>
      <c r="E1841">
        <f t="shared" si="112"/>
        <v>-8.9416978761096381E-3</v>
      </c>
      <c r="F1841">
        <f t="shared" si="113"/>
        <v>-2.974558035105964E-2</v>
      </c>
      <c r="G1841">
        <f t="shared" si="114"/>
        <v>-0.22490310668944957</v>
      </c>
      <c r="H1841">
        <f t="shared" si="115"/>
        <v>-2.279998779296875</v>
      </c>
    </row>
    <row r="1842" spans="1:8" x14ac:dyDescent="0.2">
      <c r="A1842" t="s">
        <v>12</v>
      </c>
      <c r="B1842" s="2">
        <v>45524</v>
      </c>
      <c r="C1842">
        <v>24.027631759643551</v>
      </c>
      <c r="D1842">
        <f>_xlfn.XLOOKUP(B1842, Oil_Price!A:A, Oil_Price!B:B, "")</f>
        <v>74.040000915527344</v>
      </c>
      <c r="E1842">
        <f t="shared" si="112"/>
        <v>-3.6090411044644721E-2</v>
      </c>
      <c r="F1842">
        <f t="shared" si="113"/>
        <v>-4.437297550992144E-3</v>
      </c>
      <c r="G1842">
        <f t="shared" si="114"/>
        <v>-0.8996353149414098</v>
      </c>
      <c r="H1842">
        <f t="shared" si="115"/>
        <v>-0.3300018310546875</v>
      </c>
    </row>
    <row r="1843" spans="1:8" x14ac:dyDescent="0.2">
      <c r="A1843" t="s">
        <v>12</v>
      </c>
      <c r="B1843" s="2">
        <v>45525</v>
      </c>
      <c r="C1843">
        <v>24.01826095581055</v>
      </c>
      <c r="D1843">
        <f>_xlfn.XLOOKUP(B1843, Oil_Price!A:A, Oil_Price!B:B, "")</f>
        <v>71.930000305175781</v>
      </c>
      <c r="E1843">
        <f t="shared" si="112"/>
        <v>-3.9000114229899963E-4</v>
      </c>
      <c r="F1843">
        <f t="shared" si="113"/>
        <v>-2.8498117021350043E-2</v>
      </c>
      <c r="G1843">
        <f t="shared" si="114"/>
        <v>-9.3708038330007071E-3</v>
      </c>
      <c r="H1843">
        <f t="shared" si="115"/>
        <v>-2.1100006103515625</v>
      </c>
    </row>
    <row r="1844" spans="1:8" x14ac:dyDescent="0.2">
      <c r="A1844" t="s">
        <v>12</v>
      </c>
      <c r="B1844" s="2">
        <v>45526</v>
      </c>
      <c r="C1844">
        <v>23.887065887451168</v>
      </c>
      <c r="D1844">
        <f>_xlfn.XLOOKUP(B1844, Oil_Price!A:A, Oil_Price!B:B, "")</f>
        <v>73.010002136230469</v>
      </c>
      <c r="E1844">
        <f t="shared" si="112"/>
        <v>-5.462305060335482E-3</v>
      </c>
      <c r="F1844">
        <f t="shared" si="113"/>
        <v>1.5014622917733745E-2</v>
      </c>
      <c r="G1844">
        <f t="shared" si="114"/>
        <v>-0.13119506835938211</v>
      </c>
      <c r="H1844">
        <f t="shared" si="115"/>
        <v>1.0800018310546875</v>
      </c>
    </row>
    <row r="1845" spans="1:8" x14ac:dyDescent="0.2">
      <c r="A1845" t="s">
        <v>12</v>
      </c>
      <c r="B1845" s="2">
        <v>45527</v>
      </c>
      <c r="C1845">
        <v>24.121343612670898</v>
      </c>
      <c r="D1845">
        <f>_xlfn.XLOOKUP(B1845, Oil_Price!A:A, Oil_Price!B:B, "")</f>
        <v>74.830001831054688</v>
      </c>
      <c r="E1845">
        <f t="shared" si="112"/>
        <v>9.807722987979264E-3</v>
      </c>
      <c r="F1845">
        <f t="shared" si="113"/>
        <v>2.4928087132886995E-2</v>
      </c>
      <c r="G1845">
        <f t="shared" si="114"/>
        <v>0.23427772521973012</v>
      </c>
      <c r="H1845">
        <f t="shared" si="115"/>
        <v>1.8199996948242188</v>
      </c>
    </row>
    <row r="1846" spans="1:8" x14ac:dyDescent="0.2">
      <c r="A1846" t="s">
        <v>12</v>
      </c>
      <c r="B1846" s="2">
        <v>45530</v>
      </c>
      <c r="C1846">
        <v>24.355623245239261</v>
      </c>
      <c r="D1846">
        <f>_xlfn.XLOOKUP(B1846, Oil_Price!A:A, Oil_Price!B:B, "")</f>
        <v>77.419998168945312</v>
      </c>
      <c r="E1846">
        <f t="shared" si="112"/>
        <v>9.7125448868153538E-3</v>
      </c>
      <c r="F1846">
        <f t="shared" si="113"/>
        <v>3.4611736930571187E-2</v>
      </c>
      <c r="G1846">
        <f t="shared" si="114"/>
        <v>0.23427963256836293</v>
      </c>
      <c r="H1846">
        <f t="shared" si="115"/>
        <v>2.589996337890625</v>
      </c>
    </row>
    <row r="1847" spans="1:8" x14ac:dyDescent="0.2">
      <c r="A1847" t="s">
        <v>12</v>
      </c>
      <c r="B1847" s="2">
        <v>45531</v>
      </c>
      <c r="C1847">
        <v>23.66215705871582</v>
      </c>
      <c r="D1847">
        <f>_xlfn.XLOOKUP(B1847, Oil_Price!A:A, Oil_Price!B:B, "")</f>
        <v>75.529998779296875</v>
      </c>
      <c r="E1847">
        <f t="shared" si="112"/>
        <v>-2.8472528891618134E-2</v>
      </c>
      <c r="F1847">
        <f t="shared" si="113"/>
        <v>-2.4412289257926559E-2</v>
      </c>
      <c r="G1847">
        <f t="shared" si="114"/>
        <v>-0.69346618652344105</v>
      </c>
      <c r="H1847">
        <f t="shared" si="115"/>
        <v>-1.8899993896484375</v>
      </c>
    </row>
    <row r="1848" spans="1:8" x14ac:dyDescent="0.2">
      <c r="A1848" t="s">
        <v>12</v>
      </c>
      <c r="B1848" s="2">
        <v>45532</v>
      </c>
      <c r="C1848">
        <v>23.643415451049801</v>
      </c>
      <c r="D1848">
        <f>_xlfn.XLOOKUP(B1848, Oil_Price!A:A, Oil_Price!B:B, "")</f>
        <v>74.519996643066406</v>
      </c>
      <c r="E1848">
        <f t="shared" si="112"/>
        <v>-7.9204983803941973E-4</v>
      </c>
      <c r="F1848">
        <f t="shared" si="113"/>
        <v>-1.3372198498000176E-2</v>
      </c>
      <c r="G1848">
        <f t="shared" si="114"/>
        <v>-1.8741607666019178E-2</v>
      </c>
      <c r="H1848">
        <f t="shared" si="115"/>
        <v>-1.0100021362304688</v>
      </c>
    </row>
    <row r="1849" spans="1:8" x14ac:dyDescent="0.2">
      <c r="A1849" t="s">
        <v>12</v>
      </c>
      <c r="B1849" s="2">
        <v>45533</v>
      </c>
      <c r="C1849">
        <v>23.952663421630859</v>
      </c>
      <c r="D1849">
        <f>_xlfn.XLOOKUP(B1849, Oil_Price!A:A, Oil_Price!B:B, "")</f>
        <v>75.910003662109375</v>
      </c>
      <c r="E1849">
        <f t="shared" si="112"/>
        <v>1.3079665720094903E-2</v>
      </c>
      <c r="F1849">
        <f t="shared" si="113"/>
        <v>1.8652805712012867E-2</v>
      </c>
      <c r="G1849">
        <f t="shared" si="114"/>
        <v>0.30924797058105824</v>
      </c>
      <c r="H1849">
        <f t="shared" si="115"/>
        <v>1.3900070190429688</v>
      </c>
    </row>
    <row r="1850" spans="1:8" x14ac:dyDescent="0.2">
      <c r="A1850" t="s">
        <v>12</v>
      </c>
      <c r="B1850" s="2">
        <v>45534</v>
      </c>
      <c r="C1850">
        <v>23.418508529663089</v>
      </c>
      <c r="D1850">
        <f>_xlfn.XLOOKUP(B1850, Oil_Price!A:A, Oil_Price!B:B, "")</f>
        <v>73.550003051757812</v>
      </c>
      <c r="E1850">
        <f t="shared" si="112"/>
        <v>-2.2300438267144531E-2</v>
      </c>
      <c r="F1850">
        <f t="shared" si="113"/>
        <v>-3.1089454571184026E-2</v>
      </c>
      <c r="G1850">
        <f t="shared" si="114"/>
        <v>-0.53415489196776988</v>
      </c>
      <c r="H1850">
        <f t="shared" si="115"/>
        <v>-2.3600006103515625</v>
      </c>
    </row>
    <row r="1851" spans="1:8" x14ac:dyDescent="0.2">
      <c r="A1851" t="s">
        <v>12</v>
      </c>
      <c r="B1851" s="2">
        <v>45538</v>
      </c>
      <c r="C1851">
        <v>22.818754196166989</v>
      </c>
      <c r="D1851">
        <f>_xlfn.XLOOKUP(B1851, Oil_Price!A:A, Oil_Price!B:B, "")</f>
        <v>70.339996337890625</v>
      </c>
      <c r="E1851">
        <f t="shared" si="112"/>
        <v>-2.5610270301220126E-2</v>
      </c>
      <c r="F1851">
        <f t="shared" si="113"/>
        <v>-4.3643869213822822E-2</v>
      </c>
      <c r="G1851">
        <f t="shared" si="114"/>
        <v>-0.59975433349610086</v>
      </c>
      <c r="H1851">
        <f t="shared" si="115"/>
        <v>-3.2100067138671875</v>
      </c>
    </row>
    <row r="1852" spans="1:8" x14ac:dyDescent="0.2">
      <c r="A1852" t="s">
        <v>12</v>
      </c>
      <c r="B1852" s="2">
        <v>45539</v>
      </c>
      <c r="C1852">
        <v>22.340824127197269</v>
      </c>
      <c r="D1852">
        <f>_xlfn.XLOOKUP(B1852, Oil_Price!A:A, Oil_Price!B:B, "")</f>
        <v>69.199996948242188</v>
      </c>
      <c r="E1852">
        <f t="shared" si="112"/>
        <v>-2.0944617083872196E-2</v>
      </c>
      <c r="F1852">
        <f t="shared" si="113"/>
        <v>-1.6206986764290526E-2</v>
      </c>
      <c r="G1852">
        <f t="shared" si="114"/>
        <v>-0.47793006896971946</v>
      </c>
      <c r="H1852">
        <f t="shared" si="115"/>
        <v>-1.1399993896484375</v>
      </c>
    </row>
    <row r="1853" spans="1:8" x14ac:dyDescent="0.2">
      <c r="A1853" t="s">
        <v>12</v>
      </c>
      <c r="B1853" s="2">
        <v>45540</v>
      </c>
      <c r="C1853">
        <v>21.769186019897461</v>
      </c>
      <c r="D1853">
        <f>_xlfn.XLOOKUP(B1853, Oil_Price!A:A, Oil_Price!B:B, "")</f>
        <v>69.150001525878906</v>
      </c>
      <c r="E1853">
        <f t="shared" si="112"/>
        <v>-2.5587153994194312E-2</v>
      </c>
      <c r="F1853">
        <f t="shared" si="113"/>
        <v>-7.2247723364316169E-4</v>
      </c>
      <c r="G1853">
        <f t="shared" si="114"/>
        <v>-0.57163810729980824</v>
      </c>
      <c r="H1853">
        <f t="shared" si="115"/>
        <v>-4.999542236328125E-2</v>
      </c>
    </row>
    <row r="1854" spans="1:8" x14ac:dyDescent="0.2">
      <c r="A1854" t="s">
        <v>12</v>
      </c>
      <c r="B1854" s="2">
        <v>45541</v>
      </c>
      <c r="C1854">
        <v>21.431825637817379</v>
      </c>
      <c r="D1854">
        <f>_xlfn.XLOOKUP(B1854, Oil_Price!A:A, Oil_Price!B:B, "")</f>
        <v>67.669998168945312</v>
      </c>
      <c r="E1854">
        <f t="shared" si="112"/>
        <v>-1.5497151881183233E-2</v>
      </c>
      <c r="F1854">
        <f t="shared" si="113"/>
        <v>-2.1402795723434842E-2</v>
      </c>
      <c r="G1854">
        <f t="shared" si="114"/>
        <v>-0.33736038208008168</v>
      </c>
      <c r="H1854">
        <f t="shared" si="115"/>
        <v>-1.4800033569335938</v>
      </c>
    </row>
    <row r="1855" spans="1:8" x14ac:dyDescent="0.2">
      <c r="A1855" t="s">
        <v>12</v>
      </c>
      <c r="B1855" s="2">
        <v>45544</v>
      </c>
      <c r="C1855">
        <v>21.141317367553711</v>
      </c>
      <c r="D1855">
        <f>_xlfn.XLOOKUP(B1855, Oil_Price!A:A, Oil_Price!B:B, "")</f>
        <v>68.709999084472656</v>
      </c>
      <c r="E1855">
        <f t="shared" si="112"/>
        <v>-1.3554994108903816E-2</v>
      </c>
      <c r="F1855">
        <f t="shared" si="113"/>
        <v>1.5368714994359411E-2</v>
      </c>
      <c r="G1855">
        <f t="shared" si="114"/>
        <v>-0.29050827026366832</v>
      </c>
      <c r="H1855">
        <f t="shared" si="115"/>
        <v>1.0400009155273438</v>
      </c>
    </row>
    <row r="1856" spans="1:8" x14ac:dyDescent="0.2">
      <c r="A1856" t="s">
        <v>12</v>
      </c>
      <c r="B1856" s="2">
        <v>45545</v>
      </c>
      <c r="C1856">
        <v>20.700876235961911</v>
      </c>
      <c r="D1856">
        <f>_xlfn.XLOOKUP(B1856, Oil_Price!A:A, Oil_Price!B:B, "")</f>
        <v>65.75</v>
      </c>
      <c r="E1856">
        <f t="shared" si="112"/>
        <v>-2.0833192366137041E-2</v>
      </c>
      <c r="F1856">
        <f t="shared" si="113"/>
        <v>-4.3079597204383722E-2</v>
      </c>
      <c r="G1856">
        <f t="shared" si="114"/>
        <v>-0.44044113159180043</v>
      </c>
      <c r="H1856">
        <f t="shared" si="115"/>
        <v>-2.9599990844726562</v>
      </c>
    </row>
    <row r="1857" spans="1:8" x14ac:dyDescent="0.2">
      <c r="A1857" t="s">
        <v>12</v>
      </c>
      <c r="B1857" s="2">
        <v>45546</v>
      </c>
      <c r="C1857">
        <v>20.569681167602539</v>
      </c>
      <c r="D1857">
        <f>_xlfn.XLOOKUP(B1857, Oil_Price!A:A, Oil_Price!B:B, "")</f>
        <v>67.30999755859375</v>
      </c>
      <c r="E1857">
        <f t="shared" si="112"/>
        <v>-6.3376577331280869E-3</v>
      </c>
      <c r="F1857">
        <f t="shared" si="113"/>
        <v>2.3726198609790874E-2</v>
      </c>
      <c r="G1857">
        <f t="shared" si="114"/>
        <v>-0.13119506835937145</v>
      </c>
      <c r="H1857">
        <f t="shared" si="115"/>
        <v>1.55999755859375</v>
      </c>
    </row>
    <row r="1858" spans="1:8" x14ac:dyDescent="0.2">
      <c r="A1858" t="s">
        <v>12</v>
      </c>
      <c r="B1858" s="2">
        <v>45547</v>
      </c>
      <c r="C1858">
        <v>20.672760009765621</v>
      </c>
      <c r="D1858">
        <f>_xlfn.XLOOKUP(B1858, Oil_Price!A:A, Oil_Price!B:B, "")</f>
        <v>68.970001220703125</v>
      </c>
      <c r="E1858">
        <f t="shared" si="112"/>
        <v>5.0112027173971289E-3</v>
      </c>
      <c r="F1858">
        <f t="shared" si="113"/>
        <v>2.4662066889310642E-2</v>
      </c>
      <c r="G1858">
        <f t="shared" si="114"/>
        <v>0.10307884216308238</v>
      </c>
      <c r="H1858">
        <f t="shared" si="115"/>
        <v>1.660003662109375</v>
      </c>
    </row>
    <row r="1859" spans="1:8" x14ac:dyDescent="0.2">
      <c r="A1859" t="s">
        <v>12</v>
      </c>
      <c r="B1859" s="2">
        <v>45548</v>
      </c>
      <c r="C1859">
        <v>20.814487457275391</v>
      </c>
      <c r="D1859">
        <f>_xlfn.XLOOKUP(B1859, Oil_Price!A:A, Oil_Price!B:B, "")</f>
        <v>68.650001525878906</v>
      </c>
      <c r="E1859">
        <f t="shared" ref="E1859:E1922" si="116">IFERROR(IF(AND(A1859=A1858, C1859&lt;&gt;"", C1858&lt;&gt;""), (C1859-C1858)/C1858, ""), "")</f>
        <v>6.8557583720228179E-3</v>
      </c>
      <c r="F1859">
        <f t="shared" ref="F1859:F1922" si="117">IFERROR(IF(AND(A1859=A1858, D1859&lt;&gt;"", D1858&lt;&gt;""), (D1859-D1858)/D1858, ""), "")</f>
        <v>-4.6396939127233564E-3</v>
      </c>
      <c r="G1859">
        <f t="shared" ref="G1859:G1922" si="118">IFERROR(IF(AND(A1859=A1858, C1859&lt;&gt;"", C1858&lt;&gt;""), C1859-C1858, ""), "")</f>
        <v>0.14172744750976918</v>
      </c>
      <c r="H1859">
        <f t="shared" ref="H1859:H1922" si="119">IFERROR(IF(AND(A1859=A1858, D1859&lt;&gt;"", D1858&lt;&gt;""), D1859-D1858, ""), "")</f>
        <v>-0.31999969482421875</v>
      </c>
    </row>
    <row r="1860" spans="1:8" x14ac:dyDescent="0.2">
      <c r="A1860" t="s">
        <v>12</v>
      </c>
      <c r="B1860" s="2">
        <v>45551</v>
      </c>
      <c r="C1860">
        <v>21.126276016235352</v>
      </c>
      <c r="D1860">
        <f>_xlfn.XLOOKUP(B1860, Oil_Price!A:A, Oil_Price!B:B, "")</f>
        <v>70.089996337890625</v>
      </c>
      <c r="E1860">
        <f t="shared" si="116"/>
        <v>1.4979401227147677E-2</v>
      </c>
      <c r="F1860">
        <f t="shared" si="117"/>
        <v>2.097588900225859E-2</v>
      </c>
      <c r="G1860">
        <f t="shared" si="118"/>
        <v>0.31178855895996094</v>
      </c>
      <c r="H1860">
        <f t="shared" si="119"/>
        <v>1.4399948120117188</v>
      </c>
    </row>
    <row r="1861" spans="1:8" x14ac:dyDescent="0.2">
      <c r="A1861" t="s">
        <v>12</v>
      </c>
      <c r="B1861" s="2">
        <v>45552</v>
      </c>
      <c r="C1861">
        <v>21.466411590576168</v>
      </c>
      <c r="D1861">
        <f>_xlfn.XLOOKUP(B1861, Oil_Price!A:A, Oil_Price!B:B, "")</f>
        <v>71.19000244140625</v>
      </c>
      <c r="E1861">
        <f t="shared" si="116"/>
        <v>1.6100119778773393E-2</v>
      </c>
      <c r="F1861">
        <f t="shared" si="117"/>
        <v>1.5694195477093529E-2</v>
      </c>
      <c r="G1861">
        <f t="shared" si="118"/>
        <v>0.34013557434081676</v>
      </c>
      <c r="H1861">
        <f t="shared" si="119"/>
        <v>1.100006103515625</v>
      </c>
    </row>
    <row r="1862" spans="1:8" x14ac:dyDescent="0.2">
      <c r="A1862" t="s">
        <v>12</v>
      </c>
      <c r="B1862" s="2">
        <v>45553</v>
      </c>
      <c r="C1862">
        <v>21.381380081176761</v>
      </c>
      <c r="D1862">
        <f>_xlfn.XLOOKUP(B1862, Oil_Price!A:A, Oil_Price!B:B, "")</f>
        <v>70.910003662109375</v>
      </c>
      <c r="E1862">
        <f t="shared" si="116"/>
        <v>-3.9611422263391288E-3</v>
      </c>
      <c r="F1862">
        <f t="shared" si="117"/>
        <v>-3.9331193945010921E-3</v>
      </c>
      <c r="G1862">
        <f t="shared" si="118"/>
        <v>-8.5031509399406957E-2</v>
      </c>
      <c r="H1862">
        <f t="shared" si="119"/>
        <v>-0.279998779296875</v>
      </c>
    </row>
    <row r="1863" spans="1:8" x14ac:dyDescent="0.2">
      <c r="A1863" t="s">
        <v>12</v>
      </c>
      <c r="B1863" s="2">
        <v>45554</v>
      </c>
      <c r="C1863">
        <v>22.061653137207031</v>
      </c>
      <c r="D1863">
        <f>_xlfn.XLOOKUP(B1863, Oil_Price!A:A, Oil_Price!B:B, "")</f>
        <v>71.949996948242188</v>
      </c>
      <c r="E1863">
        <f t="shared" si="116"/>
        <v>3.1816143459755093E-2</v>
      </c>
      <c r="F1863">
        <f t="shared" si="117"/>
        <v>1.4666383195923186E-2</v>
      </c>
      <c r="G1863">
        <f t="shared" si="118"/>
        <v>0.68027305603026988</v>
      </c>
      <c r="H1863">
        <f t="shared" si="119"/>
        <v>1.0399932861328125</v>
      </c>
    </row>
    <row r="1864" spans="1:8" x14ac:dyDescent="0.2">
      <c r="A1864" t="s">
        <v>12</v>
      </c>
      <c r="B1864" s="2">
        <v>45555</v>
      </c>
      <c r="C1864">
        <v>21.929374694824219</v>
      </c>
      <c r="D1864">
        <f>_xlfn.XLOOKUP(B1864, Oil_Price!A:A, Oil_Price!B:B, "")</f>
        <v>71.919998168945312</v>
      </c>
      <c r="E1864">
        <f t="shared" si="116"/>
        <v>-5.9958535999156196E-3</v>
      </c>
      <c r="F1864">
        <f t="shared" si="117"/>
        <v>-4.1693927128940485E-4</v>
      </c>
      <c r="G1864">
        <f t="shared" si="118"/>
        <v>-0.1322784423828125</v>
      </c>
      <c r="H1864">
        <f t="shared" si="119"/>
        <v>-2.9998779296875E-2</v>
      </c>
    </row>
    <row r="1865" spans="1:8" x14ac:dyDescent="0.2">
      <c r="A1865" t="s">
        <v>12</v>
      </c>
      <c r="B1865" s="2">
        <v>45558</v>
      </c>
      <c r="C1865">
        <v>21.967170715332031</v>
      </c>
      <c r="D1865">
        <f>_xlfn.XLOOKUP(B1865, Oil_Price!A:A, Oil_Price!B:B, "")</f>
        <v>70.370002746582031</v>
      </c>
      <c r="E1865">
        <f t="shared" si="116"/>
        <v>1.723533891585752E-3</v>
      </c>
      <c r="F1865">
        <f t="shared" si="117"/>
        <v>-2.1551661037618897E-2</v>
      </c>
      <c r="G1865">
        <f t="shared" si="118"/>
        <v>3.77960205078125E-2</v>
      </c>
      <c r="H1865">
        <f t="shared" si="119"/>
        <v>-1.5499954223632812</v>
      </c>
    </row>
    <row r="1866" spans="1:8" x14ac:dyDescent="0.2">
      <c r="A1866" t="s">
        <v>12</v>
      </c>
      <c r="B1866" s="2">
        <v>45559</v>
      </c>
      <c r="C1866">
        <v>22.052206039428711</v>
      </c>
      <c r="D1866">
        <f>_xlfn.XLOOKUP(B1866, Oil_Price!A:A, Oil_Price!B:B, "")</f>
        <v>71.55999755859375</v>
      </c>
      <c r="E1866">
        <f t="shared" si="116"/>
        <v>3.8710184938531528E-3</v>
      </c>
      <c r="F1866">
        <f t="shared" si="117"/>
        <v>1.6910540934567727E-2</v>
      </c>
      <c r="G1866">
        <f t="shared" si="118"/>
        <v>8.5035324096679688E-2</v>
      </c>
      <c r="H1866">
        <f t="shared" si="119"/>
        <v>1.1899948120117188</v>
      </c>
    </row>
    <row r="1867" spans="1:8" x14ac:dyDescent="0.2">
      <c r="A1867" t="s">
        <v>12</v>
      </c>
      <c r="B1867" s="2">
        <v>45560</v>
      </c>
      <c r="C1867">
        <v>21.674276351928711</v>
      </c>
      <c r="D1867">
        <f>_xlfn.XLOOKUP(B1867, Oil_Price!A:A, Oil_Price!B:B, "")</f>
        <v>69.69000244140625</v>
      </c>
      <c r="E1867">
        <f t="shared" si="116"/>
        <v>-1.7137953764093831E-2</v>
      </c>
      <c r="F1867">
        <f t="shared" si="117"/>
        <v>-2.613184992993239E-2</v>
      </c>
      <c r="G1867">
        <f t="shared" si="118"/>
        <v>-0.3779296875</v>
      </c>
      <c r="H1867">
        <f t="shared" si="119"/>
        <v>-1.8699951171875</v>
      </c>
    </row>
    <row r="1868" spans="1:8" x14ac:dyDescent="0.2">
      <c r="A1868" t="s">
        <v>12</v>
      </c>
      <c r="B1868" s="2">
        <v>45561</v>
      </c>
      <c r="C1868">
        <v>20.738901138305661</v>
      </c>
      <c r="D1868">
        <f>_xlfn.XLOOKUP(B1868, Oil_Price!A:A, Oil_Price!B:B, "")</f>
        <v>67.669998168945312</v>
      </c>
      <c r="E1868">
        <f t="shared" si="116"/>
        <v>-4.315600661517887E-2</v>
      </c>
      <c r="F1868">
        <f t="shared" si="117"/>
        <v>-2.8985567537600686E-2</v>
      </c>
      <c r="G1868">
        <f t="shared" si="118"/>
        <v>-0.93537521362305043</v>
      </c>
      <c r="H1868">
        <f t="shared" si="119"/>
        <v>-2.0200042724609375</v>
      </c>
    </row>
    <row r="1869" spans="1:8" x14ac:dyDescent="0.2">
      <c r="A1869" t="s">
        <v>12</v>
      </c>
      <c r="B1869" s="2">
        <v>45562</v>
      </c>
      <c r="C1869">
        <v>21.249105453491211</v>
      </c>
      <c r="D1869">
        <f>_xlfn.XLOOKUP(B1869, Oil_Price!A:A, Oil_Price!B:B, "")</f>
        <v>68.180000305175781</v>
      </c>
      <c r="E1869">
        <f t="shared" si="116"/>
        <v>2.4601318641862883E-2</v>
      </c>
      <c r="F1869">
        <f t="shared" si="117"/>
        <v>7.5366063252609297E-3</v>
      </c>
      <c r="G1869">
        <f t="shared" si="118"/>
        <v>0.51020431518555043</v>
      </c>
      <c r="H1869">
        <f t="shared" si="119"/>
        <v>0.51000213623046875</v>
      </c>
    </row>
    <row r="1870" spans="1:8" x14ac:dyDescent="0.2">
      <c r="A1870" t="s">
        <v>12</v>
      </c>
      <c r="B1870" s="2">
        <v>45565</v>
      </c>
      <c r="C1870">
        <v>21.371931076049801</v>
      </c>
      <c r="D1870">
        <f>_xlfn.XLOOKUP(B1870, Oil_Price!A:A, Oil_Price!B:B, "")</f>
        <v>68.169998168945312</v>
      </c>
      <c r="E1870">
        <f t="shared" si="116"/>
        <v>5.7802726250017287E-3</v>
      </c>
      <c r="F1870">
        <f t="shared" si="117"/>
        <v>-1.4670190944116867E-4</v>
      </c>
      <c r="G1870">
        <f t="shared" si="118"/>
        <v>0.1228256225585902</v>
      </c>
      <c r="H1870">
        <f t="shared" si="119"/>
        <v>-1.000213623046875E-2</v>
      </c>
    </row>
    <row r="1871" spans="1:8" x14ac:dyDescent="0.2">
      <c r="A1871" t="s">
        <v>12</v>
      </c>
      <c r="B1871" s="2">
        <v>45566</v>
      </c>
      <c r="C1871">
        <v>21.882137298583981</v>
      </c>
      <c r="D1871">
        <f>_xlfn.XLOOKUP(B1871, Oil_Price!A:A, Oil_Price!B:B, "")</f>
        <v>69.830001831054688</v>
      </c>
      <c r="E1871">
        <f t="shared" si="116"/>
        <v>2.3872724496380966E-2</v>
      </c>
      <c r="F1871">
        <f t="shared" si="117"/>
        <v>2.4350941861482782E-2</v>
      </c>
      <c r="G1871">
        <f t="shared" si="118"/>
        <v>0.51020622253417969</v>
      </c>
      <c r="H1871">
        <f t="shared" si="119"/>
        <v>1.660003662109375</v>
      </c>
    </row>
    <row r="1872" spans="1:8" x14ac:dyDescent="0.2">
      <c r="A1872" t="s">
        <v>12</v>
      </c>
      <c r="B1872" s="2">
        <v>45567</v>
      </c>
      <c r="C1872">
        <v>21.967170715332031</v>
      </c>
      <c r="D1872">
        <f>_xlfn.XLOOKUP(B1872, Oil_Price!A:A, Oil_Price!B:B, "")</f>
        <v>70.099998474121094</v>
      </c>
      <c r="E1872">
        <f t="shared" si="116"/>
        <v>3.8859740064583655E-3</v>
      </c>
      <c r="F1872">
        <f t="shared" si="117"/>
        <v>3.8664848344072901E-3</v>
      </c>
      <c r="G1872">
        <f t="shared" si="118"/>
        <v>8.5033416748050428E-2</v>
      </c>
      <c r="H1872">
        <f t="shared" si="119"/>
        <v>0.26999664306640625</v>
      </c>
    </row>
    <row r="1873" spans="1:8" x14ac:dyDescent="0.2">
      <c r="A1873" t="s">
        <v>12</v>
      </c>
      <c r="B1873" s="2">
        <v>45568</v>
      </c>
      <c r="C1873">
        <v>22.836408615112301</v>
      </c>
      <c r="D1873">
        <f>_xlfn.XLOOKUP(B1873, Oil_Price!A:A, Oil_Price!B:B, "")</f>
        <v>73.709999084472656</v>
      </c>
      <c r="E1873">
        <f t="shared" si="116"/>
        <v>3.9569861364694703E-2</v>
      </c>
      <c r="F1873">
        <f t="shared" si="117"/>
        <v>5.1497870027547445E-2</v>
      </c>
      <c r="G1873">
        <f t="shared" si="118"/>
        <v>0.86923789978026988</v>
      </c>
      <c r="H1873">
        <f t="shared" si="119"/>
        <v>3.6100006103515625</v>
      </c>
    </row>
    <row r="1874" spans="1:8" x14ac:dyDescent="0.2">
      <c r="A1874" t="s">
        <v>12</v>
      </c>
      <c r="B1874" s="2">
        <v>45569</v>
      </c>
      <c r="C1874">
        <v>23.431650161743161</v>
      </c>
      <c r="D1874">
        <f>_xlfn.XLOOKUP(B1874, Oil_Price!A:A, Oil_Price!B:B, "")</f>
        <v>74.379997253417969</v>
      </c>
      <c r="E1874">
        <f t="shared" si="116"/>
        <v>2.6065462247726216E-2</v>
      </c>
      <c r="F1874">
        <f t="shared" si="117"/>
        <v>9.0896510279085147E-3</v>
      </c>
      <c r="G1874">
        <f t="shared" si="118"/>
        <v>0.59524154663085938</v>
      </c>
      <c r="H1874">
        <f t="shared" si="119"/>
        <v>0.6699981689453125</v>
      </c>
    </row>
    <row r="1875" spans="1:8" x14ac:dyDescent="0.2">
      <c r="A1875" t="s">
        <v>12</v>
      </c>
      <c r="B1875" s="2">
        <v>45572</v>
      </c>
      <c r="C1875">
        <v>23.620611190795898</v>
      </c>
      <c r="D1875">
        <f>_xlfn.XLOOKUP(B1875, Oil_Price!A:A, Oil_Price!B:B, "")</f>
        <v>77.139999389648438</v>
      </c>
      <c r="E1875">
        <f t="shared" si="116"/>
        <v>8.0643500457024779E-3</v>
      </c>
      <c r="F1875">
        <f t="shared" si="117"/>
        <v>3.7106779216822823E-2</v>
      </c>
      <c r="G1875">
        <f t="shared" si="118"/>
        <v>0.18896102905273793</v>
      </c>
      <c r="H1875">
        <f t="shared" si="119"/>
        <v>2.7600021362304688</v>
      </c>
    </row>
    <row r="1876" spans="1:8" x14ac:dyDescent="0.2">
      <c r="A1876" t="s">
        <v>12</v>
      </c>
      <c r="B1876" s="2">
        <v>45573</v>
      </c>
      <c r="C1876">
        <v>22.798616409301761</v>
      </c>
      <c r="D1876">
        <f>_xlfn.XLOOKUP(B1876, Oil_Price!A:A, Oil_Price!B:B, "")</f>
        <v>73.569999694824219</v>
      </c>
      <c r="E1876">
        <f t="shared" si="116"/>
        <v>-3.4799894670568002E-2</v>
      </c>
      <c r="F1876">
        <f t="shared" si="117"/>
        <v>-4.6279488243077219E-2</v>
      </c>
      <c r="G1876">
        <f t="shared" si="118"/>
        <v>-0.82199478149413707</v>
      </c>
      <c r="H1876">
        <f t="shared" si="119"/>
        <v>-3.5699996948242188</v>
      </c>
    </row>
    <row r="1877" spans="1:8" x14ac:dyDescent="0.2">
      <c r="A1877" t="s">
        <v>12</v>
      </c>
      <c r="B1877" s="2">
        <v>45574</v>
      </c>
      <c r="C1877">
        <v>22.789169311523441</v>
      </c>
      <c r="D1877">
        <f>_xlfn.XLOOKUP(B1877, Oil_Price!A:A, Oil_Price!B:B, "")</f>
        <v>73.239997863769531</v>
      </c>
      <c r="E1877">
        <f t="shared" si="116"/>
        <v>-4.1437153942666129E-4</v>
      </c>
      <c r="F1877">
        <f t="shared" si="117"/>
        <v>-4.485548897968851E-3</v>
      </c>
      <c r="G1877">
        <f t="shared" si="118"/>
        <v>-9.4470977783203125E-3</v>
      </c>
      <c r="H1877">
        <f t="shared" si="119"/>
        <v>-0.3300018310546875</v>
      </c>
    </row>
    <row r="1878" spans="1:8" x14ac:dyDescent="0.2">
      <c r="A1878" t="s">
        <v>12</v>
      </c>
      <c r="B1878" s="2">
        <v>45575</v>
      </c>
      <c r="C1878">
        <v>23.167098999023441</v>
      </c>
      <c r="D1878">
        <f>_xlfn.XLOOKUP(B1878, Oil_Price!A:A, Oil_Price!B:B, "")</f>
        <v>75.849998474121094</v>
      </c>
      <c r="E1878">
        <f t="shared" si="116"/>
        <v>1.6583741264711137E-2</v>
      </c>
      <c r="F1878">
        <f t="shared" si="117"/>
        <v>3.5636273709432773E-2</v>
      </c>
      <c r="G1878">
        <f t="shared" si="118"/>
        <v>0.3779296875</v>
      </c>
      <c r="H1878">
        <f t="shared" si="119"/>
        <v>2.6100006103515625</v>
      </c>
    </row>
    <row r="1879" spans="1:8" x14ac:dyDescent="0.2">
      <c r="A1879" t="s">
        <v>12</v>
      </c>
      <c r="B1879" s="2">
        <v>45576</v>
      </c>
      <c r="C1879">
        <v>23.195444107055661</v>
      </c>
      <c r="D1879">
        <f>_xlfn.XLOOKUP(B1879, Oil_Price!A:A, Oil_Price!B:B, "")</f>
        <v>75.55999755859375</v>
      </c>
      <c r="E1879">
        <f t="shared" si="116"/>
        <v>1.2235070102395765E-3</v>
      </c>
      <c r="F1879">
        <f t="shared" si="117"/>
        <v>-3.8233476778023641E-3</v>
      </c>
      <c r="G1879">
        <f t="shared" si="118"/>
        <v>2.8345108032219457E-2</v>
      </c>
      <c r="H1879">
        <f t="shared" si="119"/>
        <v>-0.29000091552734375</v>
      </c>
    </row>
    <row r="1880" spans="1:8" x14ac:dyDescent="0.2">
      <c r="A1880" t="s">
        <v>12</v>
      </c>
      <c r="B1880" s="2">
        <v>45580</v>
      </c>
      <c r="C1880">
        <v>21.948274612426761</v>
      </c>
      <c r="D1880">
        <f>_xlfn.XLOOKUP(B1880, Oil_Price!A:A, Oil_Price!B:B, "")</f>
        <v>70.580001831054688</v>
      </c>
      <c r="E1880">
        <f t="shared" si="116"/>
        <v>-5.3767864450999292E-2</v>
      </c>
      <c r="F1880">
        <f t="shared" si="117"/>
        <v>-6.5907833356893319E-2</v>
      </c>
      <c r="G1880">
        <f t="shared" si="118"/>
        <v>-1.2471694946288991</v>
      </c>
      <c r="H1880">
        <f t="shared" si="119"/>
        <v>-4.9799957275390625</v>
      </c>
    </row>
    <row r="1881" spans="1:8" x14ac:dyDescent="0.2">
      <c r="A1881" t="s">
        <v>12</v>
      </c>
      <c r="B1881" s="2">
        <v>45581</v>
      </c>
      <c r="C1881">
        <v>21.919929504394531</v>
      </c>
      <c r="D1881">
        <f>_xlfn.XLOOKUP(B1881, Oil_Price!A:A, Oil_Price!B:B, "")</f>
        <v>70.389999389648438</v>
      </c>
      <c r="E1881">
        <f t="shared" si="116"/>
        <v>-1.2914504002142187E-3</v>
      </c>
      <c r="F1881">
        <f t="shared" si="117"/>
        <v>-2.6920152518705421E-3</v>
      </c>
      <c r="G1881">
        <f t="shared" si="118"/>
        <v>-2.8345108032230115E-2</v>
      </c>
      <c r="H1881">
        <f t="shared" si="119"/>
        <v>-0.19000244140625</v>
      </c>
    </row>
    <row r="1882" spans="1:8" x14ac:dyDescent="0.2">
      <c r="A1882" t="s">
        <v>12</v>
      </c>
      <c r="B1882" s="2">
        <v>45582</v>
      </c>
      <c r="C1882">
        <v>22.137237548828121</v>
      </c>
      <c r="D1882">
        <f>_xlfn.XLOOKUP(B1882, Oil_Price!A:A, Oil_Price!B:B, "")</f>
        <v>70.669998168945312</v>
      </c>
      <c r="E1882">
        <f t="shared" si="116"/>
        <v>9.9137200413908291E-3</v>
      </c>
      <c r="F1882">
        <f t="shared" si="117"/>
        <v>3.9778204535409001E-3</v>
      </c>
      <c r="G1882">
        <f t="shared" si="118"/>
        <v>0.2173080444335902</v>
      </c>
      <c r="H1882">
        <f t="shared" si="119"/>
        <v>0.279998779296875</v>
      </c>
    </row>
    <row r="1883" spans="1:8" x14ac:dyDescent="0.2">
      <c r="A1883" t="s">
        <v>12</v>
      </c>
      <c r="B1883" s="2">
        <v>45583</v>
      </c>
      <c r="C1883">
        <v>22.089996337890621</v>
      </c>
      <c r="D1883">
        <f>_xlfn.XLOOKUP(B1883, Oil_Price!A:A, Oil_Price!B:B, "")</f>
        <v>69.220001220703125</v>
      </c>
      <c r="E1883">
        <f t="shared" si="116"/>
        <v>-2.1340156301480717E-3</v>
      </c>
      <c r="F1883">
        <f t="shared" si="117"/>
        <v>-2.0517857447453044E-2</v>
      </c>
      <c r="G1883">
        <f t="shared" si="118"/>
        <v>-4.72412109375E-2</v>
      </c>
      <c r="H1883">
        <f t="shared" si="119"/>
        <v>-1.4499969482421875</v>
      </c>
    </row>
    <row r="1884" spans="1:8" x14ac:dyDescent="0.2">
      <c r="A1884" t="s">
        <v>12</v>
      </c>
      <c r="B1884" s="2">
        <v>45586</v>
      </c>
      <c r="C1884">
        <v>22.099447250366211</v>
      </c>
      <c r="D1884">
        <f>_xlfn.XLOOKUP(B1884, Oil_Price!A:A, Oil_Price!B:B, "")</f>
        <v>70.55999755859375</v>
      </c>
      <c r="E1884">
        <f t="shared" si="116"/>
        <v>4.2783676063261675E-4</v>
      </c>
      <c r="F1884">
        <f t="shared" si="117"/>
        <v>1.9358513641427721E-2</v>
      </c>
      <c r="G1884">
        <f t="shared" si="118"/>
        <v>9.4509124755894902E-3</v>
      </c>
      <c r="H1884">
        <f t="shared" si="119"/>
        <v>1.339996337890625</v>
      </c>
    </row>
    <row r="1885" spans="1:8" x14ac:dyDescent="0.2">
      <c r="A1885" t="s">
        <v>12</v>
      </c>
      <c r="B1885" s="2">
        <v>45587</v>
      </c>
      <c r="C1885">
        <v>22.156137466430661</v>
      </c>
      <c r="D1885">
        <f>_xlfn.XLOOKUP(B1885, Oil_Price!A:A, Oil_Price!B:B, "")</f>
        <v>72.089996337890625</v>
      </c>
      <c r="E1885">
        <f t="shared" si="116"/>
        <v>2.5652323074962951E-3</v>
      </c>
      <c r="F1885">
        <f t="shared" si="117"/>
        <v>2.1683656919437223E-2</v>
      </c>
      <c r="G1885">
        <f t="shared" si="118"/>
        <v>5.6690216064449572E-2</v>
      </c>
      <c r="H1885">
        <f t="shared" si="119"/>
        <v>1.529998779296875</v>
      </c>
    </row>
    <row r="1886" spans="1:8" x14ac:dyDescent="0.2">
      <c r="A1886" t="s">
        <v>12</v>
      </c>
      <c r="B1886" s="2">
        <v>45588</v>
      </c>
      <c r="C1886">
        <v>21.815999984741211</v>
      </c>
      <c r="D1886">
        <f>_xlfn.XLOOKUP(B1886, Oil_Price!A:A, Oil_Price!B:B, "")</f>
        <v>70.769996643066406</v>
      </c>
      <c r="E1886">
        <f t="shared" si="116"/>
        <v>-1.535184019348141E-2</v>
      </c>
      <c r="F1886">
        <f t="shared" si="117"/>
        <v>-1.8310441973631016E-2</v>
      </c>
      <c r="G1886">
        <f t="shared" si="118"/>
        <v>-0.34013748168944957</v>
      </c>
      <c r="H1886">
        <f t="shared" si="119"/>
        <v>-1.3199996948242188</v>
      </c>
    </row>
    <row r="1887" spans="1:8" x14ac:dyDescent="0.2">
      <c r="A1887" t="s">
        <v>12</v>
      </c>
      <c r="B1887" s="2">
        <v>45589</v>
      </c>
      <c r="C1887">
        <v>21.891582489013668</v>
      </c>
      <c r="D1887">
        <f>_xlfn.XLOOKUP(B1887, Oil_Price!A:A, Oil_Price!B:B, "")</f>
        <v>70.19000244140625</v>
      </c>
      <c r="E1887">
        <f t="shared" si="116"/>
        <v>3.4645445693675348E-3</v>
      </c>
      <c r="F1887">
        <f t="shared" si="117"/>
        <v>-8.1954815482809598E-3</v>
      </c>
      <c r="G1887">
        <f t="shared" si="118"/>
        <v>7.5582504272457385E-2</v>
      </c>
      <c r="H1887">
        <f t="shared" si="119"/>
        <v>-0.57999420166015625</v>
      </c>
    </row>
    <row r="1888" spans="1:8" x14ac:dyDescent="0.2">
      <c r="A1888" t="s">
        <v>12</v>
      </c>
      <c r="B1888" s="2">
        <v>45590</v>
      </c>
      <c r="C1888">
        <v>22.184480667114261</v>
      </c>
      <c r="D1888">
        <f>_xlfn.XLOOKUP(B1888, Oil_Price!A:A, Oil_Price!B:B, "")</f>
        <v>71.779998779296875</v>
      </c>
      <c r="E1888">
        <f t="shared" si="116"/>
        <v>1.3379488588711417E-2</v>
      </c>
      <c r="F1888">
        <f t="shared" si="117"/>
        <v>2.2652746581935716E-2</v>
      </c>
      <c r="G1888">
        <f t="shared" si="118"/>
        <v>0.29289817810059304</v>
      </c>
      <c r="H1888">
        <f t="shared" si="119"/>
        <v>1.589996337890625</v>
      </c>
    </row>
    <row r="1889" spans="1:8" x14ac:dyDescent="0.2">
      <c r="A1889" t="s">
        <v>12</v>
      </c>
      <c r="B1889" s="2">
        <v>45593</v>
      </c>
      <c r="C1889">
        <v>21.891582489013668</v>
      </c>
      <c r="D1889">
        <f>_xlfn.XLOOKUP(B1889, Oil_Price!A:A, Oil_Price!B:B, "")</f>
        <v>67.379997253417969</v>
      </c>
      <c r="E1889">
        <f t="shared" si="116"/>
        <v>-1.3202841323879997E-2</v>
      </c>
      <c r="F1889">
        <f t="shared" si="117"/>
        <v>-6.1298434114044252E-2</v>
      </c>
      <c r="G1889">
        <f t="shared" si="118"/>
        <v>-0.29289817810059304</v>
      </c>
      <c r="H1889">
        <f t="shared" si="119"/>
        <v>-4.4000015258789062</v>
      </c>
    </row>
    <row r="1890" spans="1:8" x14ac:dyDescent="0.2">
      <c r="A1890" t="s">
        <v>12</v>
      </c>
      <c r="B1890" s="2">
        <v>45594</v>
      </c>
      <c r="C1890">
        <v>21.674276351928711</v>
      </c>
      <c r="D1890">
        <f>_xlfn.XLOOKUP(B1890, Oil_Price!A:A, Oil_Price!B:B, "")</f>
        <v>67.209999084472656</v>
      </c>
      <c r="E1890">
        <f t="shared" si="116"/>
        <v>-9.9264700116591786E-3</v>
      </c>
      <c r="F1890">
        <f t="shared" si="117"/>
        <v>-2.5229767865074977E-3</v>
      </c>
      <c r="G1890">
        <f t="shared" si="118"/>
        <v>-0.21730613708495738</v>
      </c>
      <c r="H1890">
        <f t="shared" si="119"/>
        <v>-0.1699981689453125</v>
      </c>
    </row>
    <row r="1891" spans="1:8" x14ac:dyDescent="0.2">
      <c r="A1891" t="s">
        <v>12</v>
      </c>
      <c r="B1891" s="2">
        <v>45595</v>
      </c>
      <c r="C1891">
        <v>21.901033401489261</v>
      </c>
      <c r="D1891">
        <f>_xlfn.XLOOKUP(B1891, Oil_Price!A:A, Oil_Price!B:B, "")</f>
        <v>68.610000610351562</v>
      </c>
      <c r="E1891">
        <f t="shared" si="116"/>
        <v>1.046203554290163E-2</v>
      </c>
      <c r="F1891">
        <f t="shared" si="117"/>
        <v>2.0830256583091442E-2</v>
      </c>
      <c r="G1891">
        <f t="shared" si="118"/>
        <v>0.22675704956055043</v>
      </c>
      <c r="H1891">
        <f t="shared" si="119"/>
        <v>1.4000015258789062</v>
      </c>
    </row>
    <row r="1892" spans="1:8" x14ac:dyDescent="0.2">
      <c r="A1892" t="s">
        <v>12</v>
      </c>
      <c r="B1892" s="2">
        <v>45596</v>
      </c>
      <c r="C1892">
        <v>21.154619216918949</v>
      </c>
      <c r="D1892">
        <f>_xlfn.XLOOKUP(B1892, Oil_Price!A:A, Oil_Price!B:B, "")</f>
        <v>69.260002136230469</v>
      </c>
      <c r="E1892">
        <f t="shared" si="116"/>
        <v>-3.4081231277404318E-2</v>
      </c>
      <c r="F1892">
        <f t="shared" si="117"/>
        <v>9.47385978860984E-3</v>
      </c>
      <c r="G1892">
        <f t="shared" si="118"/>
        <v>-0.7464141845703125</v>
      </c>
      <c r="H1892">
        <f t="shared" si="119"/>
        <v>0.65000152587890625</v>
      </c>
    </row>
    <row r="1893" spans="1:8" x14ac:dyDescent="0.2">
      <c r="A1893" t="s">
        <v>12</v>
      </c>
      <c r="B1893" s="2">
        <v>45597</v>
      </c>
      <c r="C1893">
        <v>20.682207107543949</v>
      </c>
      <c r="D1893">
        <f>_xlfn.XLOOKUP(B1893, Oil_Price!A:A, Oil_Price!B:B, "")</f>
        <v>69.489997863769531</v>
      </c>
      <c r="E1893">
        <f t="shared" si="116"/>
        <v>-2.233139271054221E-2</v>
      </c>
      <c r="F1893">
        <f t="shared" si="117"/>
        <v>3.3207583084775834E-3</v>
      </c>
      <c r="G1893">
        <f t="shared" si="118"/>
        <v>-0.472412109375</v>
      </c>
      <c r="H1893">
        <f t="shared" si="119"/>
        <v>0.2299957275390625</v>
      </c>
    </row>
    <row r="1894" spans="1:8" x14ac:dyDescent="0.2">
      <c r="A1894" t="s">
        <v>12</v>
      </c>
      <c r="B1894" s="2">
        <v>45600</v>
      </c>
      <c r="C1894">
        <v>21.305793762207031</v>
      </c>
      <c r="D1894">
        <f>_xlfn.XLOOKUP(B1894, Oil_Price!A:A, Oil_Price!B:B, "")</f>
        <v>71.470001220703125</v>
      </c>
      <c r="E1894">
        <f t="shared" si="116"/>
        <v>3.0150875649805564E-2</v>
      </c>
      <c r="F1894">
        <f t="shared" si="117"/>
        <v>2.8493357573780003E-2</v>
      </c>
      <c r="G1894">
        <f t="shared" si="118"/>
        <v>0.62358665466308238</v>
      </c>
      <c r="H1894">
        <f t="shared" si="119"/>
        <v>1.9800033569335938</v>
      </c>
    </row>
    <row r="1895" spans="1:8" x14ac:dyDescent="0.2">
      <c r="A1895" t="s">
        <v>12</v>
      </c>
      <c r="B1895" s="2">
        <v>45601</v>
      </c>
      <c r="C1895">
        <v>21.097932815551761</v>
      </c>
      <c r="D1895">
        <f>_xlfn.XLOOKUP(B1895, Oil_Price!A:A, Oil_Price!B:B, "")</f>
        <v>71.989997863769531</v>
      </c>
      <c r="E1895">
        <f t="shared" si="116"/>
        <v>-9.7560761629064945E-3</v>
      </c>
      <c r="F1895">
        <f t="shared" si="117"/>
        <v>7.2757329534755321E-3</v>
      </c>
      <c r="G1895">
        <f t="shared" si="118"/>
        <v>-0.20786094665526988</v>
      </c>
      <c r="H1895">
        <f t="shared" si="119"/>
        <v>0.51999664306640625</v>
      </c>
    </row>
    <row r="1896" spans="1:8" x14ac:dyDescent="0.2">
      <c r="A1896" t="s">
        <v>12</v>
      </c>
      <c r="B1896" s="2">
        <v>45602</v>
      </c>
      <c r="C1896">
        <v>21.324687957763668</v>
      </c>
      <c r="D1896">
        <f>_xlfn.XLOOKUP(B1896, Oil_Price!A:A, Oil_Price!B:B, "")</f>
        <v>71.69000244140625</v>
      </c>
      <c r="E1896">
        <f t="shared" si="116"/>
        <v>1.0747742169543769E-2</v>
      </c>
      <c r="F1896">
        <f t="shared" si="117"/>
        <v>-4.1671819872946573E-3</v>
      </c>
      <c r="G1896">
        <f t="shared" si="118"/>
        <v>0.22675514221190696</v>
      </c>
      <c r="H1896">
        <f t="shared" si="119"/>
        <v>-0.29999542236328125</v>
      </c>
    </row>
    <row r="1897" spans="1:8" x14ac:dyDescent="0.2">
      <c r="A1897" t="s">
        <v>12</v>
      </c>
      <c r="B1897" s="2">
        <v>45603</v>
      </c>
      <c r="C1897">
        <v>21.400274276733398</v>
      </c>
      <c r="D1897">
        <f>_xlfn.XLOOKUP(B1897, Oil_Price!A:A, Oil_Price!B:B, "")</f>
        <v>72.360000610351562</v>
      </c>
      <c r="E1897">
        <f t="shared" si="116"/>
        <v>3.5445451356399069E-3</v>
      </c>
      <c r="F1897">
        <f t="shared" si="117"/>
        <v>9.3457685329682641E-3</v>
      </c>
      <c r="G1897">
        <f t="shared" si="118"/>
        <v>7.5586318969730115E-2</v>
      </c>
      <c r="H1897">
        <f t="shared" si="119"/>
        <v>0.6699981689453125</v>
      </c>
    </row>
    <row r="1898" spans="1:8" x14ac:dyDescent="0.2">
      <c r="A1898" t="s">
        <v>12</v>
      </c>
      <c r="B1898" s="2">
        <v>45604</v>
      </c>
      <c r="C1898">
        <v>21.192413330078121</v>
      </c>
      <c r="D1898">
        <f>_xlfn.XLOOKUP(B1898, Oil_Price!A:A, Oil_Price!B:B, "")</f>
        <v>70.379997253417969</v>
      </c>
      <c r="E1898">
        <f t="shared" si="116"/>
        <v>-9.7130038600143354E-3</v>
      </c>
      <c r="F1898">
        <f t="shared" si="117"/>
        <v>-2.7363230240912154E-2</v>
      </c>
      <c r="G1898">
        <f t="shared" si="118"/>
        <v>-0.20786094665527699</v>
      </c>
      <c r="H1898">
        <f t="shared" si="119"/>
        <v>-1.9800033569335938</v>
      </c>
    </row>
    <row r="1899" spans="1:8" x14ac:dyDescent="0.2">
      <c r="A1899" t="s">
        <v>12</v>
      </c>
      <c r="B1899" s="2">
        <v>45607</v>
      </c>
      <c r="C1899">
        <v>21.069589614868161</v>
      </c>
      <c r="D1899">
        <f>_xlfn.XLOOKUP(B1899, Oil_Price!A:A, Oil_Price!B:B, "")</f>
        <v>68.040000915527344</v>
      </c>
      <c r="E1899">
        <f t="shared" si="116"/>
        <v>-5.7956455122380422E-3</v>
      </c>
      <c r="F1899">
        <f t="shared" si="117"/>
        <v>-3.3248031105556547E-2</v>
      </c>
      <c r="G1899">
        <f t="shared" si="118"/>
        <v>-0.12282371520996094</v>
      </c>
      <c r="H1899">
        <f t="shared" si="119"/>
        <v>-2.339996337890625</v>
      </c>
    </row>
    <row r="1900" spans="1:8" x14ac:dyDescent="0.2">
      <c r="A1900" t="s">
        <v>12</v>
      </c>
      <c r="B1900" s="2">
        <v>45608</v>
      </c>
      <c r="C1900">
        <v>20.738901138305661</v>
      </c>
      <c r="D1900">
        <f>_xlfn.XLOOKUP(B1900, Oil_Price!A:A, Oil_Price!B:B, "")</f>
        <v>68.120002746582031</v>
      </c>
      <c r="E1900">
        <f t="shared" si="116"/>
        <v>-1.5695060160504662E-2</v>
      </c>
      <c r="F1900">
        <f t="shared" si="117"/>
        <v>1.175805849179969E-3</v>
      </c>
      <c r="G1900">
        <f t="shared" si="118"/>
        <v>-0.3306884765625</v>
      </c>
      <c r="H1900">
        <f t="shared" si="119"/>
        <v>8.00018310546875E-2</v>
      </c>
    </row>
    <row r="1901" spans="1:8" x14ac:dyDescent="0.2">
      <c r="A1901" t="s">
        <v>12</v>
      </c>
      <c r="B1901" s="2">
        <v>45609</v>
      </c>
      <c r="C1901">
        <v>20.625520706176761</v>
      </c>
      <c r="D1901">
        <f>_xlfn.XLOOKUP(B1901, Oil_Price!A:A, Oil_Price!B:B, "")</f>
        <v>68.430000305175781</v>
      </c>
      <c r="E1901">
        <f t="shared" si="116"/>
        <v>-5.4670414489550994E-3</v>
      </c>
      <c r="F1901">
        <f t="shared" si="117"/>
        <v>4.5507566954598273E-3</v>
      </c>
      <c r="G1901">
        <f t="shared" si="118"/>
        <v>-0.11338043212889914</v>
      </c>
      <c r="H1901">
        <f t="shared" si="119"/>
        <v>0.30999755859375</v>
      </c>
    </row>
    <row r="1902" spans="1:8" x14ac:dyDescent="0.2">
      <c r="A1902" t="s">
        <v>12</v>
      </c>
      <c r="B1902" s="2">
        <v>45610</v>
      </c>
      <c r="C1902">
        <v>21.003446578979489</v>
      </c>
      <c r="D1902">
        <f>_xlfn.XLOOKUP(B1902, Oil_Price!A:A, Oil_Price!B:B, "")</f>
        <v>68.699996948242188</v>
      </c>
      <c r="E1902">
        <f t="shared" si="116"/>
        <v>1.8323216086833103E-2</v>
      </c>
      <c r="F1902">
        <f t="shared" si="117"/>
        <v>3.9455888040670481E-3</v>
      </c>
      <c r="G1902">
        <f t="shared" si="118"/>
        <v>0.37792587280272727</v>
      </c>
      <c r="H1902">
        <f t="shared" si="119"/>
        <v>0.26999664306640625</v>
      </c>
    </row>
    <row r="1903" spans="1:8" x14ac:dyDescent="0.2">
      <c r="A1903" t="s">
        <v>12</v>
      </c>
      <c r="B1903" s="2">
        <v>45611</v>
      </c>
      <c r="C1903">
        <v>20.823930740356449</v>
      </c>
      <c r="D1903">
        <f>_xlfn.XLOOKUP(B1903, Oil_Price!A:A, Oil_Price!B:B, "")</f>
        <v>67.019996643066406</v>
      </c>
      <c r="E1903">
        <f t="shared" si="116"/>
        <v>-8.5469705149583148E-3</v>
      </c>
      <c r="F1903">
        <f t="shared" si="117"/>
        <v>-2.4454154000057304E-2</v>
      </c>
      <c r="G1903">
        <f t="shared" si="118"/>
        <v>-0.17951583862303977</v>
      </c>
      <c r="H1903">
        <f t="shared" si="119"/>
        <v>-1.6800003051757812</v>
      </c>
    </row>
    <row r="1904" spans="1:8" x14ac:dyDescent="0.2">
      <c r="A1904" t="s">
        <v>12</v>
      </c>
      <c r="B1904" s="2">
        <v>45614</v>
      </c>
      <c r="C1904">
        <v>21.182968139648441</v>
      </c>
      <c r="D1904">
        <f>_xlfn.XLOOKUP(B1904, Oil_Price!A:A, Oil_Price!B:B, "")</f>
        <v>69.160003662109375</v>
      </c>
      <c r="E1904">
        <f t="shared" si="116"/>
        <v>1.7241576711364268E-2</v>
      </c>
      <c r="F1904">
        <f t="shared" si="117"/>
        <v>3.1930873265186357E-2</v>
      </c>
      <c r="G1904">
        <f t="shared" si="118"/>
        <v>0.35903739929199219</v>
      </c>
      <c r="H1904">
        <f t="shared" si="119"/>
        <v>2.1400070190429688</v>
      </c>
    </row>
    <row r="1905" spans="1:8" x14ac:dyDescent="0.2">
      <c r="A1905" t="s">
        <v>12</v>
      </c>
      <c r="B1905" s="2">
        <v>45615</v>
      </c>
      <c r="C1905">
        <v>21.182968139648441</v>
      </c>
      <c r="D1905">
        <f>_xlfn.XLOOKUP(B1905, Oil_Price!A:A, Oil_Price!B:B, "")</f>
        <v>69.389999389648438</v>
      </c>
      <c r="E1905">
        <f t="shared" si="116"/>
        <v>0</v>
      </c>
      <c r="F1905">
        <f t="shared" si="117"/>
        <v>3.3255597941078486E-3</v>
      </c>
      <c r="G1905">
        <f t="shared" si="118"/>
        <v>0</v>
      </c>
      <c r="H1905">
        <f t="shared" si="119"/>
        <v>0.2299957275390625</v>
      </c>
    </row>
    <row r="1906" spans="1:8" x14ac:dyDescent="0.2">
      <c r="A1906" t="s">
        <v>12</v>
      </c>
      <c r="B1906" s="2">
        <v>45616</v>
      </c>
      <c r="C1906">
        <v>21.371931076049801</v>
      </c>
      <c r="D1906">
        <f>_xlfn.XLOOKUP(B1906, Oil_Price!A:A, Oil_Price!B:B, "")</f>
        <v>68.870002746582031</v>
      </c>
      <c r="E1906">
        <f t="shared" si="116"/>
        <v>8.9205127041510138E-3</v>
      </c>
      <c r="F1906">
        <f t="shared" si="117"/>
        <v>-7.4938268862988211E-3</v>
      </c>
      <c r="G1906">
        <f t="shared" si="118"/>
        <v>0.18896293640136008</v>
      </c>
      <c r="H1906">
        <f t="shared" si="119"/>
        <v>-0.51999664306640625</v>
      </c>
    </row>
    <row r="1907" spans="1:8" x14ac:dyDescent="0.2">
      <c r="A1907" t="s">
        <v>12</v>
      </c>
      <c r="B1907" s="2">
        <v>45617</v>
      </c>
      <c r="C1907">
        <v>21.39083099365234</v>
      </c>
      <c r="D1907">
        <f>_xlfn.XLOOKUP(B1907, Oil_Price!A:A, Oil_Price!B:B, "")</f>
        <v>70.099998474121094</v>
      </c>
      <c r="E1907">
        <f t="shared" si="116"/>
        <v>8.8433364001061325E-4</v>
      </c>
      <c r="F1907">
        <f t="shared" si="117"/>
        <v>1.7859672985131487E-2</v>
      </c>
      <c r="G1907">
        <f t="shared" si="118"/>
        <v>1.8899917602539062E-2</v>
      </c>
      <c r="H1907">
        <f t="shared" si="119"/>
        <v>1.2299957275390625</v>
      </c>
    </row>
    <row r="1908" spans="1:8" x14ac:dyDescent="0.2">
      <c r="A1908" t="s">
        <v>12</v>
      </c>
      <c r="B1908" s="2">
        <v>45618</v>
      </c>
      <c r="C1908">
        <v>21.371931076049801</v>
      </c>
      <c r="D1908">
        <f>_xlfn.XLOOKUP(B1908, Oil_Price!A:A, Oil_Price!B:B, "")</f>
        <v>71.239997863769531</v>
      </c>
      <c r="E1908">
        <f t="shared" si="116"/>
        <v>-8.8355228500227743E-4</v>
      </c>
      <c r="F1908">
        <f t="shared" si="117"/>
        <v>1.6262473815449405E-2</v>
      </c>
      <c r="G1908">
        <f t="shared" si="118"/>
        <v>-1.8899917602539062E-2</v>
      </c>
      <c r="H1908">
        <f t="shared" si="119"/>
        <v>1.1399993896484375</v>
      </c>
    </row>
    <row r="1909" spans="1:8" x14ac:dyDescent="0.2">
      <c r="A1909" t="s">
        <v>12</v>
      </c>
      <c r="B1909" s="2">
        <v>45621</v>
      </c>
      <c r="C1909">
        <v>20.956211090087891</v>
      </c>
      <c r="D1909">
        <f>_xlfn.XLOOKUP(B1909, Oil_Price!A:A, Oil_Price!B:B, "")</f>
        <v>68.94000244140625</v>
      </c>
      <c r="E1909">
        <f t="shared" si="116"/>
        <v>-1.9451681014813964E-2</v>
      </c>
      <c r="F1909">
        <f t="shared" si="117"/>
        <v>-3.2285169726724378E-2</v>
      </c>
      <c r="G1909">
        <f t="shared" si="118"/>
        <v>-0.41571998596191051</v>
      </c>
      <c r="H1909">
        <f t="shared" si="119"/>
        <v>-2.2999954223632812</v>
      </c>
    </row>
    <row r="1910" spans="1:8" x14ac:dyDescent="0.2">
      <c r="A1910" t="s">
        <v>12</v>
      </c>
      <c r="B1910" s="2">
        <v>45622</v>
      </c>
      <c r="C1910">
        <v>20.578279495239261</v>
      </c>
      <c r="D1910">
        <f>_xlfn.XLOOKUP(B1910, Oil_Price!A:A, Oil_Price!B:B, "")</f>
        <v>68.769996643066406</v>
      </c>
      <c r="E1910">
        <f t="shared" si="116"/>
        <v>-1.8034347584301041E-2</v>
      </c>
      <c r="F1910">
        <f t="shared" si="117"/>
        <v>-2.4659964073011995E-3</v>
      </c>
      <c r="G1910">
        <f t="shared" si="118"/>
        <v>-0.37793159484862926</v>
      </c>
      <c r="H1910">
        <f t="shared" si="119"/>
        <v>-0.17000579833984375</v>
      </c>
    </row>
    <row r="1911" spans="1:8" x14ac:dyDescent="0.2">
      <c r="A1911" t="s">
        <v>12</v>
      </c>
      <c r="B1911" s="2">
        <v>45623</v>
      </c>
      <c r="C1911">
        <v>20.823930740356449</v>
      </c>
      <c r="D1911">
        <f>_xlfn.XLOOKUP(B1911, Oil_Price!A:A, Oil_Price!B:B, "")</f>
        <v>68.720001220703125</v>
      </c>
      <c r="E1911">
        <f t="shared" si="116"/>
        <v>1.1937404445012926E-2</v>
      </c>
      <c r="F1911">
        <f t="shared" si="117"/>
        <v>-7.269946895994496E-4</v>
      </c>
      <c r="G1911">
        <f t="shared" si="118"/>
        <v>0.2456512451171875</v>
      </c>
      <c r="H1911">
        <f t="shared" si="119"/>
        <v>-4.999542236328125E-2</v>
      </c>
    </row>
    <row r="1912" spans="1:8" x14ac:dyDescent="0.2">
      <c r="A1912" t="s">
        <v>12</v>
      </c>
      <c r="B1912" s="2">
        <v>45624</v>
      </c>
      <c r="C1912">
        <v>20.908967971801761</v>
      </c>
      <c r="D1912" t="str">
        <f>_xlfn.XLOOKUP(B1912, Oil_Price!A:A, Oil_Price!B:B, "")</f>
        <v/>
      </c>
      <c r="E1912">
        <f t="shared" si="116"/>
        <v>4.0836301515597964E-3</v>
      </c>
      <c r="F1912" t="str">
        <f t="shared" si="117"/>
        <v/>
      </c>
      <c r="G1912">
        <f t="shared" si="118"/>
        <v>8.50372314453125E-2</v>
      </c>
      <c r="H1912" t="str">
        <f t="shared" si="119"/>
        <v/>
      </c>
    </row>
    <row r="1913" spans="1:8" x14ac:dyDescent="0.2">
      <c r="A1913" t="s">
        <v>12</v>
      </c>
      <c r="B1913" s="2">
        <v>45625</v>
      </c>
      <c r="C1913">
        <v>20.956211090087891</v>
      </c>
      <c r="D1913">
        <f>_xlfn.XLOOKUP(B1913, Oil_Price!A:A, Oil_Price!B:B, "")</f>
        <v>68</v>
      </c>
      <c r="E1913">
        <f t="shared" si="116"/>
        <v>2.2594667680318915E-3</v>
      </c>
      <c r="F1913" t="str">
        <f t="shared" si="117"/>
        <v/>
      </c>
      <c r="G1913">
        <f t="shared" si="118"/>
        <v>4.724311828612926E-2</v>
      </c>
      <c r="H1913" t="str">
        <f t="shared" si="119"/>
        <v/>
      </c>
    </row>
    <row r="1914" spans="1:8" x14ac:dyDescent="0.2">
      <c r="A1914" t="s">
        <v>12</v>
      </c>
      <c r="B1914" s="2">
        <v>45628</v>
      </c>
      <c r="C1914">
        <v>20.890071868896481</v>
      </c>
      <c r="D1914">
        <f>_xlfn.XLOOKUP(B1914, Oil_Price!A:A, Oil_Price!B:B, "")</f>
        <v>68.099998474121094</v>
      </c>
      <c r="E1914">
        <f t="shared" si="116"/>
        <v>-3.1560677121969388E-3</v>
      </c>
      <c r="F1914">
        <f t="shared" si="117"/>
        <v>1.4705657958984375E-3</v>
      </c>
      <c r="G1914">
        <f t="shared" si="118"/>
        <v>-6.6139221191409803E-2</v>
      </c>
      <c r="H1914">
        <f t="shared" si="119"/>
        <v>9.999847412109375E-2</v>
      </c>
    </row>
    <row r="1915" spans="1:8" x14ac:dyDescent="0.2">
      <c r="A1915" t="s">
        <v>12</v>
      </c>
      <c r="B1915" s="2">
        <v>45629</v>
      </c>
      <c r="C1915">
        <v>21.164066314697269</v>
      </c>
      <c r="D1915">
        <f>_xlfn.XLOOKUP(B1915, Oil_Price!A:A, Oil_Price!B:B, "")</f>
        <v>69.94000244140625</v>
      </c>
      <c r="E1915">
        <f t="shared" si="116"/>
        <v>1.3116012597771025E-2</v>
      </c>
      <c r="F1915">
        <f t="shared" si="117"/>
        <v>2.7019148436315785E-2</v>
      </c>
      <c r="G1915">
        <f t="shared" si="118"/>
        <v>0.27399444580078836</v>
      </c>
      <c r="H1915">
        <f t="shared" si="119"/>
        <v>1.8400039672851562</v>
      </c>
    </row>
    <row r="1916" spans="1:8" x14ac:dyDescent="0.2">
      <c r="A1916" t="s">
        <v>12</v>
      </c>
      <c r="B1916" s="2">
        <v>45630</v>
      </c>
      <c r="C1916">
        <v>20.606622695922852</v>
      </c>
      <c r="D1916">
        <f>_xlfn.XLOOKUP(B1916, Oil_Price!A:A, Oil_Price!B:B, "")</f>
        <v>68.540000915527344</v>
      </c>
      <c r="E1916">
        <f t="shared" si="116"/>
        <v>-2.6339154795943159E-2</v>
      </c>
      <c r="F1916">
        <f t="shared" si="117"/>
        <v>-2.0017178681853605E-2</v>
      </c>
      <c r="G1916">
        <f t="shared" si="118"/>
        <v>-0.55744361877441762</v>
      </c>
      <c r="H1916">
        <f t="shared" si="119"/>
        <v>-1.4000015258789062</v>
      </c>
    </row>
    <row r="1917" spans="1:8" x14ac:dyDescent="0.2">
      <c r="A1917" t="s">
        <v>12</v>
      </c>
      <c r="B1917" s="2">
        <v>45631</v>
      </c>
      <c r="C1917">
        <v>20.748346328735352</v>
      </c>
      <c r="D1917">
        <f>_xlfn.XLOOKUP(B1917, Oil_Price!A:A, Oil_Price!B:B, "")</f>
        <v>68.300003051757812</v>
      </c>
      <c r="E1917">
        <f t="shared" si="116"/>
        <v>6.8775769277583223E-3</v>
      </c>
      <c r="F1917">
        <f t="shared" si="117"/>
        <v>-3.5015736878281994E-3</v>
      </c>
      <c r="G1917">
        <f t="shared" si="118"/>
        <v>0.1417236328125</v>
      </c>
      <c r="H1917">
        <f t="shared" si="119"/>
        <v>-0.23999786376953125</v>
      </c>
    </row>
    <row r="1918" spans="1:8" x14ac:dyDescent="0.2">
      <c r="A1918" t="s">
        <v>12</v>
      </c>
      <c r="B1918" s="2">
        <v>45632</v>
      </c>
      <c r="C1918">
        <v>20.077520370483398</v>
      </c>
      <c r="D1918">
        <f>_xlfn.XLOOKUP(B1918, Oil_Price!A:A, Oil_Price!B:B, "")</f>
        <v>67.199996948242188</v>
      </c>
      <c r="E1918">
        <f t="shared" si="116"/>
        <v>-3.2331538505451639E-2</v>
      </c>
      <c r="F1918">
        <f t="shared" si="117"/>
        <v>-1.6105505920432233E-2</v>
      </c>
      <c r="G1918">
        <f t="shared" si="118"/>
        <v>-0.67082595825195312</v>
      </c>
      <c r="H1918">
        <f t="shared" si="119"/>
        <v>-1.100006103515625</v>
      </c>
    </row>
    <row r="1919" spans="1:8" x14ac:dyDescent="0.2">
      <c r="A1919" t="s">
        <v>12</v>
      </c>
      <c r="B1919" s="2">
        <v>45635</v>
      </c>
      <c r="C1919">
        <v>20.342073440551761</v>
      </c>
      <c r="D1919">
        <f>_xlfn.XLOOKUP(B1919, Oil_Price!A:A, Oil_Price!B:B, "")</f>
        <v>68.370002746582031</v>
      </c>
      <c r="E1919">
        <f t="shared" si="116"/>
        <v>1.3176580832027983E-2</v>
      </c>
      <c r="F1919">
        <f t="shared" si="117"/>
        <v>1.7410801361211203E-2</v>
      </c>
      <c r="G1919">
        <f t="shared" si="118"/>
        <v>0.26455307006836293</v>
      </c>
      <c r="H1919">
        <f t="shared" si="119"/>
        <v>1.1700057983398438</v>
      </c>
    </row>
    <row r="1920" spans="1:8" x14ac:dyDescent="0.2">
      <c r="A1920" t="s">
        <v>12</v>
      </c>
      <c r="B1920" s="2">
        <v>45636</v>
      </c>
      <c r="C1920">
        <v>20.238140106201168</v>
      </c>
      <c r="D1920">
        <f>_xlfn.XLOOKUP(B1920, Oil_Price!A:A, Oil_Price!B:B, "")</f>
        <v>68.589996337890625</v>
      </c>
      <c r="E1920">
        <f t="shared" si="116"/>
        <v>-5.1092792804199975E-3</v>
      </c>
      <c r="F1920">
        <f t="shared" si="117"/>
        <v>3.2176917137770882E-3</v>
      </c>
      <c r="G1920">
        <f t="shared" si="118"/>
        <v>-0.10393333435059304</v>
      </c>
      <c r="H1920">
        <f t="shared" si="119"/>
        <v>0.21999359130859375</v>
      </c>
    </row>
    <row r="1921" spans="1:8" x14ac:dyDescent="0.2">
      <c r="A1921" t="s">
        <v>12</v>
      </c>
      <c r="B1921" s="2">
        <v>45637</v>
      </c>
      <c r="C1921">
        <v>20.512140274047852</v>
      </c>
      <c r="D1921">
        <f>_xlfn.XLOOKUP(B1921, Oil_Price!A:A, Oil_Price!B:B, "")</f>
        <v>70.290000915527344</v>
      </c>
      <c r="E1921">
        <f t="shared" si="116"/>
        <v>1.3538801807322543E-2</v>
      </c>
      <c r="F1921">
        <f t="shared" si="117"/>
        <v>2.4785022137369599E-2</v>
      </c>
      <c r="G1921">
        <f t="shared" si="118"/>
        <v>0.27400016784668324</v>
      </c>
      <c r="H1921">
        <f t="shared" si="119"/>
        <v>1.7000045776367188</v>
      </c>
    </row>
    <row r="1922" spans="1:8" x14ac:dyDescent="0.2">
      <c r="A1922" t="s">
        <v>12</v>
      </c>
      <c r="B1922" s="2">
        <v>45638</v>
      </c>
      <c r="C1922">
        <v>20.304279327392582</v>
      </c>
      <c r="D1922">
        <f>_xlfn.XLOOKUP(B1922, Oil_Price!A:A, Oil_Price!B:B, "")</f>
        <v>70.019996643066406</v>
      </c>
      <c r="E1922">
        <f t="shared" si="116"/>
        <v>-1.0133557194821716E-2</v>
      </c>
      <c r="F1922">
        <f t="shared" si="117"/>
        <v>-3.8412899266486206E-3</v>
      </c>
      <c r="G1922">
        <f t="shared" si="118"/>
        <v>-0.20786094665526988</v>
      </c>
      <c r="H1922">
        <f t="shared" si="119"/>
        <v>-0.2700042724609375</v>
      </c>
    </row>
    <row r="1923" spans="1:8" x14ac:dyDescent="0.2">
      <c r="A1923" t="s">
        <v>12</v>
      </c>
      <c r="B1923" s="2">
        <v>45639</v>
      </c>
      <c r="C1923">
        <v>20.68540191650391</v>
      </c>
      <c r="D1923">
        <f>_xlfn.XLOOKUP(B1923, Oil_Price!A:A, Oil_Price!B:B, "")</f>
        <v>71.290000915527344</v>
      </c>
      <c r="E1923">
        <f t="shared" ref="E1923:E1986" si="120">IFERROR(IF(AND(A1923=A1922, C1923&lt;&gt;"", C1922&lt;&gt;""), (C1923-C1922)/C1922, ""), "")</f>
        <v>1.8770554865109354E-2</v>
      </c>
      <c r="F1923">
        <f t="shared" ref="F1923:F1986" si="121">IFERROR(IF(AND(A1923=A1922, D1923&lt;&gt;"", D1922&lt;&gt;""), (D1923-D1922)/D1922, ""), "")</f>
        <v>1.8137736837305279E-2</v>
      </c>
      <c r="G1923">
        <f t="shared" ref="G1923:G1986" si="122">IFERROR(IF(AND(A1923=A1922, C1923&lt;&gt;"", C1922&lt;&gt;""), C1923-C1922, ""), "")</f>
        <v>0.38112258911132812</v>
      </c>
      <c r="H1923">
        <f t="shared" ref="H1923:H1986" si="123">IFERROR(IF(AND(A1923=A1922, D1923&lt;&gt;"", D1922&lt;&gt;""), D1923-D1922, ""), "")</f>
        <v>1.2700042724609375</v>
      </c>
    </row>
    <row r="1924" spans="1:8" x14ac:dyDescent="0.2">
      <c r="A1924" t="s">
        <v>12</v>
      </c>
      <c r="B1924" s="2">
        <v>45642</v>
      </c>
      <c r="C1924">
        <v>20.1994743347168</v>
      </c>
      <c r="D1924">
        <f>_xlfn.XLOOKUP(B1924, Oil_Price!A:A, Oil_Price!B:B, "")</f>
        <v>70.709999084472656</v>
      </c>
      <c r="E1924">
        <f t="shared" si="120"/>
        <v>-2.3491328993680834E-2</v>
      </c>
      <c r="F1924">
        <f t="shared" si="121"/>
        <v>-8.1358089999457421E-3</v>
      </c>
      <c r="G1924">
        <f t="shared" si="122"/>
        <v>-0.48592758178710938</v>
      </c>
      <c r="H1924">
        <f t="shared" si="123"/>
        <v>-0.5800018310546875</v>
      </c>
    </row>
    <row r="1925" spans="1:8" x14ac:dyDescent="0.2">
      <c r="A1925" t="s">
        <v>12</v>
      </c>
      <c r="B1925" s="2">
        <v>45643</v>
      </c>
      <c r="C1925">
        <v>20.132772445678711</v>
      </c>
      <c r="D1925">
        <f>_xlfn.XLOOKUP(B1925, Oil_Price!A:A, Oil_Price!B:B, "")</f>
        <v>70.080001831054688</v>
      </c>
      <c r="E1925">
        <f t="shared" si="120"/>
        <v>-3.3021596469690836E-3</v>
      </c>
      <c r="F1925">
        <f t="shared" si="121"/>
        <v>-8.9095921591704711E-3</v>
      </c>
      <c r="G1925">
        <f t="shared" si="122"/>
        <v>-6.670188903808949E-2</v>
      </c>
      <c r="H1925">
        <f t="shared" si="123"/>
        <v>-0.62999725341796875</v>
      </c>
    </row>
    <row r="1926" spans="1:8" x14ac:dyDescent="0.2">
      <c r="A1926" t="s">
        <v>12</v>
      </c>
      <c r="B1926" s="2">
        <v>45644</v>
      </c>
      <c r="C1926">
        <v>19.932687759399411</v>
      </c>
      <c r="D1926">
        <f>_xlfn.XLOOKUP(B1926, Oil_Price!A:A, Oil_Price!B:B, "")</f>
        <v>70.580001831054688</v>
      </c>
      <c r="E1926">
        <f t="shared" si="120"/>
        <v>-9.938257973121159E-3</v>
      </c>
      <c r="F1926">
        <f t="shared" si="121"/>
        <v>7.1347030099310586E-3</v>
      </c>
      <c r="G1926">
        <f t="shared" si="122"/>
        <v>-0.20008468627930043</v>
      </c>
      <c r="H1926">
        <f t="shared" si="123"/>
        <v>0.5</v>
      </c>
    </row>
    <row r="1927" spans="1:8" x14ac:dyDescent="0.2">
      <c r="A1927" t="s">
        <v>12</v>
      </c>
      <c r="B1927" s="2">
        <v>45645</v>
      </c>
      <c r="C1927">
        <v>19.684955596923832</v>
      </c>
      <c r="D1927">
        <f>_xlfn.XLOOKUP(B1927, Oil_Price!A:A, Oil_Price!B:B, "")</f>
        <v>69.910003662109375</v>
      </c>
      <c r="E1927">
        <f t="shared" si="120"/>
        <v>-1.2428437422281842E-2</v>
      </c>
      <c r="F1927">
        <f t="shared" si="121"/>
        <v>-9.4927479677468386E-3</v>
      </c>
      <c r="G1927">
        <f t="shared" si="122"/>
        <v>-0.24773216247557883</v>
      </c>
      <c r="H1927">
        <f t="shared" si="123"/>
        <v>-0.6699981689453125</v>
      </c>
    </row>
    <row r="1928" spans="1:8" x14ac:dyDescent="0.2">
      <c r="A1928" t="s">
        <v>12</v>
      </c>
      <c r="B1928" s="2">
        <v>45646</v>
      </c>
      <c r="C1928">
        <v>19.732595443725589</v>
      </c>
      <c r="D1928">
        <f>_xlfn.XLOOKUP(B1928, Oil_Price!A:A, Oil_Price!B:B, "")</f>
        <v>69.459999084472656</v>
      </c>
      <c r="E1928">
        <f t="shared" si="120"/>
        <v>2.420114516753215E-3</v>
      </c>
      <c r="F1928">
        <f t="shared" si="121"/>
        <v>-6.4369125170081684E-3</v>
      </c>
      <c r="G1928">
        <f t="shared" si="122"/>
        <v>4.7639846801757812E-2</v>
      </c>
      <c r="H1928">
        <f t="shared" si="123"/>
        <v>-0.45000457763671875</v>
      </c>
    </row>
    <row r="1929" spans="1:8" x14ac:dyDescent="0.2">
      <c r="A1929" t="s">
        <v>12</v>
      </c>
      <c r="B1929" s="2">
        <v>45649</v>
      </c>
      <c r="C1929">
        <v>20.094663619995121</v>
      </c>
      <c r="D1929">
        <f>_xlfn.XLOOKUP(B1929, Oil_Price!A:A, Oil_Price!B:B, "")</f>
        <v>69.239997863769531</v>
      </c>
      <c r="E1929">
        <f t="shared" si="120"/>
        <v>1.8348735588387018E-2</v>
      </c>
      <c r="F1929">
        <f t="shared" si="121"/>
        <v>-3.1673081428575038E-3</v>
      </c>
      <c r="G1929">
        <f t="shared" si="122"/>
        <v>0.36206817626953125</v>
      </c>
      <c r="H1929">
        <f t="shared" si="123"/>
        <v>-0.220001220703125</v>
      </c>
    </row>
    <row r="1930" spans="1:8" x14ac:dyDescent="0.2">
      <c r="A1930" t="s">
        <v>12</v>
      </c>
      <c r="B1930" s="2">
        <v>45650</v>
      </c>
      <c r="C1930">
        <v>20.113718032836911</v>
      </c>
      <c r="D1930">
        <f>_xlfn.XLOOKUP(B1930, Oil_Price!A:A, Oil_Price!B:B, "")</f>
        <v>70.099998474121094</v>
      </c>
      <c r="E1930">
        <f t="shared" si="120"/>
        <v>9.4823248610291478E-4</v>
      </c>
      <c r="F1930">
        <f t="shared" si="121"/>
        <v>1.2420575344956298E-2</v>
      </c>
      <c r="G1930">
        <f t="shared" si="122"/>
        <v>1.905441284178977E-2</v>
      </c>
      <c r="H1930">
        <f t="shared" si="123"/>
        <v>0.8600006103515625</v>
      </c>
    </row>
    <row r="1931" spans="1:8" x14ac:dyDescent="0.2">
      <c r="A1931" t="s">
        <v>12</v>
      </c>
      <c r="B1931" s="2">
        <v>45653</v>
      </c>
      <c r="C1931">
        <v>20.085136413574219</v>
      </c>
      <c r="D1931">
        <f>_xlfn.XLOOKUP(B1931, Oil_Price!A:A, Oil_Price!B:B, "")</f>
        <v>70.599998474121094</v>
      </c>
      <c r="E1931">
        <f t="shared" si="120"/>
        <v>-1.4210012895691621E-3</v>
      </c>
      <c r="F1931">
        <f t="shared" si="121"/>
        <v>7.1326677729470368E-3</v>
      </c>
      <c r="G1931">
        <f t="shared" si="122"/>
        <v>-2.858161926269176E-2</v>
      </c>
      <c r="H1931">
        <f t="shared" si="123"/>
        <v>0.5</v>
      </c>
    </row>
    <row r="1932" spans="1:8" x14ac:dyDescent="0.2">
      <c r="A1932" t="s">
        <v>12</v>
      </c>
      <c r="B1932" s="2">
        <v>45656</v>
      </c>
      <c r="C1932">
        <v>20.29475021362305</v>
      </c>
      <c r="D1932">
        <f>_xlfn.XLOOKUP(B1932, Oil_Price!A:A, Oil_Price!B:B, "")</f>
        <v>70.989997863769531</v>
      </c>
      <c r="E1932">
        <f t="shared" si="120"/>
        <v>1.043626469507907E-2</v>
      </c>
      <c r="F1932">
        <f t="shared" si="121"/>
        <v>5.5240707942988757E-3</v>
      </c>
      <c r="G1932">
        <f t="shared" si="122"/>
        <v>0.20961380004883168</v>
      </c>
      <c r="H1932">
        <f t="shared" si="123"/>
        <v>0.3899993896484375</v>
      </c>
    </row>
    <row r="1933" spans="1:8" x14ac:dyDescent="0.2">
      <c r="A1933" t="s">
        <v>12</v>
      </c>
      <c r="B1933" s="2">
        <v>45657</v>
      </c>
      <c r="C1933">
        <v>20.761627197265621</v>
      </c>
      <c r="D1933">
        <f>_xlfn.XLOOKUP(B1933, Oil_Price!A:A, Oil_Price!B:B, "")</f>
        <v>71.720001220703125</v>
      </c>
      <c r="E1933">
        <f t="shared" si="120"/>
        <v>2.300481546844441E-2</v>
      </c>
      <c r="F1933">
        <f t="shared" si="121"/>
        <v>1.0283186067063658E-2</v>
      </c>
      <c r="G1933">
        <f t="shared" si="122"/>
        <v>0.46687698364257102</v>
      </c>
      <c r="H1933">
        <f t="shared" si="123"/>
        <v>0.73000335693359375</v>
      </c>
    </row>
    <row r="1934" spans="1:8" x14ac:dyDescent="0.2">
      <c r="A1934" t="s">
        <v>12</v>
      </c>
      <c r="B1934" s="2">
        <v>45659</v>
      </c>
      <c r="C1934">
        <v>20.999826431274411</v>
      </c>
      <c r="D1934">
        <f>_xlfn.XLOOKUP(B1934, Oil_Price!A:A, Oil_Price!B:B, "")</f>
        <v>73.129997253417969</v>
      </c>
      <c r="E1934">
        <f t="shared" si="120"/>
        <v>1.1473052268280819E-2</v>
      </c>
      <c r="F1934">
        <f t="shared" si="121"/>
        <v>1.9659732413777845E-2</v>
      </c>
      <c r="G1934">
        <f t="shared" si="122"/>
        <v>0.23819923400878906</v>
      </c>
      <c r="H1934">
        <f t="shared" si="123"/>
        <v>1.4099960327148438</v>
      </c>
    </row>
    <row r="1935" spans="1:8" x14ac:dyDescent="0.2">
      <c r="A1935" t="s">
        <v>12</v>
      </c>
      <c r="B1935" s="2">
        <v>45660</v>
      </c>
      <c r="C1935">
        <v>21.104635238647461</v>
      </c>
      <c r="D1935">
        <f>_xlfn.XLOOKUP(B1935, Oil_Price!A:A, Oil_Price!B:B, "")</f>
        <v>73.959999084472656</v>
      </c>
      <c r="E1935">
        <f t="shared" si="120"/>
        <v>4.9909368401712985E-3</v>
      </c>
      <c r="F1935">
        <f t="shared" si="121"/>
        <v>1.1349676770511498E-2</v>
      </c>
      <c r="G1935">
        <f t="shared" si="122"/>
        <v>0.10480880737305043</v>
      </c>
      <c r="H1935">
        <f t="shared" si="123"/>
        <v>0.8300018310546875</v>
      </c>
    </row>
    <row r="1936" spans="1:8" x14ac:dyDescent="0.2">
      <c r="A1936" t="s">
        <v>12</v>
      </c>
      <c r="B1936" s="2">
        <v>45663</v>
      </c>
      <c r="C1936">
        <v>21.104635238647461</v>
      </c>
      <c r="D1936">
        <f>_xlfn.XLOOKUP(B1936, Oil_Price!A:A, Oil_Price!B:B, "")</f>
        <v>73.55999755859375</v>
      </c>
      <c r="E1936">
        <f t="shared" si="120"/>
        <v>0</v>
      </c>
      <c r="F1936">
        <f t="shared" si="121"/>
        <v>-5.408349524478071E-3</v>
      </c>
      <c r="G1936">
        <f t="shared" si="122"/>
        <v>0</v>
      </c>
      <c r="H1936">
        <f t="shared" si="123"/>
        <v>-0.40000152587890625</v>
      </c>
    </row>
    <row r="1937" spans="1:8" x14ac:dyDescent="0.2">
      <c r="A1937" t="s">
        <v>12</v>
      </c>
      <c r="B1937" s="2">
        <v>45664</v>
      </c>
      <c r="C1937">
        <v>21.314254760742191</v>
      </c>
      <c r="D1937">
        <f>_xlfn.XLOOKUP(B1937, Oil_Price!A:A, Oil_Price!B:B, "")</f>
        <v>74.25</v>
      </c>
      <c r="E1937">
        <f t="shared" si="120"/>
        <v>9.9323925632634653E-3</v>
      </c>
      <c r="F1937">
        <f t="shared" si="121"/>
        <v>9.3801313799206278E-3</v>
      </c>
      <c r="G1937">
        <f t="shared" si="122"/>
        <v>0.20961952209473012</v>
      </c>
      <c r="H1937">
        <f t="shared" si="123"/>
        <v>0.69000244140625</v>
      </c>
    </row>
    <row r="1938" spans="1:8" x14ac:dyDescent="0.2">
      <c r="A1938" t="s">
        <v>12</v>
      </c>
      <c r="B1938" s="2">
        <v>45665</v>
      </c>
      <c r="C1938">
        <v>20.990299224853519</v>
      </c>
      <c r="D1938">
        <f>_xlfn.XLOOKUP(B1938, Oil_Price!A:A, Oil_Price!B:B, "")</f>
        <v>73.319999694824219</v>
      </c>
      <c r="E1938">
        <f t="shared" si="120"/>
        <v>-1.519900834090393E-2</v>
      </c>
      <c r="F1938">
        <f t="shared" si="121"/>
        <v>-1.2525256635364057E-2</v>
      </c>
      <c r="G1938">
        <f t="shared" si="122"/>
        <v>-0.32395553588867188</v>
      </c>
      <c r="H1938">
        <f t="shared" si="123"/>
        <v>-0.93000030517578125</v>
      </c>
    </row>
    <row r="1939" spans="1:8" x14ac:dyDescent="0.2">
      <c r="A1939" t="s">
        <v>12</v>
      </c>
      <c r="B1939" s="2">
        <v>45666</v>
      </c>
      <c r="C1939">
        <v>21.03793907165527</v>
      </c>
      <c r="D1939">
        <f>_xlfn.XLOOKUP(B1939, Oil_Price!A:A, Oil_Price!B:B, "")</f>
        <v>73.919998168945312</v>
      </c>
      <c r="E1939">
        <f t="shared" si="120"/>
        <v>2.2696125620421288E-3</v>
      </c>
      <c r="F1939">
        <f t="shared" si="121"/>
        <v>8.1832852784838282E-3</v>
      </c>
      <c r="G1939">
        <f t="shared" si="122"/>
        <v>4.7639846801750707E-2</v>
      </c>
      <c r="H1939">
        <f t="shared" si="123"/>
        <v>0.59999847412109375</v>
      </c>
    </row>
    <row r="1940" spans="1:8" x14ac:dyDescent="0.2">
      <c r="A1940" t="s">
        <v>12</v>
      </c>
      <c r="B1940" s="2">
        <v>45667</v>
      </c>
      <c r="C1940">
        <v>21.190389633178711</v>
      </c>
      <c r="D1940">
        <f>_xlfn.XLOOKUP(B1940, Oil_Price!A:A, Oil_Price!B:B, "")</f>
        <v>76.569999694824219</v>
      </c>
      <c r="E1940">
        <f t="shared" si="120"/>
        <v>7.2464589332726023E-3</v>
      </c>
      <c r="F1940">
        <f t="shared" si="121"/>
        <v>3.5849588629889927E-2</v>
      </c>
      <c r="G1940">
        <f t="shared" si="122"/>
        <v>0.15245056152344105</v>
      </c>
      <c r="H1940">
        <f t="shared" si="123"/>
        <v>2.6500015258789062</v>
      </c>
    </row>
    <row r="1941" spans="1:8" x14ac:dyDescent="0.2">
      <c r="A1941" t="s">
        <v>12</v>
      </c>
      <c r="B1941" s="2">
        <v>45670</v>
      </c>
      <c r="C1941">
        <v>20.942659378051761</v>
      </c>
      <c r="D1941">
        <f>_xlfn.XLOOKUP(B1941, Oil_Price!A:A, Oil_Price!B:B, "")</f>
        <v>78.819999694824219</v>
      </c>
      <c r="E1941">
        <f t="shared" si="120"/>
        <v>-1.1690689006447885E-2</v>
      </c>
      <c r="F1941">
        <f t="shared" si="121"/>
        <v>2.9384876700634097E-2</v>
      </c>
      <c r="G1941">
        <f t="shared" si="122"/>
        <v>-0.24773025512694957</v>
      </c>
      <c r="H1941">
        <f t="shared" si="123"/>
        <v>2.25</v>
      </c>
    </row>
    <row r="1942" spans="1:8" x14ac:dyDescent="0.2">
      <c r="A1942" t="s">
        <v>12</v>
      </c>
      <c r="B1942" s="2">
        <v>45671</v>
      </c>
      <c r="C1942">
        <v>20.390031814575199</v>
      </c>
      <c r="D1942">
        <f>_xlfn.XLOOKUP(B1942, Oil_Price!A:A, Oil_Price!B:B, "")</f>
        <v>77.5</v>
      </c>
      <c r="E1942">
        <f t="shared" si="120"/>
        <v>-2.6387649892053583E-2</v>
      </c>
      <c r="F1942">
        <f t="shared" si="121"/>
        <v>-1.6747014716252246E-2</v>
      </c>
      <c r="G1942">
        <f t="shared" si="122"/>
        <v>-0.5526275634765625</v>
      </c>
      <c r="H1942">
        <f t="shared" si="123"/>
        <v>-1.3199996948242188</v>
      </c>
    </row>
    <row r="1943" spans="1:8" x14ac:dyDescent="0.2">
      <c r="A1943" t="s">
        <v>12</v>
      </c>
      <c r="B1943" s="2">
        <v>45672</v>
      </c>
      <c r="C1943">
        <v>20.618703842163089</v>
      </c>
      <c r="D1943">
        <f>_xlfn.XLOOKUP(B1943, Oil_Price!A:A, Oil_Price!B:B, "")</f>
        <v>80.040000915527344</v>
      </c>
      <c r="E1943">
        <f t="shared" si="120"/>
        <v>1.1214893123630701E-2</v>
      </c>
      <c r="F1943">
        <f t="shared" si="121"/>
        <v>3.2774205361643147E-2</v>
      </c>
      <c r="G1943">
        <f t="shared" si="122"/>
        <v>0.22867202758789062</v>
      </c>
      <c r="H1943">
        <f t="shared" si="123"/>
        <v>2.5400009155273438</v>
      </c>
    </row>
    <row r="1944" spans="1:8" x14ac:dyDescent="0.2">
      <c r="A1944" t="s">
        <v>12</v>
      </c>
      <c r="B1944" s="2">
        <v>45673</v>
      </c>
      <c r="C1944">
        <v>20.351921081542969</v>
      </c>
      <c r="D1944">
        <f>_xlfn.XLOOKUP(B1944, Oil_Price!A:A, Oil_Price!B:B, "")</f>
        <v>78.680000305175781</v>
      </c>
      <c r="E1944">
        <f t="shared" si="120"/>
        <v>-1.2938871553825703E-2</v>
      </c>
      <c r="F1944">
        <f t="shared" si="121"/>
        <v>-1.699151167910256E-2</v>
      </c>
      <c r="G1944">
        <f t="shared" si="122"/>
        <v>-0.26678276062012074</v>
      </c>
      <c r="H1944">
        <f t="shared" si="123"/>
        <v>-1.3600006103515625</v>
      </c>
    </row>
    <row r="1945" spans="1:8" x14ac:dyDescent="0.2">
      <c r="A1945" t="s">
        <v>12</v>
      </c>
      <c r="B1945" s="2">
        <v>45674</v>
      </c>
      <c r="C1945">
        <v>20.742570877075199</v>
      </c>
      <c r="D1945">
        <f>_xlfn.XLOOKUP(B1945, Oil_Price!A:A, Oil_Price!B:B, "")</f>
        <v>77.879997253417969</v>
      </c>
      <c r="E1945">
        <f t="shared" si="120"/>
        <v>1.9194738126540201E-2</v>
      </c>
      <c r="F1945">
        <f t="shared" si="121"/>
        <v>-1.0167806922405237E-2</v>
      </c>
      <c r="G1945">
        <f t="shared" si="122"/>
        <v>0.39064979553223012</v>
      </c>
      <c r="H1945">
        <f t="shared" si="123"/>
        <v>-0.8000030517578125</v>
      </c>
    </row>
    <row r="1946" spans="1:8" x14ac:dyDescent="0.2">
      <c r="A1946" t="s">
        <v>12</v>
      </c>
      <c r="B1946" s="2">
        <v>45677</v>
      </c>
      <c r="C1946">
        <v>21.14274787902832</v>
      </c>
      <c r="D1946" t="str">
        <f>_xlfn.XLOOKUP(B1946, Oil_Price!A:A, Oil_Price!B:B, "")</f>
        <v/>
      </c>
      <c r="E1946">
        <f t="shared" si="120"/>
        <v>1.9292545958967854E-2</v>
      </c>
      <c r="F1946" t="str">
        <f t="shared" si="121"/>
        <v/>
      </c>
      <c r="G1946">
        <f t="shared" si="122"/>
        <v>0.40017700195312145</v>
      </c>
      <c r="H1946" t="str">
        <f t="shared" si="123"/>
        <v/>
      </c>
    </row>
    <row r="1947" spans="1:8" x14ac:dyDescent="0.2">
      <c r="A1947" t="s">
        <v>12</v>
      </c>
      <c r="B1947" s="2">
        <v>45678</v>
      </c>
      <c r="C1947">
        <v>20.48531341552734</v>
      </c>
      <c r="D1947">
        <f>_xlfn.XLOOKUP(B1947, Oil_Price!A:A, Oil_Price!B:B, "")</f>
        <v>75.889999389648438</v>
      </c>
      <c r="E1947">
        <f t="shared" si="120"/>
        <v>-3.109503396921718E-2</v>
      </c>
      <c r="F1947" t="str">
        <f t="shared" si="121"/>
        <v/>
      </c>
      <c r="G1947">
        <f t="shared" si="122"/>
        <v>-0.65743446350098012</v>
      </c>
      <c r="H1947" t="str">
        <f t="shared" si="123"/>
        <v/>
      </c>
    </row>
    <row r="1948" spans="1:8" x14ac:dyDescent="0.2">
      <c r="A1948" t="s">
        <v>12</v>
      </c>
      <c r="B1948" s="2">
        <v>45679</v>
      </c>
      <c r="C1948">
        <v>20.523427963256839</v>
      </c>
      <c r="D1948">
        <f>_xlfn.XLOOKUP(B1948, Oil_Price!A:A, Oil_Price!B:B, "")</f>
        <v>75.44000244140625</v>
      </c>
      <c r="E1948">
        <f t="shared" si="120"/>
        <v>1.8605791845298031E-3</v>
      </c>
      <c r="F1948">
        <f t="shared" si="121"/>
        <v>-5.9295948328017519E-3</v>
      </c>
      <c r="G1948">
        <f t="shared" si="122"/>
        <v>3.8114547729499293E-2</v>
      </c>
      <c r="H1948">
        <f t="shared" si="123"/>
        <v>-0.4499969482421875</v>
      </c>
    </row>
    <row r="1949" spans="1:8" x14ac:dyDescent="0.2">
      <c r="A1949" t="s">
        <v>12</v>
      </c>
      <c r="B1949" s="2">
        <v>45680</v>
      </c>
      <c r="C1949">
        <v>20.571063995361332</v>
      </c>
      <c r="D1949">
        <f>_xlfn.XLOOKUP(B1949, Oil_Price!A:A, Oil_Price!B:B, "")</f>
        <v>74.620002746582031</v>
      </c>
      <c r="E1949">
        <f t="shared" si="120"/>
        <v>2.3210563162145786E-3</v>
      </c>
      <c r="F1949">
        <f t="shared" si="121"/>
        <v>-1.0869560820350014E-2</v>
      </c>
      <c r="G1949">
        <f t="shared" si="122"/>
        <v>4.7636032104492188E-2</v>
      </c>
      <c r="H1949">
        <f t="shared" si="123"/>
        <v>-0.81999969482421875</v>
      </c>
    </row>
    <row r="1950" spans="1:8" x14ac:dyDescent="0.2">
      <c r="A1950" t="s">
        <v>12</v>
      </c>
      <c r="B1950" s="2">
        <v>45681</v>
      </c>
      <c r="C1950">
        <v>20.247112274169918</v>
      </c>
      <c r="D1950">
        <f>_xlfn.XLOOKUP(B1950, Oil_Price!A:A, Oil_Price!B:B, "")</f>
        <v>74.660003662109375</v>
      </c>
      <c r="E1950">
        <f t="shared" si="120"/>
        <v>-1.574793220537658E-2</v>
      </c>
      <c r="F1950">
        <f t="shared" si="121"/>
        <v>5.3606156600116174E-4</v>
      </c>
      <c r="G1950">
        <f t="shared" si="122"/>
        <v>-0.32395172119141336</v>
      </c>
      <c r="H1950">
        <f t="shared" si="123"/>
        <v>4.000091552734375E-2</v>
      </c>
    </row>
    <row r="1951" spans="1:8" x14ac:dyDescent="0.2">
      <c r="A1951" t="s">
        <v>12</v>
      </c>
      <c r="B1951" s="2">
        <v>45684</v>
      </c>
      <c r="C1951">
        <v>20.1994743347168</v>
      </c>
      <c r="D1951">
        <f>_xlfn.XLOOKUP(B1951, Oil_Price!A:A, Oil_Price!B:B, "")</f>
        <v>73.169998168945312</v>
      </c>
      <c r="E1951">
        <f t="shared" si="120"/>
        <v>-2.3528263590404243E-3</v>
      </c>
      <c r="F1951">
        <f t="shared" si="121"/>
        <v>-1.995721162709042E-2</v>
      </c>
      <c r="G1951">
        <f t="shared" si="122"/>
        <v>-4.7637939453117895E-2</v>
      </c>
      <c r="H1951">
        <f t="shared" si="123"/>
        <v>-1.4900054931640625</v>
      </c>
    </row>
    <row r="1952" spans="1:8" x14ac:dyDescent="0.2">
      <c r="A1952" t="s">
        <v>12</v>
      </c>
      <c r="B1952" s="2">
        <v>45685</v>
      </c>
      <c r="C1952">
        <v>20.008909225463871</v>
      </c>
      <c r="D1952">
        <f>_xlfn.XLOOKUP(B1952, Oil_Price!A:A, Oil_Price!B:B, "")</f>
        <v>73.769996643066406</v>
      </c>
      <c r="E1952">
        <f t="shared" si="120"/>
        <v>-9.4341618051617202E-3</v>
      </c>
      <c r="F1952">
        <f t="shared" si="121"/>
        <v>8.2000613521368663E-3</v>
      </c>
      <c r="G1952">
        <f t="shared" si="122"/>
        <v>-0.19056510925292969</v>
      </c>
      <c r="H1952">
        <f t="shared" si="123"/>
        <v>0.59999847412109375</v>
      </c>
    </row>
    <row r="1953" spans="1:8" x14ac:dyDescent="0.2">
      <c r="A1953" t="s">
        <v>12</v>
      </c>
      <c r="B1953" s="2">
        <v>45686</v>
      </c>
      <c r="C1953">
        <v>20.5615348815918</v>
      </c>
      <c r="D1953">
        <f>_xlfn.XLOOKUP(B1953, Oil_Price!A:A, Oil_Price!B:B, "")</f>
        <v>72.620002746582031</v>
      </c>
      <c r="E1953">
        <f t="shared" si="120"/>
        <v>2.7618979620570399E-2</v>
      </c>
      <c r="F1953">
        <f t="shared" si="121"/>
        <v>-1.558891078779061E-2</v>
      </c>
      <c r="G1953">
        <f t="shared" si="122"/>
        <v>0.55262565612792969</v>
      </c>
      <c r="H1953">
        <f t="shared" si="123"/>
        <v>-1.149993896484375</v>
      </c>
    </row>
    <row r="1954" spans="1:8" x14ac:dyDescent="0.2">
      <c r="A1954" t="s">
        <v>12</v>
      </c>
      <c r="B1954" s="2">
        <v>45687</v>
      </c>
      <c r="C1954">
        <v>20.5615348815918</v>
      </c>
      <c r="D1954">
        <f>_xlfn.XLOOKUP(B1954, Oil_Price!A:A, Oil_Price!B:B, "")</f>
        <v>72.730003356933594</v>
      </c>
      <c r="E1954">
        <f t="shared" si="120"/>
        <v>0</v>
      </c>
      <c r="F1954">
        <f t="shared" si="121"/>
        <v>1.5147425804351109E-3</v>
      </c>
      <c r="G1954">
        <f t="shared" si="122"/>
        <v>0</v>
      </c>
      <c r="H1954">
        <f t="shared" si="123"/>
        <v>0.1100006103515625</v>
      </c>
    </row>
    <row r="1955" spans="1:8" x14ac:dyDescent="0.2">
      <c r="A1955" t="s">
        <v>12</v>
      </c>
      <c r="B1955" s="2">
        <v>45688</v>
      </c>
      <c r="C1955">
        <v>20.02796745300293</v>
      </c>
      <c r="D1955">
        <f>_xlfn.XLOOKUP(B1955, Oil_Price!A:A, Oil_Price!B:B, "")</f>
        <v>72.529998779296875</v>
      </c>
      <c r="E1955">
        <f t="shared" si="120"/>
        <v>-2.594978593094038E-2</v>
      </c>
      <c r="F1955">
        <f t="shared" si="121"/>
        <v>-2.7499596920842386E-3</v>
      </c>
      <c r="G1955">
        <f t="shared" si="122"/>
        <v>-0.53356742858887074</v>
      </c>
      <c r="H1955">
        <f t="shared" si="123"/>
        <v>-0.20000457763671875</v>
      </c>
    </row>
    <row r="1956" spans="1:8" x14ac:dyDescent="0.2">
      <c r="A1956" t="s">
        <v>12</v>
      </c>
      <c r="B1956" s="2">
        <v>45691</v>
      </c>
      <c r="C1956">
        <v>19.589675903320309</v>
      </c>
      <c r="D1956">
        <f>_xlfn.XLOOKUP(B1956, Oil_Price!A:A, Oil_Price!B:B, "")</f>
        <v>73.160003662109375</v>
      </c>
      <c r="E1956">
        <f t="shared" si="120"/>
        <v>-2.1883975531271631E-2</v>
      </c>
      <c r="F1956">
        <f t="shared" si="121"/>
        <v>8.6861284077717378E-3</v>
      </c>
      <c r="G1956">
        <f t="shared" si="122"/>
        <v>-0.43829154968262074</v>
      </c>
      <c r="H1956">
        <f t="shared" si="123"/>
        <v>0.6300048828125</v>
      </c>
    </row>
    <row r="1957" spans="1:8" x14ac:dyDescent="0.2">
      <c r="A1957" t="s">
        <v>12</v>
      </c>
      <c r="B1957" s="2">
        <v>45692</v>
      </c>
      <c r="C1957">
        <v>20.447198867797852</v>
      </c>
      <c r="D1957">
        <f>_xlfn.XLOOKUP(B1957, Oil_Price!A:A, Oil_Price!B:B, "")</f>
        <v>72.699996948242188</v>
      </c>
      <c r="E1957">
        <f t="shared" si="120"/>
        <v>4.3774229278198455E-2</v>
      </c>
      <c r="F1957">
        <f t="shared" si="121"/>
        <v>-6.2876803012713849E-3</v>
      </c>
      <c r="G1957">
        <f t="shared" si="122"/>
        <v>0.85752296447754262</v>
      </c>
      <c r="H1957">
        <f t="shared" si="123"/>
        <v>-0.4600067138671875</v>
      </c>
    </row>
    <row r="1958" spans="1:8" x14ac:dyDescent="0.2">
      <c r="A1958" t="s">
        <v>12</v>
      </c>
      <c r="B1958" s="2">
        <v>45693</v>
      </c>
      <c r="C1958">
        <v>20.5615348815918</v>
      </c>
      <c r="D1958">
        <f>_xlfn.XLOOKUP(B1958, Oil_Price!A:A, Oil_Price!B:B, "")</f>
        <v>71.029998779296875</v>
      </c>
      <c r="E1958">
        <f t="shared" si="120"/>
        <v>5.591769050283745E-3</v>
      </c>
      <c r="F1958">
        <f t="shared" si="121"/>
        <v>-2.2971089945632954E-2</v>
      </c>
      <c r="G1958">
        <f t="shared" si="122"/>
        <v>0.11433601379394887</v>
      </c>
      <c r="H1958">
        <f t="shared" si="123"/>
        <v>-1.6699981689453125</v>
      </c>
    </row>
    <row r="1959" spans="1:8" x14ac:dyDescent="0.2">
      <c r="A1959" t="s">
        <v>12</v>
      </c>
      <c r="B1959" s="2">
        <v>45694</v>
      </c>
      <c r="C1959">
        <v>20.085136413574219</v>
      </c>
      <c r="D1959">
        <f>_xlfn.XLOOKUP(B1959, Oil_Price!A:A, Oil_Price!B:B, "")</f>
        <v>70.610000610351562</v>
      </c>
      <c r="E1959">
        <f t="shared" si="120"/>
        <v>-2.3169402029616409E-2</v>
      </c>
      <c r="F1959">
        <f t="shared" si="121"/>
        <v>-5.9129688323707168E-3</v>
      </c>
      <c r="G1959">
        <f t="shared" si="122"/>
        <v>-0.47639846801758168</v>
      </c>
      <c r="H1959">
        <f t="shared" si="123"/>
        <v>-0.4199981689453125</v>
      </c>
    </row>
    <row r="1960" spans="1:8" x14ac:dyDescent="0.2">
      <c r="A1960" t="s">
        <v>12</v>
      </c>
      <c r="B1960" s="2">
        <v>45695</v>
      </c>
      <c r="C1960">
        <v>20.15183067321777</v>
      </c>
      <c r="D1960">
        <f>_xlfn.XLOOKUP(B1960, Oil_Price!A:A, Oil_Price!B:B, "")</f>
        <v>71</v>
      </c>
      <c r="E1960">
        <f t="shared" si="120"/>
        <v>3.3205778776029065E-3</v>
      </c>
      <c r="F1960">
        <f t="shared" si="121"/>
        <v>5.5232882917049973E-3</v>
      </c>
      <c r="G1960">
        <f t="shared" si="122"/>
        <v>6.6694259643551135E-2</v>
      </c>
      <c r="H1960">
        <f t="shared" si="123"/>
        <v>0.3899993896484375</v>
      </c>
    </row>
    <row r="1961" spans="1:8" x14ac:dyDescent="0.2">
      <c r="A1961" t="s">
        <v>12</v>
      </c>
      <c r="B1961" s="2">
        <v>45698</v>
      </c>
      <c r="C1961">
        <v>20.723512649536129</v>
      </c>
      <c r="D1961">
        <f>_xlfn.XLOOKUP(B1961, Oil_Price!A:A, Oil_Price!B:B, "")</f>
        <v>72.319999694824219</v>
      </c>
      <c r="E1961">
        <f t="shared" si="120"/>
        <v>2.8368736597124022E-2</v>
      </c>
      <c r="F1961">
        <f t="shared" si="121"/>
        <v>1.8591544997524207E-2</v>
      </c>
      <c r="G1961">
        <f t="shared" si="122"/>
        <v>0.57168197631835938</v>
      </c>
      <c r="H1961">
        <f t="shared" si="123"/>
        <v>1.3199996948242188</v>
      </c>
    </row>
    <row r="1962" spans="1:8" x14ac:dyDescent="0.2">
      <c r="A1962" t="s">
        <v>12</v>
      </c>
      <c r="B1962" s="2">
        <v>45699</v>
      </c>
      <c r="C1962">
        <v>21.095108032226559</v>
      </c>
      <c r="D1962">
        <f>_xlfn.XLOOKUP(B1962, Oil_Price!A:A, Oil_Price!B:B, "")</f>
        <v>73.319999694824219</v>
      </c>
      <c r="E1962">
        <f t="shared" si="120"/>
        <v>1.7931100242252966E-2</v>
      </c>
      <c r="F1962">
        <f t="shared" si="121"/>
        <v>1.382743368666756E-2</v>
      </c>
      <c r="G1962">
        <f t="shared" si="122"/>
        <v>0.37159538269042969</v>
      </c>
      <c r="H1962">
        <f t="shared" si="123"/>
        <v>1</v>
      </c>
    </row>
    <row r="1963" spans="1:8" x14ac:dyDescent="0.2">
      <c r="A1963" t="s">
        <v>12</v>
      </c>
      <c r="B1963" s="2">
        <v>45700</v>
      </c>
      <c r="C1963">
        <v>20.7044563293457</v>
      </c>
      <c r="D1963">
        <f>_xlfn.XLOOKUP(B1963, Oil_Price!A:A, Oil_Price!B:B, "")</f>
        <v>71.370002746582031</v>
      </c>
      <c r="E1963">
        <f t="shared" si="120"/>
        <v>-1.8518592191330278E-2</v>
      </c>
      <c r="F1963">
        <f t="shared" si="121"/>
        <v>-2.6595703169101908E-2</v>
      </c>
      <c r="G1963">
        <f t="shared" si="122"/>
        <v>-0.39065170288085938</v>
      </c>
      <c r="H1963">
        <f t="shared" si="123"/>
        <v>-1.9499969482421875</v>
      </c>
    </row>
    <row r="1964" spans="1:8" x14ac:dyDescent="0.2">
      <c r="A1964" t="s">
        <v>12</v>
      </c>
      <c r="B1964" s="2">
        <v>45701</v>
      </c>
      <c r="C1964">
        <v>20.799739837646481</v>
      </c>
      <c r="D1964">
        <f>_xlfn.XLOOKUP(B1964, Oil_Price!A:A, Oil_Price!B:B, "")</f>
        <v>71.290000915527344</v>
      </c>
      <c r="E1964">
        <f t="shared" si="120"/>
        <v>4.6020772912414064E-3</v>
      </c>
      <c r="F1964">
        <f t="shared" si="121"/>
        <v>-1.120944766371315E-3</v>
      </c>
      <c r="G1964">
        <f t="shared" si="122"/>
        <v>9.528350830078125E-2</v>
      </c>
      <c r="H1964">
        <f t="shared" si="123"/>
        <v>-8.00018310546875E-2</v>
      </c>
    </row>
    <row r="1965" spans="1:8" x14ac:dyDescent="0.2">
      <c r="A1965" t="s">
        <v>12</v>
      </c>
      <c r="B1965" s="2">
        <v>45702</v>
      </c>
      <c r="C1965">
        <v>20.656818389892582</v>
      </c>
      <c r="D1965">
        <f>_xlfn.XLOOKUP(B1965, Oil_Price!A:A, Oil_Price!B:B, "")</f>
        <v>70.739997863769531</v>
      </c>
      <c r="E1965">
        <f t="shared" si="120"/>
        <v>-6.8713093947078384E-3</v>
      </c>
      <c r="F1965">
        <f t="shared" si="121"/>
        <v>-7.7150097446277198E-3</v>
      </c>
      <c r="G1965">
        <f t="shared" si="122"/>
        <v>-0.14292144775389914</v>
      </c>
      <c r="H1965">
        <f t="shared" si="123"/>
        <v>-0.5500030517578125</v>
      </c>
    </row>
    <row r="1966" spans="1:8" x14ac:dyDescent="0.2">
      <c r="A1966" t="s">
        <v>12</v>
      </c>
      <c r="B1966" s="2">
        <v>45706</v>
      </c>
      <c r="C1966">
        <v>20.895017623901371</v>
      </c>
      <c r="D1966">
        <f>_xlfn.XLOOKUP(B1966, Oil_Price!A:A, Oil_Price!B:B, "")</f>
        <v>71.849998474121094</v>
      </c>
      <c r="E1966">
        <f t="shared" si="120"/>
        <v>1.153126437541516E-2</v>
      </c>
      <c r="F1966">
        <f t="shared" si="121"/>
        <v>1.5691272884813933E-2</v>
      </c>
      <c r="G1966">
        <f t="shared" si="122"/>
        <v>0.23819923400878906</v>
      </c>
      <c r="H1966">
        <f t="shared" si="123"/>
        <v>1.1100006103515625</v>
      </c>
    </row>
    <row r="1967" spans="1:8" x14ac:dyDescent="0.2">
      <c r="A1967" t="s">
        <v>12</v>
      </c>
      <c r="B1967" s="2">
        <v>45707</v>
      </c>
      <c r="C1967">
        <v>21.218973159790039</v>
      </c>
      <c r="D1967">
        <f>_xlfn.XLOOKUP(B1967, Oil_Price!A:A, Oil_Price!B:B, "")</f>
        <v>72.25</v>
      </c>
      <c r="E1967">
        <f t="shared" si="120"/>
        <v>1.550396088290935E-2</v>
      </c>
      <c r="F1967">
        <f t="shared" si="121"/>
        <v>5.5671751478600052E-3</v>
      </c>
      <c r="G1967">
        <f t="shared" si="122"/>
        <v>0.32395553588866832</v>
      </c>
      <c r="H1967">
        <f t="shared" si="123"/>
        <v>0.40000152587890625</v>
      </c>
    </row>
    <row r="1968" spans="1:8" x14ac:dyDescent="0.2">
      <c r="A1968" t="s">
        <v>12</v>
      </c>
      <c r="B1968" s="2">
        <v>45708</v>
      </c>
      <c r="C1968">
        <v>20.628231048583981</v>
      </c>
      <c r="D1968">
        <f>_xlfn.XLOOKUP(B1968, Oil_Price!A:A, Oil_Price!B:B, "")</f>
        <v>72.569999694824219</v>
      </c>
      <c r="E1968">
        <f t="shared" si="120"/>
        <v>-2.7840277979403579E-2</v>
      </c>
      <c r="F1968">
        <f t="shared" si="121"/>
        <v>4.4290615200583911E-3</v>
      </c>
      <c r="G1968">
        <f t="shared" si="122"/>
        <v>-0.59074211120605824</v>
      </c>
      <c r="H1968">
        <f t="shared" si="123"/>
        <v>0.31999969482421875</v>
      </c>
    </row>
    <row r="1969" spans="1:8" x14ac:dyDescent="0.2">
      <c r="A1969" t="s">
        <v>12</v>
      </c>
      <c r="B1969" s="2">
        <v>45709</v>
      </c>
      <c r="C1969">
        <v>19.770709991455082</v>
      </c>
      <c r="D1969">
        <f>_xlfn.XLOOKUP(B1969, Oil_Price!A:A, Oil_Price!B:B, "")</f>
        <v>70.400001525878906</v>
      </c>
      <c r="E1969">
        <f t="shared" si="120"/>
        <v>-4.1570266258374268E-2</v>
      </c>
      <c r="F1969">
        <f t="shared" si="121"/>
        <v>-2.9902138322595025E-2</v>
      </c>
      <c r="G1969">
        <f t="shared" si="122"/>
        <v>-0.85752105712889914</v>
      </c>
      <c r="H1969">
        <f t="shared" si="123"/>
        <v>-2.1699981689453125</v>
      </c>
    </row>
    <row r="1970" spans="1:8" x14ac:dyDescent="0.2">
      <c r="A1970" t="s">
        <v>12</v>
      </c>
      <c r="B1970" s="2">
        <v>45712</v>
      </c>
      <c r="C1970">
        <v>19.570619583129879</v>
      </c>
      <c r="D1970">
        <f>_xlfn.XLOOKUP(B1970, Oil_Price!A:A, Oil_Price!B:B, "")</f>
        <v>70.699996948242188</v>
      </c>
      <c r="E1970">
        <f t="shared" si="120"/>
        <v>-1.0120547436671807E-2</v>
      </c>
      <c r="F1970">
        <f t="shared" si="121"/>
        <v>4.2612985207536322E-3</v>
      </c>
      <c r="G1970">
        <f t="shared" si="122"/>
        <v>-0.20009040832520242</v>
      </c>
      <c r="H1970">
        <f t="shared" si="123"/>
        <v>0.29999542236328125</v>
      </c>
    </row>
    <row r="1971" spans="1:8" x14ac:dyDescent="0.2">
      <c r="A1971" t="s">
        <v>12</v>
      </c>
      <c r="B1971" s="2">
        <v>45713</v>
      </c>
      <c r="C1971">
        <v>19.17996978759766</v>
      </c>
      <c r="D1971">
        <f>_xlfn.XLOOKUP(B1971, Oil_Price!A:A, Oil_Price!B:B, "")</f>
        <v>68.930000305175781</v>
      </c>
      <c r="E1971">
        <f t="shared" si="120"/>
        <v>-1.9961033623532517E-2</v>
      </c>
      <c r="F1971">
        <f t="shared" si="121"/>
        <v>-2.5035314278191261E-2</v>
      </c>
      <c r="G1971">
        <f t="shared" si="122"/>
        <v>-0.39064979553221946</v>
      </c>
      <c r="H1971">
        <f t="shared" si="123"/>
        <v>-1.7699966430664062</v>
      </c>
    </row>
    <row r="1972" spans="1:8" x14ac:dyDescent="0.2">
      <c r="A1972" t="s">
        <v>12</v>
      </c>
      <c r="B1972" s="2">
        <v>45714</v>
      </c>
      <c r="C1972">
        <v>19.008466720581051</v>
      </c>
      <c r="D1972">
        <f>_xlfn.XLOOKUP(B1972, Oil_Price!A:A, Oil_Price!B:B, "")</f>
        <v>68.620002746582031</v>
      </c>
      <c r="E1972">
        <f t="shared" si="120"/>
        <v>-8.9417798315567561E-3</v>
      </c>
      <c r="F1972">
        <f t="shared" si="121"/>
        <v>-4.4972806792585064E-3</v>
      </c>
      <c r="G1972">
        <f t="shared" si="122"/>
        <v>-0.17150306701660867</v>
      </c>
      <c r="H1972">
        <f t="shared" si="123"/>
        <v>-0.30999755859375</v>
      </c>
    </row>
    <row r="1973" spans="1:8" x14ac:dyDescent="0.2">
      <c r="A1973" t="s">
        <v>12</v>
      </c>
      <c r="B1973" s="2">
        <v>45715</v>
      </c>
      <c r="C1973">
        <v>18.89412689208984</v>
      </c>
      <c r="D1973">
        <f>_xlfn.XLOOKUP(B1973, Oil_Price!A:A, Oil_Price!B:B, "")</f>
        <v>70.349998474121094</v>
      </c>
      <c r="E1973">
        <f t="shared" si="120"/>
        <v>-6.0152052331191811E-3</v>
      </c>
      <c r="F1973">
        <f t="shared" si="121"/>
        <v>2.5211245384644549E-2</v>
      </c>
      <c r="G1973">
        <f t="shared" si="122"/>
        <v>-0.11433982849121094</v>
      </c>
      <c r="H1973">
        <f t="shared" si="123"/>
        <v>1.7299957275390625</v>
      </c>
    </row>
    <row r="1974" spans="1:8" x14ac:dyDescent="0.2">
      <c r="A1974" t="s">
        <v>12</v>
      </c>
      <c r="B1974" s="2">
        <v>45716</v>
      </c>
      <c r="C1974">
        <v>19.065631866455082</v>
      </c>
      <c r="D1974">
        <f>_xlfn.XLOOKUP(B1974, Oil_Price!A:A, Oil_Price!B:B, "")</f>
        <v>69.760002136230469</v>
      </c>
      <c r="E1974">
        <f t="shared" si="120"/>
        <v>9.0771579626176459E-3</v>
      </c>
      <c r="F1974">
        <f t="shared" si="121"/>
        <v>-8.3865863637176997E-3</v>
      </c>
      <c r="G1974">
        <f t="shared" si="122"/>
        <v>0.17150497436524148</v>
      </c>
      <c r="H1974">
        <f t="shared" si="123"/>
        <v>-0.589996337890625</v>
      </c>
    </row>
    <row r="1975" spans="1:8" x14ac:dyDescent="0.2">
      <c r="A1975" t="s">
        <v>12</v>
      </c>
      <c r="B1975" s="2">
        <v>45719</v>
      </c>
      <c r="C1975">
        <v>17.598312377929691</v>
      </c>
      <c r="D1975">
        <f>_xlfn.XLOOKUP(B1975, Oil_Price!A:A, Oil_Price!B:B, "")</f>
        <v>68.370002746582031</v>
      </c>
      <c r="E1975">
        <f t="shared" si="120"/>
        <v>-7.696149274271144E-2</v>
      </c>
      <c r="F1975">
        <f t="shared" si="121"/>
        <v>-1.9925449356122213E-2</v>
      </c>
      <c r="G1975">
        <f t="shared" si="122"/>
        <v>-1.4673194885253906</v>
      </c>
      <c r="H1975">
        <f t="shared" si="123"/>
        <v>-1.3899993896484375</v>
      </c>
    </row>
    <row r="1976" spans="1:8" x14ac:dyDescent="0.2">
      <c r="A1976" t="s">
        <v>12</v>
      </c>
      <c r="B1976" s="2">
        <v>45720</v>
      </c>
      <c r="C1976">
        <v>16.89323806762695</v>
      </c>
      <c r="D1976">
        <f>_xlfn.XLOOKUP(B1976, Oil_Price!A:A, Oil_Price!B:B, "")</f>
        <v>68.260002136230469</v>
      </c>
      <c r="E1976">
        <f t="shared" si="120"/>
        <v>-4.0064882084204043E-2</v>
      </c>
      <c r="F1976">
        <f t="shared" si="121"/>
        <v>-1.6089016517856097E-3</v>
      </c>
      <c r="G1976">
        <f t="shared" si="122"/>
        <v>-0.70507431030274148</v>
      </c>
      <c r="H1976">
        <f t="shared" si="123"/>
        <v>-0.1100006103515625</v>
      </c>
    </row>
    <row r="1977" spans="1:8" x14ac:dyDescent="0.2">
      <c r="A1977" t="s">
        <v>12</v>
      </c>
      <c r="B1977" s="2">
        <v>45721</v>
      </c>
      <c r="C1977">
        <v>16.874177932739261</v>
      </c>
      <c r="D1977">
        <f>_xlfn.XLOOKUP(B1977, Oil_Price!A:A, Oil_Price!B:B, "")</f>
        <v>66.30999755859375</v>
      </c>
      <c r="E1977">
        <f t="shared" si="120"/>
        <v>-1.1282700694435694E-3</v>
      </c>
      <c r="F1977">
        <f t="shared" si="121"/>
        <v>-2.8567309062560251E-2</v>
      </c>
      <c r="G1977">
        <f t="shared" si="122"/>
        <v>-1.9060134887688207E-2</v>
      </c>
      <c r="H1977">
        <f t="shared" si="123"/>
        <v>-1.9500045776367188</v>
      </c>
    </row>
    <row r="1978" spans="1:8" x14ac:dyDescent="0.2">
      <c r="A1978" t="s">
        <v>12</v>
      </c>
      <c r="B1978" s="2">
        <v>45722</v>
      </c>
      <c r="C1978">
        <v>17.274358749389648</v>
      </c>
      <c r="D1978">
        <f>_xlfn.XLOOKUP(B1978, Oil_Price!A:A, Oil_Price!B:B, "")</f>
        <v>66.360000610351562</v>
      </c>
      <c r="E1978">
        <f t="shared" si="120"/>
        <v>2.3715574070957063E-2</v>
      </c>
      <c r="F1978">
        <f t="shared" si="121"/>
        <v>7.5408013269233072E-4</v>
      </c>
      <c r="G1978">
        <f t="shared" si="122"/>
        <v>0.40018081665038707</v>
      </c>
      <c r="H1978">
        <f t="shared" si="123"/>
        <v>5.00030517578125E-2</v>
      </c>
    </row>
    <row r="1979" spans="1:8" x14ac:dyDescent="0.2">
      <c r="A1979" t="s">
        <v>12</v>
      </c>
      <c r="B1979" s="2">
        <v>45723</v>
      </c>
      <c r="C1979">
        <v>17.445865631103519</v>
      </c>
      <c r="D1979">
        <f>_xlfn.XLOOKUP(B1979, Oil_Price!A:A, Oil_Price!B:B, "")</f>
        <v>67.040000915527344</v>
      </c>
      <c r="E1979">
        <f t="shared" si="120"/>
        <v>9.9284080064581601E-3</v>
      </c>
      <c r="F1979">
        <f t="shared" si="121"/>
        <v>1.0247141333957542E-2</v>
      </c>
      <c r="G1979">
        <f t="shared" si="122"/>
        <v>0.17150688171387074</v>
      </c>
      <c r="H1979">
        <f t="shared" si="123"/>
        <v>0.68000030517578125</v>
      </c>
    </row>
    <row r="1980" spans="1:8" x14ac:dyDescent="0.2">
      <c r="A1980" t="s">
        <v>12</v>
      </c>
      <c r="B1980" s="2">
        <v>45726</v>
      </c>
      <c r="C1980">
        <v>17.179079055786129</v>
      </c>
      <c r="D1980">
        <f>_xlfn.XLOOKUP(B1980, Oil_Price!A:A, Oil_Price!B:B, "")</f>
        <v>66.029998779296875</v>
      </c>
      <c r="E1980">
        <f t="shared" si="120"/>
        <v>-1.5292252099073093E-2</v>
      </c>
      <c r="F1980">
        <f t="shared" si="121"/>
        <v>-1.50656641175036E-2</v>
      </c>
      <c r="G1980">
        <f t="shared" si="122"/>
        <v>-0.26678657531738992</v>
      </c>
      <c r="H1980">
        <f t="shared" si="123"/>
        <v>-1.0100021362304688</v>
      </c>
    </row>
    <row r="1981" spans="1:8" x14ac:dyDescent="0.2">
      <c r="A1981" t="s">
        <v>12</v>
      </c>
      <c r="B1981" s="2">
        <v>45727</v>
      </c>
      <c r="C1981">
        <v>17.817459106445309</v>
      </c>
      <c r="D1981">
        <f>_xlfn.XLOOKUP(B1981, Oil_Price!A:A, Oil_Price!B:B, "")</f>
        <v>66.25</v>
      </c>
      <c r="E1981">
        <f t="shared" si="120"/>
        <v>3.7160318582046763E-2</v>
      </c>
      <c r="F1981">
        <f t="shared" si="121"/>
        <v>3.3318374189051847E-3</v>
      </c>
      <c r="G1981">
        <f t="shared" si="122"/>
        <v>0.63838005065917969</v>
      </c>
      <c r="H1981">
        <f t="shared" si="123"/>
        <v>0.220001220703125</v>
      </c>
    </row>
    <row r="1982" spans="1:8" x14ac:dyDescent="0.2">
      <c r="A1982" t="s">
        <v>12</v>
      </c>
      <c r="B1982" s="2">
        <v>45728</v>
      </c>
      <c r="C1982">
        <v>18.122358322143551</v>
      </c>
      <c r="D1982">
        <f>_xlfn.XLOOKUP(B1982, Oil_Price!A:A, Oil_Price!B:B, "")</f>
        <v>67.680000305175781</v>
      </c>
      <c r="E1982">
        <f t="shared" si="120"/>
        <v>1.7112384761301211E-2</v>
      </c>
      <c r="F1982">
        <f t="shared" si="121"/>
        <v>2.1584910266804244E-2</v>
      </c>
      <c r="G1982">
        <f t="shared" si="122"/>
        <v>0.30489921569824219</v>
      </c>
      <c r="H1982">
        <f t="shared" si="123"/>
        <v>1.4300003051757812</v>
      </c>
    </row>
    <row r="1983" spans="1:8" x14ac:dyDescent="0.2">
      <c r="A1983" t="s">
        <v>12</v>
      </c>
      <c r="B1983" s="2">
        <v>45729</v>
      </c>
      <c r="C1983">
        <v>17.960380554199219</v>
      </c>
      <c r="D1983">
        <f>_xlfn.XLOOKUP(B1983, Oil_Price!A:A, Oil_Price!B:B, "")</f>
        <v>66.550003051757812</v>
      </c>
      <c r="E1983">
        <f t="shared" si="120"/>
        <v>-8.9380071326816864E-3</v>
      </c>
      <c r="F1983">
        <f t="shared" si="121"/>
        <v>-1.6696176836919326E-2</v>
      </c>
      <c r="G1983">
        <f t="shared" si="122"/>
        <v>-0.16197776794433238</v>
      </c>
      <c r="H1983">
        <f t="shared" si="123"/>
        <v>-1.1299972534179688</v>
      </c>
    </row>
    <row r="1984" spans="1:8" x14ac:dyDescent="0.2">
      <c r="A1984" t="s">
        <v>12</v>
      </c>
      <c r="B1984" s="2">
        <v>45730</v>
      </c>
      <c r="C1984">
        <v>18.643392562866211</v>
      </c>
      <c r="D1984">
        <f>_xlfn.XLOOKUP(B1984, Oil_Price!A:A, Oil_Price!B:B, "")</f>
        <v>67.180000305175781</v>
      </c>
      <c r="E1984">
        <f t="shared" si="120"/>
        <v>3.8028816071344375E-2</v>
      </c>
      <c r="F1984">
        <f t="shared" si="121"/>
        <v>9.4665247863024455E-3</v>
      </c>
      <c r="G1984">
        <f t="shared" si="122"/>
        <v>0.68301200866699219</v>
      </c>
      <c r="H1984">
        <f t="shared" si="123"/>
        <v>0.62999725341796875</v>
      </c>
    </row>
    <row r="1985" spans="1:8" x14ac:dyDescent="0.2">
      <c r="A1985" t="s">
        <v>12</v>
      </c>
      <c r="B1985" s="2">
        <v>45733</v>
      </c>
      <c r="C1985">
        <v>18.710733413696289</v>
      </c>
      <c r="D1985">
        <f>_xlfn.XLOOKUP(B1985, Oil_Price!A:A, Oil_Price!B:B, "")</f>
        <v>67.580001831054688</v>
      </c>
      <c r="E1985">
        <f t="shared" si="120"/>
        <v>3.612049180587829E-3</v>
      </c>
      <c r="F1985">
        <f t="shared" si="121"/>
        <v>5.9541757079761238E-3</v>
      </c>
      <c r="G1985">
        <f t="shared" si="122"/>
        <v>6.7340850830078125E-2</v>
      </c>
      <c r="H1985">
        <f t="shared" si="123"/>
        <v>0.40000152587890625</v>
      </c>
    </row>
    <row r="1986" spans="1:8" x14ac:dyDescent="0.2">
      <c r="A1986" t="s">
        <v>12</v>
      </c>
      <c r="B1986" s="2">
        <v>45734</v>
      </c>
      <c r="C1986">
        <v>18.710733413696289</v>
      </c>
      <c r="D1986">
        <f>_xlfn.XLOOKUP(B1986, Oil_Price!A:A, Oil_Price!B:B, "")</f>
        <v>66.900001525878906</v>
      </c>
      <c r="E1986">
        <f t="shared" si="120"/>
        <v>0</v>
      </c>
      <c r="F1986">
        <f t="shared" si="121"/>
        <v>-1.0062152807804516E-2</v>
      </c>
      <c r="G1986">
        <f t="shared" si="122"/>
        <v>0</v>
      </c>
      <c r="H1986">
        <f t="shared" si="123"/>
        <v>-0.68000030517578125</v>
      </c>
    </row>
    <row r="1987" spans="1:8" x14ac:dyDescent="0.2">
      <c r="A1987" t="s">
        <v>12</v>
      </c>
      <c r="B1987" s="2">
        <v>45735</v>
      </c>
      <c r="C1987">
        <v>19.124387741088871</v>
      </c>
      <c r="D1987">
        <f>_xlfn.XLOOKUP(B1987, Oil_Price!A:A, Oil_Price!B:B, "")</f>
        <v>67.160003662109375</v>
      </c>
      <c r="E1987">
        <f t="shared" ref="E1987:E2050" si="124">IFERROR(IF(AND(A1987=A1986, C1987&lt;&gt;"", C1986&lt;&gt;""), (C1987-C1986)/C1986, ""), "")</f>
        <v>2.2107862810432966E-2</v>
      </c>
      <c r="F1987">
        <f t="shared" ref="F1987:F2050" si="125">IFERROR(IF(AND(A1987=A1986, D1987&lt;&gt;"", D1986&lt;&gt;""), (D1987-D1986)/D1986, ""), "")</f>
        <v>3.8864294514237372E-3</v>
      </c>
      <c r="G1987">
        <f t="shared" ref="G1987:G2050" si="126">IFERROR(IF(AND(A1987=A1986, C1987&lt;&gt;"", C1986&lt;&gt;""), C1987-C1986, ""), "")</f>
        <v>0.41365432739258168</v>
      </c>
      <c r="H1987">
        <f t="shared" ref="H1987:H2050" si="127">IFERROR(IF(AND(A1987=A1986, D1987&lt;&gt;"", D1986&lt;&gt;""), D1987-D1986, ""), "")</f>
        <v>0.26000213623046875</v>
      </c>
    </row>
    <row r="1988" spans="1:8" x14ac:dyDescent="0.2">
      <c r="A1988" t="s">
        <v>12</v>
      </c>
      <c r="B1988" s="2">
        <v>45736</v>
      </c>
      <c r="C1988">
        <v>19.336025238037109</v>
      </c>
      <c r="D1988">
        <f>_xlfn.XLOOKUP(B1988, Oil_Price!A:A, Oil_Price!B:B, "")</f>
        <v>68.260002136230469</v>
      </c>
      <c r="E1988">
        <f t="shared" si="124"/>
        <v>1.1066367185890824E-2</v>
      </c>
      <c r="F1988">
        <f t="shared" si="125"/>
        <v>1.6378773289759299E-2</v>
      </c>
      <c r="G1988">
        <f t="shared" si="126"/>
        <v>0.21163749694823863</v>
      </c>
      <c r="H1988">
        <f t="shared" si="127"/>
        <v>1.0999984741210938</v>
      </c>
    </row>
    <row r="1989" spans="1:8" x14ac:dyDescent="0.2">
      <c r="A1989" t="s">
        <v>12</v>
      </c>
      <c r="B1989" s="2">
        <v>45737</v>
      </c>
      <c r="C1989">
        <v>19.547664642333981</v>
      </c>
      <c r="D1989">
        <f>_xlfn.XLOOKUP(B1989, Oil_Price!A:A, Oil_Price!B:B, "")</f>
        <v>68.279998779296875</v>
      </c>
      <c r="E1989">
        <f t="shared" si="124"/>
        <v>1.0945341748962051E-2</v>
      </c>
      <c r="F1989">
        <f t="shared" si="125"/>
        <v>2.9294817522123397E-4</v>
      </c>
      <c r="G1989">
        <f t="shared" si="126"/>
        <v>0.21163940429687145</v>
      </c>
      <c r="H1989">
        <f t="shared" si="127"/>
        <v>1.999664306640625E-2</v>
      </c>
    </row>
    <row r="1990" spans="1:8" x14ac:dyDescent="0.2">
      <c r="A1990" t="s">
        <v>12</v>
      </c>
      <c r="B1990" s="2">
        <v>45740</v>
      </c>
      <c r="C1990">
        <v>19.701581954956051</v>
      </c>
      <c r="D1990">
        <f>_xlfn.XLOOKUP(B1990, Oil_Price!A:A, Oil_Price!B:B, "")</f>
        <v>69.110000610351562</v>
      </c>
      <c r="E1990">
        <f t="shared" si="124"/>
        <v>7.8739489058316826E-3</v>
      </c>
      <c r="F1990">
        <f t="shared" si="125"/>
        <v>1.2155855973833903E-2</v>
      </c>
      <c r="G1990">
        <f t="shared" si="126"/>
        <v>0.15391731262207031</v>
      </c>
      <c r="H1990">
        <f t="shared" si="127"/>
        <v>0.8300018310546875</v>
      </c>
    </row>
    <row r="1991" spans="1:8" x14ac:dyDescent="0.2">
      <c r="A1991" t="s">
        <v>12</v>
      </c>
      <c r="B1991" s="2">
        <v>45741</v>
      </c>
      <c r="C1991">
        <v>19.73044395446777</v>
      </c>
      <c r="D1991">
        <f>_xlfn.XLOOKUP(B1991, Oil_Price!A:A, Oil_Price!B:B, "")</f>
        <v>69</v>
      </c>
      <c r="E1991">
        <f t="shared" si="124"/>
        <v>1.4649584778372755E-3</v>
      </c>
      <c r="F1991">
        <f t="shared" si="125"/>
        <v>-1.5916742783979399E-3</v>
      </c>
      <c r="G1991">
        <f t="shared" si="126"/>
        <v>2.886199951171875E-2</v>
      </c>
      <c r="H1991">
        <f t="shared" si="127"/>
        <v>-0.1100006103515625</v>
      </c>
    </row>
    <row r="1992" spans="1:8" x14ac:dyDescent="0.2">
      <c r="A1992" t="s">
        <v>12</v>
      </c>
      <c r="B1992" s="2">
        <v>45742</v>
      </c>
      <c r="C1992">
        <v>19.547664642333981</v>
      </c>
      <c r="D1992">
        <f>_xlfn.XLOOKUP(B1992, Oil_Price!A:A, Oil_Price!B:B, "")</f>
        <v>69.650001525878906</v>
      </c>
      <c r="E1992">
        <f t="shared" si="124"/>
        <v>-9.26382156202828E-3</v>
      </c>
      <c r="F1992">
        <f t="shared" si="125"/>
        <v>9.4203119692595101E-3</v>
      </c>
      <c r="G1992">
        <f t="shared" si="126"/>
        <v>-0.18277931213378906</v>
      </c>
      <c r="H1992">
        <f t="shared" si="127"/>
        <v>0.65000152587890625</v>
      </c>
    </row>
    <row r="1993" spans="1:8" x14ac:dyDescent="0.2">
      <c r="A1993" t="s">
        <v>12</v>
      </c>
      <c r="B1993" s="2">
        <v>45743</v>
      </c>
      <c r="C1993">
        <v>19.393747329711911</v>
      </c>
      <c r="D1993">
        <f>_xlfn.XLOOKUP(B1993, Oil_Price!A:A, Oil_Price!B:B, "")</f>
        <v>69.919998168945312</v>
      </c>
      <c r="E1993">
        <f t="shared" si="124"/>
        <v>-7.8739489058316826E-3</v>
      </c>
      <c r="F1993">
        <f t="shared" si="125"/>
        <v>3.8764772024604661E-3</v>
      </c>
      <c r="G1993">
        <f t="shared" si="126"/>
        <v>-0.15391731262207031</v>
      </c>
      <c r="H1993">
        <f t="shared" si="127"/>
        <v>0.26999664306640625</v>
      </c>
    </row>
    <row r="1994" spans="1:8" x14ac:dyDescent="0.2">
      <c r="A1994" t="s">
        <v>12</v>
      </c>
      <c r="B1994" s="2">
        <v>45744</v>
      </c>
      <c r="C1994">
        <v>18.98008918762207</v>
      </c>
      <c r="D1994">
        <f>_xlfn.XLOOKUP(B1994, Oil_Price!A:A, Oil_Price!B:B, "")</f>
        <v>69.360000610351562</v>
      </c>
      <c r="E1994">
        <f t="shared" si="124"/>
        <v>-2.1329459183790707E-2</v>
      </c>
      <c r="F1994">
        <f t="shared" si="125"/>
        <v>-8.0091186106819815E-3</v>
      </c>
      <c r="G1994">
        <f t="shared" si="126"/>
        <v>-0.4136581420898402</v>
      </c>
      <c r="H1994">
        <f t="shared" si="127"/>
        <v>-0.55999755859375</v>
      </c>
    </row>
    <row r="1995" spans="1:8" x14ac:dyDescent="0.2">
      <c r="A1995" t="s">
        <v>12</v>
      </c>
      <c r="B1995" s="2">
        <v>45747</v>
      </c>
      <c r="C1995">
        <v>19.239826202392582</v>
      </c>
      <c r="D1995">
        <f>_xlfn.XLOOKUP(B1995, Oil_Price!A:A, Oil_Price!B:B, "")</f>
        <v>71.480003356933594</v>
      </c>
      <c r="E1995">
        <f t="shared" si="124"/>
        <v>1.3684709919060851E-2</v>
      </c>
      <c r="F1995">
        <f t="shared" si="125"/>
        <v>3.0565206573334915E-2</v>
      </c>
      <c r="G1995">
        <f t="shared" si="126"/>
        <v>0.25973701477051137</v>
      </c>
      <c r="H1995">
        <f t="shared" si="127"/>
        <v>2.1200027465820312</v>
      </c>
    </row>
    <row r="1996" spans="1:8" x14ac:dyDescent="0.2">
      <c r="A1996" t="s">
        <v>12</v>
      </c>
      <c r="B1996" s="2">
        <v>45748</v>
      </c>
      <c r="C1996">
        <v>19.268686294555661</v>
      </c>
      <c r="D1996">
        <f>_xlfn.XLOOKUP(B1996, Oil_Price!A:A, Oil_Price!B:B, "")</f>
        <v>71.199996948242188</v>
      </c>
      <c r="E1996">
        <f t="shared" si="124"/>
        <v>1.5000183400559989E-3</v>
      </c>
      <c r="F1996">
        <f t="shared" si="125"/>
        <v>-3.9172691038247623E-3</v>
      </c>
      <c r="G1996">
        <f t="shared" si="126"/>
        <v>2.8860092163078832E-2</v>
      </c>
      <c r="H1996">
        <f t="shared" si="127"/>
        <v>-0.28000640869140625</v>
      </c>
    </row>
    <row r="1997" spans="1:8" x14ac:dyDescent="0.2">
      <c r="A1997" t="s">
        <v>12</v>
      </c>
      <c r="B1997" s="2">
        <v>45749</v>
      </c>
      <c r="C1997">
        <v>19.345645904541019</v>
      </c>
      <c r="D1997">
        <f>_xlfn.XLOOKUP(B1997, Oil_Price!A:A, Oil_Price!B:B, "")</f>
        <v>71.709999084472656</v>
      </c>
      <c r="E1997">
        <f t="shared" si="124"/>
        <v>3.9940247512931636E-3</v>
      </c>
      <c r="F1997">
        <f t="shared" si="125"/>
        <v>7.1629516585682926E-3</v>
      </c>
      <c r="G1997">
        <f t="shared" si="126"/>
        <v>7.6959609985358668E-2</v>
      </c>
      <c r="H1997">
        <f t="shared" si="127"/>
        <v>0.51000213623046875</v>
      </c>
    </row>
    <row r="1998" spans="1:8" x14ac:dyDescent="0.2">
      <c r="A1998" t="s">
        <v>12</v>
      </c>
      <c r="B1998" s="2">
        <v>45750</v>
      </c>
      <c r="C1998">
        <v>17.46976470947266</v>
      </c>
      <c r="D1998">
        <f>_xlfn.XLOOKUP(B1998, Oil_Price!A:A, Oil_Price!B:B, "")</f>
        <v>66.949996948242188</v>
      </c>
      <c r="E1998">
        <f t="shared" si="124"/>
        <v>-9.6966583815536092E-2</v>
      </c>
      <c r="F1998">
        <f t="shared" si="125"/>
        <v>-6.6378499470112956E-2</v>
      </c>
      <c r="G1998">
        <f t="shared" si="126"/>
        <v>-1.8758811950683594</v>
      </c>
      <c r="H1998">
        <f t="shared" si="127"/>
        <v>-4.7600021362304688</v>
      </c>
    </row>
    <row r="1999" spans="1:8" x14ac:dyDescent="0.2">
      <c r="A1999" t="s">
        <v>12</v>
      </c>
      <c r="B1999" s="2">
        <v>45751</v>
      </c>
      <c r="C1999">
        <v>15.391861915588381</v>
      </c>
      <c r="D1999">
        <f>_xlfn.XLOOKUP(B1999, Oil_Price!A:A, Oil_Price!B:B, "")</f>
        <v>61.990001678466797</v>
      </c>
      <c r="E1999">
        <f t="shared" si="124"/>
        <v>-0.11894280366338159</v>
      </c>
      <c r="F1999">
        <f t="shared" si="125"/>
        <v>-7.4085070886707766E-2</v>
      </c>
      <c r="G1999">
        <f t="shared" si="126"/>
        <v>-2.0779027938842791</v>
      </c>
      <c r="H1999">
        <f t="shared" si="127"/>
        <v>-4.9599952697753906</v>
      </c>
    </row>
    <row r="2000" spans="1:8" x14ac:dyDescent="0.2">
      <c r="A2000" t="s">
        <v>12</v>
      </c>
      <c r="B2000" s="2">
        <v>45754</v>
      </c>
      <c r="C2000">
        <v>15.33414268493652</v>
      </c>
      <c r="D2000">
        <f>_xlfn.XLOOKUP(B2000, Oil_Price!A:A, Oil_Price!B:B, "")</f>
        <v>60.700000762939453</v>
      </c>
      <c r="E2000">
        <f t="shared" si="124"/>
        <v>-3.749983658143699E-3</v>
      </c>
      <c r="F2000">
        <f t="shared" si="125"/>
        <v>-2.0809822239050622E-2</v>
      </c>
      <c r="G2000">
        <f t="shared" si="126"/>
        <v>-5.7719230651860798E-2</v>
      </c>
      <c r="H2000">
        <f t="shared" si="127"/>
        <v>-1.2900009155273438</v>
      </c>
    </row>
    <row r="2001" spans="1:8" x14ac:dyDescent="0.2">
      <c r="A2001" t="s">
        <v>12</v>
      </c>
      <c r="B2001" s="2">
        <v>45755</v>
      </c>
      <c r="C2001">
        <v>14.56455039978027</v>
      </c>
      <c r="D2001">
        <f>_xlfn.XLOOKUP(B2001, Oil_Price!A:A, Oil_Price!B:B, "")</f>
        <v>59.580001831054688</v>
      </c>
      <c r="E2001">
        <f t="shared" si="124"/>
        <v>-5.0188152084449968E-2</v>
      </c>
      <c r="F2001">
        <f t="shared" si="125"/>
        <v>-1.8451382500946918E-2</v>
      </c>
      <c r="G2001">
        <f t="shared" si="126"/>
        <v>-0.76959228515625</v>
      </c>
      <c r="H2001">
        <f t="shared" si="127"/>
        <v>-1.1199989318847656</v>
      </c>
    </row>
    <row r="2002" spans="1:8" x14ac:dyDescent="0.2">
      <c r="A2002" t="s">
        <v>12</v>
      </c>
      <c r="B2002" s="2">
        <v>45756</v>
      </c>
      <c r="C2002">
        <v>16.27689170837402</v>
      </c>
      <c r="D2002">
        <f>_xlfn.XLOOKUP(B2002, Oil_Price!A:A, Oil_Price!B:B, "")</f>
        <v>62.349998474121087</v>
      </c>
      <c r="E2002">
        <f t="shared" si="124"/>
        <v>0.11756911552996401</v>
      </c>
      <c r="F2002">
        <f t="shared" si="125"/>
        <v>4.6492053674671137E-2</v>
      </c>
      <c r="G2002">
        <f t="shared" si="126"/>
        <v>1.71234130859375</v>
      </c>
      <c r="H2002">
        <f t="shared" si="127"/>
        <v>2.7699966430663991</v>
      </c>
    </row>
    <row r="2003" spans="1:8" x14ac:dyDescent="0.2">
      <c r="A2003" t="s">
        <v>12</v>
      </c>
      <c r="B2003" s="2">
        <v>45757</v>
      </c>
      <c r="C2003">
        <v>14.91086578369141</v>
      </c>
      <c r="D2003">
        <f>_xlfn.XLOOKUP(B2003, Oil_Price!A:A, Oil_Price!B:B, "")</f>
        <v>60.069999694824219</v>
      </c>
      <c r="E2003">
        <f t="shared" si="124"/>
        <v>-8.3924249737425405E-2</v>
      </c>
      <c r="F2003">
        <f t="shared" si="125"/>
        <v>-3.6567743946989854E-2</v>
      </c>
      <c r="G2003">
        <f t="shared" si="126"/>
        <v>-1.3660259246826101</v>
      </c>
      <c r="H2003">
        <f t="shared" si="127"/>
        <v>-2.2799987792968679</v>
      </c>
    </row>
    <row r="2004" spans="1:8" x14ac:dyDescent="0.2">
      <c r="A2004" t="s">
        <v>12</v>
      </c>
      <c r="B2004" s="2">
        <v>45758</v>
      </c>
      <c r="C2004">
        <v>15.209084510803221</v>
      </c>
      <c r="D2004">
        <f>_xlfn.XLOOKUP(B2004, Oil_Price!A:A, Oil_Price!B:B, "")</f>
        <v>61.5</v>
      </c>
      <c r="E2004">
        <f t="shared" si="124"/>
        <v>2.000009465835206E-2</v>
      </c>
      <c r="F2004">
        <f t="shared" si="125"/>
        <v>2.3805565381066478E-2</v>
      </c>
      <c r="G2004">
        <f t="shared" si="126"/>
        <v>0.29821872711181108</v>
      </c>
      <c r="H2004">
        <f t="shared" si="127"/>
        <v>1.4300003051757812</v>
      </c>
    </row>
    <row r="2005" spans="1:8" x14ac:dyDescent="0.2">
      <c r="A2005" t="s">
        <v>12</v>
      </c>
      <c r="B2005" s="2">
        <v>45761</v>
      </c>
      <c r="C2005">
        <v>15.42072200775146</v>
      </c>
      <c r="D2005">
        <f>_xlfn.XLOOKUP(B2005, Oil_Price!A:A, Oil_Price!B:B, "")</f>
        <v>61.529998779296882</v>
      </c>
      <c r="E2005">
        <f t="shared" si="124"/>
        <v>1.3915202903758582E-2</v>
      </c>
      <c r="F2005">
        <f t="shared" si="125"/>
        <v>4.8778502921759521E-4</v>
      </c>
      <c r="G2005">
        <f t="shared" si="126"/>
        <v>0.21163749694823863</v>
      </c>
      <c r="H2005">
        <f t="shared" si="127"/>
        <v>2.9998779296882105E-2</v>
      </c>
    </row>
    <row r="2006" spans="1:8" x14ac:dyDescent="0.2">
      <c r="A2006" t="s">
        <v>12</v>
      </c>
      <c r="B2006" s="2">
        <v>45762</v>
      </c>
      <c r="C2006">
        <v>15.209084510803221</v>
      </c>
      <c r="D2006">
        <f>_xlfn.XLOOKUP(B2006, Oil_Price!A:A, Oil_Price!B:B, "")</f>
        <v>61.330001831054688</v>
      </c>
      <c r="E2006">
        <f t="shared" si="124"/>
        <v>-1.3724227493489335E-2</v>
      </c>
      <c r="F2006">
        <f t="shared" si="125"/>
        <v>-3.250397403054849E-3</v>
      </c>
      <c r="G2006">
        <f t="shared" si="126"/>
        <v>-0.21163749694823863</v>
      </c>
      <c r="H2006">
        <f t="shared" si="127"/>
        <v>-0.19999694824219461</v>
      </c>
    </row>
    <row r="2007" spans="1:8" x14ac:dyDescent="0.2">
      <c r="A2007" t="s">
        <v>12</v>
      </c>
      <c r="B2007" s="2">
        <v>45763</v>
      </c>
      <c r="C2007">
        <v>15.545780181884769</v>
      </c>
      <c r="D2007">
        <f>_xlfn.XLOOKUP(B2007, Oil_Price!A:A, Oil_Price!B:B, "")</f>
        <v>62.470001220703118</v>
      </c>
      <c r="E2007">
        <f t="shared" si="124"/>
        <v>2.2137799999887485E-2</v>
      </c>
      <c r="F2007">
        <f t="shared" si="125"/>
        <v>1.8587956230439687E-2</v>
      </c>
      <c r="G2007">
        <f t="shared" si="126"/>
        <v>0.3366956710815483</v>
      </c>
      <c r="H2007">
        <f t="shared" si="127"/>
        <v>1.1399993896484304</v>
      </c>
    </row>
    <row r="2008" spans="1:8" x14ac:dyDescent="0.2">
      <c r="A2008" t="s">
        <v>12</v>
      </c>
      <c r="B2008" s="2">
        <v>45764</v>
      </c>
      <c r="C2008">
        <v>16.11335563659668</v>
      </c>
      <c r="D2008">
        <f>_xlfn.XLOOKUP(B2008, Oil_Price!A:A, Oil_Price!B:B, "")</f>
        <v>64.680000305175781</v>
      </c>
      <c r="E2008">
        <f t="shared" si="124"/>
        <v>3.6509936977836367E-2</v>
      </c>
      <c r="F2008">
        <f t="shared" si="125"/>
        <v>3.5376965604096228E-2</v>
      </c>
      <c r="G2008">
        <f t="shared" si="126"/>
        <v>0.56757545471191051</v>
      </c>
      <c r="H2008">
        <f t="shared" si="127"/>
        <v>2.2099990844726634</v>
      </c>
    </row>
    <row r="2009" spans="1:8" x14ac:dyDescent="0.2">
      <c r="A2009" t="s">
        <v>12</v>
      </c>
      <c r="B2009" s="2">
        <v>45768</v>
      </c>
      <c r="C2009">
        <v>15.7766580581665</v>
      </c>
      <c r="D2009">
        <f>_xlfn.XLOOKUP(B2009, Oil_Price!A:A, Oil_Price!B:B, "")</f>
        <v>63.080001831054688</v>
      </c>
      <c r="E2009">
        <f t="shared" si="124"/>
        <v>-2.0895559312640703E-2</v>
      </c>
      <c r="F2009">
        <f t="shared" si="125"/>
        <v>-2.4737143886393267E-2</v>
      </c>
      <c r="G2009">
        <f t="shared" si="126"/>
        <v>-0.33669757843017933</v>
      </c>
      <c r="H2009">
        <f t="shared" si="127"/>
        <v>-1.5999984741210938</v>
      </c>
    </row>
    <row r="2010" spans="1:8" x14ac:dyDescent="0.2">
      <c r="A2010" t="s">
        <v>12</v>
      </c>
      <c r="B2010" s="2">
        <v>45769</v>
      </c>
      <c r="C2010">
        <v>16.142217636108398</v>
      </c>
      <c r="D2010">
        <f>_xlfn.XLOOKUP(B2010, Oil_Price!A:A, Oil_Price!B:B, "")</f>
        <v>64.30999755859375</v>
      </c>
      <c r="E2010">
        <f t="shared" si="124"/>
        <v>2.3170913421215515E-2</v>
      </c>
      <c r="F2010">
        <f t="shared" si="125"/>
        <v>1.9498980530046967E-2</v>
      </c>
      <c r="G2010">
        <f t="shared" si="126"/>
        <v>0.36555957794189808</v>
      </c>
      <c r="H2010">
        <f t="shared" si="127"/>
        <v>1.2299957275390625</v>
      </c>
    </row>
    <row r="2011" spans="1:8" x14ac:dyDescent="0.2">
      <c r="A2011" t="s">
        <v>12</v>
      </c>
      <c r="B2011" s="2">
        <v>45770</v>
      </c>
      <c r="C2011">
        <v>15.997915267944339</v>
      </c>
      <c r="D2011">
        <f>_xlfn.XLOOKUP(B2011, Oil_Price!A:A, Oil_Price!B:B, "")</f>
        <v>62.270000457763672</v>
      </c>
      <c r="E2011">
        <f t="shared" si="124"/>
        <v>-8.9394388935303496E-3</v>
      </c>
      <c r="F2011">
        <f t="shared" si="125"/>
        <v>-3.1721305835401531E-2</v>
      </c>
      <c r="G2011">
        <f t="shared" si="126"/>
        <v>-0.14430236816405895</v>
      </c>
      <c r="H2011">
        <f t="shared" si="127"/>
        <v>-2.0399971008300781</v>
      </c>
    </row>
    <row r="2012" spans="1:8" x14ac:dyDescent="0.2">
      <c r="A2012" t="s">
        <v>12</v>
      </c>
      <c r="B2012" s="2">
        <v>45771</v>
      </c>
      <c r="C2012">
        <v>16.161453247070309</v>
      </c>
      <c r="D2012">
        <f>_xlfn.XLOOKUP(B2012, Oil_Price!A:A, Oil_Price!B:B, "")</f>
        <v>62.790000915527337</v>
      </c>
      <c r="E2012">
        <f t="shared" si="124"/>
        <v>1.0222455637932839E-2</v>
      </c>
      <c r="F2012">
        <f t="shared" si="125"/>
        <v>8.3507379788180548E-3</v>
      </c>
      <c r="G2012">
        <f t="shared" si="126"/>
        <v>0.16353797912596946</v>
      </c>
      <c r="H2012">
        <f t="shared" si="127"/>
        <v>0.52000045776366477</v>
      </c>
    </row>
    <row r="2013" spans="1:8" x14ac:dyDescent="0.2">
      <c r="A2013" t="s">
        <v>12</v>
      </c>
      <c r="B2013" s="2">
        <v>45772</v>
      </c>
      <c r="C2013">
        <v>16.10373497009277</v>
      </c>
      <c r="D2013">
        <f>_xlfn.XLOOKUP(B2013, Oil_Price!A:A, Oil_Price!B:B, "")</f>
        <v>63.020000457763672</v>
      </c>
      <c r="E2013">
        <f t="shared" si="124"/>
        <v>-3.5713543884428852E-3</v>
      </c>
      <c r="F2013">
        <f t="shared" si="125"/>
        <v>3.6629963192030893E-3</v>
      </c>
      <c r="G2013">
        <f t="shared" si="126"/>
        <v>-5.7718276977539062E-2</v>
      </c>
      <c r="H2013">
        <f t="shared" si="127"/>
        <v>0.22999954223633523</v>
      </c>
    </row>
    <row r="2014" spans="1:8" x14ac:dyDescent="0.2">
      <c r="A2014" t="s">
        <v>12</v>
      </c>
      <c r="B2014" s="2">
        <v>45775</v>
      </c>
      <c r="C2014">
        <v>16.180696487426761</v>
      </c>
      <c r="D2014">
        <f>_xlfn.XLOOKUP(B2014, Oil_Price!A:A, Oil_Price!B:B, "")</f>
        <v>62.049999237060547</v>
      </c>
      <c r="E2014">
        <f t="shared" si="124"/>
        <v>4.7791097827256483E-3</v>
      </c>
      <c r="F2014">
        <f t="shared" si="125"/>
        <v>-1.5391958325249852E-2</v>
      </c>
      <c r="G2014">
        <f t="shared" si="126"/>
        <v>7.696151733399148E-2</v>
      </c>
      <c r="H2014">
        <f t="shared" si="127"/>
        <v>-0.970001220703125</v>
      </c>
    </row>
    <row r="2015" spans="1:8" x14ac:dyDescent="0.2">
      <c r="A2015" t="s">
        <v>12</v>
      </c>
      <c r="B2015" s="2">
        <v>45776</v>
      </c>
      <c r="C2015">
        <v>16.122976303100589</v>
      </c>
      <c r="D2015">
        <f>_xlfn.XLOOKUP(B2015, Oil_Price!A:A, Oil_Price!B:B, "")</f>
        <v>60.419998168945312</v>
      </c>
      <c r="E2015">
        <f t="shared" si="124"/>
        <v>-3.5672249566650882E-3</v>
      </c>
      <c r="F2015">
        <f t="shared" si="125"/>
        <v>-2.6269155328880085E-2</v>
      </c>
      <c r="G2015">
        <f t="shared" si="126"/>
        <v>-5.7720184326171875E-2</v>
      </c>
      <c r="H2015">
        <f t="shared" si="127"/>
        <v>-1.6300010681152344</v>
      </c>
    </row>
    <row r="2016" spans="1:8" x14ac:dyDescent="0.2">
      <c r="A2016" t="s">
        <v>12</v>
      </c>
      <c r="B2016" s="2">
        <v>45777</v>
      </c>
      <c r="C2016">
        <v>15.613119125366209</v>
      </c>
      <c r="D2016">
        <f>_xlfn.XLOOKUP(B2016, Oil_Price!A:A, Oil_Price!B:B, "")</f>
        <v>58.209999084472663</v>
      </c>
      <c r="E2016">
        <f t="shared" si="124"/>
        <v>-3.1623018489230818E-2</v>
      </c>
      <c r="F2016">
        <f t="shared" si="125"/>
        <v>-3.6577278243092454E-2</v>
      </c>
      <c r="G2016">
        <f t="shared" si="126"/>
        <v>-0.50985717773438033</v>
      </c>
      <c r="H2016">
        <f t="shared" si="127"/>
        <v>-2.2099990844726491</v>
      </c>
    </row>
    <row r="2017" spans="1:8" x14ac:dyDescent="0.2">
      <c r="A2017" t="s">
        <v>12</v>
      </c>
      <c r="B2017" s="2">
        <v>45778</v>
      </c>
      <c r="C2017">
        <v>15.95943641662598</v>
      </c>
      <c r="D2017">
        <f>_xlfn.XLOOKUP(B2017, Oil_Price!A:A, Oil_Price!B:B, "")</f>
        <v>59.240001678466797</v>
      </c>
      <c r="E2017">
        <f t="shared" si="124"/>
        <v>2.2181172671456705E-2</v>
      </c>
      <c r="F2017">
        <f t="shared" si="125"/>
        <v>1.7694599041299136E-2</v>
      </c>
      <c r="G2017">
        <f t="shared" si="126"/>
        <v>0.34631729125977095</v>
      </c>
      <c r="H2017">
        <f t="shared" si="127"/>
        <v>1.0300025939941335</v>
      </c>
    </row>
    <row r="2018" spans="1:8" x14ac:dyDescent="0.2">
      <c r="A2018" t="s">
        <v>12</v>
      </c>
      <c r="B2018" s="2">
        <v>45779</v>
      </c>
      <c r="C2018">
        <v>15.988297462463381</v>
      </c>
      <c r="D2018">
        <f>_xlfn.XLOOKUP(B2018, Oil_Price!A:A, Oil_Price!B:B, "")</f>
        <v>58.290000915527337</v>
      </c>
      <c r="E2018">
        <f t="shared" si="124"/>
        <v>1.8084000640106654E-3</v>
      </c>
      <c r="F2018">
        <f t="shared" si="125"/>
        <v>-1.6036474274523475E-2</v>
      </c>
      <c r="G2018">
        <f t="shared" si="126"/>
        <v>2.8861045837400567E-2</v>
      </c>
      <c r="H2018">
        <f t="shared" si="127"/>
        <v>-0.95000076293946023</v>
      </c>
    </row>
    <row r="2019" spans="1:8" x14ac:dyDescent="0.2">
      <c r="A2019" t="s">
        <v>12</v>
      </c>
      <c r="B2019" s="2">
        <v>45782</v>
      </c>
      <c r="C2019">
        <v>15.49768161773682</v>
      </c>
      <c r="D2019">
        <f>_xlfn.XLOOKUP(B2019, Oil_Price!A:A, Oil_Price!B:B, "")</f>
        <v>57.130001068115227</v>
      </c>
      <c r="E2019">
        <f t="shared" si="124"/>
        <v>-3.068593425149907E-2</v>
      </c>
      <c r="F2019">
        <f t="shared" si="125"/>
        <v>-1.990049458213523E-2</v>
      </c>
      <c r="G2019">
        <f t="shared" si="126"/>
        <v>-0.49061584472656072</v>
      </c>
      <c r="H2019">
        <f t="shared" si="127"/>
        <v>-1.1599998474121094</v>
      </c>
    </row>
    <row r="2020" spans="1:8" x14ac:dyDescent="0.2">
      <c r="A2020" t="s">
        <v>12</v>
      </c>
      <c r="B2020" s="2">
        <v>45783</v>
      </c>
      <c r="C2020">
        <v>15.70931911468506</v>
      </c>
      <c r="D2020">
        <f>_xlfn.XLOOKUP(B2020, Oil_Price!A:A, Oil_Price!B:B, "")</f>
        <v>59.090000152587891</v>
      </c>
      <c r="E2020">
        <f t="shared" si="124"/>
        <v>1.3656074641901604E-2</v>
      </c>
      <c r="F2020">
        <f t="shared" si="125"/>
        <v>3.430770257006973E-2</v>
      </c>
      <c r="G2020">
        <f t="shared" si="126"/>
        <v>0.21163749694824041</v>
      </c>
      <c r="H2020">
        <f t="shared" si="127"/>
        <v>1.9599990844726634</v>
      </c>
    </row>
    <row r="2021" spans="1:8" x14ac:dyDescent="0.2">
      <c r="A2021" t="s">
        <v>12</v>
      </c>
      <c r="B2021" s="2">
        <v>45784</v>
      </c>
      <c r="C2021">
        <v>15.670840263366699</v>
      </c>
      <c r="D2021">
        <f>_xlfn.XLOOKUP(B2021, Oil_Price!A:A, Oil_Price!B:B, "")</f>
        <v>58.069999694824219</v>
      </c>
      <c r="E2021">
        <f t="shared" si="124"/>
        <v>-2.4494283321542017E-3</v>
      </c>
      <c r="F2021">
        <f t="shared" si="125"/>
        <v>-1.7261811730068174E-2</v>
      </c>
      <c r="G2021">
        <f t="shared" si="126"/>
        <v>-3.8478851318361151E-2</v>
      </c>
      <c r="H2021">
        <f t="shared" si="127"/>
        <v>-1.0200004577636719</v>
      </c>
    </row>
    <row r="2022" spans="1:8" x14ac:dyDescent="0.2">
      <c r="A2022" t="s">
        <v>12</v>
      </c>
      <c r="B2022" s="2">
        <v>45785</v>
      </c>
      <c r="C2022">
        <v>17.104207992553711</v>
      </c>
      <c r="D2022">
        <f>_xlfn.XLOOKUP(B2022, Oil_Price!A:A, Oil_Price!B:B, "")</f>
        <v>59.909999847412109</v>
      </c>
      <c r="E2022">
        <f t="shared" si="124"/>
        <v>9.1467190341908908E-2</v>
      </c>
      <c r="F2022">
        <f t="shared" si="125"/>
        <v>3.1685899126186662E-2</v>
      </c>
      <c r="G2022">
        <f t="shared" si="126"/>
        <v>1.4333677291870117</v>
      </c>
      <c r="H2022">
        <f t="shared" si="127"/>
        <v>1.8400001525878906</v>
      </c>
    </row>
    <row r="2023" spans="1:8" x14ac:dyDescent="0.2">
      <c r="A2023" t="s">
        <v>12</v>
      </c>
      <c r="B2023" s="2">
        <v>45786</v>
      </c>
      <c r="C2023">
        <v>17.748739242553711</v>
      </c>
      <c r="D2023">
        <f>_xlfn.XLOOKUP(B2023, Oil_Price!A:A, Oil_Price!B:B, "")</f>
        <v>61.020000457763672</v>
      </c>
      <c r="E2023">
        <f t="shared" si="124"/>
        <v>3.7682612973403716E-2</v>
      </c>
      <c r="F2023">
        <f t="shared" si="125"/>
        <v>1.852780192252847E-2</v>
      </c>
      <c r="G2023">
        <f t="shared" si="126"/>
        <v>0.64453125</v>
      </c>
      <c r="H2023">
        <f t="shared" si="127"/>
        <v>1.1100006103515625</v>
      </c>
    </row>
    <row r="2024" spans="1:8" x14ac:dyDescent="0.2">
      <c r="A2024" t="s">
        <v>12</v>
      </c>
      <c r="B2024" s="2">
        <v>45789</v>
      </c>
      <c r="C2024">
        <v>18.431756973266602</v>
      </c>
      <c r="D2024">
        <f>_xlfn.XLOOKUP(B2024, Oil_Price!A:A, Oil_Price!B:B, "")</f>
        <v>61.950000762939453</v>
      </c>
      <c r="E2024">
        <f t="shared" si="124"/>
        <v>3.8482605517991549E-2</v>
      </c>
      <c r="F2024">
        <f t="shared" si="125"/>
        <v>1.5240909508342291E-2</v>
      </c>
      <c r="G2024">
        <f t="shared" si="126"/>
        <v>0.68301773071289062</v>
      </c>
      <c r="H2024">
        <f t="shared" si="127"/>
        <v>0.93000030517578125</v>
      </c>
    </row>
    <row r="2025" spans="1:8" x14ac:dyDescent="0.2">
      <c r="A2025" t="s">
        <v>12</v>
      </c>
      <c r="B2025" s="2">
        <v>45790</v>
      </c>
      <c r="C2025">
        <v>18.710733413696289</v>
      </c>
      <c r="D2025">
        <f>_xlfn.XLOOKUP(B2025, Oil_Price!A:A, Oil_Price!B:B, "")</f>
        <v>63.669998168945312</v>
      </c>
      <c r="E2025">
        <f t="shared" si="124"/>
        <v>1.513564012558947E-2</v>
      </c>
      <c r="F2025">
        <f t="shared" si="125"/>
        <v>2.7764283855099142E-2</v>
      </c>
      <c r="G2025">
        <f t="shared" si="126"/>
        <v>0.2789764404296875</v>
      </c>
      <c r="H2025">
        <f t="shared" si="127"/>
        <v>1.7199974060058594</v>
      </c>
    </row>
    <row r="2026" spans="1:8" x14ac:dyDescent="0.2">
      <c r="A2026" t="s">
        <v>12</v>
      </c>
      <c r="B2026" s="2">
        <v>45791</v>
      </c>
      <c r="C2026">
        <v>18.55681228637695</v>
      </c>
      <c r="D2026">
        <f>_xlfn.XLOOKUP(B2026, Oil_Price!A:A, Oil_Price!B:B, "")</f>
        <v>63.150001525878913</v>
      </c>
      <c r="E2026">
        <f t="shared" si="124"/>
        <v>-8.2263545696540652E-3</v>
      </c>
      <c r="F2026">
        <f t="shared" si="125"/>
        <v>-8.1670591804732396E-3</v>
      </c>
      <c r="G2026">
        <f t="shared" si="126"/>
        <v>-0.15392112731933949</v>
      </c>
      <c r="H2026">
        <f t="shared" si="127"/>
        <v>-0.51999664306639914</v>
      </c>
    </row>
    <row r="2027" spans="1:8" x14ac:dyDescent="0.2">
      <c r="A2027" t="s">
        <v>12</v>
      </c>
      <c r="B2027" s="2">
        <v>45792</v>
      </c>
      <c r="C2027">
        <v>18.316316604614261</v>
      </c>
      <c r="D2027">
        <f>_xlfn.XLOOKUP(B2027, Oil_Price!A:A, Oil_Price!B:B, "")</f>
        <v>61.619998931884773</v>
      </c>
      <c r="E2027">
        <f t="shared" si="124"/>
        <v>-1.2959967372157042E-2</v>
      </c>
      <c r="F2027">
        <f t="shared" si="125"/>
        <v>-2.4228068994854173E-2</v>
      </c>
      <c r="G2027">
        <f t="shared" si="126"/>
        <v>-0.24049568176268821</v>
      </c>
      <c r="H2027">
        <f t="shared" si="127"/>
        <v>-1.5300025939941406</v>
      </c>
    </row>
    <row r="2028" spans="1:8" x14ac:dyDescent="0.2">
      <c r="A2028" t="s">
        <v>12</v>
      </c>
      <c r="B2028" s="2">
        <v>45793</v>
      </c>
      <c r="C2028">
        <v>18.450994491577148</v>
      </c>
      <c r="D2028">
        <f>_xlfn.XLOOKUP(B2028, Oil_Price!A:A, Oil_Price!B:B, "")</f>
        <v>62.490001678466797</v>
      </c>
      <c r="E2028">
        <f t="shared" si="124"/>
        <v>7.3528914066138661E-3</v>
      </c>
      <c r="F2028">
        <f t="shared" si="125"/>
        <v>1.4118837417438647E-2</v>
      </c>
      <c r="G2028">
        <f t="shared" si="126"/>
        <v>0.13467788696288707</v>
      </c>
      <c r="H2028">
        <f t="shared" si="127"/>
        <v>0.87000274658202414</v>
      </c>
    </row>
    <row r="2029" spans="1:8" x14ac:dyDescent="0.2">
      <c r="A2029" t="s">
        <v>12</v>
      </c>
      <c r="B2029" s="2">
        <v>45797</v>
      </c>
      <c r="C2029">
        <v>17.7775993347168</v>
      </c>
      <c r="D2029">
        <f>_xlfn.XLOOKUP(B2029, Oil_Price!A:A, Oil_Price!B:B, "")</f>
        <v>62.560001373291023</v>
      </c>
      <c r="E2029">
        <f t="shared" si="124"/>
        <v>-3.6496415256519206E-2</v>
      </c>
      <c r="F2029">
        <f t="shared" si="125"/>
        <v>1.1201743149952066E-3</v>
      </c>
      <c r="G2029">
        <f t="shared" si="126"/>
        <v>-0.67339515686034801</v>
      </c>
      <c r="H2029">
        <f t="shared" si="127"/>
        <v>6.9999694824225855E-2</v>
      </c>
    </row>
    <row r="2030" spans="1:8" x14ac:dyDescent="0.2">
      <c r="A2030" t="s">
        <v>12</v>
      </c>
      <c r="B2030" s="2">
        <v>45798</v>
      </c>
      <c r="C2030">
        <v>17.700641632080082</v>
      </c>
      <c r="D2030">
        <f>_xlfn.XLOOKUP(B2030, Oil_Price!A:A, Oil_Price!B:B, "")</f>
        <v>61.569999694824219</v>
      </c>
      <c r="E2030">
        <f t="shared" si="124"/>
        <v>-4.3289142244550818E-3</v>
      </c>
      <c r="F2030">
        <f t="shared" si="125"/>
        <v>-1.5824834666475392E-2</v>
      </c>
      <c r="G2030">
        <f t="shared" si="126"/>
        <v>-7.695770263671875E-2</v>
      </c>
      <c r="H2030">
        <f t="shared" si="127"/>
        <v>-0.99000167846680398</v>
      </c>
    </row>
    <row r="2031" spans="1:8" x14ac:dyDescent="0.2">
      <c r="A2031" t="s">
        <v>12</v>
      </c>
      <c r="B2031" s="2">
        <v>45799</v>
      </c>
      <c r="C2031">
        <v>17.796840667724609</v>
      </c>
      <c r="D2031">
        <f>_xlfn.XLOOKUP(B2031, Oil_Price!A:A, Oil_Price!B:B, "")</f>
        <v>61.200000762939453</v>
      </c>
      <c r="E2031">
        <f t="shared" si="124"/>
        <v>5.4347767523963437E-3</v>
      </c>
      <c r="F2031">
        <f t="shared" si="125"/>
        <v>-6.009402853966052E-3</v>
      </c>
      <c r="G2031">
        <f t="shared" si="126"/>
        <v>9.6199035644527697E-2</v>
      </c>
      <c r="H2031">
        <f t="shared" si="127"/>
        <v>-0.36999893188476562</v>
      </c>
    </row>
    <row r="2032" spans="1:8" x14ac:dyDescent="0.2">
      <c r="A2032" t="s">
        <v>12</v>
      </c>
      <c r="B2032" s="2">
        <v>45800</v>
      </c>
      <c r="C2032">
        <v>17.998859405517582</v>
      </c>
      <c r="D2032">
        <f>_xlfn.XLOOKUP(B2032, Oil_Price!A:A, Oil_Price!B:B, "")</f>
        <v>61.529998779296882</v>
      </c>
      <c r="E2032">
        <f t="shared" si="124"/>
        <v>1.1351382055093779E-2</v>
      </c>
      <c r="F2032">
        <f t="shared" si="125"/>
        <v>5.3921243830647803E-3</v>
      </c>
      <c r="G2032">
        <f t="shared" si="126"/>
        <v>0.2020187377929723</v>
      </c>
      <c r="H2032">
        <f t="shared" si="127"/>
        <v>0.32999801635742898</v>
      </c>
    </row>
    <row r="2033" spans="1:8" x14ac:dyDescent="0.2">
      <c r="A2033" t="s">
        <v>12</v>
      </c>
      <c r="B2033" s="2">
        <v>45803</v>
      </c>
      <c r="C2033">
        <v>18.24897575378418</v>
      </c>
      <c r="D2033" t="str">
        <f>_xlfn.XLOOKUP(B2033, Oil_Price!A:A, Oil_Price!B:B, "")</f>
        <v/>
      </c>
      <c r="E2033">
        <f t="shared" si="124"/>
        <v>1.3896233235197359E-2</v>
      </c>
      <c r="F2033" t="str">
        <f t="shared" si="125"/>
        <v/>
      </c>
      <c r="G2033">
        <f t="shared" si="126"/>
        <v>0.25011634826659801</v>
      </c>
      <c r="H2033" t="str">
        <f t="shared" si="127"/>
        <v/>
      </c>
    </row>
    <row r="2034" spans="1:8" x14ac:dyDescent="0.2">
      <c r="A2034" t="s">
        <v>12</v>
      </c>
      <c r="B2034" s="2">
        <v>45804</v>
      </c>
      <c r="C2034">
        <v>18.04695892333984</v>
      </c>
      <c r="D2034">
        <f>_xlfn.XLOOKUP(B2034, Oil_Price!A:A, Oil_Price!B:B, "")</f>
        <v>60.889999389648438</v>
      </c>
      <c r="E2034">
        <f t="shared" si="124"/>
        <v>-1.1070036651369242E-2</v>
      </c>
      <c r="F2034" t="str">
        <f t="shared" si="125"/>
        <v/>
      </c>
      <c r="G2034">
        <f t="shared" si="126"/>
        <v>-0.20201683044433949</v>
      </c>
      <c r="H2034" t="str">
        <f t="shared" si="127"/>
        <v/>
      </c>
    </row>
    <row r="2035" spans="1:8" x14ac:dyDescent="0.2">
      <c r="A2035" t="s">
        <v>12</v>
      </c>
      <c r="B2035" s="2">
        <v>45805</v>
      </c>
      <c r="C2035">
        <v>17.883420944213871</v>
      </c>
      <c r="D2035">
        <f>_xlfn.XLOOKUP(B2035, Oil_Price!A:A, Oil_Price!B:B, "")</f>
        <v>61.840000152587891</v>
      </c>
      <c r="E2035">
        <f t="shared" si="124"/>
        <v>-9.0618025907106391E-3</v>
      </c>
      <c r="F2035">
        <f t="shared" si="125"/>
        <v>1.5601917760914895E-2</v>
      </c>
      <c r="G2035">
        <f t="shared" si="126"/>
        <v>-0.16353797912596946</v>
      </c>
      <c r="H2035">
        <f t="shared" si="127"/>
        <v>0.95000076293945312</v>
      </c>
    </row>
    <row r="2036" spans="1:8" x14ac:dyDescent="0.2">
      <c r="A2036" t="s">
        <v>12</v>
      </c>
      <c r="B2036" s="2">
        <v>45806</v>
      </c>
      <c r="C2036">
        <v>18.008478164672852</v>
      </c>
      <c r="D2036">
        <f>_xlfn.XLOOKUP(B2036, Oil_Price!A:A, Oil_Price!B:B, "")</f>
        <v>60.939998626708977</v>
      </c>
      <c r="E2036">
        <f t="shared" si="124"/>
        <v>6.9929137634845377E-3</v>
      </c>
      <c r="F2036">
        <f t="shared" si="125"/>
        <v>-1.4553711572739218E-2</v>
      </c>
      <c r="G2036">
        <f t="shared" si="126"/>
        <v>0.12505722045898082</v>
      </c>
      <c r="H2036">
        <f t="shared" si="127"/>
        <v>-0.90000152587891336</v>
      </c>
    </row>
    <row r="2037" spans="1:8" x14ac:dyDescent="0.2">
      <c r="A2037" t="s">
        <v>12</v>
      </c>
      <c r="B2037" s="2">
        <v>45807</v>
      </c>
      <c r="C2037">
        <v>17.392803192138668</v>
      </c>
      <c r="D2037">
        <f>_xlfn.XLOOKUP(B2037, Oil_Price!A:A, Oil_Price!B:B, "")</f>
        <v>60.790000915527337</v>
      </c>
      <c r="E2037">
        <f t="shared" si="124"/>
        <v>-3.4188062250698675E-2</v>
      </c>
      <c r="F2037">
        <f t="shared" si="125"/>
        <v>-2.4613999764007076E-3</v>
      </c>
      <c r="G2037">
        <f t="shared" si="126"/>
        <v>-0.61567497253418324</v>
      </c>
      <c r="H2037">
        <f t="shared" si="127"/>
        <v>-0.14999771118164062</v>
      </c>
    </row>
    <row r="2038" spans="1:8" x14ac:dyDescent="0.2">
      <c r="A2038" t="s">
        <v>12</v>
      </c>
      <c r="B2038" s="2">
        <v>45810</v>
      </c>
      <c r="C2038">
        <v>17.61406135559082</v>
      </c>
      <c r="D2038">
        <f>_xlfn.XLOOKUP(B2038, Oil_Price!A:A, Oil_Price!B:B, "")</f>
        <v>62.520000457763672</v>
      </c>
      <c r="E2038">
        <f t="shared" si="124"/>
        <v>1.2721248036208329E-2</v>
      </c>
      <c r="F2038">
        <f t="shared" si="125"/>
        <v>2.8458620104979283E-2</v>
      </c>
      <c r="G2038">
        <f t="shared" si="126"/>
        <v>0.22125816345215199</v>
      </c>
      <c r="H2038">
        <f t="shared" si="127"/>
        <v>1.7299995422363352</v>
      </c>
    </row>
    <row r="2039" spans="1:8" x14ac:dyDescent="0.2">
      <c r="A2039" t="s">
        <v>12</v>
      </c>
      <c r="B2039" s="2">
        <v>45811</v>
      </c>
      <c r="C2039">
        <v>17.9315185546875</v>
      </c>
      <c r="D2039">
        <f>_xlfn.XLOOKUP(B2039, Oil_Price!A:A, Oil_Price!B:B, "")</f>
        <v>63.409999847412109</v>
      </c>
      <c r="E2039">
        <f t="shared" si="124"/>
        <v>1.8022941596937077E-2</v>
      </c>
      <c r="F2039">
        <f t="shared" si="125"/>
        <v>1.4235434790978449E-2</v>
      </c>
      <c r="G2039">
        <f t="shared" si="126"/>
        <v>0.31745719909667969</v>
      </c>
      <c r="H2039">
        <f t="shared" si="127"/>
        <v>0.8899993896484375</v>
      </c>
    </row>
    <row r="2040" spans="1:8" x14ac:dyDescent="0.2">
      <c r="A2040" t="s">
        <v>12</v>
      </c>
      <c r="B2040" s="2">
        <v>45812</v>
      </c>
      <c r="C2040">
        <v>17.113828659057621</v>
      </c>
      <c r="D2040">
        <f>_xlfn.XLOOKUP(B2040, Oil_Price!A:A, Oil_Price!B:B, "")</f>
        <v>62.849998474121087</v>
      </c>
      <c r="E2040">
        <f t="shared" si="124"/>
        <v>-4.5600705435855343E-2</v>
      </c>
      <c r="F2040">
        <f t="shared" si="125"/>
        <v>-8.8314362819522617E-3</v>
      </c>
      <c r="G2040">
        <f t="shared" si="126"/>
        <v>-0.81768989562987926</v>
      </c>
      <c r="H2040">
        <f t="shared" si="127"/>
        <v>-0.56000137329102273</v>
      </c>
    </row>
    <row r="2041" spans="1:8" x14ac:dyDescent="0.2">
      <c r="A2041" t="s">
        <v>12</v>
      </c>
      <c r="B2041" s="2">
        <v>45813</v>
      </c>
      <c r="C2041">
        <v>17.373561859130859</v>
      </c>
      <c r="D2041">
        <f>_xlfn.XLOOKUP(B2041, Oil_Price!A:A, Oil_Price!B:B, "")</f>
        <v>63.369998931884773</v>
      </c>
      <c r="E2041">
        <f t="shared" si="124"/>
        <v>1.517680264584003E-2</v>
      </c>
      <c r="F2041">
        <f t="shared" si="125"/>
        <v>8.2736749465125246E-3</v>
      </c>
      <c r="G2041">
        <f t="shared" si="126"/>
        <v>0.25973320007323863</v>
      </c>
      <c r="H2041">
        <f t="shared" si="127"/>
        <v>0.52000045776368609</v>
      </c>
    </row>
    <row r="2042" spans="1:8" x14ac:dyDescent="0.2">
      <c r="A2042" t="s">
        <v>12</v>
      </c>
      <c r="B2042" s="2">
        <v>45814</v>
      </c>
      <c r="C2042">
        <v>17.835319519042969</v>
      </c>
      <c r="D2042">
        <f>_xlfn.XLOOKUP(B2042, Oil_Price!A:A, Oil_Price!B:B, "")</f>
        <v>64.580001831054688</v>
      </c>
      <c r="E2042">
        <f t="shared" si="124"/>
        <v>2.6578180321119801E-2</v>
      </c>
      <c r="F2042">
        <f t="shared" si="125"/>
        <v>1.909425468778253E-2</v>
      </c>
      <c r="G2042">
        <f t="shared" si="126"/>
        <v>0.46175765991210938</v>
      </c>
      <c r="H2042">
        <f t="shared" si="127"/>
        <v>1.2100028991699148</v>
      </c>
    </row>
    <row r="2043" spans="1:8" x14ac:dyDescent="0.2">
      <c r="A2043" t="s">
        <v>12</v>
      </c>
      <c r="B2043" s="2">
        <v>45817</v>
      </c>
      <c r="C2043">
        <v>18.05657958984375</v>
      </c>
      <c r="D2043">
        <f>_xlfn.XLOOKUP(B2043, Oil_Price!A:A, Oil_Price!B:B, "")</f>
        <v>65.290000915527344</v>
      </c>
      <c r="E2043">
        <f t="shared" si="124"/>
        <v>1.2405725087489428E-2</v>
      </c>
      <c r="F2043">
        <f t="shared" si="125"/>
        <v>1.0994101336975154E-2</v>
      </c>
      <c r="G2043">
        <f t="shared" si="126"/>
        <v>0.22126007080078125</v>
      </c>
      <c r="H2043">
        <f t="shared" si="127"/>
        <v>0.70999908447265625</v>
      </c>
    </row>
    <row r="2044" spans="1:8" x14ac:dyDescent="0.2">
      <c r="A2044" t="s">
        <v>12</v>
      </c>
      <c r="B2044" s="2">
        <v>45818</v>
      </c>
      <c r="C2044">
        <v>18.489473342895511</v>
      </c>
      <c r="D2044">
        <f>_xlfn.XLOOKUP(B2044, Oil_Price!A:A, Oil_Price!B:B, "")</f>
        <v>64.980003356933594</v>
      </c>
      <c r="E2044">
        <f t="shared" si="124"/>
        <v>2.3974294295208063E-2</v>
      </c>
      <c r="F2044">
        <f t="shared" si="125"/>
        <v>-4.7480097143026076E-3</v>
      </c>
      <c r="G2044">
        <f t="shared" si="126"/>
        <v>0.43289375305176137</v>
      </c>
      <c r="H2044">
        <f t="shared" si="127"/>
        <v>-0.30999755859375</v>
      </c>
    </row>
    <row r="2045" spans="1:8" x14ac:dyDescent="0.2">
      <c r="A2045" t="s">
        <v>12</v>
      </c>
      <c r="B2045" s="2">
        <v>45819</v>
      </c>
      <c r="C2045">
        <v>18.826171875</v>
      </c>
      <c r="D2045">
        <f>_xlfn.XLOOKUP(B2045, Oil_Price!A:A, Oil_Price!B:B, "")</f>
        <v>68.150001525878906</v>
      </c>
      <c r="E2045">
        <f t="shared" si="124"/>
        <v>1.8210282459660398E-2</v>
      </c>
      <c r="F2045">
        <f t="shared" si="125"/>
        <v>4.8784210606031962E-2</v>
      </c>
      <c r="G2045">
        <f t="shared" si="126"/>
        <v>0.33669853210448863</v>
      </c>
      <c r="H2045">
        <f t="shared" si="127"/>
        <v>3.1699981689453125</v>
      </c>
    </row>
    <row r="2046" spans="1:8" x14ac:dyDescent="0.2">
      <c r="A2046" t="s">
        <v>12</v>
      </c>
      <c r="B2046" s="2">
        <v>45820</v>
      </c>
      <c r="C2046">
        <v>18.864650726318359</v>
      </c>
      <c r="D2046">
        <f>_xlfn.XLOOKUP(B2046, Oil_Price!A:A, Oil_Price!B:B, "")</f>
        <v>68.040000915527344</v>
      </c>
      <c r="E2046">
        <f t="shared" si="124"/>
        <v>2.0439020515613652E-3</v>
      </c>
      <c r="F2046">
        <f t="shared" si="125"/>
        <v>-1.6140954935971862E-3</v>
      </c>
      <c r="G2046">
        <f t="shared" si="126"/>
        <v>3.8478851318359375E-2</v>
      </c>
      <c r="H2046">
        <f t="shared" si="127"/>
        <v>-0.1100006103515625</v>
      </c>
    </row>
    <row r="2047" spans="1:8" x14ac:dyDescent="0.2">
      <c r="A2047" t="s">
        <v>12</v>
      </c>
      <c r="B2047" s="2">
        <v>45821</v>
      </c>
      <c r="C2047">
        <v>19.59357833862305</v>
      </c>
      <c r="D2047">
        <f>_xlfn.XLOOKUP(B2047, Oil_Price!A:A, Oil_Price!B:B, "")</f>
        <v>72.980003356933594</v>
      </c>
      <c r="E2047">
        <f t="shared" si="124"/>
        <v>3.8639867913788255E-2</v>
      </c>
      <c r="F2047">
        <f t="shared" si="125"/>
        <v>7.2604385287109788E-2</v>
      </c>
      <c r="G2047">
        <f t="shared" si="126"/>
        <v>0.72892761230469105</v>
      </c>
      <c r="H2047">
        <f t="shared" si="127"/>
        <v>4.94000244140625</v>
      </c>
    </row>
    <row r="2048" spans="1:8" x14ac:dyDescent="0.2">
      <c r="A2048" t="s">
        <v>12</v>
      </c>
      <c r="B2048" s="2">
        <v>45824</v>
      </c>
      <c r="C2048">
        <v>19.3311653137207</v>
      </c>
      <c r="D2048">
        <f>_xlfn.XLOOKUP(B2048, Oil_Price!A:A, Oil_Price!B:B, "")</f>
        <v>71.769996643066406</v>
      </c>
      <c r="E2048">
        <f t="shared" si="124"/>
        <v>-1.3392807600900534E-2</v>
      </c>
      <c r="F2048">
        <f t="shared" si="125"/>
        <v>-1.6579976133314724E-2</v>
      </c>
      <c r="G2048">
        <f t="shared" si="126"/>
        <v>-0.26241302490235086</v>
      </c>
      <c r="H2048">
        <f t="shared" si="127"/>
        <v>-1.2100067138671875</v>
      </c>
    </row>
    <row r="2049" spans="1:8" x14ac:dyDescent="0.2">
      <c r="A2049" t="s">
        <v>12</v>
      </c>
      <c r="B2049" s="2">
        <v>45825</v>
      </c>
      <c r="C2049">
        <v>19.60329627990723</v>
      </c>
      <c r="D2049">
        <f>_xlfn.XLOOKUP(B2049, Oil_Price!A:A, Oil_Price!B:B, "")</f>
        <v>74.839996337890625</v>
      </c>
      <c r="E2049">
        <f t="shared" si="124"/>
        <v>1.407731824596109E-2</v>
      </c>
      <c r="F2049">
        <f t="shared" si="125"/>
        <v>4.2775530701112369E-2</v>
      </c>
      <c r="G2049">
        <f t="shared" si="126"/>
        <v>0.27213096618653054</v>
      </c>
      <c r="H2049">
        <f t="shared" si="127"/>
        <v>3.0699996948242188</v>
      </c>
    </row>
    <row r="2050" spans="1:8" x14ac:dyDescent="0.2">
      <c r="A2050" t="s">
        <v>12</v>
      </c>
      <c r="B2050" s="2">
        <v>45826</v>
      </c>
      <c r="C2050">
        <v>19.476949691772461</v>
      </c>
      <c r="D2050">
        <f>_xlfn.XLOOKUP(B2050, Oil_Price!A:A, Oil_Price!B:B, "")</f>
        <v>75.139999389648438</v>
      </c>
      <c r="E2050">
        <f t="shared" si="124"/>
        <v>-6.4451705637010911E-3</v>
      </c>
      <c r="F2050">
        <f t="shared" si="125"/>
        <v>4.0085925499427693E-3</v>
      </c>
      <c r="G2050">
        <f t="shared" si="126"/>
        <v>-0.12634658813476918</v>
      </c>
      <c r="H2050">
        <f t="shared" si="127"/>
        <v>0.3000030517578125</v>
      </c>
    </row>
    <row r="2051" spans="1:8" x14ac:dyDescent="0.2">
      <c r="A2051" t="s">
        <v>12</v>
      </c>
      <c r="B2051" s="2">
        <v>45827</v>
      </c>
      <c r="C2051">
        <v>19.70048904418945</v>
      </c>
      <c r="D2051" t="str">
        <f>_xlfn.XLOOKUP(B2051, Oil_Price!A:A, Oil_Price!B:B, "")</f>
        <v/>
      </c>
      <c r="E2051">
        <f t="shared" ref="E2051:E2114" si="128">IFERROR(IF(AND(A2051=A2050, C2051&lt;&gt;"", C2050&lt;&gt;""), (C2051-C2050)/C2050, ""), "")</f>
        <v>1.1477123263886497E-2</v>
      </c>
      <c r="F2051" t="str">
        <f t="shared" ref="F2051:F2114" si="129">IFERROR(IF(AND(A2051=A2050, D2051&lt;&gt;"", D2050&lt;&gt;""), (D2051-D2050)/D2050, ""), "")</f>
        <v/>
      </c>
      <c r="G2051">
        <f t="shared" ref="G2051:G2114" si="130">IFERROR(IF(AND(A2051=A2050, C2051&lt;&gt;"", C2050&lt;&gt;""), C2051-C2050, ""), "")</f>
        <v>0.22353935241698863</v>
      </c>
      <c r="H2051" t="str">
        <f t="shared" ref="H2051:H2114" si="131">IFERROR(IF(AND(A2051=A2050, D2051&lt;&gt;"", D2050&lt;&gt;""), D2051-D2050, ""), "")</f>
        <v/>
      </c>
    </row>
    <row r="2052" spans="1:8" x14ac:dyDescent="0.2">
      <c r="A2052" t="s">
        <v>12</v>
      </c>
      <c r="B2052" s="2">
        <v>45828</v>
      </c>
      <c r="C2052">
        <v>19.53526496887207</v>
      </c>
      <c r="D2052">
        <f>_xlfn.XLOOKUP(B2052, Oil_Price!A:A, Oil_Price!B:B, "")</f>
        <v>74.930000305175781</v>
      </c>
      <c r="E2052">
        <f t="shared" si="128"/>
        <v>-8.3868007005699786E-3</v>
      </c>
      <c r="F2052" t="str">
        <f t="shared" si="129"/>
        <v/>
      </c>
      <c r="G2052">
        <f t="shared" si="130"/>
        <v>-0.16522407531737926</v>
      </c>
      <c r="H2052" t="str">
        <f t="shared" si="131"/>
        <v/>
      </c>
    </row>
    <row r="2053" spans="1:8" x14ac:dyDescent="0.2">
      <c r="A2053" t="s">
        <v>12</v>
      </c>
      <c r="B2053" s="2">
        <v>45831</v>
      </c>
      <c r="C2053">
        <v>18.58280181884766</v>
      </c>
      <c r="D2053">
        <f>_xlfn.XLOOKUP(B2053, Oil_Price!A:A, Oil_Price!B:B, "")</f>
        <v>68.510002136230469</v>
      </c>
      <c r="E2053">
        <f t="shared" si="128"/>
        <v>-4.8756090666908621E-2</v>
      </c>
      <c r="F2053">
        <f t="shared" si="129"/>
        <v>-8.5679943184276908E-2</v>
      </c>
      <c r="G2053">
        <f t="shared" si="130"/>
        <v>-0.95246315002441051</v>
      </c>
      <c r="H2053">
        <f t="shared" si="131"/>
        <v>-6.4199981689453125</v>
      </c>
    </row>
    <row r="2054" spans="1:8" x14ac:dyDescent="0.2">
      <c r="A2054" t="s">
        <v>12</v>
      </c>
      <c r="B2054" s="2">
        <v>45832</v>
      </c>
      <c r="C2054">
        <v>18.281509399414059</v>
      </c>
      <c r="D2054">
        <f>_xlfn.XLOOKUP(B2054, Oil_Price!A:A, Oil_Price!B:B, "")</f>
        <v>64.370002746582031</v>
      </c>
      <c r="E2054">
        <f t="shared" si="128"/>
        <v>-1.6213508725471858E-2</v>
      </c>
      <c r="F2054">
        <f t="shared" si="129"/>
        <v>-6.0429123639729999E-2</v>
      </c>
      <c r="G2054">
        <f t="shared" si="130"/>
        <v>-0.30129241943360086</v>
      </c>
      <c r="H2054">
        <f t="shared" si="131"/>
        <v>-4.1399993896484375</v>
      </c>
    </row>
    <row r="2055" spans="1:8" x14ac:dyDescent="0.2">
      <c r="A2055" t="s">
        <v>12</v>
      </c>
      <c r="B2055" s="2">
        <v>45833</v>
      </c>
      <c r="C2055">
        <v>18.17459869384766</v>
      </c>
      <c r="D2055">
        <f>_xlfn.XLOOKUP(B2055, Oil_Price!A:A, Oil_Price!B:B, "")</f>
        <v>64.919998168945312</v>
      </c>
      <c r="E2055">
        <f t="shared" si="128"/>
        <v>-5.8480239913792755E-3</v>
      </c>
      <c r="F2055">
        <f t="shared" si="129"/>
        <v>8.5442814804367138E-3</v>
      </c>
      <c r="G2055">
        <f t="shared" si="130"/>
        <v>-0.10691070556639914</v>
      </c>
      <c r="H2055">
        <f t="shared" si="131"/>
        <v>0.54999542236328125</v>
      </c>
    </row>
    <row r="2056" spans="1:8" x14ac:dyDescent="0.2">
      <c r="A2056" t="s">
        <v>12</v>
      </c>
      <c r="B2056" s="2">
        <v>45834</v>
      </c>
      <c r="C2056">
        <v>18.310665130615231</v>
      </c>
      <c r="D2056">
        <f>_xlfn.XLOOKUP(B2056, Oil_Price!A:A, Oil_Price!B:B, "")</f>
        <v>65.239997863769531</v>
      </c>
      <c r="E2056">
        <f t="shared" si="128"/>
        <v>7.486626750863627E-3</v>
      </c>
      <c r="F2056">
        <f t="shared" si="129"/>
        <v>4.9291389995339161E-3</v>
      </c>
      <c r="G2056">
        <f t="shared" si="130"/>
        <v>0.13606643676757102</v>
      </c>
      <c r="H2056">
        <f t="shared" si="131"/>
        <v>0.31999969482421875</v>
      </c>
    </row>
    <row r="2057" spans="1:8" x14ac:dyDescent="0.2">
      <c r="A2057" t="s">
        <v>12</v>
      </c>
      <c r="B2057" s="2">
        <v>45835</v>
      </c>
      <c r="C2057">
        <v>18.17459869384766</v>
      </c>
      <c r="D2057">
        <f>_xlfn.XLOOKUP(B2057, Oil_Price!A:A, Oil_Price!B:B, "")</f>
        <v>65.519996643066406</v>
      </c>
      <c r="E2057">
        <f t="shared" si="128"/>
        <v>-7.4309936748321297E-3</v>
      </c>
      <c r="F2057">
        <f t="shared" si="129"/>
        <v>4.2918269231331458E-3</v>
      </c>
      <c r="G2057">
        <f t="shared" si="130"/>
        <v>-0.13606643676757102</v>
      </c>
      <c r="H2057">
        <f t="shared" si="131"/>
        <v>0.279998779296875</v>
      </c>
    </row>
    <row r="2058" spans="1:8" x14ac:dyDescent="0.2">
      <c r="A2058" t="s">
        <v>12</v>
      </c>
      <c r="B2058" s="2">
        <v>45838</v>
      </c>
      <c r="C2058">
        <v>18.00937652587891</v>
      </c>
      <c r="D2058">
        <f>_xlfn.XLOOKUP(B2058, Oil_Price!A:A, Oil_Price!B:B, "")</f>
        <v>65.110000610351562</v>
      </c>
      <c r="E2058">
        <f t="shared" si="128"/>
        <v>-9.0908289504449888E-3</v>
      </c>
      <c r="F2058">
        <f t="shared" si="129"/>
        <v>-6.257571027489227E-3</v>
      </c>
      <c r="G2058">
        <f t="shared" si="130"/>
        <v>-0.16522216796875</v>
      </c>
      <c r="H2058">
        <f t="shared" si="131"/>
        <v>-0.40999603271484375</v>
      </c>
    </row>
    <row r="2059" spans="1:8" x14ac:dyDescent="0.2">
      <c r="A2059" t="s">
        <v>12</v>
      </c>
      <c r="B2059" s="2">
        <v>45840</v>
      </c>
      <c r="C2059">
        <v>18.845212936401371</v>
      </c>
      <c r="D2059">
        <f>_xlfn.XLOOKUP(B2059, Oil_Price!A:A, Oil_Price!B:B, "")</f>
        <v>67.449996948242188</v>
      </c>
      <c r="E2059">
        <f t="shared" si="128"/>
        <v>4.6411179716376642E-2</v>
      </c>
      <c r="F2059">
        <f t="shared" si="129"/>
        <v>3.5939123267625939E-2</v>
      </c>
      <c r="G2059">
        <f t="shared" si="130"/>
        <v>0.83583641052246094</v>
      </c>
      <c r="H2059">
        <f t="shared" si="131"/>
        <v>2.339996337890625</v>
      </c>
    </row>
    <row r="2060" spans="1:8" x14ac:dyDescent="0.2">
      <c r="A2060" t="s">
        <v>12</v>
      </c>
      <c r="B2060" s="2">
        <v>45841</v>
      </c>
      <c r="C2060">
        <v>18.660552978515621</v>
      </c>
      <c r="D2060">
        <f>_xlfn.XLOOKUP(B2060, Oil_Price!A:A, Oil_Price!B:B, "")</f>
        <v>67</v>
      </c>
      <c r="E2060">
        <f t="shared" si="128"/>
        <v>-9.7987726914489006E-3</v>
      </c>
      <c r="F2060">
        <f t="shared" si="129"/>
        <v>-6.6715636560738915E-3</v>
      </c>
      <c r="G2060">
        <f t="shared" si="130"/>
        <v>-0.18465995788574929</v>
      </c>
      <c r="H2060">
        <f t="shared" si="131"/>
        <v>-0.4499969482421875</v>
      </c>
    </row>
    <row r="2061" spans="1:8" x14ac:dyDescent="0.2">
      <c r="A2061" t="s">
        <v>12</v>
      </c>
      <c r="B2061" s="2">
        <v>45842</v>
      </c>
      <c r="C2061">
        <v>18.621677398681641</v>
      </c>
      <c r="D2061">
        <f>_xlfn.XLOOKUP(B2061, Oil_Price!A:A, Oil_Price!B:B, "")</f>
        <v>66.5</v>
      </c>
      <c r="E2061">
        <f t="shared" si="128"/>
        <v>-2.0833026694728331E-3</v>
      </c>
      <c r="F2061">
        <f t="shared" si="129"/>
        <v>-7.462686567164179E-3</v>
      </c>
      <c r="G2061">
        <f t="shared" si="130"/>
        <v>-3.8875579833980822E-2</v>
      </c>
      <c r="H2061">
        <f t="shared" si="131"/>
        <v>-0.5</v>
      </c>
    </row>
    <row r="2062" spans="1:8" x14ac:dyDescent="0.2">
      <c r="A2062" t="s">
        <v>12</v>
      </c>
      <c r="B2062" s="2">
        <v>45845</v>
      </c>
      <c r="C2062">
        <v>18.670270919799801</v>
      </c>
      <c r="D2062">
        <f>_xlfn.XLOOKUP(B2062, Oil_Price!A:A, Oil_Price!B:B, "")</f>
        <v>67.930000305175781</v>
      </c>
      <c r="E2062">
        <f t="shared" si="128"/>
        <v>2.6095136371335047E-3</v>
      </c>
      <c r="F2062">
        <f t="shared" si="129"/>
        <v>2.1503763987605732E-2</v>
      </c>
      <c r="G2062">
        <f t="shared" si="130"/>
        <v>4.859352111816051E-2</v>
      </c>
      <c r="H2062">
        <f t="shared" si="131"/>
        <v>1.4300003051757812</v>
      </c>
    </row>
    <row r="2063" spans="1:8" x14ac:dyDescent="0.2">
      <c r="A2063" t="s">
        <v>12</v>
      </c>
      <c r="B2063" s="2">
        <v>45846</v>
      </c>
      <c r="C2063">
        <v>19.4283561706543</v>
      </c>
      <c r="D2063">
        <f>_xlfn.XLOOKUP(B2063, Oil_Price!A:A, Oil_Price!B:B, "")</f>
        <v>68.330001831054688</v>
      </c>
      <c r="E2063">
        <f t="shared" si="128"/>
        <v>4.0603869869427052E-2</v>
      </c>
      <c r="F2063">
        <f t="shared" si="129"/>
        <v>5.8884369804489602E-3</v>
      </c>
      <c r="G2063">
        <f t="shared" si="130"/>
        <v>0.75808525085449929</v>
      </c>
      <c r="H2063">
        <f t="shared" si="131"/>
        <v>0.40000152587890625</v>
      </c>
    </row>
    <row r="2064" spans="1:8" x14ac:dyDescent="0.2">
      <c r="A2064" t="s">
        <v>12</v>
      </c>
      <c r="B2064" s="2">
        <v>45847</v>
      </c>
      <c r="C2064">
        <v>19.253412246704102</v>
      </c>
      <c r="D2064">
        <f>_xlfn.XLOOKUP(B2064, Oil_Price!A:A, Oil_Price!B:B, "")</f>
        <v>68.379997253417969</v>
      </c>
      <c r="E2064">
        <f t="shared" si="128"/>
        <v>-9.004566439565492E-3</v>
      </c>
      <c r="F2064">
        <f t="shared" si="129"/>
        <v>7.3167599917375208E-4</v>
      </c>
      <c r="G2064">
        <f t="shared" si="130"/>
        <v>-0.17494392395019887</v>
      </c>
      <c r="H2064">
        <f t="shared" si="131"/>
        <v>4.999542236328125E-2</v>
      </c>
    </row>
    <row r="2065" spans="1:8" x14ac:dyDescent="0.2">
      <c r="A2065" t="s">
        <v>12</v>
      </c>
      <c r="B2065" s="2">
        <v>45848</v>
      </c>
      <c r="C2065">
        <v>19.088188171386719</v>
      </c>
      <c r="D2065">
        <f>_xlfn.XLOOKUP(B2065, Oil_Price!A:A, Oil_Price!B:B, "")</f>
        <v>66.569999694824219</v>
      </c>
      <c r="E2065">
        <f t="shared" si="128"/>
        <v>-8.5815476862116588E-3</v>
      </c>
      <c r="F2065">
        <f t="shared" si="129"/>
        <v>-2.6469693350320768E-2</v>
      </c>
      <c r="G2065">
        <f t="shared" si="130"/>
        <v>-0.16522407531738281</v>
      </c>
      <c r="H2065">
        <f t="shared" si="131"/>
        <v>-1.80999755859375</v>
      </c>
    </row>
    <row r="2066" spans="1:8" x14ac:dyDescent="0.2">
      <c r="A2066" t="s">
        <v>12</v>
      </c>
      <c r="B2066" s="2">
        <v>45849</v>
      </c>
      <c r="C2066">
        <v>19.49638748168945</v>
      </c>
      <c r="D2066">
        <f>_xlfn.XLOOKUP(B2066, Oil_Price!A:A, Oil_Price!B:B, "")</f>
        <v>68.449996948242188</v>
      </c>
      <c r="E2066">
        <f t="shared" si="128"/>
        <v>2.1384916506356714E-2</v>
      </c>
      <c r="F2066">
        <f t="shared" si="129"/>
        <v>2.8240908247505032E-2</v>
      </c>
      <c r="G2066">
        <f t="shared" si="130"/>
        <v>0.40819931030273082</v>
      </c>
      <c r="H2066">
        <f t="shared" si="131"/>
        <v>1.8799972534179688</v>
      </c>
    </row>
    <row r="2067" spans="1:8" x14ac:dyDescent="0.2">
      <c r="A2067" t="s">
        <v>12</v>
      </c>
      <c r="B2067" s="2">
        <v>45852</v>
      </c>
      <c r="C2067">
        <v>19.175661087036129</v>
      </c>
      <c r="D2067">
        <f>_xlfn.XLOOKUP(B2067, Oil_Price!A:A, Oil_Price!B:B, "")</f>
        <v>66.980003356933594</v>
      </c>
      <c r="E2067">
        <f t="shared" si="128"/>
        <v>-1.6450555004332932E-2</v>
      </c>
      <c r="F2067">
        <f t="shared" si="129"/>
        <v>-2.1475436915214408E-2</v>
      </c>
      <c r="G2067">
        <f t="shared" si="130"/>
        <v>-0.32072639465332031</v>
      </c>
      <c r="H2067">
        <f t="shared" si="131"/>
        <v>-1.4699935913085938</v>
      </c>
    </row>
    <row r="2068" spans="1:8" x14ac:dyDescent="0.2">
      <c r="A2068" t="s">
        <v>12</v>
      </c>
      <c r="B2068" s="2">
        <v>45853</v>
      </c>
      <c r="C2068">
        <v>18.95212364196777</v>
      </c>
      <c r="D2068">
        <f>_xlfn.XLOOKUP(B2068, Oil_Price!A:A, Oil_Price!B:B, "")</f>
        <v>66.519996643066406</v>
      </c>
      <c r="E2068">
        <f t="shared" si="128"/>
        <v>-1.1657352727175795E-2</v>
      </c>
      <c r="F2068">
        <f t="shared" si="129"/>
        <v>-6.8678216006623832E-3</v>
      </c>
      <c r="G2068">
        <f t="shared" si="130"/>
        <v>-0.22353744506835938</v>
      </c>
      <c r="H2068">
        <f t="shared" si="131"/>
        <v>-0.4600067138671875</v>
      </c>
    </row>
    <row r="2069" spans="1:8" x14ac:dyDescent="0.2">
      <c r="A2069" t="s">
        <v>12</v>
      </c>
      <c r="B2069" s="2">
        <v>45854</v>
      </c>
      <c r="C2069">
        <v>18.58280181884766</v>
      </c>
      <c r="D2069">
        <f>_xlfn.XLOOKUP(B2069, Oil_Price!A:A, Oil_Price!B:B, "")</f>
        <v>66.379997253417969</v>
      </c>
      <c r="E2069">
        <f t="shared" si="128"/>
        <v>-1.9487094433168439E-2</v>
      </c>
      <c r="F2069">
        <f t="shared" si="129"/>
        <v>-2.1046211171604156E-3</v>
      </c>
      <c r="G2069">
        <f t="shared" si="130"/>
        <v>-0.36932182312011008</v>
      </c>
      <c r="H2069">
        <f t="shared" si="131"/>
        <v>-0.1399993896484375</v>
      </c>
    </row>
    <row r="2070" spans="1:8" x14ac:dyDescent="0.2">
      <c r="A2070" t="s">
        <v>12</v>
      </c>
      <c r="B2070" s="2">
        <v>45855</v>
      </c>
      <c r="C2070">
        <v>18.757741928100589</v>
      </c>
      <c r="D2070">
        <f>_xlfn.XLOOKUP(B2070, Oil_Price!A:A, Oil_Price!B:B, "")</f>
        <v>67.540000915527344</v>
      </c>
      <c r="E2070">
        <f t="shared" si="128"/>
        <v>9.4140867969380263E-3</v>
      </c>
      <c r="F2070">
        <f t="shared" si="129"/>
        <v>1.7475199007328149E-2</v>
      </c>
      <c r="G2070">
        <f t="shared" si="130"/>
        <v>0.17494010925292969</v>
      </c>
      <c r="H2070">
        <f t="shared" si="131"/>
        <v>1.160003662109375</v>
      </c>
    </row>
    <row r="2071" spans="1:8" x14ac:dyDescent="0.2">
      <c r="A2071" t="s">
        <v>12</v>
      </c>
      <c r="B2071" s="2">
        <v>45856</v>
      </c>
      <c r="C2071">
        <v>18.767457962036129</v>
      </c>
      <c r="D2071">
        <f>_xlfn.XLOOKUP(B2071, Oil_Price!A:A, Oil_Price!B:B, "")</f>
        <v>67.339996337890625</v>
      </c>
      <c r="E2071">
        <f t="shared" si="128"/>
        <v>5.1797460338146451E-4</v>
      </c>
      <c r="F2071">
        <f t="shared" si="129"/>
        <v>-2.9612759094697909E-3</v>
      </c>
      <c r="G2071">
        <f t="shared" si="130"/>
        <v>9.7160339355397696E-3</v>
      </c>
      <c r="H2071">
        <f t="shared" si="131"/>
        <v>-0.20000457763671875</v>
      </c>
    </row>
    <row r="2072" spans="1:8" x14ac:dyDescent="0.2">
      <c r="A2072" t="s">
        <v>12</v>
      </c>
      <c r="B2072" s="2">
        <v>45859</v>
      </c>
      <c r="C2072">
        <v>18.650833129882809</v>
      </c>
      <c r="D2072">
        <f>_xlfn.XLOOKUP(B2072, Oil_Price!A:A, Oil_Price!B:B, "")</f>
        <v>67.199996948242188</v>
      </c>
      <c r="E2072">
        <f t="shared" si="128"/>
        <v>-6.2142050558597539E-3</v>
      </c>
      <c r="F2072">
        <f t="shared" si="129"/>
        <v>-2.0789931283329037E-3</v>
      </c>
      <c r="G2072">
        <f t="shared" si="130"/>
        <v>-0.11662483215332031</v>
      </c>
      <c r="H2072">
        <f t="shared" si="131"/>
        <v>-0.1399993896484375</v>
      </c>
    </row>
    <row r="2073" spans="1:8" x14ac:dyDescent="0.2">
      <c r="A2073" t="s">
        <v>12</v>
      </c>
      <c r="B2073" s="2">
        <v>45860</v>
      </c>
      <c r="C2073">
        <v>18.91324615478516</v>
      </c>
      <c r="D2073">
        <f>_xlfn.XLOOKUP(B2073, Oil_Price!A:A, Oil_Price!B:B, "")</f>
        <v>66.209999084472656</v>
      </c>
      <c r="E2073">
        <f t="shared" si="128"/>
        <v>1.4069774957232686E-2</v>
      </c>
      <c r="F2073">
        <f t="shared" si="129"/>
        <v>-1.4732111737029291E-2</v>
      </c>
      <c r="G2073">
        <f t="shared" si="130"/>
        <v>0.26241302490235086</v>
      </c>
      <c r="H2073">
        <f t="shared" si="131"/>
        <v>-0.98999786376953125</v>
      </c>
    </row>
    <row r="2074" spans="1:8" x14ac:dyDescent="0.2">
      <c r="A2074" t="s">
        <v>12</v>
      </c>
      <c r="B2074" s="2">
        <v>45861</v>
      </c>
      <c r="C2074">
        <v>19.350603103637699</v>
      </c>
      <c r="D2074">
        <f>_xlfn.XLOOKUP(B2074, Oil_Price!A:A, Oil_Price!B:B, "")</f>
        <v>65.25</v>
      </c>
      <c r="E2074">
        <f t="shared" si="128"/>
        <v>2.3124372478062698E-2</v>
      </c>
      <c r="F2074">
        <f t="shared" si="129"/>
        <v>-1.4499306717220481E-2</v>
      </c>
      <c r="G2074">
        <f t="shared" si="130"/>
        <v>0.43735694885253906</v>
      </c>
      <c r="H2074">
        <f t="shared" si="131"/>
        <v>-0.95999908447265625</v>
      </c>
    </row>
    <row r="2075" spans="1:8" x14ac:dyDescent="0.2">
      <c r="A2075" t="s">
        <v>12</v>
      </c>
      <c r="B2075" s="2">
        <v>45862</v>
      </c>
      <c r="C2075">
        <v>19.06875038146973</v>
      </c>
      <c r="D2075">
        <f>_xlfn.XLOOKUP(B2075, Oil_Price!A:A, Oil_Price!B:B, "")</f>
        <v>66.029998779296875</v>
      </c>
      <c r="E2075">
        <f t="shared" si="128"/>
        <v>-1.4565578171306897E-2</v>
      </c>
      <c r="F2075">
        <f t="shared" si="129"/>
        <v>1.1954004280411877E-2</v>
      </c>
      <c r="G2075">
        <f t="shared" si="130"/>
        <v>-0.28185272216796875</v>
      </c>
      <c r="H2075">
        <f t="shared" si="131"/>
        <v>0.779998779296875</v>
      </c>
    </row>
    <row r="2076" spans="1:8" x14ac:dyDescent="0.2">
      <c r="A2076" t="s">
        <v>12</v>
      </c>
      <c r="B2076" s="2">
        <v>45863</v>
      </c>
      <c r="C2076">
        <v>19.292289733886719</v>
      </c>
      <c r="D2076">
        <f>_xlfn.XLOOKUP(B2076, Oil_Price!A:A, Oil_Price!B:B, "")</f>
        <v>65.160003662109375</v>
      </c>
      <c r="E2076">
        <f t="shared" si="128"/>
        <v>1.1722810773914974E-2</v>
      </c>
      <c r="F2076">
        <f t="shared" si="129"/>
        <v>-1.3175755463746568E-2</v>
      </c>
      <c r="G2076">
        <f t="shared" si="130"/>
        <v>0.22353935241698863</v>
      </c>
      <c r="H2076">
        <f t="shared" si="131"/>
        <v>-0.8699951171875</v>
      </c>
    </row>
    <row r="2077" spans="1:8" x14ac:dyDescent="0.2">
      <c r="A2077" t="s">
        <v>12</v>
      </c>
      <c r="B2077" s="2">
        <v>45866</v>
      </c>
      <c r="C2077">
        <v>20.030935287475589</v>
      </c>
      <c r="D2077">
        <f>_xlfn.XLOOKUP(B2077, Oil_Price!A:A, Oil_Price!B:B, "")</f>
        <v>66.709999084472656</v>
      </c>
      <c r="E2077">
        <f t="shared" si="128"/>
        <v>3.8287085865782278E-2</v>
      </c>
      <c r="F2077">
        <f t="shared" si="129"/>
        <v>2.3787528165296983E-2</v>
      </c>
      <c r="G2077">
        <f t="shared" si="130"/>
        <v>0.73864555358887074</v>
      </c>
      <c r="H2077">
        <f t="shared" si="131"/>
        <v>1.5499954223632812</v>
      </c>
    </row>
    <row r="2078" spans="1:8" x14ac:dyDescent="0.2">
      <c r="A2078" t="s">
        <v>12</v>
      </c>
      <c r="B2078" s="2">
        <v>45867</v>
      </c>
      <c r="C2078">
        <v>20.312788009643551</v>
      </c>
      <c r="D2078">
        <f>_xlfn.XLOOKUP(B2078, Oil_Price!A:A, Oil_Price!B:B, "")</f>
        <v>69.209999084472656</v>
      </c>
      <c r="E2078">
        <f t="shared" si="128"/>
        <v>1.4070871785212696E-2</v>
      </c>
      <c r="F2078">
        <f t="shared" si="129"/>
        <v>3.7475641347773564E-2</v>
      </c>
      <c r="G2078">
        <f t="shared" si="130"/>
        <v>0.28185272216796164</v>
      </c>
      <c r="H2078">
        <f t="shared" si="131"/>
        <v>2.5</v>
      </c>
    </row>
    <row r="2079" spans="1:8" x14ac:dyDescent="0.2">
      <c r="A2079" t="s">
        <v>12</v>
      </c>
      <c r="B2079" s="2">
        <v>45868</v>
      </c>
      <c r="C2079">
        <v>20.28363037109375</v>
      </c>
      <c r="D2079">
        <f>_xlfn.XLOOKUP(B2079, Oil_Price!A:A, Oil_Price!B:B, "")</f>
        <v>70</v>
      </c>
      <c r="E2079">
        <f t="shared" si="128"/>
        <v>-1.4354326218517354E-3</v>
      </c>
      <c r="F2079">
        <f t="shared" si="129"/>
        <v>1.1414548850999498E-2</v>
      </c>
      <c r="G2079">
        <f t="shared" si="130"/>
        <v>-2.9157638549801135E-2</v>
      </c>
      <c r="H2079">
        <f t="shared" si="131"/>
        <v>0.79000091552734375</v>
      </c>
    </row>
    <row r="2080" spans="1:8" x14ac:dyDescent="0.2">
      <c r="A2080" t="s">
        <v>12</v>
      </c>
      <c r="B2080" s="2">
        <v>45869</v>
      </c>
      <c r="C2080">
        <v>20.49744987487793</v>
      </c>
      <c r="D2080">
        <f>_xlfn.XLOOKUP(B2080, Oil_Price!A:A, Oil_Price!B:B, "")</f>
        <v>69.260002136230469</v>
      </c>
      <c r="E2080">
        <f t="shared" si="128"/>
        <v>1.0541480981081887E-2</v>
      </c>
      <c r="F2080">
        <f t="shared" si="129"/>
        <v>-1.0571398053850446E-2</v>
      </c>
      <c r="G2080">
        <f t="shared" si="130"/>
        <v>0.21381950378417969</v>
      </c>
      <c r="H2080">
        <f t="shared" si="131"/>
        <v>-0.73999786376953125</v>
      </c>
    </row>
    <row r="2081" spans="1:8" x14ac:dyDescent="0.2">
      <c r="A2081" t="s">
        <v>12</v>
      </c>
      <c r="B2081" s="2">
        <v>45870</v>
      </c>
      <c r="C2081">
        <v>19.855991363525391</v>
      </c>
      <c r="D2081">
        <f>_xlfn.XLOOKUP(B2081, Oil_Price!A:A, Oil_Price!B:B, "")</f>
        <v>67.330001831054688</v>
      </c>
      <c r="E2081">
        <f t="shared" si="128"/>
        <v>-3.1294552018332922E-2</v>
      </c>
      <c r="F2081">
        <f t="shared" si="129"/>
        <v>-2.78660156749574E-2</v>
      </c>
      <c r="G2081">
        <f t="shared" si="130"/>
        <v>-0.64145851135253906</v>
      </c>
      <c r="H2081">
        <f t="shared" si="131"/>
        <v>-1.9300003051757812</v>
      </c>
    </row>
    <row r="2082" spans="1:8" x14ac:dyDescent="0.2">
      <c r="A2082" t="s">
        <v>12</v>
      </c>
      <c r="B2082" s="2">
        <v>45874</v>
      </c>
      <c r="C2082">
        <v>20.205877304077148</v>
      </c>
      <c r="D2082">
        <f>_xlfn.XLOOKUP(B2082, Oil_Price!A:A, Oil_Price!B:B, "")</f>
        <v>65.160003662109375</v>
      </c>
      <c r="E2082">
        <f t="shared" si="128"/>
        <v>1.7621177112036993E-2</v>
      </c>
      <c r="F2082">
        <f t="shared" si="129"/>
        <v>-3.2229290211372635E-2</v>
      </c>
      <c r="G2082">
        <f t="shared" si="130"/>
        <v>0.34988594055175781</v>
      </c>
      <c r="H2082">
        <f t="shared" si="131"/>
        <v>-2.1699981689453125</v>
      </c>
    </row>
    <row r="2083" spans="1:8" x14ac:dyDescent="0.2">
      <c r="A2083" t="s">
        <v>12</v>
      </c>
      <c r="B2083" s="2">
        <v>45875</v>
      </c>
      <c r="C2083">
        <v>19.81711578369141</v>
      </c>
      <c r="D2083">
        <f>_xlfn.XLOOKUP(B2083, Oil_Price!A:A, Oil_Price!B:B, "")</f>
        <v>64.349998474121094</v>
      </c>
      <c r="E2083">
        <f t="shared" si="128"/>
        <v>-1.9240021828069508E-2</v>
      </c>
      <c r="F2083">
        <f t="shared" si="129"/>
        <v>-1.2431018147092283E-2</v>
      </c>
      <c r="G2083">
        <f t="shared" si="130"/>
        <v>-0.38876152038573863</v>
      </c>
      <c r="H2083">
        <f t="shared" si="131"/>
        <v>-0.81000518798828125</v>
      </c>
    </row>
    <row r="2084" spans="1:8" x14ac:dyDescent="0.2">
      <c r="A2084" t="s">
        <v>12</v>
      </c>
      <c r="B2084" s="2">
        <v>45876</v>
      </c>
      <c r="C2084">
        <v>19.661613464355469</v>
      </c>
      <c r="D2084">
        <f>_xlfn.XLOOKUP(B2084, Oil_Price!A:A, Oil_Price!B:B, "")</f>
        <v>63.880001068115227</v>
      </c>
      <c r="E2084">
        <f t="shared" si="128"/>
        <v>-7.8468693947841006E-3</v>
      </c>
      <c r="F2084">
        <f t="shared" si="129"/>
        <v>-7.3037671662864135E-3</v>
      </c>
      <c r="G2084">
        <f t="shared" si="130"/>
        <v>-0.15550231933594105</v>
      </c>
      <c r="H2084">
        <f t="shared" si="131"/>
        <v>-0.46999740600586648</v>
      </c>
    </row>
    <row r="2085" spans="1:8" x14ac:dyDescent="0.2">
      <c r="A2085" t="s">
        <v>12</v>
      </c>
      <c r="B2085" s="2">
        <v>45877</v>
      </c>
      <c r="C2085">
        <v>19.894868850708011</v>
      </c>
      <c r="D2085">
        <f>_xlfn.XLOOKUP(B2085, Oil_Price!A:A, Oil_Price!B:B, "")</f>
        <v>63.880001068115227</v>
      </c>
      <c r="E2085">
        <f t="shared" si="128"/>
        <v>1.1863491608936938E-2</v>
      </c>
      <c r="F2085">
        <f t="shared" si="129"/>
        <v>0</v>
      </c>
      <c r="G2085">
        <f t="shared" si="130"/>
        <v>0.23325538635254262</v>
      </c>
      <c r="H2085">
        <f t="shared" si="131"/>
        <v>0</v>
      </c>
    </row>
    <row r="2086" spans="1:8" x14ac:dyDescent="0.2">
      <c r="A2086" t="s">
        <v>12</v>
      </c>
      <c r="B2086" s="2">
        <v>45880</v>
      </c>
      <c r="C2086">
        <v>19.43807220458984</v>
      </c>
      <c r="D2086">
        <f>_xlfn.XLOOKUP(B2086, Oil_Price!A:A, Oil_Price!B:B, "")</f>
        <v>63.959999084472663</v>
      </c>
      <c r="E2086">
        <f t="shared" si="128"/>
        <v>-2.2960525628291078E-2</v>
      </c>
      <c r="F2086">
        <f t="shared" si="129"/>
        <v>1.2523170792081582E-3</v>
      </c>
      <c r="G2086">
        <f t="shared" si="130"/>
        <v>-0.45679664611817117</v>
      </c>
      <c r="H2086">
        <f t="shared" si="131"/>
        <v>7.9998016357436086E-2</v>
      </c>
    </row>
    <row r="2087" spans="1:8" x14ac:dyDescent="0.2">
      <c r="A2087" t="s">
        <v>12</v>
      </c>
      <c r="B2087" s="2">
        <v>45881</v>
      </c>
      <c r="C2087">
        <v>19.855991363525391</v>
      </c>
      <c r="D2087">
        <f>_xlfn.XLOOKUP(B2087, Oil_Price!A:A, Oil_Price!B:B, "")</f>
        <v>63.169998168945312</v>
      </c>
      <c r="E2087">
        <f t="shared" si="128"/>
        <v>2.1500031203550561E-2</v>
      </c>
      <c r="F2087">
        <f t="shared" si="129"/>
        <v>-1.2351484159403882E-2</v>
      </c>
      <c r="G2087">
        <f t="shared" si="130"/>
        <v>0.41791915893555043</v>
      </c>
      <c r="H2087">
        <f t="shared" si="131"/>
        <v>-0.79000091552735086</v>
      </c>
    </row>
    <row r="2088" spans="1:8" x14ac:dyDescent="0.2">
      <c r="A2088" t="s">
        <v>12</v>
      </c>
      <c r="B2088" s="2">
        <v>45882</v>
      </c>
      <c r="C2088">
        <v>20.137845993041989</v>
      </c>
      <c r="D2088">
        <f>_xlfn.XLOOKUP(B2088, Oil_Price!A:A, Oil_Price!B:B, "")</f>
        <v>62.650001525878913</v>
      </c>
      <c r="E2088">
        <f t="shared" si="128"/>
        <v>1.4194941182053137E-2</v>
      </c>
      <c r="F2088">
        <f t="shared" si="129"/>
        <v>-8.231702677522509E-3</v>
      </c>
      <c r="G2088">
        <f t="shared" si="130"/>
        <v>0.28185462951659801</v>
      </c>
      <c r="H2088">
        <f t="shared" si="131"/>
        <v>-0.51999664306639914</v>
      </c>
    </row>
    <row r="2089" spans="1:8" x14ac:dyDescent="0.2">
      <c r="A2089" t="s">
        <v>12</v>
      </c>
      <c r="B2089" s="2">
        <v>45883</v>
      </c>
      <c r="C2089">
        <v>20.322504043579102</v>
      </c>
      <c r="D2089">
        <f>_xlfn.XLOOKUP(B2089, Oil_Price!A:A, Oil_Price!B:B, "")</f>
        <v>63.959999084472663</v>
      </c>
      <c r="E2089">
        <f t="shared" si="128"/>
        <v>9.1697021916304165E-3</v>
      </c>
      <c r="F2089">
        <f t="shared" si="129"/>
        <v>2.0909776962297882E-2</v>
      </c>
      <c r="G2089">
        <f t="shared" si="130"/>
        <v>0.18465805053711293</v>
      </c>
      <c r="H2089">
        <f t="shared" si="131"/>
        <v>1.30999755859375</v>
      </c>
    </row>
    <row r="2090" spans="1:8" x14ac:dyDescent="0.2">
      <c r="A2090" t="s">
        <v>12</v>
      </c>
      <c r="B2090" s="2">
        <v>45884</v>
      </c>
      <c r="C2090">
        <v>20.186441421508789</v>
      </c>
      <c r="D2090">
        <f>_xlfn.XLOOKUP(B2090, Oil_Price!A:A, Oil_Price!B:B, "")</f>
        <v>62.799999237060547</v>
      </c>
      <c r="E2090">
        <f t="shared" si="128"/>
        <v>-6.6951701315223263E-3</v>
      </c>
      <c r="F2090">
        <f t="shared" si="129"/>
        <v>-1.8136333083433789E-2</v>
      </c>
      <c r="G2090">
        <f t="shared" si="130"/>
        <v>-0.1360626220703125</v>
      </c>
      <c r="H2090">
        <f t="shared" si="131"/>
        <v>-1.1599998474121165</v>
      </c>
    </row>
    <row r="2091" spans="1:8" x14ac:dyDescent="0.2">
      <c r="A2091" t="s">
        <v>12</v>
      </c>
      <c r="B2091" s="2">
        <v>45887</v>
      </c>
      <c r="C2091">
        <v>20.079530715942379</v>
      </c>
      <c r="D2091">
        <f>_xlfn.XLOOKUP(B2091, Oil_Price!A:A, Oil_Price!B:B, "")</f>
        <v>63.419998168945312</v>
      </c>
      <c r="E2091">
        <f t="shared" si="128"/>
        <v>-5.2961640605211245E-3</v>
      </c>
      <c r="F2091">
        <f t="shared" si="129"/>
        <v>9.8725945767031455E-3</v>
      </c>
      <c r="G2091">
        <f t="shared" si="130"/>
        <v>-0.1069107055664098</v>
      </c>
      <c r="H2091">
        <f t="shared" si="131"/>
        <v>0.61999893188476562</v>
      </c>
    </row>
    <row r="2092" spans="1:8" x14ac:dyDescent="0.2">
      <c r="A2092" t="s">
        <v>12</v>
      </c>
      <c r="B2092" s="2">
        <v>45888</v>
      </c>
      <c r="C2092">
        <v>20.030935287475589</v>
      </c>
      <c r="D2092">
        <f>_xlfn.XLOOKUP(B2092, Oil_Price!A:A, Oil_Price!B:B, "")</f>
        <v>62.349998474121087</v>
      </c>
      <c r="E2092">
        <f t="shared" si="128"/>
        <v>-2.4201476196954574E-3</v>
      </c>
      <c r="F2092">
        <f t="shared" si="129"/>
        <v>-1.6871644997116533E-2</v>
      </c>
      <c r="G2092">
        <f t="shared" si="130"/>
        <v>-4.859542846678977E-2</v>
      </c>
      <c r="H2092">
        <f t="shared" si="131"/>
        <v>-1.0699996948242259</v>
      </c>
    </row>
    <row r="2093" spans="1:8" x14ac:dyDescent="0.2">
      <c r="A2093" t="s">
        <v>12</v>
      </c>
      <c r="B2093" s="2">
        <v>45889</v>
      </c>
      <c r="C2093">
        <v>20.215597152709961</v>
      </c>
      <c r="D2093">
        <f>_xlfn.XLOOKUP(B2093, Oil_Price!A:A, Oil_Price!B:B, "")</f>
        <v>63.209999084472663</v>
      </c>
      <c r="E2093">
        <f t="shared" si="128"/>
        <v>9.2188338978775441E-3</v>
      </c>
      <c r="F2093">
        <f t="shared" si="129"/>
        <v>1.3793113574951048E-2</v>
      </c>
      <c r="G2093">
        <f t="shared" si="130"/>
        <v>0.18466186523437145</v>
      </c>
      <c r="H2093">
        <f t="shared" si="131"/>
        <v>0.86000061035157671</v>
      </c>
    </row>
    <row r="2094" spans="1:8" x14ac:dyDescent="0.2">
      <c r="A2094" t="s">
        <v>12</v>
      </c>
      <c r="B2094" s="2">
        <v>45890</v>
      </c>
      <c r="C2094">
        <v>20.575201034545898</v>
      </c>
      <c r="D2094">
        <f>_xlfn.XLOOKUP(B2094, Oil_Price!A:A, Oil_Price!B:B, "")</f>
        <v>63.520000457763672</v>
      </c>
      <c r="E2094">
        <f t="shared" si="128"/>
        <v>1.7788437270463295E-2</v>
      </c>
      <c r="F2094">
        <f t="shared" si="129"/>
        <v>4.904309093197873E-3</v>
      </c>
      <c r="G2094">
        <f t="shared" si="130"/>
        <v>0.3596038818359375</v>
      </c>
      <c r="H2094">
        <f t="shared" si="131"/>
        <v>0.31000137329100852</v>
      </c>
    </row>
    <row r="2095" spans="1:8" x14ac:dyDescent="0.2">
      <c r="A2095" t="s">
        <v>12</v>
      </c>
      <c r="B2095" s="2">
        <v>45891</v>
      </c>
      <c r="C2095">
        <v>22.042778015136719</v>
      </c>
      <c r="D2095">
        <f>_xlfn.XLOOKUP(B2095, Oil_Price!A:A, Oil_Price!B:B, "")</f>
        <v>63.659999847412109</v>
      </c>
      <c r="E2095">
        <f t="shared" si="128"/>
        <v>7.1327467378167961E-2</v>
      </c>
      <c r="F2095">
        <f t="shared" si="129"/>
        <v>2.2040206020075086E-3</v>
      </c>
      <c r="G2095">
        <f t="shared" si="130"/>
        <v>1.4675769805908203</v>
      </c>
      <c r="H2095">
        <f t="shared" si="131"/>
        <v>0.1399993896484375</v>
      </c>
    </row>
    <row r="2096" spans="1:8" x14ac:dyDescent="0.2">
      <c r="A2096" t="s">
        <v>12</v>
      </c>
      <c r="B2096" s="2">
        <v>45894</v>
      </c>
      <c r="C2096">
        <v>22.499570846557621</v>
      </c>
      <c r="D2096">
        <f>_xlfn.XLOOKUP(B2096, Oil_Price!A:A, Oil_Price!B:B, "")</f>
        <v>64.800003051757812</v>
      </c>
      <c r="E2096">
        <f t="shared" si="128"/>
        <v>2.0723015543105482E-2</v>
      </c>
      <c r="F2096">
        <f t="shared" si="129"/>
        <v>1.7907684685488517E-2</v>
      </c>
      <c r="G2096">
        <f t="shared" si="130"/>
        <v>0.45679283142090199</v>
      </c>
      <c r="H2096">
        <f t="shared" si="131"/>
        <v>1.1400032043457031</v>
      </c>
    </row>
    <row r="2097" spans="1:8" x14ac:dyDescent="0.2">
      <c r="A2097" t="s">
        <v>12</v>
      </c>
      <c r="B2097" s="2">
        <v>45895</v>
      </c>
      <c r="C2097">
        <v>22.470413208007809</v>
      </c>
      <c r="D2097">
        <f>_xlfn.XLOOKUP(B2097, Oil_Price!A:A, Oil_Price!B:B, "")</f>
        <v>63.25</v>
      </c>
      <c r="E2097">
        <f t="shared" si="128"/>
        <v>-1.2959197643662096E-3</v>
      </c>
      <c r="F2097">
        <f t="shared" si="129"/>
        <v>-2.3919799054944117E-2</v>
      </c>
      <c r="G2097">
        <f t="shared" si="130"/>
        <v>-2.9157638549811793E-2</v>
      </c>
      <c r="H2097">
        <f t="shared" si="131"/>
        <v>-1.5500030517578125</v>
      </c>
    </row>
    <row r="2098" spans="1:8" x14ac:dyDescent="0.2">
      <c r="A2098" t="s">
        <v>12</v>
      </c>
      <c r="B2098" s="2">
        <v>45896</v>
      </c>
      <c r="C2098">
        <v>22.723110198974609</v>
      </c>
      <c r="D2098">
        <f>_xlfn.XLOOKUP(B2098, Oil_Price!A:A, Oil_Price!B:B, "")</f>
        <v>64.150001525878906</v>
      </c>
      <c r="E2098">
        <f t="shared" si="128"/>
        <v>1.1245765203674426E-2</v>
      </c>
      <c r="F2098">
        <f t="shared" si="129"/>
        <v>1.4229273136425396E-2</v>
      </c>
      <c r="G2098">
        <f t="shared" si="130"/>
        <v>0.25269699096680043</v>
      </c>
      <c r="H2098">
        <f t="shared" si="131"/>
        <v>0.90000152587890625</v>
      </c>
    </row>
    <row r="2099" spans="1:8" x14ac:dyDescent="0.2">
      <c r="A2099" t="s">
        <v>12</v>
      </c>
      <c r="B2099" s="2">
        <v>45897</v>
      </c>
      <c r="C2099">
        <v>22.684232711791989</v>
      </c>
      <c r="D2099">
        <f>_xlfn.XLOOKUP(B2099, Oil_Price!A:A, Oil_Price!B:B, "")</f>
        <v>64.599998474121094</v>
      </c>
      <c r="E2099">
        <f t="shared" si="128"/>
        <v>-1.7109227936752736E-3</v>
      </c>
      <c r="F2099">
        <f t="shared" si="129"/>
        <v>7.0147613022371194E-3</v>
      </c>
      <c r="G2099">
        <f t="shared" si="130"/>
        <v>-3.887748718262074E-2</v>
      </c>
      <c r="H2099">
        <f t="shared" si="131"/>
        <v>0.4499969482421875</v>
      </c>
    </row>
    <row r="2100" spans="1:8" x14ac:dyDescent="0.2">
      <c r="A2100" t="s">
        <v>12</v>
      </c>
      <c r="B2100" s="2">
        <v>45898</v>
      </c>
      <c r="C2100">
        <v>22.19828033447266</v>
      </c>
      <c r="D2100">
        <f>_xlfn.XLOOKUP(B2100, Oil_Price!A:A, Oil_Price!B:B, "")</f>
        <v>64.010002136230469</v>
      </c>
      <c r="E2100">
        <f t="shared" si="128"/>
        <v>-2.1422473640323538E-2</v>
      </c>
      <c r="F2100">
        <f t="shared" si="129"/>
        <v>-9.1330704617118355E-3</v>
      </c>
      <c r="G2100">
        <f t="shared" si="130"/>
        <v>-0.48595237731932883</v>
      </c>
      <c r="H2100">
        <f t="shared" si="131"/>
        <v>-0.589996337890625</v>
      </c>
    </row>
    <row r="2101" spans="1:8" x14ac:dyDescent="0.2">
      <c r="A2101" t="s">
        <v>12</v>
      </c>
      <c r="B2101" s="2">
        <v>45902</v>
      </c>
      <c r="C2101">
        <v>22.742547988891602</v>
      </c>
      <c r="D2101">
        <f>_xlfn.XLOOKUP(B2101, Oil_Price!A:A, Oil_Price!B:B, "")</f>
        <v>65.589996337890625</v>
      </c>
      <c r="E2101">
        <f t="shared" si="128"/>
        <v>2.4518460268912148E-2</v>
      </c>
      <c r="F2101">
        <f t="shared" si="129"/>
        <v>2.4683551772073126E-2</v>
      </c>
      <c r="G2101">
        <f t="shared" si="130"/>
        <v>0.54426765441894176</v>
      </c>
      <c r="H2101">
        <f t="shared" si="131"/>
        <v>1.5799942016601562</v>
      </c>
    </row>
    <row r="2102" spans="1:8" x14ac:dyDescent="0.2">
      <c r="A2102" t="s">
        <v>12</v>
      </c>
      <c r="B2102" s="2">
        <v>45903</v>
      </c>
      <c r="C2102">
        <v>22.120529174804691</v>
      </c>
      <c r="D2102">
        <f>_xlfn.XLOOKUP(B2102, Oil_Price!A:A, Oil_Price!B:B, "")</f>
        <v>63.970001220703118</v>
      </c>
      <c r="E2102">
        <f t="shared" si="128"/>
        <v>-2.7350445270720333E-2</v>
      </c>
      <c r="F2102">
        <f t="shared" si="129"/>
        <v>-2.469881396001319E-2</v>
      </c>
      <c r="G2102">
        <f t="shared" si="130"/>
        <v>-0.62201881408691051</v>
      </c>
      <c r="H2102">
        <f t="shared" si="131"/>
        <v>-1.6199951171875071</v>
      </c>
    </row>
    <row r="2103" spans="1:8" x14ac:dyDescent="0.2">
      <c r="A2103" t="s">
        <v>12</v>
      </c>
      <c r="B2103" s="2">
        <v>45904</v>
      </c>
      <c r="C2103">
        <v>22.159402847290039</v>
      </c>
      <c r="D2103">
        <f>_xlfn.XLOOKUP(B2103, Oil_Price!A:A, Oil_Price!B:B, "")</f>
        <v>63.479999542236328</v>
      </c>
      <c r="E2103">
        <f t="shared" si="128"/>
        <v>1.7573572575119573E-3</v>
      </c>
      <c r="F2103">
        <f t="shared" si="129"/>
        <v>-7.6598666424318694E-3</v>
      </c>
      <c r="G2103">
        <f t="shared" si="130"/>
        <v>3.887367248534801E-2</v>
      </c>
      <c r="H2103">
        <f t="shared" si="131"/>
        <v>-0.49000167846678977</v>
      </c>
    </row>
    <row r="2104" spans="1:8" x14ac:dyDescent="0.2">
      <c r="A2104" t="s">
        <v>12</v>
      </c>
      <c r="B2104" s="2">
        <v>45905</v>
      </c>
      <c r="C2104">
        <v>21.48879241943359</v>
      </c>
      <c r="D2104">
        <f>_xlfn.XLOOKUP(B2104, Oil_Price!A:A, Oil_Price!B:B, "")</f>
        <v>61.869998931884773</v>
      </c>
      <c r="E2104">
        <f t="shared" si="128"/>
        <v>-3.0263018930515109E-2</v>
      </c>
      <c r="F2104">
        <f t="shared" si="129"/>
        <v>-2.5362328638335038E-2</v>
      </c>
      <c r="G2104">
        <f t="shared" si="130"/>
        <v>-0.67061042785644887</v>
      </c>
      <c r="H2104">
        <f t="shared" si="131"/>
        <v>-1.6100006103515554</v>
      </c>
    </row>
    <row r="2105" spans="1:8" x14ac:dyDescent="0.2">
      <c r="A2105" t="s">
        <v>12</v>
      </c>
      <c r="B2105" s="2">
        <v>45908</v>
      </c>
      <c r="C2105">
        <v>21.49851036071777</v>
      </c>
      <c r="D2105">
        <f>_xlfn.XLOOKUP(B2105, Oil_Price!A:A, Oil_Price!B:B, "")</f>
        <v>62.259998321533203</v>
      </c>
      <c r="E2105">
        <f t="shared" si="128"/>
        <v>4.5223301032919731E-4</v>
      </c>
      <c r="F2105">
        <f t="shared" si="129"/>
        <v>6.3035299237324503E-3</v>
      </c>
      <c r="G2105">
        <f t="shared" si="130"/>
        <v>9.7179412841796875E-3</v>
      </c>
      <c r="H2105">
        <f t="shared" si="131"/>
        <v>0.38999938964843039</v>
      </c>
    </row>
    <row r="2106" spans="1:8" x14ac:dyDescent="0.2">
      <c r="A2106" t="s">
        <v>12</v>
      </c>
      <c r="B2106" s="2">
        <v>45909</v>
      </c>
      <c r="C2106">
        <v>21.93586540222168</v>
      </c>
      <c r="D2106">
        <f>_xlfn.XLOOKUP(B2106, Oil_Price!A:A, Oil_Price!B:B, "")</f>
        <v>62.630001068115227</v>
      </c>
      <c r="E2106">
        <f t="shared" si="128"/>
        <v>2.0343504464525507E-2</v>
      </c>
      <c r="F2106">
        <f t="shared" si="129"/>
        <v>5.9428647053794605E-3</v>
      </c>
      <c r="G2106">
        <f t="shared" si="130"/>
        <v>0.4373550415039098</v>
      </c>
      <c r="H2106">
        <f t="shared" si="131"/>
        <v>0.37000274658202414</v>
      </c>
    </row>
    <row r="2107" spans="1:8" x14ac:dyDescent="0.2">
      <c r="A2107" t="s">
        <v>12</v>
      </c>
      <c r="B2107" s="2">
        <v>45910</v>
      </c>
      <c r="C2107">
        <v>23.014680862426761</v>
      </c>
      <c r="D2107">
        <f>_xlfn.XLOOKUP(B2107, Oil_Price!A:A, Oil_Price!B:B, "")</f>
        <v>63.669998168945312</v>
      </c>
      <c r="E2107">
        <f t="shared" si="128"/>
        <v>4.9180437626856449E-2</v>
      </c>
      <c r="F2107">
        <f t="shared" si="129"/>
        <v>1.6605414068235503E-2</v>
      </c>
      <c r="G2107">
        <f t="shared" si="130"/>
        <v>1.0788154602050817</v>
      </c>
      <c r="H2107">
        <f t="shared" si="131"/>
        <v>1.0399971008300852</v>
      </c>
    </row>
    <row r="2108" spans="1:8" x14ac:dyDescent="0.2">
      <c r="A2108" t="s">
        <v>12</v>
      </c>
      <c r="B2108" s="2">
        <v>45911</v>
      </c>
      <c r="C2108">
        <v>22.723110198974609</v>
      </c>
      <c r="D2108">
        <f>_xlfn.XLOOKUP(B2108, Oil_Price!A:A, Oil_Price!B:B, "")</f>
        <v>62.369998931884773</v>
      </c>
      <c r="E2108">
        <f t="shared" si="128"/>
        <v>-1.2668898830057798E-2</v>
      </c>
      <c r="F2108">
        <f t="shared" si="129"/>
        <v>-2.0417767778334997E-2</v>
      </c>
      <c r="G2108">
        <f t="shared" si="130"/>
        <v>-0.29157066345215199</v>
      </c>
      <c r="H2108">
        <f t="shared" si="131"/>
        <v>-1.2999992370605398</v>
      </c>
    </row>
    <row r="2109" spans="1:8" x14ac:dyDescent="0.2">
      <c r="A2109" t="s">
        <v>12</v>
      </c>
      <c r="B2109" s="2">
        <v>45912</v>
      </c>
      <c r="C2109">
        <v>22.723110198974609</v>
      </c>
      <c r="D2109">
        <f>_xlfn.XLOOKUP(B2109, Oil_Price!A:A, Oil_Price!B:B, "")</f>
        <v>62.689998626708977</v>
      </c>
      <c r="E2109">
        <f t="shared" si="128"/>
        <v>0</v>
      </c>
      <c r="F2109">
        <f t="shared" si="129"/>
        <v>5.130666992213373E-3</v>
      </c>
      <c r="G2109">
        <f t="shared" si="130"/>
        <v>0</v>
      </c>
      <c r="H2109">
        <f t="shared" si="131"/>
        <v>0.31999969482420454</v>
      </c>
    </row>
    <row r="2110" spans="1:8" x14ac:dyDescent="0.2">
      <c r="A2110" t="s">
        <v>12</v>
      </c>
      <c r="B2110" s="2">
        <v>45915</v>
      </c>
      <c r="C2110">
        <v>23.144634246826168</v>
      </c>
      <c r="D2110">
        <f>_xlfn.XLOOKUP(B2110, Oil_Price!A:A, Oil_Price!B:B, "")</f>
        <v>63.299999237060547</v>
      </c>
      <c r="E2110">
        <f t="shared" si="128"/>
        <v>1.8550455644517377E-2</v>
      </c>
      <c r="F2110">
        <f t="shared" si="129"/>
        <v>9.7304294738280589E-3</v>
      </c>
      <c r="G2110">
        <f t="shared" si="130"/>
        <v>0.42152404785155895</v>
      </c>
      <c r="H2110">
        <f t="shared" si="131"/>
        <v>0.61000061035156961</v>
      </c>
    </row>
    <row r="2111" spans="1:8" x14ac:dyDescent="0.2">
      <c r="A2111" t="s">
        <v>12</v>
      </c>
      <c r="B2111" s="2">
        <v>45916</v>
      </c>
      <c r="C2111">
        <v>23.693595886230469</v>
      </c>
      <c r="D2111">
        <f>_xlfn.XLOOKUP(B2111, Oil_Price!A:A, Oil_Price!B:B, "")</f>
        <v>64.519996643066406</v>
      </c>
      <c r="E2111">
        <f t="shared" si="128"/>
        <v>2.3718743340244392E-2</v>
      </c>
      <c r="F2111">
        <f t="shared" si="129"/>
        <v>1.9273260990682314E-2</v>
      </c>
      <c r="G2111">
        <f t="shared" si="130"/>
        <v>0.54896163940430043</v>
      </c>
      <c r="H2111">
        <f t="shared" si="131"/>
        <v>1.2199974060058594</v>
      </c>
    </row>
    <row r="2112" spans="1:8" x14ac:dyDescent="0.2">
      <c r="A2112" t="s">
        <v>12</v>
      </c>
      <c r="B2112" s="2">
        <v>45917</v>
      </c>
      <c r="C2112">
        <v>23.546552658081051</v>
      </c>
      <c r="D2112">
        <f>_xlfn.XLOOKUP(B2112, Oil_Price!A:A, Oil_Price!B:B, "")</f>
        <v>64.050003051757812</v>
      </c>
      <c r="E2112">
        <f t="shared" si="128"/>
        <v>-6.2060325859981339E-3</v>
      </c>
      <c r="F2112">
        <f t="shared" si="129"/>
        <v>-7.2844639764732735E-3</v>
      </c>
      <c r="G2112">
        <f t="shared" si="130"/>
        <v>-0.14704322814941762</v>
      </c>
      <c r="H2112">
        <f t="shared" si="131"/>
        <v>-0.46999359130859375</v>
      </c>
    </row>
    <row r="2113" spans="1:8" x14ac:dyDescent="0.2">
      <c r="A2113" t="s">
        <v>12</v>
      </c>
      <c r="B2113" s="2">
        <v>45918</v>
      </c>
      <c r="C2113">
        <v>23.59556770324707</v>
      </c>
      <c r="D2113">
        <f>_xlfn.XLOOKUP(B2113, Oil_Price!A:A, Oil_Price!B:B, "")</f>
        <v>63.569999694824219</v>
      </c>
      <c r="E2113">
        <f t="shared" si="128"/>
        <v>2.0816229822584018E-3</v>
      </c>
      <c r="F2113">
        <f t="shared" si="129"/>
        <v>-7.4941972531322211E-3</v>
      </c>
      <c r="G2113">
        <f t="shared" si="130"/>
        <v>4.9015045166019178E-2</v>
      </c>
      <c r="H2113">
        <f t="shared" si="131"/>
        <v>-0.48000335693359375</v>
      </c>
    </row>
    <row r="2114" spans="1:8" x14ac:dyDescent="0.2">
      <c r="A2114" t="s">
        <v>12</v>
      </c>
      <c r="B2114" s="2">
        <v>45919</v>
      </c>
      <c r="C2114">
        <v>22.948575973510739</v>
      </c>
      <c r="D2114">
        <f>_xlfn.XLOOKUP(B2114, Oil_Price!A:A, Oil_Price!B:B, "")</f>
        <v>62.680000305175781</v>
      </c>
      <c r="E2114">
        <f t="shared" si="128"/>
        <v>-2.7420053540279807E-2</v>
      </c>
      <c r="F2114">
        <f t="shared" si="129"/>
        <v>-1.4000305079770198E-2</v>
      </c>
      <c r="G2114">
        <f t="shared" si="130"/>
        <v>-0.64699172973633168</v>
      </c>
      <c r="H2114">
        <f t="shared" si="131"/>
        <v>-0.8899993896484375</v>
      </c>
    </row>
    <row r="2115" spans="1:8" x14ac:dyDescent="0.2">
      <c r="A2115" t="s">
        <v>12</v>
      </c>
      <c r="B2115" s="2">
        <v>45922</v>
      </c>
      <c r="C2115">
        <v>23.144634246826168</v>
      </c>
      <c r="D2115">
        <f>_xlfn.XLOOKUP(B2115, Oil_Price!A:A, Oil_Price!B:B, "")</f>
        <v>62.639999389648438</v>
      </c>
      <c r="E2115">
        <f t="shared" ref="E2115:E2178" si="132">IFERROR(IF(AND(A2115=A2114, C2115&lt;&gt;"", C2114&lt;&gt;""), (C2115-C2114)/C2114, ""), "")</f>
        <v>8.5433742617292401E-3</v>
      </c>
      <c r="F2115">
        <f t="shared" ref="F2115:F2178" si="133">IFERROR(IF(AND(A2115=A2114, D2115&lt;&gt;"", D2114&lt;&gt;""), (D2115-D2114)/D2114, ""), "")</f>
        <v>-6.381766964356681E-4</v>
      </c>
      <c r="G2115">
        <f t="shared" ref="G2115:G2178" si="134">IFERROR(IF(AND(A2115=A2114, C2115&lt;&gt;"", C2114&lt;&gt;""), C2115-C2114, ""), "")</f>
        <v>0.19605827331542969</v>
      </c>
      <c r="H2115">
        <f t="shared" ref="H2115:H2178" si="135">IFERROR(IF(AND(A2115=A2114, D2115&lt;&gt;"", D2114&lt;&gt;""), D2115-D2114, ""), "")</f>
        <v>-4.000091552734375E-2</v>
      </c>
    </row>
    <row r="2116" spans="1:8" x14ac:dyDescent="0.2">
      <c r="A2116" t="s">
        <v>12</v>
      </c>
      <c r="B2116" s="2">
        <v>45923</v>
      </c>
      <c r="C2116">
        <v>23.497537612915039</v>
      </c>
      <c r="D2116">
        <f>_xlfn.XLOOKUP(B2116, Oil_Price!A:A, Oil_Price!B:B, "")</f>
        <v>63.409999847412109</v>
      </c>
      <c r="E2116">
        <f t="shared" si="132"/>
        <v>1.5247740030165501E-2</v>
      </c>
      <c r="F2116">
        <f t="shared" si="133"/>
        <v>1.229247230629632E-2</v>
      </c>
      <c r="G2116">
        <f t="shared" si="134"/>
        <v>0.35290336608887074</v>
      </c>
      <c r="H2116">
        <f t="shared" si="135"/>
        <v>0.77000045776367188</v>
      </c>
    </row>
    <row r="2117" spans="1:8" x14ac:dyDescent="0.2">
      <c r="A2117" t="s">
        <v>12</v>
      </c>
      <c r="B2117" s="2">
        <v>45924</v>
      </c>
      <c r="C2117">
        <v>24.262163162231449</v>
      </c>
      <c r="D2117">
        <f>_xlfn.XLOOKUP(B2117, Oil_Price!A:A, Oil_Price!B:B, "")</f>
        <v>64.989997863769531</v>
      </c>
      <c r="E2117">
        <f t="shared" si="132"/>
        <v>3.2540667107865198E-2</v>
      </c>
      <c r="F2117">
        <f t="shared" si="133"/>
        <v>2.4917174265249659E-2</v>
      </c>
      <c r="G2117">
        <f t="shared" si="134"/>
        <v>0.7646255493164098</v>
      </c>
      <c r="H2117">
        <f t="shared" si="135"/>
        <v>1.5799980163574219</v>
      </c>
    </row>
    <row r="2118" spans="1:8" x14ac:dyDescent="0.2">
      <c r="A2118" t="s">
        <v>12</v>
      </c>
      <c r="B2118" s="2">
        <v>45925</v>
      </c>
      <c r="C2118">
        <v>24.164133071899411</v>
      </c>
      <c r="D2118">
        <f>_xlfn.XLOOKUP(B2118, Oil_Price!A:A, Oil_Price!B:B, "")</f>
        <v>64.980003356933594</v>
      </c>
      <c r="E2118">
        <f t="shared" si="132"/>
        <v>-4.0404513676933944E-3</v>
      </c>
      <c r="F2118">
        <f t="shared" si="133"/>
        <v>-1.537853079621228E-4</v>
      </c>
      <c r="G2118">
        <f t="shared" si="134"/>
        <v>-9.8030090332038355E-2</v>
      </c>
      <c r="H2118">
        <f t="shared" si="135"/>
        <v>-9.9945068359375E-3</v>
      </c>
    </row>
    <row r="2119" spans="1:8" x14ac:dyDescent="0.2">
      <c r="A2119" t="s">
        <v>12</v>
      </c>
      <c r="B2119" s="2">
        <v>45926</v>
      </c>
      <c r="C2119">
        <v>24.262163162231449</v>
      </c>
      <c r="D2119">
        <f>_xlfn.XLOOKUP(B2119, Oil_Price!A:A, Oil_Price!B:B, "")</f>
        <v>65.720001220703125</v>
      </c>
      <c r="E2119">
        <f t="shared" si="132"/>
        <v>4.0568428439105905E-3</v>
      </c>
      <c r="F2119">
        <f t="shared" si="133"/>
        <v>1.1388085957840612E-2</v>
      </c>
      <c r="G2119">
        <f t="shared" si="134"/>
        <v>9.8030090332038355E-2</v>
      </c>
      <c r="H2119">
        <f t="shared" si="135"/>
        <v>0.73999786376953125</v>
      </c>
    </row>
    <row r="2120" spans="1:8" x14ac:dyDescent="0.2">
      <c r="A2120" t="s">
        <v>12</v>
      </c>
      <c r="B2120" s="2">
        <v>45929</v>
      </c>
      <c r="C2120">
        <v>23.575962066650391</v>
      </c>
      <c r="D2120">
        <f>_xlfn.XLOOKUP(B2120, Oil_Price!A:A, Oil_Price!B:B, "")</f>
        <v>63.450000762939453</v>
      </c>
      <c r="E2120">
        <f t="shared" si="132"/>
        <v>-2.8282766503246393E-2</v>
      </c>
      <c r="F2120">
        <f t="shared" si="133"/>
        <v>-3.4540481065124751E-2</v>
      </c>
      <c r="G2120">
        <f t="shared" si="134"/>
        <v>-0.68620109558105824</v>
      </c>
      <c r="H2120">
        <f t="shared" si="135"/>
        <v>-2.2700004577636719</v>
      </c>
    </row>
    <row r="2121" spans="1:8" x14ac:dyDescent="0.2">
      <c r="A2121" t="s">
        <v>12</v>
      </c>
      <c r="B2121" s="2">
        <v>45930</v>
      </c>
      <c r="C2121">
        <v>23.164237976074219</v>
      </c>
      <c r="D2121">
        <f>_xlfn.XLOOKUP(B2121, Oil_Price!A:A, Oil_Price!B:B, "")</f>
        <v>62.369998931884773</v>
      </c>
      <c r="E2121">
        <f t="shared" si="132"/>
        <v>-1.746372383074794E-2</v>
      </c>
      <c r="F2121">
        <f t="shared" si="133"/>
        <v>-1.7021305249305833E-2</v>
      </c>
      <c r="G2121">
        <f t="shared" si="134"/>
        <v>-0.41172409057617188</v>
      </c>
      <c r="H2121">
        <f t="shared" si="135"/>
        <v>-1.0800018310546804</v>
      </c>
    </row>
    <row r="2122" spans="1:8" x14ac:dyDescent="0.2">
      <c r="A2122" t="s">
        <v>12</v>
      </c>
      <c r="B2122" s="2">
        <v>45931</v>
      </c>
      <c r="C2122">
        <v>22.860349655151371</v>
      </c>
      <c r="D2122">
        <f>_xlfn.XLOOKUP(B2122, Oil_Price!A:A, Oil_Price!B:B, "")</f>
        <v>61.779998779296882</v>
      </c>
      <c r="E2122">
        <f t="shared" si="132"/>
        <v>-1.311885680145088E-2</v>
      </c>
      <c r="F2122">
        <f t="shared" si="133"/>
        <v>-9.4596787348391453E-3</v>
      </c>
      <c r="G2122">
        <f t="shared" si="134"/>
        <v>-0.30388832092284801</v>
      </c>
      <c r="H2122">
        <f t="shared" si="135"/>
        <v>-0.59000015258789062</v>
      </c>
    </row>
    <row r="2123" spans="1:8" x14ac:dyDescent="0.2">
      <c r="A2123" t="s">
        <v>12</v>
      </c>
      <c r="B2123" s="2">
        <v>45932</v>
      </c>
      <c r="C2123">
        <v>22.87995529174805</v>
      </c>
      <c r="D2123">
        <f>_xlfn.XLOOKUP(B2123, Oil_Price!A:A, Oil_Price!B:B, "")</f>
        <v>60.479999542236328</v>
      </c>
      <c r="E2123">
        <f t="shared" si="132"/>
        <v>8.5762627835667148E-4</v>
      </c>
      <c r="F2123">
        <f t="shared" si="133"/>
        <v>-2.104239661293417E-2</v>
      </c>
      <c r="G2123">
        <f t="shared" si="134"/>
        <v>1.9605636596679688E-2</v>
      </c>
      <c r="H2123">
        <f t="shared" si="135"/>
        <v>-1.299999237060554</v>
      </c>
    </row>
    <row r="2124" spans="1:8" x14ac:dyDescent="0.2">
      <c r="A2124" t="s">
        <v>12</v>
      </c>
      <c r="B2124" s="2">
        <v>45933</v>
      </c>
      <c r="C2124">
        <v>23.203451156616211</v>
      </c>
      <c r="D2124">
        <f>_xlfn.XLOOKUP(B2124, Oil_Price!A:A, Oil_Price!B:B, "")</f>
        <v>60.880001068115227</v>
      </c>
      <c r="E2124">
        <f t="shared" si="132"/>
        <v>1.4138832910431142E-2</v>
      </c>
      <c r="F2124">
        <f t="shared" si="133"/>
        <v>6.613781893294448E-3</v>
      </c>
      <c r="G2124">
        <f t="shared" si="134"/>
        <v>0.32349586486816051</v>
      </c>
      <c r="H2124">
        <f t="shared" si="135"/>
        <v>0.40000152587889914</v>
      </c>
    </row>
    <row r="2125" spans="1:8" x14ac:dyDescent="0.2">
      <c r="A2125" t="s">
        <v>12</v>
      </c>
      <c r="B2125" s="2">
        <v>45936</v>
      </c>
      <c r="C2125">
        <v>23.850442886352539</v>
      </c>
      <c r="D2125">
        <f>_xlfn.XLOOKUP(B2125, Oil_Price!A:A, Oil_Price!B:B, "")</f>
        <v>61.689998626708977</v>
      </c>
      <c r="E2125">
        <f t="shared" si="132"/>
        <v>2.7883426709644676E-2</v>
      </c>
      <c r="F2125">
        <f t="shared" si="133"/>
        <v>1.3304821688282972E-2</v>
      </c>
      <c r="G2125">
        <f t="shared" si="134"/>
        <v>0.64699172973632812</v>
      </c>
      <c r="H2125">
        <f t="shared" si="135"/>
        <v>0.80999755859375</v>
      </c>
    </row>
    <row r="2126" spans="1:8" x14ac:dyDescent="0.2">
      <c r="A2126" t="s">
        <v>12</v>
      </c>
      <c r="B2126" s="2">
        <v>45937</v>
      </c>
      <c r="C2126">
        <v>23.7916259765625</v>
      </c>
      <c r="D2126">
        <f>_xlfn.XLOOKUP(B2126, Oil_Price!A:A, Oil_Price!B:B, "")</f>
        <v>61.729999542236328</v>
      </c>
      <c r="E2126">
        <f t="shared" si="132"/>
        <v>-2.4660720167881951E-3</v>
      </c>
      <c r="F2126">
        <f t="shared" si="133"/>
        <v>6.4841816206545144E-4</v>
      </c>
      <c r="G2126">
        <f t="shared" si="134"/>
        <v>-5.8816909790039062E-2</v>
      </c>
      <c r="H2126">
        <f t="shared" si="135"/>
        <v>4.0000915527350855E-2</v>
      </c>
    </row>
    <row r="2127" spans="1:8" x14ac:dyDescent="0.2">
      <c r="A2127" t="s">
        <v>12</v>
      </c>
      <c r="B2127" s="2">
        <v>45938</v>
      </c>
      <c r="C2127">
        <v>24.222951889038089</v>
      </c>
      <c r="D2127">
        <f>_xlfn.XLOOKUP(B2127, Oil_Price!A:A, Oil_Price!B:B, "")</f>
        <v>62.549999237060547</v>
      </c>
      <c r="E2127">
        <f t="shared" si="132"/>
        <v>1.8129316293913469E-2</v>
      </c>
      <c r="F2127">
        <f t="shared" si="133"/>
        <v>1.3283649779766581E-2</v>
      </c>
      <c r="G2127">
        <f t="shared" si="134"/>
        <v>0.43132591247558949</v>
      </c>
      <c r="H2127">
        <f t="shared" si="135"/>
        <v>0.81999969482421875</v>
      </c>
    </row>
    <row r="2128" spans="1:8" x14ac:dyDescent="0.2">
      <c r="A2128" t="s">
        <v>12</v>
      </c>
      <c r="B2128" s="2">
        <v>45939</v>
      </c>
      <c r="C2128">
        <v>24.860141754150391</v>
      </c>
      <c r="D2128">
        <f>_xlfn.XLOOKUP(B2128, Oil_Price!A:A, Oil_Price!B:B, "")</f>
        <v>61.509998321533203</v>
      </c>
      <c r="E2128">
        <f t="shared" si="132"/>
        <v>2.6305211191071081E-2</v>
      </c>
      <c r="F2128">
        <f t="shared" si="133"/>
        <v>-1.6626713480615819E-2</v>
      </c>
      <c r="G2128">
        <f t="shared" si="134"/>
        <v>0.63718986511230113</v>
      </c>
      <c r="H2128">
        <f t="shared" si="135"/>
        <v>-1.0400009155273438</v>
      </c>
    </row>
    <row r="2129" spans="1:8" x14ac:dyDescent="0.2">
      <c r="A2129" t="s">
        <v>12</v>
      </c>
      <c r="B2129" s="2">
        <v>45940</v>
      </c>
      <c r="C2129">
        <v>23.772016525268551</v>
      </c>
      <c r="D2129">
        <f>_xlfn.XLOOKUP(B2129, Oil_Price!A:A, Oil_Price!B:B, "")</f>
        <v>58.900001525878913</v>
      </c>
      <c r="E2129">
        <f t="shared" si="132"/>
        <v>-4.3769872257473245E-2</v>
      </c>
      <c r="F2129">
        <f t="shared" si="133"/>
        <v>-4.2432073920909072E-2</v>
      </c>
      <c r="G2129">
        <f t="shared" si="134"/>
        <v>-1.0881252288818395</v>
      </c>
      <c r="H2129">
        <f t="shared" si="135"/>
        <v>-2.6099967956542898</v>
      </c>
    </row>
    <row r="2130" spans="1:8" x14ac:dyDescent="0.2">
      <c r="A2130" t="s">
        <v>12</v>
      </c>
      <c r="B2130" s="2">
        <v>45944</v>
      </c>
      <c r="C2130">
        <v>23.742609024047852</v>
      </c>
      <c r="D2130">
        <f>_xlfn.XLOOKUP(B2130, Oil_Price!A:A, Oil_Price!B:B, "")</f>
        <v>58.700000762939453</v>
      </c>
      <c r="E2130">
        <f t="shared" si="132"/>
        <v>-1.2370638052283348E-3</v>
      </c>
      <c r="F2130">
        <f t="shared" si="133"/>
        <v>-3.3955986037043791E-3</v>
      </c>
      <c r="G2130">
        <f t="shared" si="134"/>
        <v>-2.9407501220699572E-2</v>
      </c>
      <c r="H2130">
        <f t="shared" si="135"/>
        <v>-0.20000076293946023</v>
      </c>
    </row>
    <row r="2131" spans="1:8" x14ac:dyDescent="0.2">
      <c r="A2131" t="s">
        <v>12</v>
      </c>
      <c r="B2131" s="2">
        <v>45945</v>
      </c>
      <c r="C2131">
        <v>23.82103157043457</v>
      </c>
      <c r="D2131">
        <f>_xlfn.XLOOKUP(B2131, Oil_Price!A:A, Oil_Price!B:B, "")</f>
        <v>58.270000457763672</v>
      </c>
      <c r="E2131">
        <f t="shared" si="132"/>
        <v>3.3030298526706974E-3</v>
      </c>
      <c r="F2131">
        <f t="shared" si="133"/>
        <v>-7.3253884086363448E-3</v>
      </c>
      <c r="G2131">
        <f t="shared" si="134"/>
        <v>7.842254638671875E-2</v>
      </c>
      <c r="H2131">
        <f t="shared" si="135"/>
        <v>-0.43000030517578125</v>
      </c>
    </row>
    <row r="2132" spans="1:8" x14ac:dyDescent="0.2">
      <c r="A2132" t="s">
        <v>12</v>
      </c>
      <c r="B2132" s="2">
        <v>45946</v>
      </c>
      <c r="C2132">
        <v>23.0564079284668</v>
      </c>
      <c r="D2132">
        <f>_xlfn.XLOOKUP(B2132, Oil_Price!A:A, Oil_Price!B:B, "")</f>
        <v>57.459999084472663</v>
      </c>
      <c r="E2132">
        <f t="shared" si="132"/>
        <v>-3.209867883793837E-2</v>
      </c>
      <c r="F2132">
        <f t="shared" si="133"/>
        <v>-1.3900830048527777E-2</v>
      </c>
      <c r="G2132">
        <f t="shared" si="134"/>
        <v>-0.76462364196776988</v>
      </c>
      <c r="H2132">
        <f t="shared" si="135"/>
        <v>-0.81000137329100852</v>
      </c>
    </row>
    <row r="2133" spans="1:8" x14ac:dyDescent="0.2">
      <c r="A2133" t="s">
        <v>12</v>
      </c>
      <c r="B2133" s="2">
        <v>45947</v>
      </c>
      <c r="C2133">
        <v>23.076015472412109</v>
      </c>
      <c r="D2133">
        <f>_xlfn.XLOOKUP(B2133, Oil_Price!A:A, Oil_Price!B:B, "")</f>
        <v>57.540000915527337</v>
      </c>
      <c r="E2133">
        <f t="shared" si="132"/>
        <v>8.5041624897260414E-4</v>
      </c>
      <c r="F2133">
        <f t="shared" si="133"/>
        <v>1.392304774266731E-3</v>
      </c>
      <c r="G2133">
        <f t="shared" si="134"/>
        <v>1.9607543945308947E-2</v>
      </c>
      <c r="H2133">
        <f t="shared" si="135"/>
        <v>8.0001831054673289E-2</v>
      </c>
    </row>
    <row r="2134" spans="1:8" x14ac:dyDescent="0.2">
      <c r="A2134" t="s">
        <v>12</v>
      </c>
      <c r="B2134" s="2">
        <v>45950</v>
      </c>
      <c r="C2134">
        <v>23.350492477416989</v>
      </c>
      <c r="D2134">
        <f>_xlfn.XLOOKUP(B2134, Oil_Price!A:A, Oil_Price!B:B, "")</f>
        <v>57.520000457763672</v>
      </c>
      <c r="E2134">
        <f t="shared" si="132"/>
        <v>1.1894471354165222E-2</v>
      </c>
      <c r="F2134">
        <f t="shared" si="133"/>
        <v>-3.4759223923243955E-4</v>
      </c>
      <c r="G2134">
        <f t="shared" si="134"/>
        <v>0.27447700500487926</v>
      </c>
      <c r="H2134">
        <f t="shared" si="135"/>
        <v>-2.000045776366477E-2</v>
      </c>
    </row>
    <row r="2135" spans="1:8" x14ac:dyDescent="0.2">
      <c r="A2135" t="s">
        <v>12</v>
      </c>
      <c r="B2135" s="2">
        <v>45951</v>
      </c>
      <c r="C2135">
        <v>22.850545883178711</v>
      </c>
      <c r="D2135">
        <f>_xlfn.XLOOKUP(B2135, Oil_Price!A:A, Oil_Price!B:B, "")</f>
        <v>57.819999694824219</v>
      </c>
      <c r="E2135">
        <f t="shared" si="132"/>
        <v>-2.1410537474607531E-2</v>
      </c>
      <c r="F2135">
        <f t="shared" si="133"/>
        <v>5.2155638851364948E-3</v>
      </c>
      <c r="G2135">
        <f t="shared" si="134"/>
        <v>-0.4999465942382777</v>
      </c>
      <c r="H2135">
        <f t="shared" si="135"/>
        <v>0.29999923706054688</v>
      </c>
    </row>
    <row r="2136" spans="1:8" x14ac:dyDescent="0.2">
      <c r="A2136" t="s">
        <v>12</v>
      </c>
      <c r="B2136" s="2">
        <v>45952</v>
      </c>
      <c r="C2136">
        <v>22.997589111328121</v>
      </c>
      <c r="D2136">
        <f>_xlfn.XLOOKUP(B2136, Oil_Price!A:A, Oil_Price!B:B, "")</f>
        <v>58.5</v>
      </c>
      <c r="E2136">
        <f t="shared" si="132"/>
        <v>6.4349984854259207E-3</v>
      </c>
      <c r="F2136">
        <f t="shared" si="133"/>
        <v>1.1760641798077556E-2</v>
      </c>
      <c r="G2136">
        <f t="shared" si="134"/>
        <v>0.14704322814941051</v>
      </c>
      <c r="H2136">
        <f t="shared" si="135"/>
        <v>0.68000030517578125</v>
      </c>
    </row>
    <row r="2137" spans="1:8" x14ac:dyDescent="0.2">
      <c r="A2137" t="s">
        <v>12</v>
      </c>
      <c r="B2137" s="2">
        <v>45953</v>
      </c>
      <c r="C2137">
        <v>23.703399658203121</v>
      </c>
      <c r="D2137">
        <f>_xlfn.XLOOKUP(B2137, Oil_Price!A:A, Oil_Price!B:B, "")</f>
        <v>61.790000915527337</v>
      </c>
      <c r="E2137">
        <f t="shared" si="132"/>
        <v>3.0690632111838749E-2</v>
      </c>
      <c r="F2137">
        <f t="shared" si="133"/>
        <v>5.6239331889356182E-2</v>
      </c>
      <c r="G2137">
        <f t="shared" si="134"/>
        <v>0.705810546875</v>
      </c>
      <c r="H2137">
        <f t="shared" si="135"/>
        <v>3.2900009155273366</v>
      </c>
    </row>
    <row r="2138" spans="1:8" x14ac:dyDescent="0.2">
      <c r="A2138" t="s">
        <v>12</v>
      </c>
      <c r="B2138" s="2">
        <v>45954</v>
      </c>
      <c r="C2138">
        <v>23.438720703125</v>
      </c>
      <c r="D2138">
        <f>_xlfn.XLOOKUP(B2138, Oil_Price!A:A, Oil_Price!B:B, "")</f>
        <v>61.5</v>
      </c>
      <c r="E2138">
        <f t="shared" si="132"/>
        <v>-1.11662866464188E-2</v>
      </c>
      <c r="F2138">
        <f t="shared" si="133"/>
        <v>-4.6933308177773744E-3</v>
      </c>
      <c r="G2138">
        <f t="shared" si="134"/>
        <v>-0.26467895507812145</v>
      </c>
      <c r="H2138">
        <f t="shared" si="135"/>
        <v>-0.29000091552733664</v>
      </c>
    </row>
    <row r="2139" spans="1:8" x14ac:dyDescent="0.2">
      <c r="A2139" t="s">
        <v>12</v>
      </c>
      <c r="B2139" s="2">
        <v>45957</v>
      </c>
      <c r="C2139">
        <v>23.507341384887699</v>
      </c>
      <c r="D2139">
        <f>_xlfn.XLOOKUP(B2139, Oil_Price!A:A, Oil_Price!B:B, "")</f>
        <v>61.310001373291023</v>
      </c>
      <c r="E2139">
        <f t="shared" si="132"/>
        <v>2.9276632727463629E-3</v>
      </c>
      <c r="F2139">
        <f t="shared" si="133"/>
        <v>-3.0894085643736143E-3</v>
      </c>
      <c r="G2139">
        <f t="shared" si="134"/>
        <v>6.8620681762698865E-2</v>
      </c>
      <c r="H2139">
        <f t="shared" si="135"/>
        <v>-0.18999862670897727</v>
      </c>
    </row>
    <row r="2140" spans="1:8" x14ac:dyDescent="0.2">
      <c r="A2140" t="s">
        <v>12</v>
      </c>
      <c r="B2140" s="2">
        <v>45958</v>
      </c>
      <c r="C2140">
        <v>23.0564079284668</v>
      </c>
      <c r="D2140">
        <f>_xlfn.XLOOKUP(B2140, Oil_Price!A:A, Oil_Price!B:B, "")</f>
        <v>60.150001525878913</v>
      </c>
      <c r="E2140">
        <f t="shared" si="132"/>
        <v>-1.9182665067806973E-2</v>
      </c>
      <c r="F2140">
        <f t="shared" si="133"/>
        <v>-1.892023848359347E-2</v>
      </c>
      <c r="G2140">
        <f t="shared" si="134"/>
        <v>-0.45093345642089844</v>
      </c>
      <c r="H2140">
        <f t="shared" si="135"/>
        <v>-1.1599998474121094</v>
      </c>
    </row>
    <row r="2141" spans="1:8" x14ac:dyDescent="0.2">
      <c r="A2141" t="s">
        <v>12</v>
      </c>
      <c r="B2141" s="2">
        <v>45959</v>
      </c>
      <c r="C2141">
        <v>23.330888748168949</v>
      </c>
      <c r="D2141">
        <f>_xlfn.XLOOKUP(B2141, Oil_Price!A:A, Oil_Price!B:B, "")</f>
        <v>60.479999542236328</v>
      </c>
      <c r="E2141">
        <f t="shared" si="132"/>
        <v>1.1904752056509992E-2</v>
      </c>
      <c r="F2141">
        <f t="shared" si="133"/>
        <v>5.4862511718380682E-3</v>
      </c>
      <c r="G2141">
        <f t="shared" si="134"/>
        <v>0.27448081970214844</v>
      </c>
      <c r="H2141">
        <f t="shared" si="135"/>
        <v>0.32999801635741477</v>
      </c>
    </row>
    <row r="2142" spans="1:8" x14ac:dyDescent="0.2">
      <c r="A2142" t="s">
        <v>12</v>
      </c>
      <c r="B2142" s="2">
        <v>45960</v>
      </c>
      <c r="C2142">
        <v>23.007390975952148</v>
      </c>
      <c r="D2142">
        <f>_xlfn.XLOOKUP(B2142, Oil_Price!A:A, Oil_Price!B:B, "")</f>
        <v>60.569999694824219</v>
      </c>
      <c r="E2142">
        <f t="shared" si="132"/>
        <v>-1.3865642912646829E-2</v>
      </c>
      <c r="F2142">
        <f t="shared" si="133"/>
        <v>1.4880977723063446E-3</v>
      </c>
      <c r="G2142">
        <f t="shared" si="134"/>
        <v>-0.32349777221680043</v>
      </c>
      <c r="H2142">
        <f t="shared" si="135"/>
        <v>9.0000152587890625E-2</v>
      </c>
    </row>
    <row r="2143" spans="1:8" x14ac:dyDescent="0.2">
      <c r="A2143" t="s">
        <v>12</v>
      </c>
      <c r="B2143" s="2">
        <v>45961</v>
      </c>
      <c r="C2143">
        <v>23.23286056518555</v>
      </c>
      <c r="D2143">
        <f>_xlfn.XLOOKUP(B2143, Oil_Price!A:A, Oil_Price!B:B, "")</f>
        <v>60.979999542236328</v>
      </c>
      <c r="E2143">
        <f t="shared" si="132"/>
        <v>9.7998764600935404E-3</v>
      </c>
      <c r="F2143">
        <f t="shared" si="133"/>
        <v>6.7690250863109112E-3</v>
      </c>
      <c r="G2143">
        <f t="shared" si="134"/>
        <v>0.22546958923340199</v>
      </c>
      <c r="H2143">
        <f t="shared" si="135"/>
        <v>0.40999984741210938</v>
      </c>
    </row>
    <row r="2144" spans="1:8" x14ac:dyDescent="0.2">
      <c r="A2144" t="s">
        <v>12</v>
      </c>
      <c r="B2144" s="2">
        <v>45964</v>
      </c>
      <c r="C2144">
        <v>23.438720703125</v>
      </c>
      <c r="D2144">
        <f>_xlfn.XLOOKUP(B2144, Oil_Price!A:A, Oil_Price!B:B, "")</f>
        <v>61.049999237060547</v>
      </c>
      <c r="E2144">
        <f t="shared" si="132"/>
        <v>8.8607314351953313E-3</v>
      </c>
      <c r="F2144">
        <f t="shared" si="133"/>
        <v>1.1479123540454465E-3</v>
      </c>
      <c r="G2144">
        <f t="shared" si="134"/>
        <v>0.20586013793944957</v>
      </c>
      <c r="H2144">
        <f t="shared" si="135"/>
        <v>6.999969482421875E-2</v>
      </c>
    </row>
    <row r="2145" spans="1:8" x14ac:dyDescent="0.2">
      <c r="A2145" t="s">
        <v>12</v>
      </c>
      <c r="B2145" s="2">
        <v>45965</v>
      </c>
      <c r="C2145">
        <v>23.007390975952148</v>
      </c>
      <c r="D2145">
        <f>_xlfn.XLOOKUP(B2145, Oil_Price!A:A, Oil_Price!B:B, "")</f>
        <v>60.560001373291023</v>
      </c>
      <c r="E2145">
        <f t="shared" si="132"/>
        <v>-1.8402443232123328E-2</v>
      </c>
      <c r="F2145">
        <f t="shared" si="133"/>
        <v>-8.0261731350206103E-3</v>
      </c>
      <c r="G2145">
        <f t="shared" si="134"/>
        <v>-0.43132972717285156</v>
      </c>
      <c r="H2145">
        <f t="shared" si="135"/>
        <v>-0.48999786376952414</v>
      </c>
    </row>
    <row r="2146" spans="1:8" x14ac:dyDescent="0.2">
      <c r="A2146" t="s">
        <v>12</v>
      </c>
      <c r="B2146" s="2">
        <v>45966</v>
      </c>
      <c r="C2146">
        <v>22.92896842956543</v>
      </c>
      <c r="D2146">
        <f>_xlfn.XLOOKUP(B2146, Oil_Price!A:A, Oil_Price!B:B, "")</f>
        <v>59.599998474121087</v>
      </c>
      <c r="E2146">
        <f t="shared" si="132"/>
        <v>-3.4085805934574586E-3</v>
      </c>
      <c r="F2146">
        <f t="shared" si="133"/>
        <v>-1.5852095069359251E-2</v>
      </c>
      <c r="G2146">
        <f t="shared" si="134"/>
        <v>-7.842254638671875E-2</v>
      </c>
      <c r="H2146">
        <f t="shared" si="135"/>
        <v>-0.96000289916993609</v>
      </c>
    </row>
    <row r="2147" spans="1:8" x14ac:dyDescent="0.2">
      <c r="A2147" t="s">
        <v>12</v>
      </c>
      <c r="B2147" s="2">
        <v>45967</v>
      </c>
      <c r="C2147">
        <v>23.281875610351559</v>
      </c>
      <c r="D2147">
        <f>_xlfn.XLOOKUP(B2147, Oil_Price!A:A, Oil_Price!B:B, "")</f>
        <v>59.430000305175781</v>
      </c>
      <c r="E2147">
        <f t="shared" si="132"/>
        <v>1.5391323943343136E-2</v>
      </c>
      <c r="F2147">
        <f t="shared" si="133"/>
        <v>-2.8523183439194263E-3</v>
      </c>
      <c r="G2147">
        <f t="shared" si="134"/>
        <v>0.35290718078612926</v>
      </c>
      <c r="H2147">
        <f t="shared" si="135"/>
        <v>-0.16999816894530539</v>
      </c>
    </row>
    <row r="2148" spans="1:8" x14ac:dyDescent="0.2">
      <c r="A2148" t="s">
        <v>12</v>
      </c>
      <c r="B2148" s="2">
        <v>45968</v>
      </c>
      <c r="C2148">
        <v>24.00728797912598</v>
      </c>
      <c r="D2148">
        <f>_xlfn.XLOOKUP(B2148, Oil_Price!A:A, Oil_Price!B:B, "")</f>
        <v>59.75</v>
      </c>
      <c r="E2148">
        <f t="shared" si="132"/>
        <v>3.115781481333442E-2</v>
      </c>
      <c r="F2148">
        <f t="shared" si="133"/>
        <v>5.3844807871614607E-3</v>
      </c>
      <c r="G2148">
        <f t="shared" si="134"/>
        <v>0.72541236877442117</v>
      </c>
      <c r="H2148">
        <f t="shared" si="135"/>
        <v>0.31999969482421875</v>
      </c>
    </row>
    <row r="2149" spans="1:8" x14ac:dyDescent="0.2">
      <c r="A2149" t="s">
        <v>12</v>
      </c>
      <c r="B2149" s="2">
        <v>45971</v>
      </c>
      <c r="C2149">
        <v>24.53664588928223</v>
      </c>
      <c r="D2149">
        <f>_xlfn.XLOOKUP(B2149, Oil_Price!A:A, Oil_Price!B:B, "")</f>
        <v>60.130001068115227</v>
      </c>
      <c r="E2149">
        <f t="shared" si="132"/>
        <v>2.2049883794309451E-2</v>
      </c>
      <c r="F2149">
        <f t="shared" si="133"/>
        <v>6.359850512388741E-3</v>
      </c>
      <c r="G2149">
        <f t="shared" si="134"/>
        <v>0.52935791015625</v>
      </c>
      <c r="H2149">
        <f t="shared" si="135"/>
        <v>0.38000106811522727</v>
      </c>
    </row>
    <row r="2150" spans="1:8" x14ac:dyDescent="0.2">
      <c r="A2150" t="s">
        <v>12</v>
      </c>
      <c r="B2150" s="2">
        <v>45972</v>
      </c>
      <c r="C2150">
        <v>25.075803756713871</v>
      </c>
      <c r="D2150">
        <f>_xlfn.XLOOKUP(B2150, Oil_Price!A:A, Oil_Price!B:B, "")</f>
        <v>61.040000915527337</v>
      </c>
      <c r="E2150">
        <f t="shared" si="132"/>
        <v>2.1973576578661405E-2</v>
      </c>
      <c r="F2150">
        <f t="shared" si="133"/>
        <v>1.5133873794235628E-2</v>
      </c>
      <c r="G2150">
        <f t="shared" si="134"/>
        <v>0.53915786743164062</v>
      </c>
      <c r="H2150">
        <f t="shared" si="135"/>
        <v>0.90999984741210938</v>
      </c>
    </row>
    <row r="2151" spans="1:8" x14ac:dyDescent="0.2">
      <c r="A2151" t="s">
        <v>12</v>
      </c>
      <c r="B2151" s="2">
        <v>45973</v>
      </c>
      <c r="C2151">
        <v>24.90915489196777</v>
      </c>
      <c r="D2151">
        <f>_xlfn.XLOOKUP(B2151, Oil_Price!A:A, Oil_Price!B:B, "")</f>
        <v>58.490001678466797</v>
      </c>
      <c r="E2151">
        <f t="shared" si="132"/>
        <v>-6.6458035149314721E-3</v>
      </c>
      <c r="F2151">
        <f t="shared" si="133"/>
        <v>-4.1775871540196387E-2</v>
      </c>
      <c r="G2151">
        <f t="shared" si="134"/>
        <v>-0.16664886474610086</v>
      </c>
      <c r="H2151">
        <f t="shared" si="135"/>
        <v>-2.5499992370605398</v>
      </c>
    </row>
    <row r="2152" spans="1:8" x14ac:dyDescent="0.2">
      <c r="A2152" t="s">
        <v>12</v>
      </c>
      <c r="B2152" s="2">
        <v>45974</v>
      </c>
      <c r="C2152">
        <v>24.53664588928223</v>
      </c>
      <c r="D2152">
        <f>_xlfn.XLOOKUP(B2152, Oil_Price!A:A, Oil_Price!B:B, "")</f>
        <v>58.689998626708977</v>
      </c>
      <c r="E2152">
        <f t="shared" si="132"/>
        <v>-1.4954702570244942E-2</v>
      </c>
      <c r="F2152">
        <f t="shared" si="133"/>
        <v>3.419335655717884E-3</v>
      </c>
      <c r="G2152">
        <f t="shared" si="134"/>
        <v>-0.37250900268553977</v>
      </c>
      <c r="H2152">
        <f t="shared" si="135"/>
        <v>0.19999694824218039</v>
      </c>
    </row>
    <row r="2153" spans="1:8" x14ac:dyDescent="0.2">
      <c r="A2153" t="s">
        <v>12</v>
      </c>
      <c r="B2153" s="2">
        <v>45975</v>
      </c>
      <c r="C2153">
        <v>24.899351119995121</v>
      </c>
      <c r="D2153">
        <f>_xlfn.XLOOKUP(B2153, Oil_Price!A:A, Oil_Price!B:B, "")</f>
        <v>60.090000152587891</v>
      </c>
      <c r="E2153">
        <f t="shared" si="132"/>
        <v>1.4782184669801289E-2</v>
      </c>
      <c r="F2153">
        <f t="shared" si="133"/>
        <v>2.3854175475168486E-2</v>
      </c>
      <c r="G2153">
        <f t="shared" si="134"/>
        <v>0.36270523071289062</v>
      </c>
      <c r="H2153">
        <f t="shared" si="135"/>
        <v>1.4000015258789134</v>
      </c>
    </row>
    <row r="2154" spans="1:8" x14ac:dyDescent="0.2">
      <c r="A2154" t="s">
        <v>12</v>
      </c>
      <c r="B2154" s="2">
        <v>45978</v>
      </c>
      <c r="C2154">
        <v>24.70329666137695</v>
      </c>
      <c r="D2154">
        <f>_xlfn.XLOOKUP(B2154, Oil_Price!A:A, Oil_Price!B:B, "")</f>
        <v>59.909999847412109</v>
      </c>
      <c r="E2154">
        <f t="shared" si="132"/>
        <v>-7.8738782257153691E-3</v>
      </c>
      <c r="F2154">
        <f t="shared" si="133"/>
        <v>-2.9955118109286473E-3</v>
      </c>
      <c r="G2154">
        <f t="shared" si="134"/>
        <v>-0.19605445861817117</v>
      </c>
      <c r="H2154">
        <f t="shared" si="135"/>
        <v>-0.18000030517578125</v>
      </c>
    </row>
    <row r="2155" spans="1:8" x14ac:dyDescent="0.2">
      <c r="A2155" t="s">
        <v>12</v>
      </c>
      <c r="B2155" s="2">
        <v>45979</v>
      </c>
      <c r="C2155">
        <v>25.379693984985352</v>
      </c>
      <c r="D2155">
        <f>_xlfn.XLOOKUP(B2155, Oil_Price!A:A, Oil_Price!B:B, "")</f>
        <v>60.740001678466797</v>
      </c>
      <c r="E2155">
        <f t="shared" si="132"/>
        <v>2.7380852559081074E-2</v>
      </c>
      <c r="F2155">
        <f t="shared" si="133"/>
        <v>1.3854145103800071E-2</v>
      </c>
      <c r="G2155">
        <f t="shared" si="134"/>
        <v>0.67639732360840199</v>
      </c>
      <c r="H2155">
        <f t="shared" si="135"/>
        <v>0.8300018310546875</v>
      </c>
    </row>
    <row r="2156" spans="1:8" x14ac:dyDescent="0.2">
      <c r="A2156" t="s">
        <v>12</v>
      </c>
      <c r="B2156" s="2">
        <v>45980</v>
      </c>
      <c r="C2156">
        <v>25.173833847045898</v>
      </c>
      <c r="D2156">
        <f>_xlfn.XLOOKUP(B2156, Oil_Price!A:A, Oil_Price!B:B, "")</f>
        <v>59.439998626708977</v>
      </c>
      <c r="E2156">
        <f t="shared" si="132"/>
        <v>-8.1112143456591769E-3</v>
      </c>
      <c r="F2156">
        <f t="shared" si="133"/>
        <v>-2.1402749684458593E-2</v>
      </c>
      <c r="G2156">
        <f t="shared" si="134"/>
        <v>-0.20586013793945312</v>
      </c>
      <c r="H2156">
        <f t="shared" si="135"/>
        <v>-1.3000030517578196</v>
      </c>
    </row>
    <row r="2157" spans="1:8" x14ac:dyDescent="0.2">
      <c r="A2157" t="s">
        <v>12</v>
      </c>
      <c r="B2157" s="2">
        <v>45981</v>
      </c>
      <c r="C2157">
        <v>24.977773666381839</v>
      </c>
      <c r="D2157">
        <f>_xlfn.XLOOKUP(B2157, Oil_Price!A:A, Oil_Price!B:B, "")</f>
        <v>59.139999389648438</v>
      </c>
      <c r="E2157">
        <f t="shared" si="132"/>
        <v>-7.7882527490768447E-3</v>
      </c>
      <c r="F2157">
        <f t="shared" si="133"/>
        <v>-5.0470936068584809E-3</v>
      </c>
      <c r="G2157">
        <f t="shared" si="134"/>
        <v>-0.19606018066405895</v>
      </c>
      <c r="H2157">
        <f t="shared" si="135"/>
        <v>-0.29999923706053977</v>
      </c>
    </row>
    <row r="2158" spans="1:8" x14ac:dyDescent="0.2">
      <c r="A2158" t="s">
        <v>12</v>
      </c>
      <c r="B2158" s="2">
        <v>45982</v>
      </c>
      <c r="C2158">
        <v>24.70329666137695</v>
      </c>
      <c r="D2158">
        <f>_xlfn.XLOOKUP(B2158, Oil_Price!A:A, Oil_Price!B:B, "")</f>
        <v>58.060001373291023</v>
      </c>
      <c r="E2158">
        <f t="shared" si="132"/>
        <v>-1.0988849873930711E-2</v>
      </c>
      <c r="F2158">
        <f t="shared" si="133"/>
        <v>-1.8261718422446453E-2</v>
      </c>
      <c r="G2158">
        <f t="shared" si="134"/>
        <v>-0.27447700500488992</v>
      </c>
      <c r="H2158">
        <f t="shared" si="135"/>
        <v>-1.0799980163574148</v>
      </c>
    </row>
    <row r="2159" spans="1:8" x14ac:dyDescent="0.2">
      <c r="A2159" t="s">
        <v>12</v>
      </c>
      <c r="B2159" s="2">
        <v>45985</v>
      </c>
      <c r="C2159">
        <v>24.70329666137695</v>
      </c>
      <c r="D2159">
        <f>_xlfn.XLOOKUP(B2159, Oil_Price!A:A, Oil_Price!B:B, "")</f>
        <v>58.840000152587891</v>
      </c>
      <c r="E2159">
        <f t="shared" si="132"/>
        <v>0</v>
      </c>
      <c r="F2159">
        <f t="shared" si="133"/>
        <v>1.3434356886799625E-2</v>
      </c>
      <c r="G2159">
        <f t="shared" si="134"/>
        <v>0</v>
      </c>
      <c r="H2159">
        <f t="shared" si="135"/>
        <v>0.77999877929686789</v>
      </c>
    </row>
    <row r="2160" spans="1:8" x14ac:dyDescent="0.2">
      <c r="A2160" t="s">
        <v>12</v>
      </c>
      <c r="B2160" s="2">
        <v>45986</v>
      </c>
      <c r="C2160">
        <v>24.075906753540039</v>
      </c>
      <c r="D2160">
        <f>_xlfn.XLOOKUP(B2160, Oil_Price!A:A, Oil_Price!B:B, "")</f>
        <v>57.950000762939453</v>
      </c>
      <c r="E2160">
        <f t="shared" si="132"/>
        <v>-2.5397011436850879E-2</v>
      </c>
      <c r="F2160">
        <f t="shared" si="133"/>
        <v>-1.5125754373562722E-2</v>
      </c>
      <c r="G2160">
        <f t="shared" si="134"/>
        <v>-0.62738990783691051</v>
      </c>
      <c r="H2160">
        <f t="shared" si="135"/>
        <v>-0.8899993896484375</v>
      </c>
    </row>
    <row r="2161" spans="1:8" x14ac:dyDescent="0.2">
      <c r="A2161" t="s">
        <v>12</v>
      </c>
      <c r="B2161" s="2">
        <v>45987</v>
      </c>
      <c r="C2161">
        <v>24.18374061584473</v>
      </c>
      <c r="D2161">
        <f>_xlfn.XLOOKUP(B2161, Oil_Price!A:A, Oil_Price!B:B, "")</f>
        <v>58.650001525878913</v>
      </c>
      <c r="E2161">
        <f t="shared" si="132"/>
        <v>4.4789117771788815E-3</v>
      </c>
      <c r="F2161">
        <f t="shared" si="133"/>
        <v>1.2079391781253074E-2</v>
      </c>
      <c r="G2161">
        <f t="shared" si="134"/>
        <v>0.10783386230469105</v>
      </c>
      <c r="H2161">
        <f t="shared" si="135"/>
        <v>0.70000076293946023</v>
      </c>
    </row>
    <row r="2162" spans="1:8" x14ac:dyDescent="0.2">
      <c r="A2162" t="s">
        <v>12</v>
      </c>
      <c r="B2162" s="2">
        <v>45988</v>
      </c>
      <c r="C2162">
        <v>24.271966934204102</v>
      </c>
      <c r="D2162" t="str">
        <f>_xlfn.XLOOKUP(B2162, Oil_Price!A:A, Oil_Price!B:B, "")</f>
        <v/>
      </c>
      <c r="E2162">
        <f t="shared" si="132"/>
        <v>3.6481667480988125E-3</v>
      </c>
      <c r="F2162" t="str">
        <f t="shared" si="133"/>
        <v/>
      </c>
      <c r="G2162">
        <f t="shared" si="134"/>
        <v>8.8226318359371447E-2</v>
      </c>
      <c r="H2162" t="str">
        <f t="shared" si="135"/>
        <v/>
      </c>
    </row>
    <row r="2163" spans="1:8" x14ac:dyDescent="0.2">
      <c r="A2163" t="s">
        <v>12</v>
      </c>
      <c r="B2163" s="2">
        <v>45989</v>
      </c>
      <c r="C2163">
        <v>24.438615798950199</v>
      </c>
      <c r="D2163">
        <f>_xlfn.XLOOKUP(B2163, Oil_Price!A:A, Oil_Price!B:B, "")</f>
        <v>58.549999237060547</v>
      </c>
      <c r="E2163">
        <f t="shared" si="132"/>
        <v>6.865898639275724E-3</v>
      </c>
      <c r="F2163" t="str">
        <f t="shared" si="133"/>
        <v/>
      </c>
      <c r="G2163">
        <f t="shared" si="134"/>
        <v>0.1666488647460973</v>
      </c>
      <c r="H2163" t="str">
        <f t="shared" si="135"/>
        <v/>
      </c>
    </row>
    <row r="2164" spans="1:8" x14ac:dyDescent="0.2">
      <c r="A2164" t="s">
        <v>12</v>
      </c>
      <c r="B2164" s="2">
        <v>45992</v>
      </c>
      <c r="C2164">
        <v>24.55624961853027</v>
      </c>
      <c r="D2164">
        <f>_xlfn.XLOOKUP(B2164, Oil_Price!A:A, Oil_Price!B:B, "")</f>
        <v>59.319999694824219</v>
      </c>
      <c r="E2164">
        <f t="shared" si="132"/>
        <v>4.8134403579896765E-3</v>
      </c>
      <c r="F2164">
        <f t="shared" si="133"/>
        <v>1.3151160850507453E-2</v>
      </c>
      <c r="G2164">
        <f t="shared" si="134"/>
        <v>0.11763381958007102</v>
      </c>
      <c r="H2164">
        <f t="shared" si="135"/>
        <v>0.77000045776367188</v>
      </c>
    </row>
    <row r="2165" spans="1:8" x14ac:dyDescent="0.2">
      <c r="A2165" t="s">
        <v>12</v>
      </c>
      <c r="B2165" s="2">
        <v>45993</v>
      </c>
      <c r="C2165">
        <v>24.075906753540039</v>
      </c>
      <c r="D2165">
        <f>_xlfn.XLOOKUP(B2165, Oil_Price!A:A, Oil_Price!B:B, "")</f>
        <v>58.639999389648438</v>
      </c>
      <c r="E2165">
        <f t="shared" si="132"/>
        <v>-1.9560921250277634E-2</v>
      </c>
      <c r="F2165">
        <f t="shared" si="133"/>
        <v>-1.1463255372118833E-2</v>
      </c>
      <c r="G2165">
        <f t="shared" si="134"/>
        <v>-0.48034286499023082</v>
      </c>
      <c r="H2165">
        <f t="shared" si="135"/>
        <v>-0.68000030517578125</v>
      </c>
    </row>
    <row r="2166" spans="1:8" x14ac:dyDescent="0.2">
      <c r="A2166" t="s">
        <v>12</v>
      </c>
      <c r="B2166" s="2">
        <v>45994</v>
      </c>
      <c r="C2166">
        <v>24.958169937133789</v>
      </c>
      <c r="D2166">
        <f>_xlfn.XLOOKUP(B2166, Oil_Price!A:A, Oil_Price!B:B, "")</f>
        <v>58.950000762939453</v>
      </c>
      <c r="E2166">
        <f t="shared" si="132"/>
        <v>3.6645065651121321E-2</v>
      </c>
      <c r="F2166">
        <f t="shared" si="133"/>
        <v>5.2865173348848864E-3</v>
      </c>
      <c r="G2166">
        <f t="shared" si="134"/>
        <v>0.88226318359375</v>
      </c>
      <c r="H2166">
        <f t="shared" si="135"/>
        <v>0.31000137329101562</v>
      </c>
    </row>
    <row r="2167" spans="1:8" x14ac:dyDescent="0.2">
      <c r="A2167" t="s">
        <v>12</v>
      </c>
      <c r="B2167" s="2">
        <v>45995</v>
      </c>
      <c r="C2167">
        <v>25.08560752868652</v>
      </c>
      <c r="D2167">
        <f>_xlfn.XLOOKUP(B2167, Oil_Price!A:A, Oil_Price!B:B, "")</f>
        <v>59.669998168945312</v>
      </c>
      <c r="E2167">
        <f t="shared" si="132"/>
        <v>5.1060471129785821E-3</v>
      </c>
      <c r="F2167">
        <f t="shared" si="133"/>
        <v>1.2213696296650528E-2</v>
      </c>
      <c r="G2167">
        <f t="shared" si="134"/>
        <v>0.12743759155273082</v>
      </c>
      <c r="H2167">
        <f t="shared" si="135"/>
        <v>0.71999740600585938</v>
      </c>
    </row>
    <row r="2168" spans="1:8" x14ac:dyDescent="0.2">
      <c r="A2168" t="s">
        <v>12</v>
      </c>
      <c r="B2168" s="2">
        <v>45996</v>
      </c>
      <c r="C2168">
        <v>24.850337982177731</v>
      </c>
      <c r="D2168">
        <f>_xlfn.XLOOKUP(B2168, Oil_Price!A:A, Oil_Price!B:B, "")</f>
        <v>60.080001831054688</v>
      </c>
      <c r="E2168">
        <f t="shared" si="132"/>
        <v>-9.3786664819557487E-3</v>
      </c>
      <c r="F2168">
        <f t="shared" si="133"/>
        <v>6.8711861017411177E-3</v>
      </c>
      <c r="G2168">
        <f t="shared" si="134"/>
        <v>-0.23526954650878906</v>
      </c>
      <c r="H2168">
        <f t="shared" si="135"/>
        <v>0.410003662109375</v>
      </c>
    </row>
    <row r="2169" spans="1:8" x14ac:dyDescent="0.2">
      <c r="A2169" t="s">
        <v>12</v>
      </c>
      <c r="B2169" s="2">
        <v>45999</v>
      </c>
      <c r="C2169">
        <v>24.3699951171875</v>
      </c>
      <c r="D2169">
        <f>_xlfn.XLOOKUP(B2169, Oil_Price!A:A, Oil_Price!B:B, "")</f>
        <v>58.880001068115227</v>
      </c>
      <c r="E2169">
        <f t="shared" si="132"/>
        <v>-1.9329429858649213E-2</v>
      </c>
      <c r="F2169">
        <f t="shared" si="133"/>
        <v>-1.9973380931543067E-2</v>
      </c>
      <c r="G2169">
        <f t="shared" si="134"/>
        <v>-0.48034286499023082</v>
      </c>
      <c r="H2169">
        <f t="shared" si="135"/>
        <v>-1.2000007629394602</v>
      </c>
    </row>
    <row r="2170" spans="1:8" x14ac:dyDescent="0.2">
      <c r="A2170" t="s">
        <v>12</v>
      </c>
      <c r="B2170" s="2">
        <v>46000</v>
      </c>
      <c r="C2170">
        <v>24.124923706054691</v>
      </c>
      <c r="D2170">
        <f>_xlfn.XLOOKUP(B2170, Oil_Price!A:A, Oil_Price!B:B, "")</f>
        <v>58.25</v>
      </c>
      <c r="E2170">
        <f t="shared" si="132"/>
        <v>-1.0056276579225356E-2</v>
      </c>
      <c r="F2170">
        <f t="shared" si="133"/>
        <v>-1.069974620731429E-2</v>
      </c>
      <c r="G2170">
        <f t="shared" si="134"/>
        <v>-0.24507141113280895</v>
      </c>
      <c r="H2170">
        <f t="shared" si="135"/>
        <v>-0.63000106811522727</v>
      </c>
    </row>
    <row r="2171" spans="1:8" x14ac:dyDescent="0.2">
      <c r="A2171" t="s">
        <v>12</v>
      </c>
      <c r="B2171" s="2">
        <v>46001</v>
      </c>
      <c r="C2171">
        <v>24.17393684387207</v>
      </c>
      <c r="D2171">
        <f>_xlfn.XLOOKUP(B2171, Oil_Price!A:A, Oil_Price!B:B, "")</f>
        <v>58.459999084472663</v>
      </c>
      <c r="E2171">
        <f t="shared" si="132"/>
        <v>2.0316390805861207E-3</v>
      </c>
      <c r="F2171">
        <f t="shared" si="133"/>
        <v>3.6051344973847786E-3</v>
      </c>
      <c r="G2171">
        <f t="shared" si="134"/>
        <v>4.901313781737926E-2</v>
      </c>
      <c r="H2171">
        <f t="shared" si="135"/>
        <v>0.20999908447266336</v>
      </c>
    </row>
    <row r="2172" spans="1:8" x14ac:dyDescent="0.2">
      <c r="A2172" t="s">
        <v>12</v>
      </c>
      <c r="B2172" s="2">
        <v>46002</v>
      </c>
      <c r="C2172">
        <v>23.879850387573239</v>
      </c>
      <c r="D2172">
        <f>_xlfn.XLOOKUP(B2172, Oil_Price!A:A, Oil_Price!B:B, "")</f>
        <v>57.599998474121087</v>
      </c>
      <c r="E2172">
        <f t="shared" si="132"/>
        <v>-1.2165434955762309E-2</v>
      </c>
      <c r="F2172">
        <f t="shared" si="133"/>
        <v>-1.4710924115973826E-2</v>
      </c>
      <c r="G2172">
        <f t="shared" si="134"/>
        <v>-0.29408645629883168</v>
      </c>
      <c r="H2172">
        <f t="shared" si="135"/>
        <v>-0.86000061035157671</v>
      </c>
    </row>
    <row r="2173" spans="1:8" x14ac:dyDescent="0.2">
      <c r="A2173" t="s">
        <v>12</v>
      </c>
      <c r="B2173" s="2">
        <v>46003</v>
      </c>
      <c r="C2173">
        <v>24.3405876159668</v>
      </c>
      <c r="D2173">
        <f>_xlfn.XLOOKUP(B2173, Oil_Price!A:A, Oil_Price!B:B, "")</f>
        <v>57.439998626708977</v>
      </c>
      <c r="E2173">
        <f t="shared" si="132"/>
        <v>1.9293974665491348E-2</v>
      </c>
      <c r="F2173">
        <f t="shared" si="133"/>
        <v>-2.7777752022683675E-3</v>
      </c>
      <c r="G2173">
        <f t="shared" si="134"/>
        <v>0.46073722839356179</v>
      </c>
      <c r="H2173">
        <f t="shared" si="135"/>
        <v>-0.15999984741210938</v>
      </c>
    </row>
    <row r="2174" spans="1:8" x14ac:dyDescent="0.2">
      <c r="A2174" t="s">
        <v>12</v>
      </c>
      <c r="B2174" s="2">
        <v>46006</v>
      </c>
      <c r="C2174">
        <v>24.024347305297852</v>
      </c>
      <c r="D2174">
        <f>_xlfn.XLOOKUP(B2174, Oil_Price!A:A, Oil_Price!B:B, "")</f>
        <v>56.819999694824219</v>
      </c>
      <c r="E2174">
        <f t="shared" si="132"/>
        <v>-1.2992303869504914E-2</v>
      </c>
      <c r="F2174">
        <f t="shared" si="133"/>
        <v>-1.0793853529036572E-2</v>
      </c>
      <c r="G2174">
        <f t="shared" si="134"/>
        <v>-0.31624031066894887</v>
      </c>
      <c r="H2174">
        <f t="shared" si="135"/>
        <v>-0.61999893188475852</v>
      </c>
    </row>
    <row r="2175" spans="1:8" x14ac:dyDescent="0.2">
      <c r="A2175" t="s">
        <v>12</v>
      </c>
      <c r="B2175" s="2">
        <v>46007</v>
      </c>
      <c r="C2175">
        <v>22.87797737121582</v>
      </c>
      <c r="D2175">
        <f>_xlfn.XLOOKUP(B2175, Oil_Price!A:A, Oil_Price!B:B, "")</f>
        <v>55.270000457763672</v>
      </c>
      <c r="E2175">
        <f t="shared" si="132"/>
        <v>-4.7717006398306339E-2</v>
      </c>
      <c r="F2175">
        <f t="shared" si="133"/>
        <v>-2.7279113787143115E-2</v>
      </c>
      <c r="G2175">
        <f t="shared" si="134"/>
        <v>-1.1463699340820312</v>
      </c>
      <c r="H2175">
        <f t="shared" si="135"/>
        <v>-1.5499992370605469</v>
      </c>
    </row>
    <row r="2176" spans="1:8" x14ac:dyDescent="0.2">
      <c r="A2176" t="s">
        <v>12</v>
      </c>
      <c r="B2176" s="2">
        <v>46008</v>
      </c>
      <c r="C2176">
        <v>23.13492393493652</v>
      </c>
      <c r="D2176">
        <f>_xlfn.XLOOKUP(B2176, Oil_Price!A:A, Oil_Price!B:B, "")</f>
        <v>55.939998626708977</v>
      </c>
      <c r="E2176">
        <f t="shared" si="132"/>
        <v>1.1231174834711557E-2</v>
      </c>
      <c r="F2176">
        <f t="shared" si="133"/>
        <v>1.2122275436876571E-2</v>
      </c>
      <c r="G2176">
        <f t="shared" si="134"/>
        <v>0.25694656372069957</v>
      </c>
      <c r="H2176">
        <f t="shared" si="135"/>
        <v>0.66999816894530539</v>
      </c>
    </row>
    <row r="2177" spans="1:8" x14ac:dyDescent="0.2">
      <c r="A2177" t="s">
        <v>12</v>
      </c>
      <c r="B2177" s="2">
        <v>46009</v>
      </c>
      <c r="C2177">
        <v>22.403619766235352</v>
      </c>
      <c r="D2177">
        <f>_xlfn.XLOOKUP(B2177, Oil_Price!A:A, Oil_Price!B:B, "")</f>
        <v>56.150001525878913</v>
      </c>
      <c r="E2177">
        <f t="shared" si="132"/>
        <v>-3.16103986664426E-2</v>
      </c>
      <c r="F2177">
        <f t="shared" si="133"/>
        <v>3.7540740851872063E-3</v>
      </c>
      <c r="G2177">
        <f t="shared" si="134"/>
        <v>-0.73130416870116832</v>
      </c>
      <c r="H2177">
        <f t="shared" si="135"/>
        <v>0.21000289916993609</v>
      </c>
    </row>
    <row r="2178" spans="1:8" x14ac:dyDescent="0.2">
      <c r="A2178" t="s">
        <v>12</v>
      </c>
      <c r="B2178" s="2">
        <v>46010</v>
      </c>
      <c r="C2178">
        <v>22.7593879699707</v>
      </c>
      <c r="D2178">
        <f>_xlfn.XLOOKUP(B2178, Oil_Price!A:A, Oil_Price!B:B, "")</f>
        <v>56.659999847412109</v>
      </c>
      <c r="E2178">
        <f t="shared" si="132"/>
        <v>1.5879942948841184E-2</v>
      </c>
      <c r="F2178">
        <f t="shared" si="133"/>
        <v>9.0827837519851795E-3</v>
      </c>
      <c r="G2178">
        <f t="shared" si="134"/>
        <v>0.35576820373534801</v>
      </c>
      <c r="H2178">
        <f t="shared" si="135"/>
        <v>0.50999832153319602</v>
      </c>
    </row>
    <row r="2179" spans="1:8" x14ac:dyDescent="0.2">
      <c r="A2179" t="s">
        <v>12</v>
      </c>
      <c r="B2179" s="2">
        <v>46013</v>
      </c>
      <c r="C2179">
        <v>22.739622116088871</v>
      </c>
      <c r="D2179">
        <f>_xlfn.XLOOKUP(B2179, Oil_Price!A:A, Oil_Price!B:B, "")</f>
        <v>58.009998321533203</v>
      </c>
      <c r="E2179">
        <f t="shared" ref="E2179:E2242" si="136">IFERROR(IF(AND(A2179=A2178, C2179&lt;&gt;"", C2178&lt;&gt;""), (C2179-C2178)/C2178, ""), "")</f>
        <v>-8.684703607982952E-4</v>
      </c>
      <c r="F2179">
        <f t="shared" ref="F2179:F2242" si="137">IFERROR(IF(AND(A2179=A2178, D2179&lt;&gt;"", D2178&lt;&gt;""), (D2179-D2178)/D2178, ""), "")</f>
        <v>2.3826305643429219E-2</v>
      </c>
      <c r="G2179">
        <f t="shared" ref="G2179:G2242" si="138">IFERROR(IF(AND(A2179=A2178, C2179&lt;&gt;"", C2178&lt;&gt;""), C2179-C2178, ""), "")</f>
        <v>-1.9765853881828832E-2</v>
      </c>
      <c r="H2179">
        <f t="shared" ref="H2179:H2242" si="139">IFERROR(IF(AND(A2179=A2178, D2179&lt;&gt;"", D2178&lt;&gt;""), D2179-D2178, ""), "")</f>
        <v>1.3499984741210938</v>
      </c>
    </row>
    <row r="2180" spans="1:8" x14ac:dyDescent="0.2">
      <c r="A2180" t="s">
        <v>12</v>
      </c>
      <c r="B2180" s="2">
        <v>46014</v>
      </c>
      <c r="C2180">
        <v>22.700092315673832</v>
      </c>
      <c r="D2180">
        <f>_xlfn.XLOOKUP(B2180, Oil_Price!A:A, Oil_Price!B:B, "")</f>
        <v>58.380001068115227</v>
      </c>
      <c r="E2180">
        <f t="shared" si="136"/>
        <v>-1.7383666365797129E-3</v>
      </c>
      <c r="F2180">
        <f t="shared" si="137"/>
        <v>6.3782581845840151E-3</v>
      </c>
      <c r="G2180">
        <f t="shared" si="138"/>
        <v>-3.9529800415039062E-2</v>
      </c>
      <c r="H2180">
        <f t="shared" si="139"/>
        <v>0.37000274658202414</v>
      </c>
    </row>
    <row r="2181" spans="1:8" x14ac:dyDescent="0.2">
      <c r="A2181" t="s">
        <v>12</v>
      </c>
      <c r="B2181" s="2">
        <v>46015</v>
      </c>
      <c r="C2181">
        <v>22.611150741577148</v>
      </c>
      <c r="D2181">
        <f>_xlfn.XLOOKUP(B2181, Oil_Price!A:A, Oil_Price!B:B, "")</f>
        <v>58.349998474121087</v>
      </c>
      <c r="E2181">
        <f t="shared" si="136"/>
        <v>-3.9181150834030473E-3</v>
      </c>
      <c r="F2181">
        <f t="shared" si="137"/>
        <v>-5.1391903811606504E-4</v>
      </c>
      <c r="G2181">
        <f t="shared" si="138"/>
        <v>-8.894157409668324E-2</v>
      </c>
      <c r="H2181">
        <f t="shared" si="139"/>
        <v>-3.0002593994140625E-2</v>
      </c>
    </row>
    <row r="2182" spans="1:8" x14ac:dyDescent="0.2">
      <c r="A2182" t="s">
        <v>12</v>
      </c>
      <c r="B2182" s="2">
        <v>46020</v>
      </c>
      <c r="C2182">
        <v>22.848331451416019</v>
      </c>
      <c r="D2182">
        <f>_xlfn.XLOOKUP(B2182, Oil_Price!A:A, Oil_Price!B:B, "")</f>
        <v>58.080001831054688</v>
      </c>
      <c r="E2182">
        <f t="shared" si="136"/>
        <v>1.0489546177884052E-2</v>
      </c>
      <c r="F2182">
        <f t="shared" si="137"/>
        <v>-4.627191947333912E-3</v>
      </c>
      <c r="G2182">
        <f t="shared" si="138"/>
        <v>0.23718070983887074</v>
      </c>
      <c r="H2182">
        <f t="shared" si="139"/>
        <v>-0.26999664306639914</v>
      </c>
    </row>
    <row r="2183" spans="1:8" x14ac:dyDescent="0.2">
      <c r="A2183" t="s">
        <v>12</v>
      </c>
      <c r="B2183" s="2">
        <v>46021</v>
      </c>
      <c r="C2183">
        <v>23.075628280639648</v>
      </c>
      <c r="D2183">
        <f>_xlfn.XLOOKUP(B2183, Oil_Price!A:A, Oil_Price!B:B, "")</f>
        <v>57.950000762939453</v>
      </c>
      <c r="E2183">
        <f t="shared" si="136"/>
        <v>9.948071250058069E-3</v>
      </c>
      <c r="F2183">
        <f t="shared" si="137"/>
        <v>-2.238310330867179E-3</v>
      </c>
      <c r="G2183">
        <f t="shared" si="138"/>
        <v>0.22729682922362926</v>
      </c>
      <c r="H2183">
        <f t="shared" si="139"/>
        <v>-0.13000106811523438</v>
      </c>
    </row>
    <row r="2184" spans="1:8" x14ac:dyDescent="0.2">
      <c r="A2184" t="s">
        <v>12</v>
      </c>
      <c r="B2184" s="2">
        <v>46022</v>
      </c>
      <c r="C2184">
        <v>22.9471549987793</v>
      </c>
      <c r="D2184">
        <f>_xlfn.XLOOKUP(B2184, Oil_Price!A:A, Oil_Price!B:B, "")</f>
        <v>57.419998168945312</v>
      </c>
      <c r="E2184">
        <f t="shared" si="136"/>
        <v>-5.5674879269977029E-3</v>
      </c>
      <c r="F2184">
        <f t="shared" si="137"/>
        <v>-9.145860000283057E-3</v>
      </c>
      <c r="G2184">
        <f t="shared" si="138"/>
        <v>-0.12847328186034801</v>
      </c>
      <c r="H2184">
        <f t="shared" si="139"/>
        <v>-0.53000259399414062</v>
      </c>
    </row>
    <row r="2185" spans="1:8" x14ac:dyDescent="0.2">
      <c r="A2185" t="s">
        <v>12</v>
      </c>
      <c r="B2185" s="2">
        <v>46024</v>
      </c>
      <c r="C2185">
        <v>23.767402648925781</v>
      </c>
      <c r="D2185">
        <f>_xlfn.XLOOKUP(B2185, Oil_Price!A:A, Oil_Price!B:B, "")</f>
        <v>57.319999694824219</v>
      </c>
      <c r="E2185">
        <f t="shared" si="136"/>
        <v>3.5745069495112351E-2</v>
      </c>
      <c r="F2185">
        <f t="shared" si="137"/>
        <v>-1.7415269472296209E-3</v>
      </c>
      <c r="G2185">
        <f t="shared" si="138"/>
        <v>0.82024765014648082</v>
      </c>
      <c r="H2185">
        <f t="shared" si="139"/>
        <v>-9.999847412109375E-2</v>
      </c>
    </row>
    <row r="2186" spans="1:8" x14ac:dyDescent="0.2">
      <c r="A2186" t="s">
        <v>12</v>
      </c>
      <c r="B2186" s="2">
        <v>46027</v>
      </c>
      <c r="C2186">
        <v>22.62103271484375</v>
      </c>
      <c r="D2186">
        <f>_xlfn.XLOOKUP(B2186, Oil_Price!A:A, Oil_Price!B:B, "")</f>
        <v>58.319999694824219</v>
      </c>
      <c r="E2186">
        <f t="shared" si="136"/>
        <v>-4.8232865450859176E-2</v>
      </c>
      <c r="F2186">
        <f t="shared" si="137"/>
        <v>1.7445917748151983E-2</v>
      </c>
      <c r="G2186">
        <f t="shared" si="138"/>
        <v>-1.1463699340820312</v>
      </c>
      <c r="H2186">
        <f t="shared" si="139"/>
        <v>1</v>
      </c>
    </row>
    <row r="2187" spans="1:8" x14ac:dyDescent="0.2">
      <c r="A2187" t="s">
        <v>12</v>
      </c>
      <c r="B2187" s="2">
        <v>46028</v>
      </c>
      <c r="C2187">
        <v>22.166439056396481</v>
      </c>
      <c r="D2187">
        <f>_xlfn.XLOOKUP(B2187, Oil_Price!A:A, Oil_Price!B:B, "")</f>
        <v>57.130001068115227</v>
      </c>
      <c r="E2187">
        <f t="shared" si="136"/>
        <v>-2.0096061226637468E-2</v>
      </c>
      <c r="F2187">
        <f t="shared" si="137"/>
        <v>-2.0404640482441592E-2</v>
      </c>
      <c r="G2187">
        <f t="shared" si="138"/>
        <v>-0.45459365844726918</v>
      </c>
      <c r="H2187">
        <f t="shared" si="139"/>
        <v>-1.1899986267089915</v>
      </c>
    </row>
    <row r="2188" spans="1:8" x14ac:dyDescent="0.2">
      <c r="A2188" t="s">
        <v>12</v>
      </c>
      <c r="B2188" s="2">
        <v>46029</v>
      </c>
      <c r="C2188">
        <v>21.692079544067379</v>
      </c>
      <c r="D2188">
        <f>_xlfn.XLOOKUP(B2188, Oil_Price!A:A, Oil_Price!B:B, "")</f>
        <v>55.990001678466797</v>
      </c>
      <c r="E2188">
        <f t="shared" si="136"/>
        <v>-2.1399896984906897E-2</v>
      </c>
      <c r="F2188">
        <f t="shared" si="137"/>
        <v>-1.995447870356639E-2</v>
      </c>
      <c r="G2188">
        <f t="shared" si="138"/>
        <v>-0.47435951232910156</v>
      </c>
      <c r="H2188">
        <f t="shared" si="139"/>
        <v>-1.1399993896484304</v>
      </c>
    </row>
    <row r="2189" spans="1:8" x14ac:dyDescent="0.2">
      <c r="A2189" t="s">
        <v>12</v>
      </c>
      <c r="B2189" s="2">
        <v>46030</v>
      </c>
      <c r="C2189">
        <v>22.433267593383789</v>
      </c>
      <c r="D2189">
        <f>_xlfn.XLOOKUP(B2189, Oil_Price!A:A, Oil_Price!B:B, "")</f>
        <v>57.759998321533203</v>
      </c>
      <c r="E2189">
        <f t="shared" si="136"/>
        <v>3.4168602775528689E-2</v>
      </c>
      <c r="F2189">
        <f t="shared" si="137"/>
        <v>3.1612727094222068E-2</v>
      </c>
      <c r="G2189">
        <f t="shared" si="138"/>
        <v>0.7411880493164098</v>
      </c>
      <c r="H2189">
        <f t="shared" si="139"/>
        <v>1.7699966430664062</v>
      </c>
    </row>
    <row r="2190" spans="1:8" x14ac:dyDescent="0.2">
      <c r="A2190" t="s">
        <v>12</v>
      </c>
      <c r="B2190" s="2">
        <v>46031</v>
      </c>
      <c r="C2190">
        <v>22.60126876831055</v>
      </c>
      <c r="D2190">
        <f>_xlfn.XLOOKUP(B2190, Oil_Price!A:A, Oil_Price!B:B, "")</f>
        <v>59.119998931884773</v>
      </c>
      <c r="E2190">
        <f t="shared" si="136"/>
        <v>7.4889301893902296E-3</v>
      </c>
      <c r="F2190">
        <f t="shared" si="137"/>
        <v>2.3545717622442432E-2</v>
      </c>
      <c r="G2190">
        <f t="shared" si="138"/>
        <v>0.16800117492676137</v>
      </c>
      <c r="H2190">
        <f t="shared" si="139"/>
        <v>1.3600006103515696</v>
      </c>
    </row>
    <row r="2191" spans="1:8" x14ac:dyDescent="0.2">
      <c r="A2191" t="s">
        <v>12</v>
      </c>
      <c r="B2191" s="2">
        <v>46034</v>
      </c>
      <c r="C2191">
        <v>22.818683624267582</v>
      </c>
      <c r="D2191">
        <f>_xlfn.XLOOKUP(B2191, Oil_Price!A:A, Oil_Price!B:B, "")</f>
        <v>59.5</v>
      </c>
      <c r="E2191">
        <f t="shared" si="136"/>
        <v>9.6195863243691282E-3</v>
      </c>
      <c r="F2191">
        <f t="shared" si="137"/>
        <v>6.4276230544768158E-3</v>
      </c>
      <c r="G2191">
        <f t="shared" si="138"/>
        <v>0.21741485595703125</v>
      </c>
      <c r="H2191">
        <f t="shared" si="139"/>
        <v>0.38000106811522727</v>
      </c>
    </row>
    <row r="2192" spans="1:8" x14ac:dyDescent="0.2">
      <c r="A2192" t="s">
        <v>12</v>
      </c>
      <c r="B2192" s="2">
        <v>46035</v>
      </c>
      <c r="C2192">
        <v>24.17258453369141</v>
      </c>
      <c r="D2192">
        <f>_xlfn.XLOOKUP(B2192, Oil_Price!A:A, Oil_Price!B:B, "")</f>
        <v>61.150001525878913</v>
      </c>
      <c r="E2192">
        <f t="shared" si="136"/>
        <v>5.9332997981704771E-2</v>
      </c>
      <c r="F2192">
        <f t="shared" si="137"/>
        <v>2.7731118081998542E-2</v>
      </c>
      <c r="G2192">
        <f t="shared" si="138"/>
        <v>1.3539009094238281</v>
      </c>
      <c r="H2192">
        <f t="shared" si="139"/>
        <v>1.6500015258789134</v>
      </c>
    </row>
    <row r="2193" spans="1:8" x14ac:dyDescent="0.2">
      <c r="A2193" t="s">
        <v>12</v>
      </c>
      <c r="B2193" s="2">
        <v>46036</v>
      </c>
      <c r="C2193">
        <v>25.2695426940918</v>
      </c>
      <c r="D2193">
        <f>_xlfn.XLOOKUP(B2193, Oil_Price!A:A, Oil_Price!B:B, "")</f>
        <v>62.020000457763672</v>
      </c>
      <c r="E2193">
        <f t="shared" si="136"/>
        <v>4.5380259561052134E-2</v>
      </c>
      <c r="F2193">
        <f t="shared" si="137"/>
        <v>1.4227292071555741E-2</v>
      </c>
      <c r="G2193">
        <f t="shared" si="138"/>
        <v>1.0969581604003906</v>
      </c>
      <c r="H2193">
        <f t="shared" si="139"/>
        <v>0.86999893188475852</v>
      </c>
    </row>
    <row r="2194" spans="1:8" x14ac:dyDescent="0.2">
      <c r="A2194" t="s">
        <v>12</v>
      </c>
      <c r="B2194" s="2">
        <v>46037</v>
      </c>
      <c r="C2194">
        <v>24.854476928710941</v>
      </c>
      <c r="D2194">
        <f>_xlfn.XLOOKUP(B2194, Oil_Price!A:A, Oil_Price!B:B, "")</f>
        <v>59.189998626708977</v>
      </c>
      <c r="E2194">
        <f t="shared" si="136"/>
        <v>-1.6425535293834372E-2</v>
      </c>
      <c r="F2194">
        <f t="shared" si="137"/>
        <v>-4.5630470979792365E-2</v>
      </c>
      <c r="G2194">
        <f t="shared" si="138"/>
        <v>-0.41506576538085938</v>
      </c>
      <c r="H2194">
        <f t="shared" si="139"/>
        <v>-2.8300018310546946</v>
      </c>
    </row>
    <row r="2195" spans="1:8" x14ac:dyDescent="0.2">
      <c r="A2195" t="s">
        <v>12</v>
      </c>
      <c r="B2195" s="2">
        <v>46038</v>
      </c>
      <c r="C2195">
        <v>24.765535354614261</v>
      </c>
      <c r="D2195">
        <f>_xlfn.XLOOKUP(B2195, Oil_Price!A:A, Oil_Price!B:B, "")</f>
        <v>59.439998626708977</v>
      </c>
      <c r="E2195">
        <f t="shared" si="136"/>
        <v>-3.5784930961044602E-3</v>
      </c>
      <c r="F2195">
        <f t="shared" si="137"/>
        <v>4.2236865315146274E-3</v>
      </c>
      <c r="G2195">
        <f t="shared" si="138"/>
        <v>-8.8941574096679688E-2</v>
      </c>
      <c r="H2195">
        <f t="shared" si="139"/>
        <v>0.25</v>
      </c>
    </row>
    <row r="2196" spans="1:8" x14ac:dyDescent="0.2">
      <c r="A2196" t="s">
        <v>12</v>
      </c>
      <c r="B2196" s="2">
        <v>46041</v>
      </c>
      <c r="C2196">
        <v>24.8445930480957</v>
      </c>
      <c r="D2196" t="str">
        <f>_xlfn.XLOOKUP(B2196, Oil_Price!A:A, Oil_Price!B:B, "")</f>
        <v/>
      </c>
      <c r="E2196">
        <f t="shared" si="136"/>
        <v>3.1922464969733975E-3</v>
      </c>
      <c r="F2196" t="str">
        <f t="shared" si="137"/>
        <v/>
      </c>
      <c r="G2196">
        <f t="shared" si="138"/>
        <v>7.9057693481438207E-2</v>
      </c>
      <c r="H2196" t="str">
        <f t="shared" si="139"/>
        <v/>
      </c>
    </row>
    <row r="2197" spans="1:8" x14ac:dyDescent="0.2">
      <c r="A2197" t="s">
        <v>12</v>
      </c>
      <c r="B2197" s="2">
        <v>46042</v>
      </c>
      <c r="C2197">
        <v>24.17258453369141</v>
      </c>
      <c r="D2197">
        <f>_xlfn.XLOOKUP(B2197, Oil_Price!A:A, Oil_Price!B:B, "")</f>
        <v>60.340000152587891</v>
      </c>
      <c r="E2197">
        <f t="shared" si="136"/>
        <v>-2.7048481458455533E-2</v>
      </c>
      <c r="F2197" t="str">
        <f t="shared" si="137"/>
        <v/>
      </c>
      <c r="G2197">
        <f t="shared" si="138"/>
        <v>-0.67200851440428977</v>
      </c>
      <c r="H2197" t="str">
        <f t="shared" si="139"/>
        <v/>
      </c>
    </row>
    <row r="2198" spans="1:8" x14ac:dyDescent="0.2">
      <c r="A2198" t="s">
        <v>12</v>
      </c>
      <c r="B2198" s="2">
        <v>46043</v>
      </c>
      <c r="C2198">
        <v>25.259658813476559</v>
      </c>
      <c r="D2198">
        <f>_xlfn.XLOOKUP(B2198, Oil_Price!A:A, Oil_Price!B:B, "")</f>
        <v>60.619998931884773</v>
      </c>
      <c r="E2198">
        <f t="shared" si="136"/>
        <v>4.4971371525043186E-2</v>
      </c>
      <c r="F2198">
        <f t="shared" si="137"/>
        <v>4.6403509875508906E-3</v>
      </c>
      <c r="G2198">
        <f t="shared" si="138"/>
        <v>1.0870742797851491</v>
      </c>
      <c r="H2198">
        <f t="shared" si="139"/>
        <v>0.27999877929688211</v>
      </c>
    </row>
    <row r="2199" spans="1:8" x14ac:dyDescent="0.2">
      <c r="A2199" t="s">
        <v>12</v>
      </c>
      <c r="B2199" s="2">
        <v>46044</v>
      </c>
      <c r="C2199">
        <v>25.111421585083011</v>
      </c>
      <c r="D2199">
        <f>_xlfn.XLOOKUP(B2199, Oil_Price!A:A, Oil_Price!B:B, "")</f>
        <v>59.360000610351562</v>
      </c>
      <c r="E2199">
        <f t="shared" si="136"/>
        <v>-5.8685364473117863E-3</v>
      </c>
      <c r="F2199">
        <f t="shared" si="137"/>
        <v>-2.0785192077436333E-2</v>
      </c>
      <c r="G2199">
        <f t="shared" si="138"/>
        <v>-0.14823722839354758</v>
      </c>
      <c r="H2199">
        <f t="shared" si="139"/>
        <v>-1.2599983215332102</v>
      </c>
    </row>
    <row r="2200" spans="1:8" x14ac:dyDescent="0.2">
      <c r="A2200" t="s">
        <v>12</v>
      </c>
      <c r="B2200" s="2">
        <v>46045</v>
      </c>
      <c r="C2200">
        <v>25.417778015136719</v>
      </c>
      <c r="D2200">
        <f>_xlfn.XLOOKUP(B2200, Oil_Price!A:A, Oil_Price!B:B, "")</f>
        <v>61.069999694824219</v>
      </c>
      <c r="E2200">
        <f t="shared" si="136"/>
        <v>1.2199883985687729E-2</v>
      </c>
      <c r="F2200">
        <f t="shared" si="137"/>
        <v>2.8807261908525925E-2</v>
      </c>
      <c r="G2200">
        <f t="shared" si="138"/>
        <v>0.30635643005370738</v>
      </c>
      <c r="H2200">
        <f t="shared" si="139"/>
        <v>1.7099990844726562</v>
      </c>
    </row>
    <row r="2201" spans="1:8" x14ac:dyDescent="0.2">
      <c r="A2201" t="s">
        <v>12</v>
      </c>
      <c r="B2201" s="2">
        <v>46048</v>
      </c>
      <c r="C2201">
        <v>25.674724578857418</v>
      </c>
      <c r="D2201">
        <f>_xlfn.XLOOKUP(B2201, Oil_Price!A:A, Oil_Price!B:B, "")</f>
        <v>60.630001068115227</v>
      </c>
      <c r="E2201">
        <f t="shared" si="136"/>
        <v>1.0108930983962624E-2</v>
      </c>
      <c r="F2201">
        <f t="shared" si="137"/>
        <v>-7.204824445844595E-3</v>
      </c>
      <c r="G2201">
        <f t="shared" si="138"/>
        <v>0.25694656372069957</v>
      </c>
      <c r="H2201">
        <f t="shared" si="139"/>
        <v>-0.43999862670899148</v>
      </c>
    </row>
    <row r="2202" spans="1:8" x14ac:dyDescent="0.2">
      <c r="A2202" t="s">
        <v>12</v>
      </c>
      <c r="B2202" s="2">
        <v>46049</v>
      </c>
      <c r="C2202">
        <v>26.139202117919918</v>
      </c>
      <c r="D2202">
        <f>_xlfn.XLOOKUP(B2202, Oil_Price!A:A, Oil_Price!B:B, "")</f>
        <v>62.389999389648438</v>
      </c>
      <c r="E2202">
        <f t="shared" si="136"/>
        <v>1.8090847971354178E-2</v>
      </c>
      <c r="F2202">
        <f t="shared" si="137"/>
        <v>2.9028505534016518E-2</v>
      </c>
      <c r="G2202">
        <f t="shared" si="138"/>
        <v>0.4644775390625</v>
      </c>
      <c r="H2202">
        <f t="shared" si="139"/>
        <v>1.7599983215332102</v>
      </c>
    </row>
    <row r="2203" spans="1:8" x14ac:dyDescent="0.2">
      <c r="A2203" t="s">
        <v>12</v>
      </c>
      <c r="B2203" s="2">
        <v>46050</v>
      </c>
      <c r="C2203">
        <v>26.56414794921875</v>
      </c>
      <c r="D2203">
        <f>_xlfn.XLOOKUP(B2203, Oil_Price!A:A, Oil_Price!B:B, "")</f>
        <v>63.209999084472663</v>
      </c>
      <c r="E2203">
        <f t="shared" si="136"/>
        <v>1.6257031464916329E-2</v>
      </c>
      <c r="F2203">
        <f t="shared" si="137"/>
        <v>1.314312714932127E-2</v>
      </c>
      <c r="G2203">
        <f t="shared" si="138"/>
        <v>0.42494583129883168</v>
      </c>
      <c r="H2203">
        <f t="shared" si="139"/>
        <v>0.81999969482422586</v>
      </c>
    </row>
    <row r="2204" spans="1:8" x14ac:dyDescent="0.2">
      <c r="A2204" t="s">
        <v>12</v>
      </c>
      <c r="B2204" s="2">
        <v>46051</v>
      </c>
      <c r="C2204">
        <v>27.186746597290039</v>
      </c>
      <c r="D2204">
        <f>_xlfn.XLOOKUP(B2204, Oil_Price!A:A, Oil_Price!B:B, "")</f>
        <v>65.419998168945312</v>
      </c>
      <c r="E2204">
        <f t="shared" si="136"/>
        <v>2.343755385120868E-2</v>
      </c>
      <c r="F2204">
        <f t="shared" si="137"/>
        <v>3.4962808360734947E-2</v>
      </c>
      <c r="G2204">
        <f t="shared" si="138"/>
        <v>0.62259864807128906</v>
      </c>
      <c r="H2204">
        <f t="shared" si="139"/>
        <v>2.2099990844726491</v>
      </c>
    </row>
    <row r="2205" spans="1:8" x14ac:dyDescent="0.2">
      <c r="A2205" t="s">
        <v>12</v>
      </c>
      <c r="B2205" s="2">
        <v>46052</v>
      </c>
      <c r="C2205">
        <v>26.554267883300781</v>
      </c>
      <c r="D2205">
        <f>_xlfn.XLOOKUP(B2205, Oil_Price!A:A, Oil_Price!B:B, "")</f>
        <v>65.209999084472656</v>
      </c>
      <c r="E2205">
        <f t="shared" si="136"/>
        <v>-2.3264229565898221E-2</v>
      </c>
      <c r="F2205">
        <f t="shared" si="137"/>
        <v>-3.2100136097579749E-3</v>
      </c>
      <c r="G2205">
        <f t="shared" si="138"/>
        <v>-0.63247871398925781</v>
      </c>
      <c r="H2205">
        <f t="shared" si="139"/>
        <v>-0.20999908447265625</v>
      </c>
    </row>
    <row r="2206" spans="1:8" x14ac:dyDescent="0.2">
      <c r="A2206" t="s">
        <v>12</v>
      </c>
      <c r="B2206" s="2">
        <v>46055</v>
      </c>
      <c r="C2206">
        <v>26.277555465698239</v>
      </c>
      <c r="D2206">
        <f>_xlfn.XLOOKUP(B2206, Oil_Price!A:A, Oil_Price!B:B, "")</f>
        <v>62.139999389648438</v>
      </c>
      <c r="E2206">
        <f t="shared" si="136"/>
        <v>-1.0420638174572274E-2</v>
      </c>
      <c r="F2206">
        <f t="shared" si="137"/>
        <v>-4.7078664896887348E-2</v>
      </c>
      <c r="G2206">
        <f t="shared" si="138"/>
        <v>-0.27671241760254262</v>
      </c>
      <c r="H2206">
        <f t="shared" si="139"/>
        <v>-3.0699996948242188</v>
      </c>
    </row>
    <row r="2207" spans="1:8" x14ac:dyDescent="0.2">
      <c r="A2207" t="s">
        <v>12</v>
      </c>
      <c r="B2207" s="2">
        <v>46056</v>
      </c>
      <c r="C2207">
        <v>26.880390167236332</v>
      </c>
      <c r="D2207">
        <f>_xlfn.XLOOKUP(B2207, Oil_Price!A:A, Oil_Price!B:B, "")</f>
        <v>63.209999084472663</v>
      </c>
      <c r="E2207">
        <f t="shared" si="136"/>
        <v>2.2941049532747119E-2</v>
      </c>
      <c r="F2207">
        <f t="shared" si="137"/>
        <v>1.7219177749178916E-2</v>
      </c>
      <c r="G2207">
        <f t="shared" si="138"/>
        <v>0.60283470153809304</v>
      </c>
      <c r="H2207">
        <f t="shared" si="139"/>
        <v>1.0699996948242259</v>
      </c>
    </row>
    <row r="2208" spans="1:8" x14ac:dyDescent="0.2">
      <c r="A2208" t="s">
        <v>12</v>
      </c>
      <c r="B2208" s="2">
        <v>46057</v>
      </c>
      <c r="C2208">
        <v>27.364631652832031</v>
      </c>
      <c r="D2208">
        <f>_xlfn.XLOOKUP(B2208, Oil_Price!A:A, Oil_Price!B:B, "")</f>
        <v>65.139999389648438</v>
      </c>
      <c r="E2208">
        <f t="shared" si="136"/>
        <v>1.8014674734369237E-2</v>
      </c>
      <c r="F2208">
        <f t="shared" si="137"/>
        <v>3.0533148760159889E-2</v>
      </c>
      <c r="G2208">
        <f t="shared" si="138"/>
        <v>0.48424148559569957</v>
      </c>
      <c r="H2208">
        <f t="shared" si="139"/>
        <v>1.9300003051757741</v>
      </c>
    </row>
    <row r="2209" spans="1:8" x14ac:dyDescent="0.2">
      <c r="A2209" t="s">
        <v>12</v>
      </c>
      <c r="B2209" s="2">
        <v>46058</v>
      </c>
      <c r="C2209">
        <v>26.672857284545898</v>
      </c>
      <c r="D2209">
        <f>_xlfn.XLOOKUP(B2209, Oil_Price!A:A, Oil_Price!B:B, "")</f>
        <v>63.290000915527337</v>
      </c>
      <c r="E2209">
        <f t="shared" si="136"/>
        <v>-2.5279871370552119E-2</v>
      </c>
      <c r="F2209">
        <f t="shared" si="137"/>
        <v>-2.8400345278711943E-2</v>
      </c>
      <c r="G2209">
        <f t="shared" si="138"/>
        <v>-0.69177436828613281</v>
      </c>
      <c r="H2209">
        <f t="shared" si="139"/>
        <v>-1.8499984741211009</v>
      </c>
    </row>
    <row r="2210" spans="1:8" x14ac:dyDescent="0.2">
      <c r="A2210" t="s">
        <v>12</v>
      </c>
      <c r="B2210" s="2">
        <v>46059</v>
      </c>
      <c r="C2210">
        <v>27.779697418212891</v>
      </c>
      <c r="D2210">
        <f>_xlfn.XLOOKUP(B2210, Oil_Price!A:A, Oil_Price!B:B, "")</f>
        <v>63.549999237060547</v>
      </c>
      <c r="E2210">
        <f t="shared" si="136"/>
        <v>4.1496871589692383E-2</v>
      </c>
      <c r="F2210">
        <f t="shared" si="137"/>
        <v>4.1080473656530348E-3</v>
      </c>
      <c r="G2210">
        <f t="shared" si="138"/>
        <v>1.1068401336669922</v>
      </c>
      <c r="H2210">
        <f t="shared" si="139"/>
        <v>0.25999832153321023</v>
      </c>
    </row>
    <row r="2211" spans="1:8" x14ac:dyDescent="0.2">
      <c r="A2211" t="s">
        <v>12</v>
      </c>
      <c r="B2211" s="2">
        <v>46062</v>
      </c>
      <c r="C2211">
        <v>28.16511344909668</v>
      </c>
      <c r="D2211">
        <f>_xlfn.XLOOKUP(B2211, Oil_Price!A:A, Oil_Price!B:B, "")</f>
        <v>64.360000610351562</v>
      </c>
      <c r="E2211">
        <f t="shared" si="136"/>
        <v>1.3874018319260132E-2</v>
      </c>
      <c r="F2211">
        <f t="shared" si="137"/>
        <v>1.2745891156811311E-2</v>
      </c>
      <c r="G2211">
        <f t="shared" si="138"/>
        <v>0.38541603088378906</v>
      </c>
      <c r="H2211">
        <f t="shared" si="139"/>
        <v>0.81000137329101562</v>
      </c>
    </row>
    <row r="2212" spans="1:8" x14ac:dyDescent="0.2">
      <c r="A2212" t="s">
        <v>12</v>
      </c>
      <c r="B2212" s="2">
        <v>46063</v>
      </c>
      <c r="C2212">
        <v>28.412174224853519</v>
      </c>
      <c r="D2212">
        <f>_xlfn.XLOOKUP(B2212, Oil_Price!A:A, Oil_Price!B:B, "")</f>
        <v>63.959999084472663</v>
      </c>
      <c r="E2212">
        <f t="shared" si="136"/>
        <v>8.7718722029420156E-3</v>
      </c>
      <c r="F2212">
        <f t="shared" si="137"/>
        <v>-6.2150640473201541E-3</v>
      </c>
      <c r="G2212">
        <f t="shared" si="138"/>
        <v>0.24706077575683949</v>
      </c>
      <c r="H2212">
        <f t="shared" si="139"/>
        <v>-0.40000152587889914</v>
      </c>
    </row>
    <row r="2213" spans="1:8" x14ac:dyDescent="0.2">
      <c r="A2213" t="s">
        <v>12</v>
      </c>
      <c r="B2213" s="2">
        <v>46064</v>
      </c>
      <c r="C2213">
        <v>29.548664093017582</v>
      </c>
      <c r="D2213">
        <f>_xlfn.XLOOKUP(B2213, Oil_Price!A:A, Oil_Price!B:B, "")</f>
        <v>64.629997253417969</v>
      </c>
      <c r="E2213">
        <f t="shared" si="136"/>
        <v>4.0000102039706602E-2</v>
      </c>
      <c r="F2213">
        <f t="shared" si="137"/>
        <v>1.0475268582484367E-2</v>
      </c>
      <c r="G2213">
        <f t="shared" si="138"/>
        <v>1.1364898681640625</v>
      </c>
      <c r="H2213">
        <f t="shared" si="139"/>
        <v>0.66999816894530539</v>
      </c>
    </row>
    <row r="2214" spans="1:8" x14ac:dyDescent="0.2">
      <c r="A2214" t="s">
        <v>12</v>
      </c>
      <c r="B2214" s="2">
        <v>46065</v>
      </c>
      <c r="C2214">
        <v>28.688886642456051</v>
      </c>
      <c r="D2214">
        <f>_xlfn.XLOOKUP(B2214, Oil_Price!A:A, Oil_Price!B:B, "")</f>
        <v>62.840000152587891</v>
      </c>
      <c r="E2214">
        <f t="shared" si="136"/>
        <v>-2.909699903369567E-2</v>
      </c>
      <c r="F2214">
        <f t="shared" si="137"/>
        <v>-2.7696072673674976E-2</v>
      </c>
      <c r="G2214">
        <f t="shared" si="138"/>
        <v>-0.85977745056153054</v>
      </c>
      <c r="H2214">
        <f t="shared" si="139"/>
        <v>-1.7899971008300781</v>
      </c>
    </row>
    <row r="2215" spans="1:8" x14ac:dyDescent="0.2">
      <c r="A2215" t="s">
        <v>12</v>
      </c>
      <c r="B2215" s="2">
        <v>46066</v>
      </c>
      <c r="C2215">
        <v>29.548664093017582</v>
      </c>
      <c r="D2215">
        <f>_xlfn.XLOOKUP(B2215, Oil_Price!A:A, Oil_Price!B:B, "")</f>
        <v>62.889999389648438</v>
      </c>
      <c r="E2215">
        <f t="shared" si="136"/>
        <v>2.9969007207451711E-2</v>
      </c>
      <c r="F2215">
        <f t="shared" si="137"/>
        <v>7.9565940386917388E-4</v>
      </c>
      <c r="G2215">
        <f t="shared" si="138"/>
        <v>0.85977745056153054</v>
      </c>
      <c r="H2215">
        <f t="shared" si="139"/>
        <v>4.9999237060546875E-2</v>
      </c>
    </row>
    <row r="2216" spans="1:8" x14ac:dyDescent="0.2">
      <c r="A2216" t="s">
        <v>12</v>
      </c>
      <c r="B2216" s="2">
        <v>46070</v>
      </c>
      <c r="C2216">
        <v>29.09406661987305</v>
      </c>
      <c r="D2216">
        <f>_xlfn.XLOOKUP(B2216, Oil_Price!A:A, Oil_Price!B:B, "")</f>
        <v>62.330001831054688</v>
      </c>
      <c r="E2216">
        <f t="shared" si="136"/>
        <v>-1.5384704760712133E-2</v>
      </c>
      <c r="F2216">
        <f t="shared" si="137"/>
        <v>-8.9043975835357454E-3</v>
      </c>
      <c r="G2216">
        <f t="shared" si="138"/>
        <v>-0.45459747314453125</v>
      </c>
      <c r="H2216">
        <f t="shared" si="139"/>
        <v>-0.55999755859375</v>
      </c>
    </row>
    <row r="2217" spans="1:8" x14ac:dyDescent="0.2">
      <c r="A2217" t="s">
        <v>12</v>
      </c>
      <c r="B2217" s="2">
        <v>46071</v>
      </c>
      <c r="C2217">
        <v>30.09219932556152</v>
      </c>
      <c r="D2217">
        <f>_xlfn.XLOOKUP(B2217, Oil_Price!A:A, Oil_Price!B:B, "")</f>
        <v>65.19000244140625</v>
      </c>
      <c r="E2217">
        <f t="shared" si="136"/>
        <v>3.4307088064708113E-2</v>
      </c>
      <c r="F2217">
        <f t="shared" si="137"/>
        <v>4.5884815118465531E-2</v>
      </c>
      <c r="G2217">
        <f t="shared" si="138"/>
        <v>0.99813270568846946</v>
      </c>
      <c r="H2217">
        <f t="shared" si="139"/>
        <v>2.8600006103515625</v>
      </c>
    </row>
    <row r="2218" spans="1:8" x14ac:dyDescent="0.2">
      <c r="A2218" t="s">
        <v>12</v>
      </c>
      <c r="B2218" s="2">
        <v>46072</v>
      </c>
      <c r="C2218">
        <v>31.307746887207031</v>
      </c>
      <c r="D2218">
        <f>_xlfn.XLOOKUP(B2218, Oil_Price!A:A, Oil_Price!B:B, "")</f>
        <v>66.430000305175781</v>
      </c>
      <c r="E2218">
        <f t="shared" si="136"/>
        <v>4.0394108403136113E-2</v>
      </c>
      <c r="F2218">
        <f t="shared" si="137"/>
        <v>1.9021288807038472E-2</v>
      </c>
      <c r="G2218">
        <f t="shared" si="138"/>
        <v>1.2155475616455114</v>
      </c>
      <c r="H2218">
        <f t="shared" si="139"/>
        <v>1.2399978637695312</v>
      </c>
    </row>
    <row r="2219" spans="1:8" x14ac:dyDescent="0.2">
      <c r="A2219" t="s">
        <v>12</v>
      </c>
      <c r="B2219" s="2">
        <v>46073</v>
      </c>
      <c r="C2219">
        <v>30.517145156860352</v>
      </c>
      <c r="D2219">
        <f>_xlfn.XLOOKUP(B2219, Oil_Price!A:A, Oil_Price!B:B, "")</f>
        <v>66.389999389648438</v>
      </c>
      <c r="E2219">
        <f t="shared" si="136"/>
        <v>-2.5252591098139206E-2</v>
      </c>
      <c r="F2219">
        <f t="shared" si="137"/>
        <v>-6.0215136750838081E-4</v>
      </c>
      <c r="G2219">
        <f t="shared" si="138"/>
        <v>-0.79060173034667969</v>
      </c>
      <c r="H2219">
        <f t="shared" si="139"/>
        <v>-4.000091552734375E-2</v>
      </c>
    </row>
    <row r="2220" spans="1:8" x14ac:dyDescent="0.2">
      <c r="A2220" t="s">
        <v>12</v>
      </c>
      <c r="B2220" s="2">
        <v>46076</v>
      </c>
      <c r="C2220">
        <v>30.517145156860352</v>
      </c>
      <c r="D2220">
        <f>_xlfn.XLOOKUP(B2220, Oil_Price!A:A, Oil_Price!B:B, "")</f>
        <v>66.30999755859375</v>
      </c>
      <c r="E2220">
        <f t="shared" si="136"/>
        <v>0</v>
      </c>
      <c r="F2220">
        <f t="shared" si="137"/>
        <v>-1.2050283444822779E-3</v>
      </c>
      <c r="G2220">
        <f t="shared" si="138"/>
        <v>0</v>
      </c>
      <c r="H2220">
        <f t="shared" si="139"/>
        <v>-8.00018310546875E-2</v>
      </c>
    </row>
    <row r="2221" spans="1:8" x14ac:dyDescent="0.2">
      <c r="A2221" t="s">
        <v>12</v>
      </c>
      <c r="B2221" s="2">
        <v>46077</v>
      </c>
      <c r="C2221">
        <v>30.26020431518555</v>
      </c>
      <c r="D2221">
        <f>_xlfn.XLOOKUP(B2221, Oil_Price!A:A, Oil_Price!B:B, "")</f>
        <v>65.629997253417969</v>
      </c>
      <c r="E2221">
        <f t="shared" si="136"/>
        <v>-8.4195569524641474E-3</v>
      </c>
      <c r="F2221">
        <f t="shared" si="137"/>
        <v>-1.025486849965437E-2</v>
      </c>
      <c r="G2221">
        <f t="shared" si="138"/>
        <v>-0.25694084167480113</v>
      </c>
      <c r="H2221">
        <f t="shared" si="139"/>
        <v>-0.68000030517578125</v>
      </c>
    </row>
    <row r="2222" spans="1:8" x14ac:dyDescent="0.2">
      <c r="A2222" t="s">
        <v>12</v>
      </c>
      <c r="B2222" s="2">
        <v>46078</v>
      </c>
      <c r="C2222">
        <v>29.657369613647461</v>
      </c>
      <c r="D2222">
        <f>_xlfn.XLOOKUP(B2222, Oil_Price!A:A, Oil_Price!B:B, "")</f>
        <v>65.419998168945312</v>
      </c>
      <c r="E2222">
        <f t="shared" si="136"/>
        <v>-1.9921699644161607E-2</v>
      </c>
      <c r="F2222">
        <f t="shared" si="137"/>
        <v>-3.1997423931283135E-3</v>
      </c>
      <c r="G2222">
        <f t="shared" si="138"/>
        <v>-0.60283470153808949</v>
      </c>
      <c r="H2222">
        <f t="shared" si="139"/>
        <v>-0.20999908447265625</v>
      </c>
    </row>
    <row r="2223" spans="1:8" x14ac:dyDescent="0.2">
      <c r="A2223" t="s">
        <v>12</v>
      </c>
      <c r="B2223" s="2">
        <v>46079</v>
      </c>
      <c r="C2223">
        <v>29.825372695922852</v>
      </c>
      <c r="D2223">
        <f>_xlfn.XLOOKUP(B2223, Oil_Price!A:A, Oil_Price!B:B, "")</f>
        <v>65.209999084472656</v>
      </c>
      <c r="E2223">
        <f t="shared" si="136"/>
        <v>5.664800502000032E-3</v>
      </c>
      <c r="F2223">
        <f t="shared" si="137"/>
        <v>-3.2100136097579749E-3</v>
      </c>
      <c r="G2223">
        <f t="shared" si="138"/>
        <v>0.16800308227539062</v>
      </c>
      <c r="H2223">
        <f t="shared" si="139"/>
        <v>-0.20999908447265625</v>
      </c>
    </row>
    <row r="2224" spans="1:8" x14ac:dyDescent="0.2">
      <c r="A2224" t="s">
        <v>12</v>
      </c>
      <c r="B2224" s="2">
        <v>46080</v>
      </c>
      <c r="C2224">
        <v>30.032905578613281</v>
      </c>
      <c r="D2224">
        <f>_xlfn.XLOOKUP(B2224, Oil_Price!A:A, Oil_Price!B:B, "")</f>
        <v>67.019996643066406</v>
      </c>
      <c r="E2224">
        <f t="shared" si="136"/>
        <v>6.9582661985913615E-3</v>
      </c>
      <c r="F2224">
        <f t="shared" si="137"/>
        <v>2.7756442018180214E-2</v>
      </c>
      <c r="G2224">
        <f t="shared" si="138"/>
        <v>0.20753288269042969</v>
      </c>
      <c r="H2224">
        <f t="shared" si="139"/>
        <v>1.80999755859375</v>
      </c>
    </row>
    <row r="2225" spans="1:8" x14ac:dyDescent="0.2">
      <c r="A2225" t="s">
        <v>12</v>
      </c>
      <c r="B2225" s="2">
        <v>46083</v>
      </c>
      <c r="C2225">
        <v>30.88279914855957</v>
      </c>
      <c r="D2225">
        <f>_xlfn.XLOOKUP(B2225, Oil_Price!A:A, Oil_Price!B:B, "")</f>
        <v>71.230003356933594</v>
      </c>
      <c r="E2225">
        <f t="shared" si="136"/>
        <v>2.8298746111049156E-2</v>
      </c>
      <c r="F2225">
        <f t="shared" si="137"/>
        <v>6.2817172854972625E-2</v>
      </c>
      <c r="G2225">
        <f t="shared" si="138"/>
        <v>0.84989356994628906</v>
      </c>
      <c r="H2225">
        <f t="shared" si="139"/>
        <v>4.2100067138671875</v>
      </c>
    </row>
    <row r="2226" spans="1:8" x14ac:dyDescent="0.2">
      <c r="A2226" t="s">
        <v>12</v>
      </c>
      <c r="B2226" s="2">
        <v>46084</v>
      </c>
      <c r="C2226">
        <v>30.220672607421879</v>
      </c>
      <c r="D2226">
        <f>_xlfn.XLOOKUP(B2226, Oil_Price!A:A, Oil_Price!B:B, "")</f>
        <v>74.55999755859375</v>
      </c>
      <c r="E2226">
        <f t="shared" si="136"/>
        <v>-2.1439978220645667E-2</v>
      </c>
      <c r="F2226">
        <f t="shared" si="137"/>
        <v>4.6749881296137996E-2</v>
      </c>
      <c r="G2226">
        <f t="shared" si="138"/>
        <v>-0.66212654113769176</v>
      </c>
      <c r="H2226">
        <f t="shared" si="139"/>
        <v>3.3299942016601562</v>
      </c>
    </row>
    <row r="2227" spans="1:8" x14ac:dyDescent="0.2">
      <c r="A2227" t="s">
        <v>12</v>
      </c>
      <c r="B2227" s="2">
        <v>46085</v>
      </c>
      <c r="C2227">
        <v>30.734563827514648</v>
      </c>
      <c r="D2227">
        <f>_xlfn.XLOOKUP(B2227, Oil_Price!A:A, Oil_Price!B:B, "")</f>
        <v>74.660003662109375</v>
      </c>
      <c r="E2227">
        <f t="shared" si="136"/>
        <v>1.7004625501504014E-2</v>
      </c>
      <c r="F2227">
        <f t="shared" si="137"/>
        <v>1.3412836211137771E-3</v>
      </c>
      <c r="G2227">
        <f t="shared" si="138"/>
        <v>0.51389122009276988</v>
      </c>
      <c r="H2227">
        <f t="shared" si="139"/>
        <v>0.100006103515625</v>
      </c>
    </row>
    <row r="2228" spans="1:8" x14ac:dyDescent="0.2">
      <c r="A2228" t="s">
        <v>12</v>
      </c>
      <c r="B2228" s="2">
        <v>46086</v>
      </c>
      <c r="C2228">
        <v>31.465866088867191</v>
      </c>
      <c r="D2228">
        <f>_xlfn.XLOOKUP(B2228, Oil_Price!A:A, Oil_Price!B:B, "")</f>
        <v>81.010002136230469</v>
      </c>
      <c r="E2228">
        <f t="shared" si="136"/>
        <v>2.3794131761774195E-2</v>
      </c>
      <c r="F2228">
        <f t="shared" si="137"/>
        <v>8.5052212197302302E-2</v>
      </c>
      <c r="G2228">
        <f t="shared" si="138"/>
        <v>0.73130226135254262</v>
      </c>
      <c r="H2228">
        <f t="shared" si="139"/>
        <v>6.3499984741210938</v>
      </c>
    </row>
    <row r="2229" spans="1:8" x14ac:dyDescent="0.2">
      <c r="A2229" t="s">
        <v>12</v>
      </c>
      <c r="B2229" s="2">
        <v>46087</v>
      </c>
      <c r="C2229">
        <v>30.428205490112301</v>
      </c>
      <c r="D2229">
        <f>_xlfn.XLOOKUP(B2229, Oil_Price!A:A, Oil_Price!B:B, "")</f>
        <v>90.900001525878906</v>
      </c>
      <c r="E2229">
        <f t="shared" si="136"/>
        <v>-3.2977341091590687E-2</v>
      </c>
      <c r="F2229">
        <f t="shared" si="137"/>
        <v>0.12208368261757259</v>
      </c>
      <c r="G2229">
        <f t="shared" si="138"/>
        <v>-1.0376605987548899</v>
      </c>
      <c r="H2229">
        <f t="shared" si="139"/>
        <v>9.8899993896484375</v>
      </c>
    </row>
    <row r="2230" spans="1:8" x14ac:dyDescent="0.2">
      <c r="A2230" t="s">
        <v>12</v>
      </c>
      <c r="B2230" s="2">
        <v>46090</v>
      </c>
      <c r="C2230">
        <v>30.635736465454102</v>
      </c>
      <c r="D2230">
        <f>_xlfn.XLOOKUP(B2230, Oil_Price!A:A, Oil_Price!B:B, "")</f>
        <v>94.769996643066406</v>
      </c>
      <c r="E2230">
        <f t="shared" si="136"/>
        <v>6.8203488177848012E-3</v>
      </c>
      <c r="F2230">
        <f t="shared" si="137"/>
        <v>4.2574202994768114E-2</v>
      </c>
      <c r="G2230">
        <f t="shared" si="138"/>
        <v>0.20753097534180043</v>
      </c>
      <c r="H2230">
        <f t="shared" si="139"/>
        <v>3.8699951171875</v>
      </c>
    </row>
    <row r="2231" spans="1:8" x14ac:dyDescent="0.2">
      <c r="A2231" t="s">
        <v>12</v>
      </c>
      <c r="B2231" s="2">
        <v>46091</v>
      </c>
      <c r="C2231">
        <v>30.408439636230469</v>
      </c>
      <c r="D2231">
        <f>_xlfn.XLOOKUP(B2231, Oil_Price!A:A, Oil_Price!B:B, "")</f>
        <v>83.449996948242188</v>
      </c>
      <c r="E2231">
        <f t="shared" si="136"/>
        <v>-7.4193362212767577E-3</v>
      </c>
      <c r="F2231">
        <f t="shared" si="137"/>
        <v>-0.11944708342091533</v>
      </c>
      <c r="G2231">
        <f t="shared" si="138"/>
        <v>-0.22729682922363281</v>
      </c>
      <c r="H2231">
        <f t="shared" si="139"/>
        <v>-11.319999694824219</v>
      </c>
    </row>
    <row r="2232" spans="1:8" x14ac:dyDescent="0.2">
      <c r="A2232" t="s">
        <v>12</v>
      </c>
      <c r="B2232" s="2">
        <v>46092</v>
      </c>
      <c r="C2232">
        <v>31.801872253417969</v>
      </c>
      <c r="D2232">
        <f>_xlfn.XLOOKUP(B2232, Oil_Price!A:A, Oil_Price!B:B, "")</f>
        <v>87.25</v>
      </c>
      <c r="E2232">
        <f t="shared" si="136"/>
        <v>4.5823877642418701E-2</v>
      </c>
      <c r="F2232">
        <f t="shared" si="137"/>
        <v>4.5536287486201719E-2</v>
      </c>
      <c r="G2232">
        <f t="shared" si="138"/>
        <v>1.3934326171875</v>
      </c>
      <c r="H2232">
        <f t="shared" si="139"/>
        <v>3.8000030517578125</v>
      </c>
    </row>
    <row r="2233" spans="1:8" x14ac:dyDescent="0.2">
      <c r="A2233" t="s">
        <v>12</v>
      </c>
      <c r="B2233" s="2">
        <v>46093</v>
      </c>
      <c r="C2233">
        <v>31.821636199951168</v>
      </c>
      <c r="D2233">
        <f>_xlfn.XLOOKUP(B2233, Oil_Price!A:A, Oil_Price!B:B, "")</f>
        <v>95.730003356933594</v>
      </c>
      <c r="E2233">
        <f t="shared" si="136"/>
        <v>6.2147116294624456E-4</v>
      </c>
      <c r="F2233">
        <f t="shared" si="137"/>
        <v>9.719201555224749E-2</v>
      </c>
      <c r="G2233">
        <f t="shared" si="138"/>
        <v>1.9763946533199572E-2</v>
      </c>
      <c r="H2233">
        <f t="shared" si="139"/>
        <v>8.4800033569335938</v>
      </c>
    </row>
    <row r="2234" spans="1:8" x14ac:dyDescent="0.2">
      <c r="A2234" t="s">
        <v>12</v>
      </c>
      <c r="B2234" s="2">
        <v>46094</v>
      </c>
      <c r="C2234">
        <v>31.67247200012207</v>
      </c>
      <c r="D2234">
        <f>_xlfn.XLOOKUP(B2234, Oil_Price!A:A, Oil_Price!B:B, "")</f>
        <v>98.709999084472656</v>
      </c>
      <c r="E2234">
        <f t="shared" si="136"/>
        <v>-4.6875088035016541E-3</v>
      </c>
      <c r="F2234">
        <f t="shared" si="137"/>
        <v>3.112917186922072E-2</v>
      </c>
      <c r="G2234">
        <f t="shared" si="138"/>
        <v>-0.14916419982909801</v>
      </c>
      <c r="H2234">
        <f t="shared" si="139"/>
        <v>2.9799957275390625</v>
      </c>
    </row>
    <row r="2235" spans="1:8" x14ac:dyDescent="0.2">
      <c r="A2235" t="s">
        <v>12</v>
      </c>
      <c r="B2235" s="2">
        <v>46097</v>
      </c>
      <c r="C2235">
        <v>31.8017463684082</v>
      </c>
      <c r="D2235">
        <f>_xlfn.XLOOKUP(B2235, Oil_Price!A:A, Oil_Price!B:B, "")</f>
        <v>93.5</v>
      </c>
      <c r="E2235">
        <f t="shared" si="136"/>
        <v>4.0816002074492647E-3</v>
      </c>
      <c r="F2235">
        <f t="shared" si="137"/>
        <v>-5.2780864479738433E-2</v>
      </c>
      <c r="G2235">
        <f t="shared" si="138"/>
        <v>0.12927436828612926</v>
      </c>
      <c r="H2235">
        <f t="shared" si="139"/>
        <v>-5.2099990844726562</v>
      </c>
    </row>
    <row r="2236" spans="1:8" x14ac:dyDescent="0.2">
      <c r="A2236" t="s">
        <v>12</v>
      </c>
      <c r="B2236" s="2">
        <v>46098</v>
      </c>
      <c r="C2236">
        <v>32.110019683837891</v>
      </c>
      <c r="D2236">
        <f>_xlfn.XLOOKUP(B2236, Oil_Price!A:A, Oil_Price!B:B, "")</f>
        <v>96.209999084472656</v>
      </c>
      <c r="E2236">
        <f t="shared" si="136"/>
        <v>9.6935970703775319E-3</v>
      </c>
      <c r="F2236">
        <f t="shared" si="137"/>
        <v>2.898394742751504E-2</v>
      </c>
      <c r="G2236">
        <f t="shared" si="138"/>
        <v>0.30827331542969105</v>
      </c>
      <c r="H2236">
        <f t="shared" si="139"/>
        <v>2.7099990844726562</v>
      </c>
    </row>
    <row r="2237" spans="1:8" x14ac:dyDescent="0.2">
      <c r="A2237" t="s">
        <v>12</v>
      </c>
      <c r="B2237" s="2">
        <v>46099</v>
      </c>
      <c r="C2237">
        <v>32.696731567382812</v>
      </c>
      <c r="D2237">
        <f>_xlfn.XLOOKUP(B2237, Oil_Price!A:A, Oil_Price!B:B, "")</f>
        <v>96.319999694824219</v>
      </c>
      <c r="E2237">
        <f t="shared" si="136"/>
        <v>1.8271925377866857E-2</v>
      </c>
      <c r="F2237">
        <f t="shared" si="137"/>
        <v>1.1433386487716484E-3</v>
      </c>
      <c r="G2237">
        <f t="shared" si="138"/>
        <v>0.58671188354492188</v>
      </c>
      <c r="H2237">
        <f t="shared" si="139"/>
        <v>0.1100006103515625</v>
      </c>
    </row>
    <row r="2238" spans="1:8" x14ac:dyDescent="0.2">
      <c r="A2238" t="s">
        <v>12</v>
      </c>
      <c r="B2238" s="2">
        <v>46100</v>
      </c>
      <c r="C2238">
        <v>34.059093475341797</v>
      </c>
      <c r="D2238">
        <f>_xlfn.XLOOKUP(B2238, Oil_Price!A:A, Oil_Price!B:B, "")</f>
        <v>96.139999389648438</v>
      </c>
      <c r="E2238">
        <f t="shared" si="136"/>
        <v>4.1666608332131642E-2</v>
      </c>
      <c r="F2238">
        <f t="shared" si="137"/>
        <v>-1.8687739383937479E-3</v>
      </c>
      <c r="G2238">
        <f t="shared" si="138"/>
        <v>1.3623619079589844</v>
      </c>
      <c r="H2238">
        <f t="shared" si="139"/>
        <v>-0.18000030517578125</v>
      </c>
    </row>
    <row r="2239" spans="1:8" x14ac:dyDescent="0.2">
      <c r="A2239" t="s">
        <v>12</v>
      </c>
      <c r="B2239" s="2">
        <v>46101</v>
      </c>
      <c r="C2239">
        <v>34.287811279296882</v>
      </c>
      <c r="D2239">
        <f>_xlfn.XLOOKUP(B2239, Oil_Price!A:A, Oil_Price!B:B, "")</f>
        <v>98.319999694824219</v>
      </c>
      <c r="E2239">
        <f t="shared" si="136"/>
        <v>6.7153227117061412E-3</v>
      </c>
      <c r="F2239">
        <f t="shared" si="137"/>
        <v>2.2675268556435063E-2</v>
      </c>
      <c r="G2239">
        <f t="shared" si="138"/>
        <v>0.22871780395508523</v>
      </c>
      <c r="H2239">
        <f t="shared" si="139"/>
        <v>2.1800003051757812</v>
      </c>
    </row>
    <row r="2240" spans="1:8" x14ac:dyDescent="0.2">
      <c r="A2240" t="s">
        <v>12</v>
      </c>
      <c r="B2240" s="2">
        <v>46104</v>
      </c>
      <c r="C2240">
        <v>33.810489654541023</v>
      </c>
      <c r="D2240">
        <f>_xlfn.XLOOKUP(B2240, Oil_Price!A:A, Oil_Price!B:B, "")</f>
        <v>88.129997253417969</v>
      </c>
      <c r="E2240">
        <f t="shared" si="136"/>
        <v>-1.3921029279698238E-2</v>
      </c>
      <c r="F2240">
        <f t="shared" si="137"/>
        <v>-0.10364119683721555</v>
      </c>
      <c r="G2240">
        <f t="shared" si="138"/>
        <v>-0.47732162475585938</v>
      </c>
      <c r="H2240">
        <f t="shared" si="139"/>
        <v>-10.19000244140625</v>
      </c>
    </row>
    <row r="2241" spans="1:8" x14ac:dyDescent="0.2">
      <c r="A2241" t="s">
        <v>12</v>
      </c>
      <c r="B2241" s="2">
        <v>46105</v>
      </c>
      <c r="C2241">
        <v>34.824802398681641</v>
      </c>
      <c r="D2241">
        <f>_xlfn.XLOOKUP(B2241, Oil_Price!A:A, Oil_Price!B:B, "")</f>
        <v>92.349998474121094</v>
      </c>
      <c r="E2241">
        <f t="shared" si="136"/>
        <v>2.999994245881581E-2</v>
      </c>
      <c r="F2241">
        <f t="shared" si="137"/>
        <v>4.7883823354362573E-2</v>
      </c>
      <c r="G2241">
        <f t="shared" si="138"/>
        <v>1.0143127441406179</v>
      </c>
      <c r="H2241">
        <f t="shared" si="139"/>
        <v>4.220001220703125</v>
      </c>
    </row>
    <row r="2242" spans="1:8" x14ac:dyDescent="0.2">
      <c r="A2242" t="s">
        <v>12</v>
      </c>
      <c r="B2242" s="2">
        <v>46106</v>
      </c>
      <c r="C2242">
        <v>35.650177001953118</v>
      </c>
      <c r="D2242">
        <f>_xlfn.XLOOKUP(B2242, Oil_Price!A:A, Oil_Price!B:B, "")</f>
        <v>90.319999694824219</v>
      </c>
      <c r="E2242">
        <f t="shared" si="136"/>
        <v>2.3700769176589021E-2</v>
      </c>
      <c r="F2242">
        <f t="shared" si="137"/>
        <v>-2.1981578915409881E-2</v>
      </c>
      <c r="G2242">
        <f t="shared" si="138"/>
        <v>0.82537460327147727</v>
      </c>
      <c r="H2242">
        <f t="shared" si="139"/>
        <v>-2.029998779296875</v>
      </c>
    </row>
    <row r="2243" spans="1:8" x14ac:dyDescent="0.2">
      <c r="A2243" t="s">
        <v>12</v>
      </c>
      <c r="B2243" s="2">
        <v>46107</v>
      </c>
      <c r="C2243">
        <v>35.809284210205078</v>
      </c>
      <c r="D2243">
        <f>_xlfn.XLOOKUP(B2243, Oil_Price!A:A, Oil_Price!B:B, "")</f>
        <v>94.480003356933594</v>
      </c>
      <c r="E2243">
        <f t="shared" ref="E2243:E2306" si="140">IFERROR(IF(AND(A2243=A2242, C2243&lt;&gt;"", C2242&lt;&gt;""), (C2243-C2242)/C2242, ""), "")</f>
        <v>4.4630131357620874E-3</v>
      </c>
      <c r="F2243">
        <f t="shared" ref="F2243:F2306" si="141">IFERROR(IF(AND(A2243=A2242, D2243&lt;&gt;"", D2242&lt;&gt;""), (D2243-D2242)/D2242, ""), "")</f>
        <v>4.6058499514673536E-2</v>
      </c>
      <c r="G2243">
        <f t="shared" ref="G2243:G2306" si="142">IFERROR(IF(AND(A2243=A2242, C2243&lt;&gt;"", C2242&lt;&gt;""), C2243-C2242, ""), "")</f>
        <v>0.15910720825196023</v>
      </c>
      <c r="H2243">
        <f t="shared" ref="H2243:H2306" si="143">IFERROR(IF(AND(A2243=A2242, D2243&lt;&gt;"", D2242&lt;&gt;""), D2243-D2242, ""), "")</f>
        <v>4.160003662109375</v>
      </c>
    </row>
    <row r="2244" spans="1:8" x14ac:dyDescent="0.2">
      <c r="A2244" t="s">
        <v>12</v>
      </c>
      <c r="B2244" s="2">
        <v>46108</v>
      </c>
      <c r="C2244">
        <v>37.022483825683587</v>
      </c>
      <c r="D2244">
        <f>_xlfn.XLOOKUP(B2244, Oil_Price!A:A, Oil_Price!B:B, "")</f>
        <v>99.639999389648438</v>
      </c>
      <c r="E2244">
        <f t="shared" si="140"/>
        <v>3.3879471266637769E-2</v>
      </c>
      <c r="F2244">
        <f t="shared" si="141"/>
        <v>5.4614689345649434E-2</v>
      </c>
      <c r="G2244">
        <f t="shared" si="142"/>
        <v>1.2131996154785085</v>
      </c>
      <c r="H2244">
        <f t="shared" si="143"/>
        <v>5.1599960327148438</v>
      </c>
    </row>
    <row r="2245" spans="1:8" x14ac:dyDescent="0.2">
      <c r="A2245" t="s">
        <v>12</v>
      </c>
      <c r="B2245" s="2">
        <v>46111</v>
      </c>
      <c r="C2245">
        <v>36.823596954345703</v>
      </c>
      <c r="D2245">
        <f>_xlfn.XLOOKUP(B2245, Oil_Price!A:A, Oil_Price!B:B, "")</f>
        <v>102.879997253418</v>
      </c>
      <c r="E2245">
        <f t="shared" si="140"/>
        <v>-5.3720564042737144E-3</v>
      </c>
      <c r="F2245">
        <f t="shared" si="141"/>
        <v>3.2517040180814791E-2</v>
      </c>
      <c r="G2245">
        <f t="shared" si="142"/>
        <v>-0.19888687133788352</v>
      </c>
      <c r="H2245">
        <f t="shared" si="143"/>
        <v>3.2399978637695597</v>
      </c>
    </row>
    <row r="2246" spans="1:8" x14ac:dyDescent="0.2">
      <c r="A2246" t="s">
        <v>12</v>
      </c>
      <c r="B2246" s="2">
        <v>46112</v>
      </c>
      <c r="C2246">
        <v>36.714210510253913</v>
      </c>
      <c r="D2246">
        <f>_xlfn.XLOOKUP(B2246, Oil_Price!A:A, Oil_Price!B:B, "")</f>
        <v>101.379997253418</v>
      </c>
      <c r="E2246">
        <f t="shared" si="140"/>
        <v>-2.9705529372214311E-3</v>
      </c>
      <c r="F2246">
        <f t="shared" si="141"/>
        <v>-1.4580093701841204E-2</v>
      </c>
      <c r="G2246">
        <f t="shared" si="142"/>
        <v>-0.10938644409178977</v>
      </c>
      <c r="H2246">
        <f t="shared" si="143"/>
        <v>-1.5</v>
      </c>
    </row>
    <row r="2247" spans="1:8" x14ac:dyDescent="0.2">
      <c r="A2247" t="s">
        <v>12</v>
      </c>
      <c r="B2247" s="2">
        <v>46113</v>
      </c>
      <c r="C2247">
        <v>35.660121917724609</v>
      </c>
      <c r="D2247">
        <f>_xlfn.XLOOKUP(B2247, Oil_Price!A:A, Oil_Price!B:B, "")</f>
        <v>100.120002746582</v>
      </c>
      <c r="E2247">
        <f t="shared" si="140"/>
        <v>-2.8710643042015233E-2</v>
      </c>
      <c r="F2247">
        <f t="shared" si="141"/>
        <v>-1.242843303384992E-2</v>
      </c>
      <c r="G2247">
        <f t="shared" si="142"/>
        <v>-1.054088592529304</v>
      </c>
      <c r="H2247">
        <f t="shared" si="143"/>
        <v>-1.2599945068359943</v>
      </c>
    </row>
    <row r="2248" spans="1:8" x14ac:dyDescent="0.2">
      <c r="A2248" t="s">
        <v>12</v>
      </c>
      <c r="B2248" s="2">
        <v>46114</v>
      </c>
      <c r="C2248">
        <v>36.724155426025391</v>
      </c>
      <c r="D2248">
        <f>_xlfn.XLOOKUP(B2248, Oil_Price!A:A, Oil_Price!B:B, "")</f>
        <v>111.5400009155273</v>
      </c>
      <c r="E2248">
        <f t="shared" si="140"/>
        <v>2.9838190423345439E-2</v>
      </c>
      <c r="F2248">
        <f t="shared" si="141"/>
        <v>0.11406310283321647</v>
      </c>
      <c r="G2248">
        <f t="shared" si="142"/>
        <v>1.0640335083007812</v>
      </c>
      <c r="H2248">
        <f t="shared" si="143"/>
        <v>11.419998168945298</v>
      </c>
    </row>
    <row r="2249" spans="1:8" x14ac:dyDescent="0.2">
      <c r="A2249" t="s">
        <v>12</v>
      </c>
      <c r="B2249" s="2">
        <v>46118</v>
      </c>
      <c r="C2249">
        <v>37.161705017089837</v>
      </c>
      <c r="D2249">
        <f>_xlfn.XLOOKUP(B2249, Oil_Price!A:A, Oil_Price!B:B, "")</f>
        <v>112.4100036621094</v>
      </c>
      <c r="E2249">
        <f t="shared" si="140"/>
        <v>1.1914490230982051E-2</v>
      </c>
      <c r="F2249">
        <f t="shared" si="141"/>
        <v>7.7999169754443733E-3</v>
      </c>
      <c r="G2249">
        <f t="shared" si="142"/>
        <v>0.43754959106444602</v>
      </c>
      <c r="H2249">
        <f t="shared" si="143"/>
        <v>0.8700027465821023</v>
      </c>
    </row>
    <row r="2250" spans="1:8" x14ac:dyDescent="0.2">
      <c r="A2250" t="s">
        <v>12</v>
      </c>
      <c r="B2250" s="2">
        <v>46119</v>
      </c>
      <c r="C2250">
        <v>37.569419860839837</v>
      </c>
      <c r="D2250">
        <f>_xlfn.XLOOKUP(B2250, Oil_Price!A:A, Oil_Price!B:B, "")</f>
        <v>112.9499969482422</v>
      </c>
      <c r="E2250">
        <f t="shared" si="140"/>
        <v>1.0971370758217393E-2</v>
      </c>
      <c r="F2250">
        <f t="shared" si="141"/>
        <v>4.8037831913603658E-3</v>
      </c>
      <c r="G2250">
        <f t="shared" si="142"/>
        <v>0.40771484375</v>
      </c>
      <c r="H2250">
        <f t="shared" si="143"/>
        <v>0.53999328613279829</v>
      </c>
    </row>
    <row r="2251" spans="1:8" x14ac:dyDescent="0.2">
      <c r="A2251" t="s">
        <v>12</v>
      </c>
      <c r="B2251" s="2">
        <v>46120</v>
      </c>
      <c r="C2251">
        <v>35.739673614501953</v>
      </c>
      <c r="D2251">
        <f>_xlfn.XLOOKUP(B2251, Oil_Price!A:A, Oil_Price!B:B, "")</f>
        <v>94.410003662109375</v>
      </c>
      <c r="E2251">
        <f t="shared" si="140"/>
        <v>-4.870307428529403E-2</v>
      </c>
      <c r="F2251">
        <f t="shared" si="141"/>
        <v>-0.16414337128869977</v>
      </c>
      <c r="G2251">
        <f t="shared" si="142"/>
        <v>-1.8297462463378835</v>
      </c>
      <c r="H2251">
        <f t="shared" si="143"/>
        <v>-18.539993286132827</v>
      </c>
    </row>
    <row r="2252" spans="1:8" x14ac:dyDescent="0.2">
      <c r="A2252" t="s">
        <v>12</v>
      </c>
      <c r="B2252" s="2">
        <v>46121</v>
      </c>
      <c r="C2252">
        <v>35.282238006591797</v>
      </c>
      <c r="D2252">
        <f>_xlfn.XLOOKUP(B2252, Oil_Price!A:A, Oil_Price!B:B, "")</f>
        <v>97.870002746582031</v>
      </c>
      <c r="E2252">
        <f t="shared" si="140"/>
        <v>-1.2799098638789592E-2</v>
      </c>
      <c r="F2252">
        <f t="shared" si="141"/>
        <v>3.664864898063018E-2</v>
      </c>
      <c r="G2252">
        <f t="shared" si="142"/>
        <v>-0.45743560791015625</v>
      </c>
      <c r="H2252">
        <f t="shared" si="143"/>
        <v>3.4599990844726562</v>
      </c>
    </row>
    <row r="2253" spans="1:8" x14ac:dyDescent="0.2">
      <c r="A2253" t="s">
        <v>12</v>
      </c>
      <c r="B2253" s="2">
        <v>46122</v>
      </c>
      <c r="C2253">
        <v>35.600456237792969</v>
      </c>
      <c r="D2253">
        <f>_xlfn.XLOOKUP(B2253, Oil_Price!A:A, Oil_Price!B:B, "")</f>
        <v>96.569999694824219</v>
      </c>
      <c r="E2253">
        <f t="shared" si="140"/>
        <v>9.0192189946034316E-3</v>
      </c>
      <c r="F2253">
        <f t="shared" si="141"/>
        <v>-1.3282957139829172E-2</v>
      </c>
      <c r="G2253">
        <f t="shared" si="142"/>
        <v>0.31821823120117188</v>
      </c>
      <c r="H2253">
        <f t="shared" si="143"/>
        <v>-1.3000030517578125</v>
      </c>
    </row>
    <row r="2254" spans="1:8" x14ac:dyDescent="0.2">
      <c r="A2254" t="s">
        <v>12</v>
      </c>
      <c r="B2254" s="2">
        <v>46125</v>
      </c>
      <c r="C2254">
        <v>36.087726593017578</v>
      </c>
      <c r="D2254">
        <f>_xlfn.XLOOKUP(B2254, Oil_Price!A:A, Oil_Price!B:B, "")</f>
        <v>99.080001831054688</v>
      </c>
      <c r="E2254">
        <f t="shared" si="140"/>
        <v>1.3687194118240813E-2</v>
      </c>
      <c r="F2254">
        <f t="shared" si="141"/>
        <v>2.5991530953323544E-2</v>
      </c>
      <c r="G2254">
        <f t="shared" si="142"/>
        <v>0.48727035522460938</v>
      </c>
      <c r="H2254">
        <f t="shared" si="143"/>
        <v>2.5100021362304688</v>
      </c>
    </row>
    <row r="2255" spans="1:8" x14ac:dyDescent="0.2">
      <c r="A2255" t="s">
        <v>12</v>
      </c>
      <c r="B2255" s="2">
        <v>46126</v>
      </c>
      <c r="C2255">
        <v>35.252407073974609</v>
      </c>
      <c r="D2255">
        <f>_xlfn.XLOOKUP(B2255, Oil_Price!A:A, Oil_Price!B:B, "")</f>
        <v>91.279998779296875</v>
      </c>
      <c r="E2255">
        <f t="shared" si="140"/>
        <v>-2.3146914419502122E-2</v>
      </c>
      <c r="F2255">
        <f t="shared" si="141"/>
        <v>-7.8724292567716264E-2</v>
      </c>
      <c r="G2255">
        <f t="shared" si="142"/>
        <v>-0.83531951904296875</v>
      </c>
      <c r="H2255">
        <f t="shared" si="143"/>
        <v>-7.8000030517578125</v>
      </c>
    </row>
    <row r="2256" spans="1:8" x14ac:dyDescent="0.2">
      <c r="A2256" t="s">
        <v>12</v>
      </c>
      <c r="B2256" s="2">
        <v>46127</v>
      </c>
      <c r="C2256">
        <v>34.775081634521477</v>
      </c>
      <c r="D2256">
        <f>_xlfn.XLOOKUP(B2256, Oil_Price!A:A, Oil_Price!B:B, "")</f>
        <v>91.290000915527344</v>
      </c>
      <c r="E2256">
        <f t="shared" si="140"/>
        <v>-1.3540222613777818E-2</v>
      </c>
      <c r="F2256">
        <f t="shared" si="141"/>
        <v>1.0957642817954687E-4</v>
      </c>
      <c r="G2256">
        <f t="shared" si="142"/>
        <v>-0.47732543945313211</v>
      </c>
      <c r="H2256">
        <f t="shared" si="143"/>
        <v>1.000213623046875E-2</v>
      </c>
    </row>
    <row r="2257" spans="1:8" x14ac:dyDescent="0.2">
      <c r="A2257" t="s">
        <v>12</v>
      </c>
      <c r="B2257" s="2">
        <v>46128</v>
      </c>
      <c r="C2257">
        <v>35.302127838134773</v>
      </c>
      <c r="D2257">
        <f>_xlfn.XLOOKUP(B2257, Oil_Price!A:A, Oil_Price!B:B, "")</f>
        <v>94.69000244140625</v>
      </c>
      <c r="E2257">
        <f t="shared" si="140"/>
        <v>1.515585812716232E-2</v>
      </c>
      <c r="F2257">
        <f t="shared" si="141"/>
        <v>3.7243964199595123E-2</v>
      </c>
      <c r="G2257">
        <f t="shared" si="142"/>
        <v>0.52704620361329546</v>
      </c>
      <c r="H2257">
        <f t="shared" si="143"/>
        <v>3.4000015258789062</v>
      </c>
    </row>
    <row r="2258" spans="1:8" x14ac:dyDescent="0.2">
      <c r="A2258" t="s">
        <v>12</v>
      </c>
      <c r="B2258" s="2">
        <v>46129</v>
      </c>
      <c r="C2258">
        <v>33.362995147705078</v>
      </c>
      <c r="D2258">
        <f>_xlfn.XLOOKUP(B2258, Oil_Price!A:A, Oil_Price!B:B, "")</f>
        <v>83.849998474121094</v>
      </c>
      <c r="E2258">
        <f t="shared" si="140"/>
        <v>-5.4929626319435786E-2</v>
      </c>
      <c r="F2258">
        <f t="shared" si="141"/>
        <v>-0.11447886458755667</v>
      </c>
      <c r="G2258">
        <f t="shared" si="142"/>
        <v>-1.9391326904296946</v>
      </c>
      <c r="H2258">
        <f t="shared" si="143"/>
        <v>-10.840003967285156</v>
      </c>
    </row>
    <row r="2259" spans="1:8" x14ac:dyDescent="0.2">
      <c r="A2259" t="s">
        <v>12</v>
      </c>
      <c r="B2259" s="2">
        <v>46132</v>
      </c>
      <c r="C2259">
        <v>33.830375671386719</v>
      </c>
      <c r="D2259">
        <f>_xlfn.XLOOKUP(B2259, Oil_Price!A:A, Oil_Price!B:B, "")</f>
        <v>89.610000610351562</v>
      </c>
      <c r="E2259">
        <f t="shared" si="140"/>
        <v>1.4008949784407773E-2</v>
      </c>
      <c r="F2259">
        <f t="shared" si="141"/>
        <v>6.8694123327959239E-2</v>
      </c>
      <c r="G2259">
        <f t="shared" si="142"/>
        <v>0.46738052368164062</v>
      </c>
      <c r="H2259">
        <f t="shared" si="143"/>
        <v>5.7600021362304688</v>
      </c>
    </row>
    <row r="2260" spans="1:8" x14ac:dyDescent="0.2">
      <c r="A2260" t="s">
        <v>12</v>
      </c>
      <c r="B2260" s="2">
        <v>46133</v>
      </c>
      <c r="C2260">
        <v>34.804916381835938</v>
      </c>
      <c r="D2260">
        <f>_xlfn.XLOOKUP(B2260, Oil_Price!A:A, Oil_Price!B:B, "")</f>
        <v>92.129997253417969</v>
      </c>
      <c r="E2260">
        <f t="shared" si="140"/>
        <v>2.8806677168337576E-2</v>
      </c>
      <c r="F2260">
        <f t="shared" si="141"/>
        <v>2.8121823746258309E-2</v>
      </c>
      <c r="G2260">
        <f t="shared" si="142"/>
        <v>0.97454071044921875</v>
      </c>
      <c r="H2260">
        <f t="shared" si="143"/>
        <v>2.5199966430664062</v>
      </c>
    </row>
    <row r="2261" spans="1:8" x14ac:dyDescent="0.2">
      <c r="A2261" t="s">
        <v>12</v>
      </c>
      <c r="B2261" s="2">
        <v>46134</v>
      </c>
      <c r="C2261">
        <v>35.292186737060547</v>
      </c>
      <c r="D2261">
        <f>_xlfn.XLOOKUP(B2261, Oil_Price!A:A, Oil_Price!B:B, "")</f>
        <v>92.959999084472656</v>
      </c>
      <c r="E2261">
        <f t="shared" si="140"/>
        <v>1.400004384090137E-2</v>
      </c>
      <c r="F2261">
        <f t="shared" si="141"/>
        <v>9.0090291522709771E-3</v>
      </c>
      <c r="G2261">
        <f t="shared" si="142"/>
        <v>0.48727035522460938</v>
      </c>
      <c r="H2261">
        <f t="shared" si="143"/>
        <v>0.8300018310546875</v>
      </c>
    </row>
    <row r="2262" spans="1:8" x14ac:dyDescent="0.2">
      <c r="A2262" t="s">
        <v>12</v>
      </c>
      <c r="B2262" s="2">
        <v>46135</v>
      </c>
      <c r="C2262">
        <v>35.968391418457031</v>
      </c>
      <c r="D2262">
        <f>_xlfn.XLOOKUP(B2262, Oil_Price!A:A, Oil_Price!B:B, "")</f>
        <v>95.849998474121094</v>
      </c>
      <c r="E2262">
        <f t="shared" si="140"/>
        <v>1.916018087613703E-2</v>
      </c>
      <c r="F2262">
        <f t="shared" si="141"/>
        <v>3.1088634015823281E-2</v>
      </c>
      <c r="G2262">
        <f t="shared" si="142"/>
        <v>0.67620468139648438</v>
      </c>
      <c r="H2262">
        <f t="shared" si="143"/>
        <v>2.8899993896484375</v>
      </c>
    </row>
    <row r="2263" spans="1:8" x14ac:dyDescent="0.2">
      <c r="A2263" t="s">
        <v>12</v>
      </c>
      <c r="B2263" s="2">
        <v>46136</v>
      </c>
      <c r="C2263">
        <v>35.749618530273438</v>
      </c>
      <c r="D2263">
        <f>_xlfn.XLOOKUP(B2263, Oil_Price!A:A, Oil_Price!B:B, "")</f>
        <v>94.400001525878906</v>
      </c>
      <c r="E2263">
        <f t="shared" si="140"/>
        <v>-6.0823650865668502E-3</v>
      </c>
      <c r="F2263">
        <f t="shared" si="141"/>
        <v>-1.5127772262131831E-2</v>
      </c>
      <c r="G2263">
        <f t="shared" si="142"/>
        <v>-0.21877288818359375</v>
      </c>
      <c r="H2263">
        <f t="shared" si="143"/>
        <v>-1.4499969482421875</v>
      </c>
    </row>
    <row r="2264" spans="1:8" x14ac:dyDescent="0.2">
      <c r="A2264" t="s">
        <v>12</v>
      </c>
      <c r="B2264" s="2">
        <v>46139</v>
      </c>
      <c r="C2264">
        <v>36.346275329589837</v>
      </c>
      <c r="D2264">
        <f>_xlfn.XLOOKUP(B2264, Oil_Price!A:A, Oil_Price!B:B, "")</f>
        <v>96.370002746582031</v>
      </c>
      <c r="E2264">
        <f t="shared" si="140"/>
        <v>1.668987876922768E-2</v>
      </c>
      <c r="F2264">
        <f t="shared" si="141"/>
        <v>2.0868656661653412E-2</v>
      </c>
      <c r="G2264">
        <f t="shared" si="142"/>
        <v>0.59665679931639914</v>
      </c>
      <c r="H2264">
        <f t="shared" si="143"/>
        <v>1.970001220703125</v>
      </c>
    </row>
    <row r="2265" spans="1:8" x14ac:dyDescent="0.2">
      <c r="A2265" t="s">
        <v>12</v>
      </c>
      <c r="B2265" s="2">
        <v>46140</v>
      </c>
      <c r="C2265">
        <v>37.340702056884773</v>
      </c>
      <c r="D2265">
        <f>_xlfn.XLOOKUP(B2265, Oil_Price!A:A, Oil_Price!B:B, "")</f>
        <v>99.930000305175781</v>
      </c>
      <c r="E2265">
        <f t="shared" si="140"/>
        <v>2.7359797345874508E-2</v>
      </c>
      <c r="F2265">
        <f t="shared" si="141"/>
        <v>3.6940930342766985E-2</v>
      </c>
      <c r="G2265">
        <f t="shared" si="142"/>
        <v>0.99442672729493609</v>
      </c>
      <c r="H2265">
        <f t="shared" si="143"/>
        <v>3.55999755859375</v>
      </c>
    </row>
    <row r="2266" spans="1:8" x14ac:dyDescent="0.2">
      <c r="A2266" t="s">
        <v>12</v>
      </c>
      <c r="B2266" s="2">
        <v>46141</v>
      </c>
      <c r="C2266">
        <v>39.150554656982422</v>
      </c>
      <c r="D2266">
        <f>_xlfn.XLOOKUP(B2266, Oil_Price!A:A, Oil_Price!B:B, "")</f>
        <v>106.879997253418</v>
      </c>
      <c r="E2266">
        <f t="shared" si="140"/>
        <v>4.8468628076154603E-2</v>
      </c>
      <c r="F2266">
        <f t="shared" si="141"/>
        <v>6.9548653327505761E-2</v>
      </c>
      <c r="G2266">
        <f t="shared" si="142"/>
        <v>1.8098526000976491</v>
      </c>
      <c r="H2266">
        <f t="shared" si="143"/>
        <v>6.9499969482422159</v>
      </c>
    </row>
    <row r="2267" spans="1:8" x14ac:dyDescent="0.2">
      <c r="A2267" t="s">
        <v>12</v>
      </c>
      <c r="B2267" s="2">
        <v>46142</v>
      </c>
      <c r="C2267">
        <v>39.518497467041023</v>
      </c>
      <c r="D2267">
        <f>_xlfn.XLOOKUP(B2267, Oil_Price!A:A, Oil_Price!B:B, "")</f>
        <v>105.0699996948242</v>
      </c>
      <c r="E2267">
        <f t="shared" si="140"/>
        <v>9.3981506336840367E-3</v>
      </c>
      <c r="F2267">
        <f t="shared" si="141"/>
        <v>-1.693485783221153E-2</v>
      </c>
      <c r="G2267">
        <f t="shared" si="142"/>
        <v>0.36794281005860086</v>
      </c>
      <c r="H2267">
        <f t="shared" si="143"/>
        <v>-1.8099975585937926</v>
      </c>
    </row>
    <row r="2268" spans="1:8" x14ac:dyDescent="0.2">
      <c r="A2268" t="s">
        <v>12</v>
      </c>
      <c r="B2268" s="2">
        <v>46143</v>
      </c>
      <c r="C2268">
        <v>39.598049163818359</v>
      </c>
      <c r="D2268">
        <f>_xlfn.XLOOKUP(B2268, Oil_Price!A:A, Oil_Price!B:B, "")</f>
        <v>101.94000244140619</v>
      </c>
      <c r="E2268">
        <f t="shared" si="140"/>
        <v>2.0130243272453328E-3</v>
      </c>
      <c r="F2268">
        <f t="shared" si="141"/>
        <v>-2.9789637979528771E-2</v>
      </c>
      <c r="G2268">
        <f t="shared" si="142"/>
        <v>7.9551696777336645E-2</v>
      </c>
      <c r="H2268">
        <f t="shared" si="143"/>
        <v>-3.1299972534180114</v>
      </c>
    </row>
    <row r="2269" spans="1:8" x14ac:dyDescent="0.2">
      <c r="A2269" t="s">
        <v>12</v>
      </c>
      <c r="B2269" s="2">
        <v>46146</v>
      </c>
      <c r="C2269">
        <v>40.562641143798828</v>
      </c>
      <c r="D2269">
        <f>_xlfn.XLOOKUP(B2269, Oil_Price!A:A, Oil_Price!B:B, "")</f>
        <v>106.4199981689453</v>
      </c>
      <c r="E2269">
        <f t="shared" si="140"/>
        <v>2.4359583372148507E-2</v>
      </c>
      <c r="F2269">
        <f t="shared" si="141"/>
        <v>4.3947377086969851E-2</v>
      </c>
      <c r="G2269">
        <f t="shared" si="142"/>
        <v>0.96459197998046875</v>
      </c>
      <c r="H2269">
        <f t="shared" si="143"/>
        <v>4.4799957275391051</v>
      </c>
    </row>
    <row r="2270" spans="1:8" x14ac:dyDescent="0.2">
      <c r="A2270" t="s">
        <v>12</v>
      </c>
      <c r="B2270" s="2">
        <v>46147</v>
      </c>
      <c r="C2270">
        <v>41.27862548828125</v>
      </c>
      <c r="D2270">
        <f>_xlfn.XLOOKUP(B2270, Oil_Price!A:A, Oil_Price!B:B, "")</f>
        <v>102.26999664306641</v>
      </c>
      <c r="E2270">
        <f t="shared" si="140"/>
        <v>1.7651324575837703E-2</v>
      </c>
      <c r="F2270">
        <f t="shared" si="141"/>
        <v>-3.8996444251865388E-2</v>
      </c>
      <c r="G2270">
        <f t="shared" si="142"/>
        <v>0.71598434448242188</v>
      </c>
      <c r="H2270">
        <f t="shared" si="143"/>
        <v>-4.150001525878892</v>
      </c>
    </row>
    <row r="2271" spans="1:8" x14ac:dyDescent="0.2">
      <c r="A2271" t="s">
        <v>12</v>
      </c>
      <c r="B2271" s="2">
        <v>46148</v>
      </c>
      <c r="C2271">
        <v>39.269889831542969</v>
      </c>
      <c r="D2271">
        <f>_xlfn.XLOOKUP(B2271, Oil_Price!A:A, Oil_Price!B:B, "")</f>
        <v>95.080001831054688</v>
      </c>
      <c r="E2271">
        <f t="shared" si="140"/>
        <v>-4.8662852335249127E-2</v>
      </c>
      <c r="F2271">
        <f t="shared" si="141"/>
        <v>-7.0304048577468872E-2</v>
      </c>
      <c r="G2271">
        <f t="shared" si="142"/>
        <v>-2.0087356567382812</v>
      </c>
      <c r="H2271">
        <f t="shared" si="143"/>
        <v>-7.1899948120117188</v>
      </c>
    </row>
    <row r="2272" spans="1:8" x14ac:dyDescent="0.2">
      <c r="A2272" t="s">
        <v>12</v>
      </c>
      <c r="B2272" s="2">
        <v>46149</v>
      </c>
      <c r="C2272">
        <v>38.623512268066413</v>
      </c>
      <c r="D2272">
        <f>_xlfn.XLOOKUP(B2272, Oil_Price!A:A, Oil_Price!B:B, "")</f>
        <v>94.80999755859375</v>
      </c>
      <c r="E2272">
        <f t="shared" si="140"/>
        <v>-1.6459877179420095E-2</v>
      </c>
      <c r="F2272">
        <f t="shared" si="141"/>
        <v>-2.8397588058601581E-3</v>
      </c>
      <c r="G2272">
        <f t="shared" si="142"/>
        <v>-0.64637756347655539</v>
      </c>
      <c r="H2272">
        <f t="shared" si="143"/>
        <v>-0.2700042724609375</v>
      </c>
    </row>
    <row r="2273" spans="1:8" x14ac:dyDescent="0.2">
      <c r="A2273" t="s">
        <v>12</v>
      </c>
      <c r="B2273" s="2">
        <v>46150</v>
      </c>
      <c r="C2273">
        <v>38.623512268066413</v>
      </c>
      <c r="D2273">
        <f>_xlfn.XLOOKUP(B2273, Oil_Price!A:A, Oil_Price!B:B, "")</f>
        <v>95.419998168945312</v>
      </c>
      <c r="E2273">
        <f t="shared" si="140"/>
        <v>0</v>
      </c>
      <c r="F2273">
        <f t="shared" si="141"/>
        <v>6.4339270758294728E-3</v>
      </c>
      <c r="G2273">
        <f t="shared" si="142"/>
        <v>0</v>
      </c>
      <c r="H2273">
        <f t="shared" si="143"/>
        <v>0.6100006103515625</v>
      </c>
    </row>
    <row r="2274" spans="1:8" x14ac:dyDescent="0.2">
      <c r="A2274" t="s">
        <v>12</v>
      </c>
      <c r="B2274" s="2">
        <v>46153</v>
      </c>
      <c r="C2274">
        <v>39.607994079589837</v>
      </c>
      <c r="D2274">
        <f>_xlfn.XLOOKUP(B2274, Oil_Price!A:A, Oil_Price!B:B, "")</f>
        <v>98.069999694824219</v>
      </c>
      <c r="E2274">
        <f t="shared" si="140"/>
        <v>2.548918401544192E-2</v>
      </c>
      <c r="F2274">
        <f t="shared" si="141"/>
        <v>2.7771972088984551E-2</v>
      </c>
      <c r="G2274">
        <f t="shared" si="142"/>
        <v>0.98448181152342329</v>
      </c>
      <c r="H2274">
        <f t="shared" si="143"/>
        <v>2.6500015258789062</v>
      </c>
    </row>
    <row r="2275" spans="1:8" x14ac:dyDescent="0.2">
      <c r="A2275" t="s">
        <v>12</v>
      </c>
      <c r="B2275" s="2">
        <v>46154</v>
      </c>
      <c r="C2275">
        <v>40.860969543457031</v>
      </c>
      <c r="D2275">
        <f>_xlfn.XLOOKUP(B2275, Oil_Price!A:A, Oil_Price!B:B, "")</f>
        <v>102.1800003051758</v>
      </c>
      <c r="E2275">
        <f t="shared" si="140"/>
        <v>3.1634408482020503E-2</v>
      </c>
      <c r="F2275">
        <f t="shared" si="141"/>
        <v>4.1908846978088526E-2</v>
      </c>
      <c r="G2275">
        <f t="shared" si="142"/>
        <v>1.2529754638671946</v>
      </c>
      <c r="H2275">
        <f t="shared" si="143"/>
        <v>4.1100006103515767</v>
      </c>
    </row>
    <row r="2276" spans="1:8" x14ac:dyDescent="0.2">
      <c r="A2276" t="s">
        <v>12</v>
      </c>
      <c r="B2276" s="2">
        <v>46155</v>
      </c>
      <c r="C2276">
        <v>40.493034362792969</v>
      </c>
      <c r="D2276">
        <f>_xlfn.XLOOKUP(B2276, Oil_Price!A:A, Oil_Price!B:B, "")</f>
        <v>101.01999664306641</v>
      </c>
      <c r="E2276">
        <f t="shared" si="140"/>
        <v>-9.0045631509734717E-3</v>
      </c>
      <c r="F2276">
        <f t="shared" si="141"/>
        <v>-1.1352550975189522E-2</v>
      </c>
      <c r="G2276">
        <f t="shared" si="142"/>
        <v>-0.3679351806640625</v>
      </c>
      <c r="H2276">
        <f t="shared" si="143"/>
        <v>-1.1600036621093892</v>
      </c>
    </row>
    <row r="2277" spans="1:8" x14ac:dyDescent="0.2">
      <c r="A2277" t="s">
        <v>12</v>
      </c>
      <c r="B2277" s="2">
        <v>46156</v>
      </c>
      <c r="C2277">
        <v>41.119518280029297</v>
      </c>
      <c r="D2277">
        <f>_xlfn.XLOOKUP(B2277, Oil_Price!A:A, Oil_Price!B:B, "")</f>
        <v>101.1699981689453</v>
      </c>
      <c r="E2277">
        <f t="shared" si="140"/>
        <v>1.5471399639340759E-2</v>
      </c>
      <c r="F2277">
        <f t="shared" si="141"/>
        <v>1.4848696383241023E-3</v>
      </c>
      <c r="G2277">
        <f t="shared" si="142"/>
        <v>0.62648391723632812</v>
      </c>
      <c r="H2277">
        <f t="shared" si="143"/>
        <v>0.15000152587889204</v>
      </c>
    </row>
    <row r="2278" spans="1:8" x14ac:dyDescent="0.2">
      <c r="A2278" t="s">
        <v>12</v>
      </c>
      <c r="B2278" s="2">
        <v>46157</v>
      </c>
      <c r="C2278">
        <v>42.173610687255859</v>
      </c>
      <c r="D2278">
        <f>_xlfn.XLOOKUP(B2278, Oil_Price!A:A, Oil_Price!B:B, "")</f>
        <v>105.4199981689453</v>
      </c>
      <c r="E2278">
        <f t="shared" si="140"/>
        <v>2.5634843288971806E-2</v>
      </c>
      <c r="F2278">
        <f t="shared" si="141"/>
        <v>4.2008501303942514E-2</v>
      </c>
      <c r="G2278">
        <f t="shared" si="142"/>
        <v>1.0540924072265625</v>
      </c>
      <c r="H2278">
        <f t="shared" si="143"/>
        <v>4.25</v>
      </c>
    </row>
    <row r="2279" spans="1:8" x14ac:dyDescent="0.2">
      <c r="A2279" t="s">
        <v>12</v>
      </c>
      <c r="B2279" s="2">
        <v>46161</v>
      </c>
      <c r="C2279">
        <v>43.4564208984375</v>
      </c>
      <c r="D2279">
        <f>_xlfn.XLOOKUP(B2279, Oil_Price!A:A, Oil_Price!B:B, "")</f>
        <v>107.76999664306641</v>
      </c>
      <c r="E2279">
        <f t="shared" si="140"/>
        <v>3.0417367407654376E-2</v>
      </c>
      <c r="F2279">
        <f t="shared" si="141"/>
        <v>2.2291771152898505E-2</v>
      </c>
      <c r="G2279">
        <f t="shared" si="142"/>
        <v>1.2828102111816406</v>
      </c>
      <c r="H2279">
        <f t="shared" si="143"/>
        <v>2.349998474121108</v>
      </c>
    </row>
    <row r="2280" spans="1:8" x14ac:dyDescent="0.2">
      <c r="A2280" t="s">
        <v>12</v>
      </c>
      <c r="B2280" s="2">
        <v>46162</v>
      </c>
      <c r="C2280">
        <v>41.6962890625</v>
      </c>
      <c r="D2280">
        <f>_xlfn.XLOOKUP(B2280, Oil_Price!A:A, Oil_Price!B:B, "")</f>
        <v>98.260002136230469</v>
      </c>
      <c r="E2280">
        <f t="shared" si="140"/>
        <v>-4.0503377856430565E-2</v>
      </c>
      <c r="F2280">
        <f t="shared" si="141"/>
        <v>-8.8243433265874388E-2</v>
      </c>
      <c r="G2280">
        <f t="shared" si="142"/>
        <v>-1.7601318359375</v>
      </c>
      <c r="H2280">
        <f t="shared" si="143"/>
        <v>-9.5099945068359375</v>
      </c>
    </row>
    <row r="2281" spans="1:8" x14ac:dyDescent="0.2">
      <c r="A2281" t="s">
        <v>12</v>
      </c>
      <c r="B2281" s="2">
        <v>46163</v>
      </c>
      <c r="C2281">
        <v>41.517292022705078</v>
      </c>
      <c r="D2281">
        <f>_xlfn.XLOOKUP(B2281, Oil_Price!A:A, Oil_Price!B:B, "")</f>
        <v>96.349998474121094</v>
      </c>
      <c r="E2281">
        <f t="shared" si="140"/>
        <v>-4.2928769878445789E-3</v>
      </c>
      <c r="F2281">
        <f t="shared" si="141"/>
        <v>-1.9438261964021653E-2</v>
      </c>
      <c r="G2281">
        <f t="shared" si="142"/>
        <v>-0.17899703979492188</v>
      </c>
      <c r="H2281">
        <f t="shared" si="143"/>
        <v>-1.910003662109375</v>
      </c>
    </row>
    <row r="2282" spans="1:8" x14ac:dyDescent="0.2">
      <c r="A2282" t="s">
        <v>12</v>
      </c>
      <c r="B2282" s="2">
        <v>46164</v>
      </c>
      <c r="C2282">
        <v>41.248794555664062</v>
      </c>
      <c r="D2282">
        <f>_xlfn.XLOOKUP(B2282, Oil_Price!A:A, Oil_Price!B:B, "")</f>
        <v>96.599998474121094</v>
      </c>
      <c r="E2282">
        <f t="shared" si="140"/>
        <v>-6.4671237925194901E-3</v>
      </c>
      <c r="F2282">
        <f t="shared" si="141"/>
        <v>2.5947068392237513E-3</v>
      </c>
      <c r="G2282">
        <f t="shared" si="142"/>
        <v>-0.26849746704101562</v>
      </c>
      <c r="H2282">
        <f t="shared" si="143"/>
        <v>0.25</v>
      </c>
    </row>
    <row r="2283" spans="1:8" x14ac:dyDescent="0.2">
      <c r="A2283" t="s">
        <v>12</v>
      </c>
      <c r="B2283" s="2">
        <v>46167</v>
      </c>
      <c r="C2283">
        <v>39.558269500732422</v>
      </c>
      <c r="D2283" t="str">
        <f>_xlfn.XLOOKUP(B2283, Oil_Price!A:A, Oil_Price!B:B, "")</f>
        <v/>
      </c>
      <c r="E2283">
        <f t="shared" si="140"/>
        <v>-4.0983623234136589E-2</v>
      </c>
      <c r="F2283" t="str">
        <f t="shared" si="141"/>
        <v/>
      </c>
      <c r="G2283">
        <f t="shared" si="142"/>
        <v>-1.6905250549316406</v>
      </c>
      <c r="H2283" t="str">
        <f t="shared" si="143"/>
        <v/>
      </c>
    </row>
    <row r="2284" spans="1:8" x14ac:dyDescent="0.2">
      <c r="A2284" t="s">
        <v>12</v>
      </c>
      <c r="B2284" s="2">
        <v>46168</v>
      </c>
      <c r="C2284">
        <v>39.737266540527337</v>
      </c>
      <c r="D2284">
        <f>_xlfn.XLOOKUP(B2284, Oil_Price!A:A, Oil_Price!B:B, "")</f>
        <v>93.889999389648438</v>
      </c>
      <c r="E2284">
        <f t="shared" si="140"/>
        <v>4.5248956047382362E-3</v>
      </c>
      <c r="F2284" t="str">
        <f t="shared" si="141"/>
        <v/>
      </c>
      <c r="G2284">
        <f t="shared" si="142"/>
        <v>0.17899703979491477</v>
      </c>
      <c r="H2284" t="str">
        <f t="shared" si="143"/>
        <v/>
      </c>
    </row>
    <row r="2285" spans="1:8" x14ac:dyDescent="0.2">
      <c r="A2285" t="s">
        <v>12</v>
      </c>
      <c r="B2285" s="2">
        <v>46169</v>
      </c>
      <c r="C2285">
        <v>38.782619476318359</v>
      </c>
      <c r="D2285">
        <f>_xlfn.XLOOKUP(B2285, Oil_Price!A:A, Oil_Price!B:B, "")</f>
        <v>88.680000305175781</v>
      </c>
      <c r="E2285">
        <f t="shared" si="140"/>
        <v>-2.4023974151200098E-2</v>
      </c>
      <c r="F2285">
        <f t="shared" si="141"/>
        <v>-5.5490458178095045E-2</v>
      </c>
      <c r="G2285">
        <f t="shared" si="142"/>
        <v>-0.95464706420897727</v>
      </c>
      <c r="H2285">
        <f t="shared" si="143"/>
        <v>-5.2099990844726562</v>
      </c>
    </row>
    <row r="2286" spans="1:8" x14ac:dyDescent="0.2">
      <c r="A2286" t="s">
        <v>12</v>
      </c>
      <c r="B2286" s="2">
        <v>46170</v>
      </c>
      <c r="C2286">
        <v>38.384845733642578</v>
      </c>
      <c r="D2286">
        <f>_xlfn.XLOOKUP(B2286, Oil_Price!A:A, Oil_Price!B:B, "")</f>
        <v>88.900001525878906</v>
      </c>
      <c r="E2286">
        <f t="shared" si="140"/>
        <v>-1.0256494998195568E-2</v>
      </c>
      <c r="F2286">
        <f t="shared" si="141"/>
        <v>2.4808437071045511E-3</v>
      </c>
      <c r="G2286">
        <f t="shared" si="142"/>
        <v>-0.39777374267578125</v>
      </c>
      <c r="H2286">
        <f t="shared" si="143"/>
        <v>0.220001220703125</v>
      </c>
    </row>
    <row r="2287" spans="1:8" x14ac:dyDescent="0.2">
      <c r="A2287" t="s">
        <v>12</v>
      </c>
      <c r="B2287" s="2">
        <v>46171</v>
      </c>
      <c r="C2287">
        <v>37.847858428955078</v>
      </c>
      <c r="D2287">
        <f>_xlfn.XLOOKUP(B2287, Oil_Price!A:A, Oil_Price!B:B, "")</f>
        <v>87.360000610351562</v>
      </c>
      <c r="E2287">
        <f t="shared" si="140"/>
        <v>-1.3989565267859211E-2</v>
      </c>
      <c r="F2287">
        <f t="shared" si="141"/>
        <v>-1.732284464673544E-2</v>
      </c>
      <c r="G2287">
        <f t="shared" si="142"/>
        <v>-0.5369873046875</v>
      </c>
      <c r="H2287">
        <f t="shared" si="143"/>
        <v>-1.5400009155273438</v>
      </c>
    </row>
    <row r="2288" spans="1:8" x14ac:dyDescent="0.2">
      <c r="A2288" t="s">
        <v>12</v>
      </c>
      <c r="B2288" s="2">
        <v>46174</v>
      </c>
      <c r="C2288">
        <v>38.812450408935547</v>
      </c>
      <c r="D2288">
        <f>_xlfn.XLOOKUP(B2288, Oil_Price!A:A, Oil_Price!B:B, "")</f>
        <v>92.160003662109375</v>
      </c>
      <c r="E2288">
        <f t="shared" si="140"/>
        <v>2.5486038577086794E-2</v>
      </c>
      <c r="F2288">
        <f t="shared" si="141"/>
        <v>5.4945089494299354E-2</v>
      </c>
      <c r="G2288">
        <f t="shared" si="142"/>
        <v>0.96459197998046875</v>
      </c>
      <c r="H2288">
        <f t="shared" si="143"/>
        <v>4.8000030517578125</v>
      </c>
    </row>
    <row r="2289" spans="1:8" x14ac:dyDescent="0.2">
      <c r="A2289" t="s">
        <v>12</v>
      </c>
      <c r="B2289" s="2">
        <v>46175</v>
      </c>
      <c r="C2289">
        <v>40.274257659912109</v>
      </c>
      <c r="D2289">
        <f>_xlfn.XLOOKUP(B2289, Oil_Price!A:A, Oil_Price!B:B, "")</f>
        <v>93.760002136230469</v>
      </c>
      <c r="E2289">
        <f t="shared" si="140"/>
        <v>3.7663358937008E-2</v>
      </c>
      <c r="F2289">
        <f t="shared" si="141"/>
        <v>1.7361093864397451E-2</v>
      </c>
      <c r="G2289">
        <f t="shared" si="142"/>
        <v>1.4618072509765625</v>
      </c>
      <c r="H2289">
        <f t="shared" si="143"/>
        <v>1.5999984741210938</v>
      </c>
    </row>
    <row r="2290" spans="1:8" x14ac:dyDescent="0.2">
      <c r="A2290" t="s">
        <v>12</v>
      </c>
      <c r="B2290" s="2">
        <v>46176</v>
      </c>
      <c r="C2290">
        <v>40.771472930908203</v>
      </c>
      <c r="D2290">
        <f>_xlfn.XLOOKUP(B2290, Oil_Price!A:A, Oil_Price!B:B, "")</f>
        <v>96.019996643066406</v>
      </c>
      <c r="E2290">
        <f t="shared" si="140"/>
        <v>1.2345733972174693E-2</v>
      </c>
      <c r="F2290">
        <f t="shared" si="141"/>
        <v>2.4104036426452223E-2</v>
      </c>
      <c r="G2290">
        <f t="shared" si="142"/>
        <v>0.49721527099609375</v>
      </c>
      <c r="H2290">
        <f t="shared" si="143"/>
        <v>2.2599945068359375</v>
      </c>
    </row>
    <row r="2291" spans="1:8" x14ac:dyDescent="0.2">
      <c r="A2291" t="s">
        <v>12</v>
      </c>
      <c r="B2291" s="2">
        <v>46177</v>
      </c>
      <c r="C2291">
        <v>41.119518280029297</v>
      </c>
      <c r="D2291">
        <f>_xlfn.XLOOKUP(B2291, Oil_Price!A:A, Oil_Price!B:B, "")</f>
        <v>93.040000915527344</v>
      </c>
      <c r="E2291">
        <f t="shared" si="140"/>
        <v>8.5364919170542435E-3</v>
      </c>
      <c r="F2291">
        <f t="shared" si="141"/>
        <v>-3.1035157589273336E-2</v>
      </c>
      <c r="G2291">
        <f t="shared" si="142"/>
        <v>0.34804534912109375</v>
      </c>
      <c r="H2291">
        <f t="shared" si="143"/>
        <v>-2.9799957275390625</v>
      </c>
    </row>
    <row r="2292" spans="1:8" x14ac:dyDescent="0.2">
      <c r="A2292" t="s">
        <v>12</v>
      </c>
      <c r="B2292" s="2">
        <v>46178</v>
      </c>
      <c r="C2292">
        <v>39.190334320068359</v>
      </c>
      <c r="D2292">
        <f>_xlfn.XLOOKUP(B2292, Oil_Price!A:A, Oil_Price!B:B, "")</f>
        <v>90.540000915527344</v>
      </c>
      <c r="E2292">
        <f t="shared" si="140"/>
        <v>-4.6916501959554643E-2</v>
      </c>
      <c r="F2292">
        <f t="shared" si="141"/>
        <v>-2.6870163106186919E-2</v>
      </c>
      <c r="G2292">
        <f t="shared" si="142"/>
        <v>-1.9291839599609375</v>
      </c>
      <c r="H2292">
        <f t="shared" si="143"/>
        <v>-2.5</v>
      </c>
    </row>
    <row r="2293" spans="1:8" x14ac:dyDescent="0.2">
      <c r="A2293" t="s">
        <v>12</v>
      </c>
      <c r="B2293" s="2">
        <v>46181</v>
      </c>
      <c r="C2293">
        <v>39.856601715087891</v>
      </c>
      <c r="D2293">
        <f>_xlfn.XLOOKUP(B2293, Oil_Price!A:A, Oil_Price!B:B, "")</f>
        <v>91.300003051757812</v>
      </c>
      <c r="E2293">
        <f t="shared" si="140"/>
        <v>1.7000809168355394E-2</v>
      </c>
      <c r="F2293">
        <f t="shared" si="141"/>
        <v>8.3941034741046774E-3</v>
      </c>
      <c r="G2293">
        <f t="shared" si="142"/>
        <v>0.66626739501953125</v>
      </c>
      <c r="H2293">
        <f t="shared" si="143"/>
        <v>0.76000213623046875</v>
      </c>
    </row>
    <row r="2294" spans="1:8" x14ac:dyDescent="0.2">
      <c r="A2294" t="s">
        <v>12</v>
      </c>
      <c r="B2294" s="2">
        <v>46182</v>
      </c>
      <c r="C2294">
        <v>38.345073699951172</v>
      </c>
      <c r="D2294">
        <f>_xlfn.XLOOKUP(B2294, Oil_Price!A:A, Oil_Price!B:B, "")</f>
        <v>88.199996948242188</v>
      </c>
      <c r="E2294">
        <f t="shared" si="140"/>
        <v>-3.7924156854660371E-2</v>
      </c>
      <c r="F2294">
        <f t="shared" si="141"/>
        <v>-3.3954063525696014E-2</v>
      </c>
      <c r="G2294">
        <f t="shared" si="142"/>
        <v>-1.5115280151367188</v>
      </c>
      <c r="H2294">
        <f t="shared" si="143"/>
        <v>-3.100006103515625</v>
      </c>
    </row>
    <row r="2295" spans="1:8" x14ac:dyDescent="0.2">
      <c r="A2295" t="s">
        <v>12</v>
      </c>
      <c r="B2295" s="2">
        <v>46183</v>
      </c>
      <c r="C2295">
        <v>39.399162292480469</v>
      </c>
      <c r="D2295">
        <f>_xlfn.XLOOKUP(B2295, Oil_Price!A:A, Oil_Price!B:B, "")</f>
        <v>90.029998779296875</v>
      </c>
      <c r="E2295">
        <f t="shared" si="140"/>
        <v>2.7489544048800177E-2</v>
      </c>
      <c r="F2295">
        <f t="shared" si="141"/>
        <v>2.0748320797885914E-2</v>
      </c>
      <c r="G2295">
        <f t="shared" si="142"/>
        <v>1.0540885925292969</v>
      </c>
      <c r="H2295">
        <f t="shared" si="143"/>
        <v>1.8300018310546875</v>
      </c>
    </row>
    <row r="2296" spans="1:8" x14ac:dyDescent="0.2">
      <c r="A2296" t="s">
        <v>12</v>
      </c>
      <c r="B2296" s="2">
        <v>46184</v>
      </c>
      <c r="C2296">
        <v>39.568218231201172</v>
      </c>
      <c r="D2296">
        <f>_xlfn.XLOOKUP(B2296, Oil_Price!A:A, Oil_Price!B:B, "")</f>
        <v>87.709999084472656</v>
      </c>
      <c r="E2296">
        <f t="shared" si="140"/>
        <v>4.2908510964195885E-3</v>
      </c>
      <c r="F2296">
        <f t="shared" si="141"/>
        <v>-2.5769185008116667E-2</v>
      </c>
      <c r="G2296">
        <f t="shared" si="142"/>
        <v>0.16905593872070312</v>
      </c>
      <c r="H2296">
        <f t="shared" si="143"/>
        <v>-2.3199996948242188</v>
      </c>
    </row>
    <row r="2297" spans="1:8" x14ac:dyDescent="0.2">
      <c r="A2297" t="s">
        <v>12</v>
      </c>
      <c r="B2297" s="2">
        <v>46185</v>
      </c>
      <c r="C2297">
        <v>39.25</v>
      </c>
      <c r="D2297">
        <f>_xlfn.XLOOKUP(B2297, Oil_Price!A:A, Oil_Price!B:B, "")</f>
        <v>84.879997253417969</v>
      </c>
      <c r="E2297">
        <f t="shared" si="140"/>
        <v>-8.0422684019227243E-3</v>
      </c>
      <c r="F2297">
        <f t="shared" si="141"/>
        <v>-3.2265441347561069E-2</v>
      </c>
      <c r="G2297">
        <f t="shared" si="142"/>
        <v>-0.31821823120117188</v>
      </c>
      <c r="H2297">
        <f t="shared" si="143"/>
        <v>-2.8300018310546875</v>
      </c>
    </row>
    <row r="2298" spans="1:8" x14ac:dyDescent="0.2">
      <c r="A2298" t="s">
        <v>12</v>
      </c>
      <c r="B2298" s="2">
        <v>46188</v>
      </c>
      <c r="C2298">
        <v>37.959999084472663</v>
      </c>
      <c r="D2298">
        <f>_xlfn.XLOOKUP(B2298, Oil_Price!A:A, Oil_Price!B:B, "")</f>
        <v>80.75</v>
      </c>
      <c r="E2298">
        <f t="shared" si="140"/>
        <v>-3.2866265363753797E-2</v>
      </c>
      <c r="F2298">
        <f t="shared" si="141"/>
        <v>-4.8656896643003378E-2</v>
      </c>
      <c r="G2298">
        <f t="shared" si="142"/>
        <v>-1.2900009155273366</v>
      </c>
      <c r="H2298">
        <f t="shared" si="143"/>
        <v>-4.1299972534179688</v>
      </c>
    </row>
    <row r="2299" spans="1:8" x14ac:dyDescent="0.2">
      <c r="A2299" t="s">
        <v>12</v>
      </c>
      <c r="B2299" s="2">
        <v>46189</v>
      </c>
      <c r="C2299">
        <v>36.729999542236328</v>
      </c>
      <c r="D2299">
        <f>_xlfn.XLOOKUP(B2299, Oil_Price!A:A, Oil_Price!B:B, "")</f>
        <v>76.050003051757812</v>
      </c>
      <c r="E2299">
        <f t="shared" si="140"/>
        <v>-3.2402517700256213E-2</v>
      </c>
      <c r="F2299">
        <f t="shared" si="141"/>
        <v>-5.8204296572658666E-2</v>
      </c>
      <c r="G2299">
        <f t="shared" si="142"/>
        <v>-1.2299995422363352</v>
      </c>
      <c r="H2299">
        <f t="shared" si="143"/>
        <v>-4.6999969482421875</v>
      </c>
    </row>
    <row r="2300" spans="1:8" x14ac:dyDescent="0.2">
      <c r="A2300" t="s">
        <v>12</v>
      </c>
      <c r="B2300" s="2">
        <v>46190</v>
      </c>
      <c r="C2300">
        <v>36.110000610351562</v>
      </c>
      <c r="D2300">
        <f>_xlfn.XLOOKUP(B2300, Oil_Price!A:A, Oil_Price!B:B, "")</f>
        <v>76.790000915527344</v>
      </c>
      <c r="E2300">
        <f t="shared" si="140"/>
        <v>-1.6879905788504582E-2</v>
      </c>
      <c r="F2300">
        <f t="shared" si="141"/>
        <v>9.7304120193908005E-3</v>
      </c>
      <c r="G2300">
        <f t="shared" si="142"/>
        <v>-0.61999893188476562</v>
      </c>
      <c r="H2300">
        <f t="shared" si="143"/>
        <v>0.73999786376953125</v>
      </c>
    </row>
    <row r="2301" spans="1:8" x14ac:dyDescent="0.2">
      <c r="A2301" t="s">
        <v>12</v>
      </c>
      <c r="B2301" s="2">
        <v>46191</v>
      </c>
      <c r="C2301">
        <v>35.529998779296882</v>
      </c>
      <c r="D2301">
        <f>_xlfn.XLOOKUP(B2301, Oil_Price!A:A, Oil_Price!B:B, "")</f>
        <v>76.599998474121094</v>
      </c>
      <c r="E2301">
        <f t="shared" si="140"/>
        <v>-1.6062083114128021E-2</v>
      </c>
      <c r="F2301">
        <f t="shared" si="141"/>
        <v>-2.4743122690578131E-3</v>
      </c>
      <c r="G2301">
        <f t="shared" si="142"/>
        <v>-0.58000183105468039</v>
      </c>
      <c r="H2301">
        <f t="shared" si="143"/>
        <v>-0.19000244140625</v>
      </c>
    </row>
    <row r="2302" spans="1:8" x14ac:dyDescent="0.2">
      <c r="A2302" t="s">
        <v>12</v>
      </c>
      <c r="B2302" s="2">
        <v>46192</v>
      </c>
      <c r="C2302">
        <v>35.659999847412109</v>
      </c>
      <c r="D2302" t="str">
        <f>_xlfn.XLOOKUP(B2302, Oil_Price!A:A, Oil_Price!B:B, "")</f>
        <v/>
      </c>
      <c r="E2302">
        <f t="shared" si="140"/>
        <v>3.6589100079276703E-3</v>
      </c>
      <c r="F2302" t="str">
        <f t="shared" si="141"/>
        <v/>
      </c>
      <c r="G2302">
        <f t="shared" si="142"/>
        <v>0.13000106811522727</v>
      </c>
      <c r="H2302" t="str">
        <f t="shared" si="143"/>
        <v/>
      </c>
    </row>
    <row r="2303" spans="1:8" x14ac:dyDescent="0.2">
      <c r="A2303" t="s">
        <v>12</v>
      </c>
      <c r="B2303" s="2">
        <v>46195</v>
      </c>
      <c r="C2303">
        <v>36.330001831054688</v>
      </c>
      <c r="D2303">
        <f>_xlfn.XLOOKUP(B2303, Oil_Price!A:A, Oil_Price!B:B, "")</f>
        <v>74.819999694824219</v>
      </c>
      <c r="E2303">
        <f t="shared" si="140"/>
        <v>1.8788614316026169E-2</v>
      </c>
      <c r="F2303" t="str">
        <f t="shared" si="141"/>
        <v/>
      </c>
      <c r="G2303">
        <f t="shared" si="142"/>
        <v>0.67000198364257812</v>
      </c>
      <c r="H2303" t="str">
        <f t="shared" si="143"/>
        <v/>
      </c>
    </row>
    <row r="2304" spans="1:8" x14ac:dyDescent="0.2">
      <c r="A2304" t="s">
        <v>12</v>
      </c>
      <c r="B2304" s="2">
        <v>46196</v>
      </c>
      <c r="C2304">
        <v>36.580001831054688</v>
      </c>
      <c r="D2304">
        <f>_xlfn.XLOOKUP(B2304, Oil_Price!A:A, Oil_Price!B:B, "")</f>
        <v>73.209999084472656</v>
      </c>
      <c r="E2304">
        <f t="shared" si="140"/>
        <v>6.8813649160430644E-3</v>
      </c>
      <c r="F2304">
        <f t="shared" si="141"/>
        <v>-2.1518318857503771E-2</v>
      </c>
      <c r="G2304">
        <f t="shared" si="142"/>
        <v>0.25</v>
      </c>
      <c r="H2304">
        <f t="shared" si="143"/>
        <v>-1.6100006103515625</v>
      </c>
    </row>
    <row r="2305" spans="1:8" x14ac:dyDescent="0.2">
      <c r="A2305" t="s">
        <v>12</v>
      </c>
      <c r="B2305" s="2">
        <v>46197</v>
      </c>
      <c r="C2305">
        <v>35.090000152587891</v>
      </c>
      <c r="D2305">
        <f>_xlfn.XLOOKUP(B2305, Oil_Price!A:A, Oil_Price!B:B, "")</f>
        <v>70.339996337890625</v>
      </c>
      <c r="E2305">
        <f t="shared" si="140"/>
        <v>-4.073268463321552E-2</v>
      </c>
      <c r="F2305">
        <f t="shared" si="141"/>
        <v>-3.92023327752061E-2</v>
      </c>
      <c r="G2305">
        <f t="shared" si="142"/>
        <v>-1.4900016784667969</v>
      </c>
      <c r="H2305">
        <f t="shared" si="143"/>
        <v>-2.8700027465820312</v>
      </c>
    </row>
    <row r="2306" spans="1:8" x14ac:dyDescent="0.2">
      <c r="A2306" t="s">
        <v>12</v>
      </c>
      <c r="B2306" s="2">
        <v>46198</v>
      </c>
      <c r="C2306">
        <v>34.959999084472663</v>
      </c>
      <c r="D2306">
        <f>_xlfn.XLOOKUP(B2306, Oil_Price!A:A, Oil_Price!B:B, "")</f>
        <v>71.919998168945312</v>
      </c>
      <c r="E2306">
        <f t="shared" si="140"/>
        <v>-3.7047896138478554E-3</v>
      </c>
      <c r="F2306">
        <f t="shared" si="141"/>
        <v>2.246235304683368E-2</v>
      </c>
      <c r="G2306">
        <f t="shared" si="142"/>
        <v>-0.13000106811522727</v>
      </c>
      <c r="H2306">
        <f t="shared" si="143"/>
        <v>1.5800018310546875</v>
      </c>
    </row>
    <row r="2307" spans="1:8" x14ac:dyDescent="0.2">
      <c r="A2307" t="s">
        <v>12</v>
      </c>
      <c r="B2307" s="2">
        <v>46199</v>
      </c>
      <c r="C2307">
        <v>35.169998168945312</v>
      </c>
      <c r="D2307">
        <f>_xlfn.XLOOKUP(B2307, Oil_Price!A:A, Oil_Price!B:B, "")</f>
        <v>69.230003356933594</v>
      </c>
      <c r="E2307">
        <f t="shared" ref="E2307:E2370" si="144">IFERROR(IF(AND(A2307=A2306, C2307&lt;&gt;"", C2306&lt;&gt;""), (C2307-C2306)/C2306, ""), "")</f>
        <v>6.0068389580112819E-3</v>
      </c>
      <c r="F2307">
        <f t="shared" ref="F2307:F2370" si="145">IFERROR(IF(AND(A2307=A2306, D2307&lt;&gt;"", D2306&lt;&gt;""), (D2307-D2306)/D2306, ""), "")</f>
        <v>-3.7402598449637399E-2</v>
      </c>
      <c r="G2307">
        <f t="shared" ref="G2307:G2370" si="146">IFERROR(IF(AND(A2307=A2306, C2307&lt;&gt;"", C2306&lt;&gt;""), C2307-C2306, ""), "")</f>
        <v>0.20999908447264914</v>
      </c>
      <c r="H2307">
        <f t="shared" ref="H2307:H2370" si="147">IFERROR(IF(AND(A2307=A2306, D2307&lt;&gt;"", D2306&lt;&gt;""), D2307-D2306, ""), "")</f>
        <v>-2.6899948120117188</v>
      </c>
    </row>
    <row r="2308" spans="1:8" x14ac:dyDescent="0.2">
      <c r="A2308" t="s">
        <v>12</v>
      </c>
      <c r="B2308" s="2">
        <v>46202</v>
      </c>
      <c r="C2308">
        <v>35.540000915527337</v>
      </c>
      <c r="D2308">
        <f>_xlfn.XLOOKUP(B2308, Oil_Price!A:A, Oil_Price!B:B, "")</f>
        <v>70.75</v>
      </c>
      <c r="E2308">
        <f t="shared" si="144"/>
        <v>1.0520408468736633E-2</v>
      </c>
      <c r="F2308">
        <f t="shared" si="145"/>
        <v>2.1955749954678777E-2</v>
      </c>
      <c r="G2308">
        <f t="shared" si="146"/>
        <v>0.37000274658202414</v>
      </c>
      <c r="H2308">
        <f t="shared" si="147"/>
        <v>1.5199966430664062</v>
      </c>
    </row>
    <row r="2309" spans="1:8" x14ac:dyDescent="0.2">
      <c r="A2309" t="s">
        <v>12</v>
      </c>
      <c r="B2309" s="2">
        <v>46203</v>
      </c>
      <c r="C2309">
        <v>35.189998626708977</v>
      </c>
      <c r="D2309">
        <f>_xlfn.XLOOKUP(B2309, Oil_Price!A:A, Oil_Price!B:B, "")</f>
        <v>69.5</v>
      </c>
      <c r="E2309">
        <f t="shared" si="144"/>
        <v>-9.8481226731044983E-3</v>
      </c>
      <c r="F2309">
        <f t="shared" si="145"/>
        <v>-1.7667844522968199E-2</v>
      </c>
      <c r="G2309">
        <f t="shared" si="146"/>
        <v>-0.35000228881835938</v>
      </c>
      <c r="H2309">
        <f t="shared" si="147"/>
        <v>-1.25</v>
      </c>
    </row>
    <row r="2310" spans="1:8" x14ac:dyDescent="0.2">
      <c r="A2310" t="s">
        <v>12</v>
      </c>
      <c r="B2310" s="2">
        <v>46205</v>
      </c>
      <c r="C2310">
        <v>34.959999084472663</v>
      </c>
      <c r="D2310">
        <f>_xlfn.XLOOKUP(B2310, Oil_Price!A:A, Oil_Price!B:B, "")</f>
        <v>68.69000244140625</v>
      </c>
      <c r="E2310">
        <f t="shared" si="144"/>
        <v>-6.5359349591376731E-3</v>
      </c>
      <c r="F2310">
        <f t="shared" si="145"/>
        <v>-1.1654641130845324E-2</v>
      </c>
      <c r="G2310">
        <f t="shared" si="146"/>
        <v>-0.22999954223631391</v>
      </c>
      <c r="H2310">
        <f t="shared" si="147"/>
        <v>-0.80999755859375</v>
      </c>
    </row>
    <row r="2311" spans="1:8" x14ac:dyDescent="0.2">
      <c r="A2311" t="s">
        <v>12</v>
      </c>
      <c r="B2311" s="2">
        <v>46206</v>
      </c>
      <c r="C2311">
        <v>35.259998321533203</v>
      </c>
      <c r="D2311" t="str">
        <f>_xlfn.XLOOKUP(B2311, Oil_Price!A:A, Oil_Price!B:B, "")</f>
        <v/>
      </c>
      <c r="E2311">
        <f t="shared" si="144"/>
        <v>8.5812140994529704E-3</v>
      </c>
      <c r="F2311" t="str">
        <f t="shared" si="145"/>
        <v/>
      </c>
      <c r="G2311">
        <f t="shared" si="146"/>
        <v>0.29999923706053977</v>
      </c>
      <c r="H2311" t="str">
        <f t="shared" si="147"/>
        <v/>
      </c>
    </row>
    <row r="2312" spans="1:8" x14ac:dyDescent="0.2">
      <c r="A2312" t="s">
        <v>12</v>
      </c>
      <c r="B2312" s="2">
        <v>46209</v>
      </c>
      <c r="C2312">
        <v>34.580001831054688</v>
      </c>
      <c r="D2312">
        <f>_xlfn.XLOOKUP(B2312, Oil_Price!A:A, Oil_Price!B:B, "")</f>
        <v>68.550003051757812</v>
      </c>
      <c r="E2312">
        <f t="shared" si="144"/>
        <v>-1.9285210517529811E-2</v>
      </c>
      <c r="F2312" t="str">
        <f t="shared" si="145"/>
        <v/>
      </c>
      <c r="G2312">
        <f t="shared" si="146"/>
        <v>-0.67999649047851562</v>
      </c>
      <c r="H2312" t="str">
        <f t="shared" si="147"/>
        <v/>
      </c>
    </row>
    <row r="2313" spans="1:8" x14ac:dyDescent="0.2">
      <c r="A2313" t="s">
        <v>12</v>
      </c>
      <c r="B2313" s="2">
        <v>46210</v>
      </c>
      <c r="C2313">
        <v>35.799999237060547</v>
      </c>
      <c r="D2313">
        <f>_xlfn.XLOOKUP(B2313, Oil_Price!A:A, Oil_Price!B:B, "")</f>
        <v>70.44000244140625</v>
      </c>
      <c r="E2313">
        <f t="shared" si="144"/>
        <v>3.5280432082286262E-2</v>
      </c>
      <c r="F2313">
        <f t="shared" si="145"/>
        <v>2.7571105842568926E-2</v>
      </c>
      <c r="G2313">
        <f t="shared" si="146"/>
        <v>1.2199974060058594</v>
      </c>
      <c r="H2313">
        <f t="shared" si="147"/>
        <v>1.8899993896484375</v>
      </c>
    </row>
    <row r="2314" spans="1:8" x14ac:dyDescent="0.2">
      <c r="A2314" t="s">
        <v>12</v>
      </c>
      <c r="B2314" s="2">
        <v>46211</v>
      </c>
      <c r="C2314">
        <v>37.75</v>
      </c>
      <c r="D2314">
        <f>_xlfn.XLOOKUP(B2314, Oil_Price!A:A, Oil_Price!B:B, "")</f>
        <v>73.519996643066406</v>
      </c>
      <c r="E2314">
        <f t="shared" si="144"/>
        <v>5.4469296214978438E-2</v>
      </c>
      <c r="F2314">
        <f t="shared" si="145"/>
        <v>4.3725072329776994E-2</v>
      </c>
      <c r="G2314">
        <f t="shared" si="146"/>
        <v>1.9500007629394531</v>
      </c>
      <c r="H2314">
        <f t="shared" si="147"/>
        <v>3.0799942016601562</v>
      </c>
    </row>
    <row r="2315" spans="1:8" x14ac:dyDescent="0.2">
      <c r="A2315" t="s">
        <v>12</v>
      </c>
      <c r="B2315" s="2">
        <v>46212</v>
      </c>
      <c r="C2315">
        <v>36.849998474121087</v>
      </c>
      <c r="D2315">
        <f>_xlfn.XLOOKUP(B2315, Oil_Price!A:A, Oil_Price!B:B, "")</f>
        <v>72.080001831054688</v>
      </c>
      <c r="E2315">
        <f t="shared" si="144"/>
        <v>-2.3841100023282474E-2</v>
      </c>
      <c r="F2315">
        <f t="shared" si="145"/>
        <v>-1.95864374015518E-2</v>
      </c>
      <c r="G2315">
        <f t="shared" si="146"/>
        <v>-0.90000152587891336</v>
      </c>
      <c r="H2315">
        <f t="shared" si="147"/>
        <v>-1.4399948120117188</v>
      </c>
    </row>
    <row r="2316" spans="1:8" x14ac:dyDescent="0.2">
      <c r="A2316" t="s">
        <v>12</v>
      </c>
      <c r="B2316" s="2">
        <v>46213</v>
      </c>
      <c r="C2316">
        <v>37.360000610351562</v>
      </c>
      <c r="D2316">
        <f>_xlfn.XLOOKUP(B2316, Oil_Price!A:A, Oil_Price!B:B, "")</f>
        <v>71.410003662109375</v>
      </c>
      <c r="E2316">
        <f t="shared" si="144"/>
        <v>1.3839949995890468E-2</v>
      </c>
      <c r="F2316">
        <f t="shared" si="145"/>
        <v>-9.2952018857559594E-3</v>
      </c>
      <c r="G2316">
        <f t="shared" si="146"/>
        <v>0.51000213623047586</v>
      </c>
      <c r="H2316">
        <f t="shared" si="147"/>
        <v>-0.6699981689453125</v>
      </c>
    </row>
    <row r="2317" spans="1:8" x14ac:dyDescent="0.2">
      <c r="A2317" t="s">
        <v>12</v>
      </c>
      <c r="B2317" s="2">
        <v>46216</v>
      </c>
      <c r="C2317">
        <v>39.119998931884773</v>
      </c>
      <c r="D2317">
        <f>_xlfn.XLOOKUP(B2317, Oil_Price!A:A, Oil_Price!B:B, "")</f>
        <v>78.139999389648438</v>
      </c>
      <c r="E2317">
        <f t="shared" si="144"/>
        <v>4.7109162012314229E-2</v>
      </c>
      <c r="F2317">
        <f t="shared" si="145"/>
        <v>9.42444389077947E-2</v>
      </c>
      <c r="G2317">
        <f t="shared" si="146"/>
        <v>1.7599983215332102</v>
      </c>
      <c r="H2317">
        <f t="shared" si="147"/>
        <v>6.7299957275390625</v>
      </c>
    </row>
    <row r="2318" spans="1:8" x14ac:dyDescent="0.2">
      <c r="A2318" t="s">
        <v>12</v>
      </c>
      <c r="B2318" s="2">
        <v>46217</v>
      </c>
      <c r="C2318">
        <v>38.75</v>
      </c>
      <c r="D2318">
        <f>_xlfn.XLOOKUP(B2318, Oil_Price!A:A, Oil_Price!B:B, "")</f>
        <v>79.339996337890625</v>
      </c>
      <c r="E2318">
        <f t="shared" si="144"/>
        <v>-9.4580506642909165E-3</v>
      </c>
      <c r="F2318">
        <f t="shared" si="145"/>
        <v>1.5357012511074533E-2</v>
      </c>
      <c r="G2318">
        <f t="shared" si="146"/>
        <v>-0.36999893188477273</v>
      </c>
      <c r="H2318">
        <f t="shared" si="147"/>
        <v>1.1999969482421875</v>
      </c>
    </row>
    <row r="2319" spans="1:8" x14ac:dyDescent="0.2">
      <c r="A2319" t="s">
        <v>12</v>
      </c>
      <c r="B2319" s="2">
        <v>46218</v>
      </c>
      <c r="C2319">
        <v>38.470001220703118</v>
      </c>
      <c r="D2319">
        <f>_xlfn.XLOOKUP(B2319, Oil_Price!A:A, Oil_Price!B:B, "")</f>
        <v>79.599998474121094</v>
      </c>
      <c r="E2319">
        <f t="shared" si="144"/>
        <v>-7.2257749495969574E-3</v>
      </c>
      <c r="F2319">
        <f t="shared" si="145"/>
        <v>3.2770626195037875E-3</v>
      </c>
      <c r="G2319">
        <f t="shared" si="146"/>
        <v>-0.27999877929688211</v>
      </c>
      <c r="H2319">
        <f t="shared" si="147"/>
        <v>0.26000213623046875</v>
      </c>
    </row>
    <row r="2320" spans="1:8" x14ac:dyDescent="0.2">
      <c r="A2320" t="s">
        <v>12</v>
      </c>
      <c r="B2320" s="2">
        <v>46219</v>
      </c>
      <c r="C2320">
        <v>38.270000457763672</v>
      </c>
      <c r="D2320">
        <f>_xlfn.XLOOKUP(B2320, Oil_Price!A:A, Oil_Price!B:B, "")</f>
        <v>78.949996948242188</v>
      </c>
      <c r="E2320">
        <f t="shared" si="144"/>
        <v>-5.1988759187200926E-3</v>
      </c>
      <c r="F2320">
        <f t="shared" si="145"/>
        <v>-8.1658484715955056E-3</v>
      </c>
      <c r="G2320">
        <f t="shared" si="146"/>
        <v>-0.20000076293944602</v>
      </c>
      <c r="H2320">
        <f t="shared" si="147"/>
        <v>-0.65000152587890625</v>
      </c>
    </row>
    <row r="2321" spans="1:8" x14ac:dyDescent="0.2">
      <c r="A2321" t="s">
        <v>12</v>
      </c>
      <c r="B2321" s="2">
        <v>46220</v>
      </c>
      <c r="C2321">
        <v>39.200000762939453</v>
      </c>
      <c r="D2321">
        <f>_xlfn.XLOOKUP(B2321, Oil_Price!A:A, Oil_Price!B:B, "")</f>
        <v>82.489997863769531</v>
      </c>
      <c r="E2321">
        <f t="shared" si="144"/>
        <v>2.4301026758600835E-2</v>
      </c>
      <c r="F2321">
        <f t="shared" si="145"/>
        <v>4.4838518712649066E-2</v>
      </c>
      <c r="G2321">
        <f t="shared" si="146"/>
        <v>0.93000030517578125</v>
      </c>
      <c r="H2321">
        <f t="shared" si="147"/>
        <v>3.5400009155273438</v>
      </c>
    </row>
    <row r="2322" spans="1:8" x14ac:dyDescent="0.2">
      <c r="A2322" t="s">
        <v>12</v>
      </c>
      <c r="B2322" s="2">
        <v>46223</v>
      </c>
      <c r="C2322">
        <v>39.790000915527337</v>
      </c>
      <c r="D2322">
        <f>_xlfn.XLOOKUP(B2322, Oil_Price!A:A, Oil_Price!B:B, "")</f>
        <v>83.230003356933594</v>
      </c>
      <c r="E2322">
        <f t="shared" si="144"/>
        <v>1.5051024007777129E-2</v>
      </c>
      <c r="F2322">
        <f t="shared" si="145"/>
        <v>8.970851161690727E-3</v>
      </c>
      <c r="G2322">
        <f t="shared" si="146"/>
        <v>0.59000015258788352</v>
      </c>
      <c r="H2322">
        <f t="shared" si="147"/>
        <v>0.7400054931640625</v>
      </c>
    </row>
    <row r="2323" spans="1:8" x14ac:dyDescent="0.2">
      <c r="A2323" t="s">
        <v>12</v>
      </c>
      <c r="B2323" s="2">
        <v>46224</v>
      </c>
      <c r="C2323">
        <v>40.599998474121087</v>
      </c>
      <c r="D2323">
        <f>_xlfn.XLOOKUP(B2323, Oil_Price!A:A, Oil_Price!B:B, "")</f>
        <v>84.910003662109375</v>
      </c>
      <c r="E2323">
        <f t="shared" si="144"/>
        <v>2.0356811760656755E-2</v>
      </c>
      <c r="F2323">
        <f t="shared" si="145"/>
        <v>2.0185032289030017E-2</v>
      </c>
      <c r="G2323">
        <f t="shared" si="146"/>
        <v>0.80999755859375</v>
      </c>
      <c r="H2323">
        <f t="shared" si="147"/>
        <v>1.6800003051757812</v>
      </c>
    </row>
    <row r="2324" spans="1:8" x14ac:dyDescent="0.2">
      <c r="A2324" t="s">
        <v>12</v>
      </c>
      <c r="B2324" s="2">
        <v>46225</v>
      </c>
      <c r="C2324">
        <v>40.860000610351562</v>
      </c>
      <c r="D2324">
        <f>_xlfn.XLOOKUP(B2324, Oil_Price!A:A, Oil_Price!B:B, "")</f>
        <v>86.830001831054688</v>
      </c>
      <c r="E2324">
        <f t="shared" si="144"/>
        <v>6.4039937438964255E-3</v>
      </c>
      <c r="F2324">
        <f t="shared" si="145"/>
        <v>2.2612155059911994E-2</v>
      </c>
      <c r="G2324">
        <f t="shared" si="146"/>
        <v>0.26000213623047586</v>
      </c>
      <c r="H2324">
        <f t="shared" si="147"/>
        <v>1.9199981689453125</v>
      </c>
    </row>
    <row r="2325" spans="1:8" x14ac:dyDescent="0.2">
      <c r="A2325" t="s">
        <v>12</v>
      </c>
      <c r="B2325" s="2">
        <v>46226</v>
      </c>
      <c r="C2325">
        <v>41.869998931884773</v>
      </c>
      <c r="D2325">
        <f>_xlfn.XLOOKUP(B2325, Oil_Price!A:A, Oil_Price!B:B, "")</f>
        <v>92.19000244140625</v>
      </c>
      <c r="E2325">
        <f t="shared" si="144"/>
        <v>2.4718509702550885E-2</v>
      </c>
      <c r="F2325">
        <f t="shared" si="145"/>
        <v>6.1729822611089273E-2</v>
      </c>
      <c r="G2325">
        <f t="shared" si="146"/>
        <v>1.0099983215332102</v>
      </c>
      <c r="H2325">
        <f t="shared" si="147"/>
        <v>5.3600006103515625</v>
      </c>
    </row>
    <row r="2326" spans="1:8" x14ac:dyDescent="0.2">
      <c r="A2326" t="s">
        <v>12</v>
      </c>
      <c r="B2326" s="2">
        <v>46227</v>
      </c>
      <c r="C2326">
        <v>41.299999237060547</v>
      </c>
      <c r="D2326">
        <f>_xlfn.XLOOKUP(B2326, Oil_Price!A:A, Oil_Price!B:B, "")</f>
        <v>89.30999755859375</v>
      </c>
      <c r="E2326">
        <f t="shared" si="144"/>
        <v>-1.3613558857537029E-2</v>
      </c>
      <c r="F2326">
        <f t="shared" si="145"/>
        <v>-3.1239882921610312E-2</v>
      </c>
      <c r="G2326">
        <f t="shared" si="146"/>
        <v>-0.56999969482422586</v>
      </c>
      <c r="H2326">
        <f t="shared" si="147"/>
        <v>-2.8800048828125</v>
      </c>
    </row>
    <row r="2327" spans="1:8" x14ac:dyDescent="0.2">
      <c r="A2327" t="s">
        <v>12</v>
      </c>
      <c r="B2327" s="2">
        <v>46230</v>
      </c>
      <c r="C2327">
        <v>39.610000610351562</v>
      </c>
      <c r="D2327">
        <f>_xlfn.XLOOKUP(B2327, Oil_Price!A:A, Oil_Price!B:B, "")</f>
        <v>82.610000610351562</v>
      </c>
      <c r="E2327">
        <f t="shared" si="144"/>
        <v>-4.0920064356622661E-2</v>
      </c>
      <c r="F2327">
        <f t="shared" si="145"/>
        <v>-7.5019562550614899E-2</v>
      </c>
      <c r="G2327">
        <f t="shared" si="146"/>
        <v>-1.6899986267089844</v>
      </c>
      <c r="H2327">
        <f t="shared" si="147"/>
        <v>-6.6999969482421875</v>
      </c>
    </row>
    <row r="2328" spans="1:8" x14ac:dyDescent="0.2">
      <c r="A2328" t="s">
        <v>12</v>
      </c>
      <c r="B2328" s="2">
        <v>46231</v>
      </c>
      <c r="C2328">
        <v>39.060001373291023</v>
      </c>
      <c r="D2328">
        <f>_xlfn.XLOOKUP(B2328, Oil_Price!A:A, Oil_Price!B:B, "")</f>
        <v>79.260002136230469</v>
      </c>
      <c r="E2328">
        <f t="shared" si="144"/>
        <v>-1.3885363003927967E-2</v>
      </c>
      <c r="F2328">
        <f t="shared" si="145"/>
        <v>-4.0551972513861931E-2</v>
      </c>
      <c r="G2328">
        <f t="shared" si="146"/>
        <v>-0.54999923706053977</v>
      </c>
      <c r="H2328">
        <f t="shared" si="147"/>
        <v>-3.3499984741210938</v>
      </c>
    </row>
    <row r="2329" spans="1:8" x14ac:dyDescent="0.2">
      <c r="A2329" t="s">
        <v>12</v>
      </c>
      <c r="B2329" s="2">
        <v>46232</v>
      </c>
      <c r="C2329">
        <v>40.830001831054688</v>
      </c>
      <c r="D2329">
        <f>_xlfn.XLOOKUP(B2329, Oil_Price!A:A, Oil_Price!B:B, "")</f>
        <v>84.459999084472656</v>
      </c>
      <c r="E2329">
        <f t="shared" si="144"/>
        <v>4.5314910279905411E-2</v>
      </c>
      <c r="F2329">
        <f t="shared" si="145"/>
        <v>6.5606823215883084E-2</v>
      </c>
      <c r="G2329">
        <f t="shared" si="146"/>
        <v>1.7700004577636648</v>
      </c>
      <c r="H2329">
        <f t="shared" si="147"/>
        <v>5.1999969482421875</v>
      </c>
    </row>
    <row r="2330" spans="1:8" x14ac:dyDescent="0.2">
      <c r="A2330" t="s">
        <v>12</v>
      </c>
      <c r="B2330" s="2">
        <v>46233</v>
      </c>
      <c r="C2330">
        <v>42.479999542236328</v>
      </c>
      <c r="D2330">
        <f>_xlfn.XLOOKUP(B2330, Oil_Price!A:A, Oil_Price!B:B, "")</f>
        <v>83.589996337890625</v>
      </c>
      <c r="E2330">
        <f t="shared" si="144"/>
        <v>4.0411404290623301E-2</v>
      </c>
      <c r="F2330">
        <f t="shared" si="145"/>
        <v>-1.0300766706283031E-2</v>
      </c>
      <c r="G2330">
        <f t="shared" si="146"/>
        <v>1.6499977111816406</v>
      </c>
      <c r="H2330">
        <f t="shared" si="147"/>
        <v>-0.87000274658203125</v>
      </c>
    </row>
    <row r="2331" spans="1:8" x14ac:dyDescent="0.2">
      <c r="A2331" t="s">
        <v>12</v>
      </c>
      <c r="B2331" s="2">
        <v>46234</v>
      </c>
      <c r="C2331">
        <v>42.270000457763672</v>
      </c>
      <c r="D2331">
        <f>_xlfn.XLOOKUP(B2331, Oil_Price!A:A, Oil_Price!B:B, "")</f>
        <v>84.669998168945312</v>
      </c>
      <c r="E2331">
        <f t="shared" si="144"/>
        <v>-4.9434813261676654E-3</v>
      </c>
      <c r="F2331">
        <f t="shared" si="145"/>
        <v>1.2920228237468315E-2</v>
      </c>
      <c r="G2331">
        <f t="shared" si="146"/>
        <v>-0.20999908447265625</v>
      </c>
      <c r="H2331">
        <f t="shared" si="147"/>
        <v>1.0800018310546875</v>
      </c>
    </row>
    <row r="2332" spans="1:8" x14ac:dyDescent="0.2">
      <c r="A2332" t="s">
        <v>12</v>
      </c>
      <c r="B2332" s="2">
        <v>46238</v>
      </c>
      <c r="C2332">
        <v>40.380001068115227</v>
      </c>
      <c r="D2332">
        <f>_xlfn.XLOOKUP(B2332, Oil_Price!A:A, Oil_Price!B:B, "")</f>
        <v>75.769996643066406</v>
      </c>
      <c r="E2332">
        <f t="shared" si="144"/>
        <v>-4.4712547177209953E-2</v>
      </c>
      <c r="F2332">
        <f t="shared" si="145"/>
        <v>-0.10511399218552468</v>
      </c>
      <c r="G2332">
        <f t="shared" si="146"/>
        <v>-1.8899993896484446</v>
      </c>
      <c r="H2332">
        <f t="shared" si="147"/>
        <v>-8.9000015258789062</v>
      </c>
    </row>
    <row r="2333" spans="1:8" x14ac:dyDescent="0.2">
      <c r="A2333" t="s">
        <v>12</v>
      </c>
      <c r="B2333" s="2">
        <v>46239</v>
      </c>
      <c r="C2333">
        <v>38.819999694824219</v>
      </c>
      <c r="D2333">
        <f>_xlfn.XLOOKUP(B2333, Oil_Price!A:A, Oil_Price!B:B, "")</f>
        <v>75.220001220703125</v>
      </c>
      <c r="E2333">
        <f t="shared" si="144"/>
        <v>-3.8633019614326199E-2</v>
      </c>
      <c r="F2333">
        <f t="shared" si="145"/>
        <v>-7.2587494619298027E-3</v>
      </c>
      <c r="G2333">
        <f t="shared" si="146"/>
        <v>-1.5600013732910085</v>
      </c>
      <c r="H2333">
        <f t="shared" si="147"/>
        <v>-0.54999542236328125</v>
      </c>
    </row>
    <row r="2334" spans="1:8" x14ac:dyDescent="0.2">
      <c r="A2334" t="s">
        <v>12</v>
      </c>
      <c r="B2334" s="2">
        <v>46240</v>
      </c>
      <c r="C2334">
        <v>39.610000610351562</v>
      </c>
      <c r="D2334">
        <f>_xlfn.XLOOKUP(B2334, Oil_Price!A:A, Oil_Price!B:B, "")</f>
        <v>77.290000915527344</v>
      </c>
      <c r="E2334">
        <f t="shared" si="144"/>
        <v>2.035035862281763E-2</v>
      </c>
      <c r="F2334">
        <f t="shared" si="145"/>
        <v>2.7519272284383903E-2</v>
      </c>
      <c r="G2334">
        <f t="shared" si="146"/>
        <v>0.79000091552734375</v>
      </c>
      <c r="H2334">
        <f t="shared" si="147"/>
        <v>2.0699996948242188</v>
      </c>
    </row>
    <row r="2335" spans="1:8" x14ac:dyDescent="0.2">
      <c r="A2335" t="s">
        <v>12</v>
      </c>
      <c r="B2335" s="2">
        <v>46241</v>
      </c>
      <c r="C2335">
        <v>39.380001068115227</v>
      </c>
      <c r="D2335">
        <f>_xlfn.XLOOKUP(B2335, Oil_Price!A:A, Oil_Price!B:B, "")</f>
        <v>78.180000305175781</v>
      </c>
      <c r="E2335">
        <f t="shared" si="144"/>
        <v>-5.8066028450458494E-3</v>
      </c>
      <c r="F2335">
        <f t="shared" si="145"/>
        <v>1.1515065068004666E-2</v>
      </c>
      <c r="G2335">
        <f t="shared" si="146"/>
        <v>-0.22999954223633523</v>
      </c>
      <c r="H2335">
        <f t="shared" si="147"/>
        <v>0.8899993896484375</v>
      </c>
    </row>
    <row r="2336" spans="1:8" x14ac:dyDescent="0.2">
      <c r="A2336" t="s">
        <v>12</v>
      </c>
      <c r="B2336" s="2">
        <v>46244</v>
      </c>
      <c r="C2336">
        <v>41.180000305175781</v>
      </c>
      <c r="D2336">
        <f>_xlfn.XLOOKUP(B2336, Oil_Price!A:A, Oil_Price!B:B, "")</f>
        <v>82.129997253417969</v>
      </c>
      <c r="E2336">
        <f t="shared" si="144"/>
        <v>4.5708460849127754E-2</v>
      </c>
      <c r="F2336">
        <f t="shared" si="145"/>
        <v>5.0524391568474887E-2</v>
      </c>
      <c r="G2336">
        <f t="shared" si="146"/>
        <v>1.799999237060554</v>
      </c>
      <c r="H2336">
        <f t="shared" si="147"/>
        <v>3.9499969482421875</v>
      </c>
    </row>
    <row r="2337" spans="1:8" x14ac:dyDescent="0.2">
      <c r="A2337" t="s">
        <v>12</v>
      </c>
      <c r="B2337" s="2">
        <v>46245</v>
      </c>
      <c r="C2337">
        <v>41.560001373291023</v>
      </c>
      <c r="D2337">
        <f>_xlfn.XLOOKUP(B2337, Oil_Price!A:A, Oil_Price!B:B, "")</f>
        <v>83.199996948242188</v>
      </c>
      <c r="E2337">
        <f t="shared" si="144"/>
        <v>9.227806345292338E-3</v>
      </c>
      <c r="F2337">
        <f t="shared" si="145"/>
        <v>1.3028122861402982E-2</v>
      </c>
      <c r="G2337">
        <f t="shared" si="146"/>
        <v>0.38000106811524148</v>
      </c>
      <c r="H2337">
        <f t="shared" si="147"/>
        <v>1.0699996948242188</v>
      </c>
    </row>
    <row r="2338" spans="1:8" x14ac:dyDescent="0.2">
      <c r="A2338" t="s">
        <v>12</v>
      </c>
      <c r="B2338" s="2">
        <v>46246</v>
      </c>
      <c r="C2338">
        <v>42.110000610351562</v>
      </c>
      <c r="D2338">
        <f>_xlfn.XLOOKUP(B2338, Oil_Price!A:A, Oil_Price!B:B, "")</f>
        <v>83.269996643066406</v>
      </c>
      <c r="E2338">
        <f t="shared" si="144"/>
        <v>1.3233859934711231E-2</v>
      </c>
      <c r="F2338">
        <f t="shared" si="145"/>
        <v>8.4134251672827337E-4</v>
      </c>
      <c r="G2338">
        <f t="shared" si="146"/>
        <v>0.54999923706053977</v>
      </c>
      <c r="H2338">
        <f t="shared" si="147"/>
        <v>6.999969482421875E-2</v>
      </c>
    </row>
    <row r="2339" spans="1:8" x14ac:dyDescent="0.2">
      <c r="A2339" t="s">
        <v>12</v>
      </c>
      <c r="B2339" s="2">
        <v>46247</v>
      </c>
      <c r="C2339">
        <v>42.680000305175781</v>
      </c>
      <c r="D2339">
        <f>_xlfn.XLOOKUP(B2339, Oil_Price!A:A, Oil_Price!B:B, "")</f>
        <v>81.25</v>
      </c>
      <c r="E2339">
        <f t="shared" si="144"/>
        <v>1.3535969759261897E-2</v>
      </c>
      <c r="F2339">
        <f t="shared" si="145"/>
        <v>-2.4258397075780404E-2</v>
      </c>
      <c r="G2339">
        <f t="shared" si="146"/>
        <v>0.56999969482421875</v>
      </c>
      <c r="H2339">
        <f t="shared" si="147"/>
        <v>-2.0199966430664062</v>
      </c>
    </row>
    <row r="2340" spans="1:8" x14ac:dyDescent="0.2">
      <c r="A2340" t="s">
        <v>12</v>
      </c>
      <c r="B2340" s="2">
        <v>46248</v>
      </c>
      <c r="C2340">
        <v>43.110000610351562</v>
      </c>
      <c r="D2340">
        <f>_xlfn.XLOOKUP(B2340, Oil_Price!A:A, Oil_Price!B:B, "")</f>
        <v>82.400001525878906</v>
      </c>
      <c r="E2340">
        <f t="shared" si="144"/>
        <v>1.0074983648105442E-2</v>
      </c>
      <c r="F2340">
        <f t="shared" si="145"/>
        <v>1.4153864933894231E-2</v>
      </c>
      <c r="G2340">
        <f t="shared" si="146"/>
        <v>0.43000030517578125</v>
      </c>
      <c r="H2340">
        <f t="shared" si="147"/>
        <v>1.1500015258789062</v>
      </c>
    </row>
    <row r="2341" spans="1:8" x14ac:dyDescent="0.2">
      <c r="A2341" t="s">
        <v>12</v>
      </c>
      <c r="B2341" s="2">
        <v>46251</v>
      </c>
      <c r="C2341">
        <v>44.560001373291023</v>
      </c>
      <c r="D2341">
        <f>_xlfn.XLOOKUP(B2341, Oil_Price!A:A, Oil_Price!B:B, "")</f>
        <v>84.5</v>
      </c>
      <c r="E2341">
        <f t="shared" si="144"/>
        <v>3.3634904718402775E-2</v>
      </c>
      <c r="F2341">
        <f t="shared" si="145"/>
        <v>2.548541790331835E-2</v>
      </c>
      <c r="G2341">
        <f t="shared" si="146"/>
        <v>1.4500007629394602</v>
      </c>
      <c r="H2341">
        <f t="shared" si="147"/>
        <v>2.0999984741210938</v>
      </c>
    </row>
    <row r="2342" spans="1:8" x14ac:dyDescent="0.2">
      <c r="A2342" t="s">
        <v>12</v>
      </c>
      <c r="B2342" s="2">
        <v>46252</v>
      </c>
      <c r="C2342">
        <v>45.220001220703118</v>
      </c>
      <c r="D2342">
        <f>_xlfn.XLOOKUP(B2342, Oil_Price!A:A, Oil_Price!B:B, "")</f>
        <v>84.94000244140625</v>
      </c>
      <c r="E2342">
        <f t="shared" si="144"/>
        <v>1.4811486244874642E-2</v>
      </c>
      <c r="F2342">
        <f t="shared" si="145"/>
        <v>5.2071294840976331E-3</v>
      </c>
      <c r="G2342">
        <f t="shared" si="146"/>
        <v>0.65999984741209516</v>
      </c>
      <c r="H2342">
        <f t="shared" si="147"/>
        <v>0.44000244140625</v>
      </c>
    </row>
    <row r="2343" spans="1:8" x14ac:dyDescent="0.2">
      <c r="A2343" t="s">
        <v>12</v>
      </c>
      <c r="B2343" s="2">
        <v>46253</v>
      </c>
      <c r="C2343">
        <v>44.830001831054688</v>
      </c>
      <c r="D2343">
        <f>_xlfn.XLOOKUP(B2343, Oil_Price!A:A, Oil_Price!B:B, "")</f>
        <v>85.830001831054688</v>
      </c>
      <c r="E2343">
        <f t="shared" si="144"/>
        <v>-8.6244887023549342E-3</v>
      </c>
      <c r="F2343">
        <f t="shared" si="145"/>
        <v>1.0477976972774182E-2</v>
      </c>
      <c r="G2343">
        <f t="shared" si="146"/>
        <v>-0.38999938964843039</v>
      </c>
      <c r="H2343">
        <f t="shared" si="147"/>
        <v>0.8899993896484375</v>
      </c>
    </row>
    <row r="2344" spans="1:8" x14ac:dyDescent="0.2">
      <c r="A2344" t="s">
        <v>12</v>
      </c>
      <c r="B2344" s="2">
        <v>46254</v>
      </c>
      <c r="C2344">
        <v>44.860000610351562</v>
      </c>
      <c r="D2344">
        <f>_xlfn.XLOOKUP(B2344, Oil_Price!A:A, Oil_Price!B:B, "")</f>
        <v>87.830001831054688</v>
      </c>
      <c r="E2344">
        <f t="shared" si="144"/>
        <v>6.6916747873282955E-4</v>
      </c>
      <c r="F2344">
        <f t="shared" si="145"/>
        <v>2.3301875303891322E-2</v>
      </c>
      <c r="G2344">
        <f t="shared" si="146"/>
        <v>2.9998779296875E-2</v>
      </c>
      <c r="H2344">
        <f t="shared" si="147"/>
        <v>2</v>
      </c>
    </row>
    <row r="2345" spans="1:8" x14ac:dyDescent="0.2">
      <c r="A2345" t="s">
        <v>12</v>
      </c>
      <c r="B2345" s="2">
        <v>46255</v>
      </c>
      <c r="C2345">
        <v>45.389999389648438</v>
      </c>
      <c r="D2345">
        <f>_xlfn.XLOOKUP(B2345, Oil_Price!A:A, Oil_Price!B:B, "")</f>
        <v>87.05999755859375</v>
      </c>
      <c r="E2345">
        <f t="shared" si="144"/>
        <v>1.1814506733969513E-2</v>
      </c>
      <c r="F2345">
        <f t="shared" si="145"/>
        <v>-8.7669845885017562E-3</v>
      </c>
      <c r="G2345">
        <f t="shared" si="146"/>
        <v>0.529998779296875</v>
      </c>
      <c r="H2345">
        <f t="shared" si="147"/>
        <v>-0.7700042724609375</v>
      </c>
    </row>
    <row r="2346" spans="1:8" x14ac:dyDescent="0.2">
      <c r="A2346" t="s">
        <v>12</v>
      </c>
      <c r="B2346" s="2">
        <v>46258</v>
      </c>
      <c r="C2346">
        <v>44.569999694824219</v>
      </c>
      <c r="D2346">
        <f>_xlfn.XLOOKUP(B2346, Oil_Price!A:A, Oil_Price!B:B, "")</f>
        <v>85.010002136230469</v>
      </c>
      <c r="E2346">
        <f t="shared" si="144"/>
        <v>-1.8065646747094391E-2</v>
      </c>
      <c r="F2346">
        <f t="shared" si="145"/>
        <v>-2.3546927174947122E-2</v>
      </c>
      <c r="G2346">
        <f t="shared" si="146"/>
        <v>-0.81999969482421875</v>
      </c>
      <c r="H2346">
        <f t="shared" si="147"/>
        <v>-2.0499954223632812</v>
      </c>
    </row>
    <row r="2347" spans="1:8" x14ac:dyDescent="0.2">
      <c r="A2347" t="s">
        <v>12</v>
      </c>
      <c r="B2347" s="2">
        <v>46259</v>
      </c>
      <c r="C2347">
        <v>42.799999237060547</v>
      </c>
      <c r="D2347">
        <f>_xlfn.XLOOKUP(B2347, Oil_Price!A:A, Oil_Price!B:B, "")</f>
        <v>82.360000610351562</v>
      </c>
      <c r="E2347">
        <f t="shared" si="144"/>
        <v>-3.9712821850640866E-2</v>
      </c>
      <c r="F2347">
        <f t="shared" si="145"/>
        <v>-3.117282036568142E-2</v>
      </c>
      <c r="G2347">
        <f t="shared" si="146"/>
        <v>-1.7700004577636719</v>
      </c>
      <c r="H2347">
        <f t="shared" si="147"/>
        <v>-2.6500015258789062</v>
      </c>
    </row>
    <row r="2348" spans="1:8" x14ac:dyDescent="0.2">
      <c r="A2348" t="s">
        <v>12</v>
      </c>
      <c r="B2348" s="2">
        <v>46260</v>
      </c>
      <c r="C2348">
        <v>43.669998168945312</v>
      </c>
      <c r="D2348">
        <f>_xlfn.XLOOKUP(B2348, Oil_Price!A:A, Oil_Price!B:B, "")</f>
        <v>82.230003356933594</v>
      </c>
      <c r="E2348">
        <f t="shared" si="144"/>
        <v>2.0327078210119056E-2</v>
      </c>
      <c r="F2348">
        <f t="shared" si="145"/>
        <v>-1.5784027738536687E-3</v>
      </c>
      <c r="G2348">
        <f t="shared" si="146"/>
        <v>0.86999893188476562</v>
      </c>
      <c r="H2348">
        <f t="shared" si="147"/>
        <v>-0.12999725341796875</v>
      </c>
    </row>
    <row r="2349" spans="1:8" x14ac:dyDescent="0.2">
      <c r="A2349" t="s">
        <v>12</v>
      </c>
      <c r="B2349" s="2">
        <v>46261</v>
      </c>
      <c r="C2349">
        <v>43.939998626708977</v>
      </c>
      <c r="D2349">
        <f>_xlfn.XLOOKUP(B2349, Oil_Price!A:A, Oil_Price!B:B, "")</f>
        <v>83.529998779296875</v>
      </c>
      <c r="E2349">
        <f t="shared" si="144"/>
        <v>6.1827448840075282E-3</v>
      </c>
      <c r="F2349">
        <f t="shared" si="145"/>
        <v>1.5809259020949148E-2</v>
      </c>
      <c r="G2349">
        <f t="shared" si="146"/>
        <v>0.27000045776366477</v>
      </c>
      <c r="H2349">
        <f t="shared" si="147"/>
        <v>1.2999954223632812</v>
      </c>
    </row>
    <row r="2350" spans="1:8" x14ac:dyDescent="0.2">
      <c r="A2350" t="s">
        <v>12</v>
      </c>
      <c r="B2350" s="2">
        <v>46262</v>
      </c>
      <c r="C2350">
        <v>43.909999847412109</v>
      </c>
      <c r="D2350">
        <f>_xlfn.XLOOKUP(B2350, Oil_Price!A:A, Oil_Price!B:B, "")</f>
        <v>83.400001525878906</v>
      </c>
      <c r="E2350">
        <f t="shared" si="144"/>
        <v>-6.8272144366051714E-4</v>
      </c>
      <c r="F2350">
        <f t="shared" si="145"/>
        <v>-1.5562942094785341E-3</v>
      </c>
      <c r="G2350">
        <f t="shared" si="146"/>
        <v>-2.9998779296867895E-2</v>
      </c>
      <c r="H2350">
        <f t="shared" si="147"/>
        <v>-0.12999725341796875</v>
      </c>
    </row>
    <row r="2351" spans="1:8" x14ac:dyDescent="0.2">
      <c r="A2351" t="s">
        <v>12</v>
      </c>
      <c r="B2351" s="2">
        <v>46265</v>
      </c>
      <c r="C2351">
        <v>44.520000457763672</v>
      </c>
      <c r="D2351">
        <f>_xlfn.XLOOKUP(B2351, Oil_Price!A:A, Oil_Price!B:B, "")</f>
        <v>85.760002136230469</v>
      </c>
      <c r="E2351">
        <f t="shared" si="144"/>
        <v>1.3892065872724289E-2</v>
      </c>
      <c r="F2351">
        <f t="shared" si="145"/>
        <v>2.8297368910949691E-2</v>
      </c>
      <c r="G2351">
        <f t="shared" si="146"/>
        <v>0.6100006103515625</v>
      </c>
      <c r="H2351">
        <f t="shared" si="147"/>
        <v>2.3600006103515625</v>
      </c>
    </row>
    <row r="2352" spans="1:8" x14ac:dyDescent="0.2">
      <c r="A2352" t="s">
        <v>12</v>
      </c>
      <c r="B2352" s="2">
        <v>46266</v>
      </c>
      <c r="C2352">
        <v>46.090000152587891</v>
      </c>
      <c r="D2352">
        <f>_xlfn.XLOOKUP(B2352, Oil_Price!A:A, Oil_Price!B:B, "")</f>
        <v>90.220001220703125</v>
      </c>
      <c r="E2352">
        <f t="shared" si="144"/>
        <v>3.526504219858858E-2</v>
      </c>
      <c r="F2352">
        <f t="shared" si="145"/>
        <v>5.2005585044038488E-2</v>
      </c>
      <c r="G2352">
        <f t="shared" si="146"/>
        <v>1.5699996948242188</v>
      </c>
      <c r="H2352">
        <f t="shared" si="147"/>
        <v>4.4599990844726562</v>
      </c>
    </row>
    <row r="2353" spans="1:8" x14ac:dyDescent="0.2">
      <c r="A2353" t="s">
        <v>12</v>
      </c>
      <c r="B2353" s="2">
        <v>46267</v>
      </c>
      <c r="C2353">
        <v>45.380001068115227</v>
      </c>
      <c r="D2353">
        <f>_xlfn.XLOOKUP(B2353, Oil_Price!A:A, Oil_Price!B:B, "")</f>
        <v>91.010002136230469</v>
      </c>
      <c r="E2353">
        <f t="shared" si="144"/>
        <v>-1.5404623174703936E-2</v>
      </c>
      <c r="F2353">
        <f t="shared" si="145"/>
        <v>8.7563833389314918E-3</v>
      </c>
      <c r="G2353">
        <f t="shared" si="146"/>
        <v>-0.70999908447266336</v>
      </c>
      <c r="H2353">
        <f t="shared" si="147"/>
        <v>0.79000091552734375</v>
      </c>
    </row>
    <row r="2354" spans="1:8" x14ac:dyDescent="0.2">
      <c r="A2354" t="s">
        <v>12</v>
      </c>
      <c r="B2354" s="2">
        <v>46268</v>
      </c>
      <c r="C2354">
        <v>45.240001678466797</v>
      </c>
      <c r="D2354">
        <f>_xlfn.XLOOKUP(B2354, Oil_Price!A:A, Oil_Price!B:B, "")</f>
        <v>91.300003051757812</v>
      </c>
      <c r="E2354">
        <f t="shared" si="144"/>
        <v>-3.0850459751706879E-3</v>
      </c>
      <c r="F2354">
        <f t="shared" si="145"/>
        <v>3.1864730108812551E-3</v>
      </c>
      <c r="G2354">
        <f t="shared" si="146"/>
        <v>-0.13999938964843039</v>
      </c>
      <c r="H2354">
        <f t="shared" si="147"/>
        <v>0.29000091552734375</v>
      </c>
    </row>
    <row r="2355" spans="1:8" x14ac:dyDescent="0.2">
      <c r="A2355" t="s">
        <v>12</v>
      </c>
      <c r="B2355" s="2">
        <v>46269</v>
      </c>
      <c r="C2355">
        <v>44.830001831054688</v>
      </c>
      <c r="D2355">
        <f>_xlfn.XLOOKUP(B2355, Oil_Price!A:A, Oil_Price!B:B, "")</f>
        <v>91.480003356933594</v>
      </c>
      <c r="E2355">
        <f t="shared" si="144"/>
        <v>-9.0627725950607092E-3</v>
      </c>
      <c r="F2355">
        <f t="shared" si="145"/>
        <v>1.9715257301113056E-3</v>
      </c>
      <c r="G2355">
        <f t="shared" si="146"/>
        <v>-0.40999984741210938</v>
      </c>
      <c r="H2355">
        <f t="shared" si="147"/>
        <v>0.18000030517578125</v>
      </c>
    </row>
    <row r="2356" spans="1:8" x14ac:dyDescent="0.2">
      <c r="A2356" t="s">
        <v>12</v>
      </c>
      <c r="B2356" s="2">
        <v>46273</v>
      </c>
      <c r="C2356">
        <v>45.790000915527337</v>
      </c>
      <c r="D2356">
        <f>_xlfn.XLOOKUP(B2356, Oil_Price!A:A, Oil_Price!B:B, "")</f>
        <v>93.029998779296875</v>
      </c>
      <c r="E2356">
        <f t="shared" si="144"/>
        <v>2.1414210244525073E-2</v>
      </c>
      <c r="F2356">
        <f t="shared" si="145"/>
        <v>1.694354356673514E-2</v>
      </c>
      <c r="G2356">
        <f t="shared" si="146"/>
        <v>0.95999908447264914</v>
      </c>
      <c r="H2356">
        <f t="shared" si="147"/>
        <v>1.5499954223632812</v>
      </c>
    </row>
    <row r="2357" spans="1:8" x14ac:dyDescent="0.2">
      <c r="A2357" t="s">
        <v>12</v>
      </c>
      <c r="B2357" s="2">
        <v>46274</v>
      </c>
      <c r="C2357">
        <v>46.209999084472663</v>
      </c>
      <c r="D2357">
        <f>_xlfn.XLOOKUP(B2357, Oil_Price!A:A, Oil_Price!B:B, "")</f>
        <v>96.050003051757812</v>
      </c>
      <c r="E2357">
        <f t="shared" si="144"/>
        <v>9.1722681927902255E-3</v>
      </c>
      <c r="F2357">
        <f t="shared" si="145"/>
        <v>3.2462692809719959E-2</v>
      </c>
      <c r="G2357">
        <f t="shared" si="146"/>
        <v>0.41999816894532671</v>
      </c>
      <c r="H2357">
        <f t="shared" si="147"/>
        <v>3.0200042724609375</v>
      </c>
    </row>
    <row r="2358" spans="1:8" x14ac:dyDescent="0.2">
      <c r="A2358" t="s">
        <v>12</v>
      </c>
      <c r="B2358" s="2">
        <v>46275</v>
      </c>
      <c r="C2358">
        <v>46.159999847412109</v>
      </c>
      <c r="D2358">
        <f>_xlfn.XLOOKUP(B2358, Oil_Price!A:A, Oil_Price!B:B, "")</f>
        <v>102.48000335693359</v>
      </c>
      <c r="E2358">
        <f t="shared" si="144"/>
        <v>-1.0820003906330863E-3</v>
      </c>
      <c r="F2358">
        <f t="shared" si="145"/>
        <v>6.6944300894096698E-2</v>
      </c>
      <c r="G2358">
        <f t="shared" si="146"/>
        <v>-4.999923706055398E-2</v>
      </c>
      <c r="H2358">
        <f t="shared" si="147"/>
        <v>6.4300003051757812</v>
      </c>
    </row>
    <row r="2359" spans="1:8" x14ac:dyDescent="0.2">
      <c r="A2359" t="s">
        <v>12</v>
      </c>
      <c r="B2359" s="2">
        <v>46276</v>
      </c>
      <c r="C2359">
        <v>45.889999389648438</v>
      </c>
      <c r="D2359">
        <f>_xlfn.XLOOKUP(B2359, Oil_Price!A:A, Oil_Price!B:B, "")</f>
        <v>100.0500030517578</v>
      </c>
      <c r="E2359">
        <f t="shared" si="144"/>
        <v>-5.8492300402121656E-3</v>
      </c>
      <c r="F2359">
        <f t="shared" si="145"/>
        <v>-2.3711945995085554E-2</v>
      </c>
      <c r="G2359">
        <f t="shared" si="146"/>
        <v>-0.27000045776367188</v>
      </c>
      <c r="H2359">
        <f t="shared" si="147"/>
        <v>-2.4300003051757955</v>
      </c>
    </row>
    <row r="2360" spans="1:8" x14ac:dyDescent="0.2">
      <c r="A2360" t="s">
        <v>12</v>
      </c>
      <c r="B2360" s="2">
        <v>46279</v>
      </c>
      <c r="C2360">
        <v>46.270000457763672</v>
      </c>
      <c r="D2360">
        <f>_xlfn.XLOOKUP(B2360, Oil_Price!A:A, Oil_Price!B:B, "")</f>
        <v>101.38999938964839</v>
      </c>
      <c r="E2360">
        <f t="shared" si="144"/>
        <v>8.2806945558807857E-3</v>
      </c>
      <c r="F2360">
        <f t="shared" si="145"/>
        <v>1.3393266337007412E-2</v>
      </c>
      <c r="G2360">
        <f t="shared" si="146"/>
        <v>0.38000106811523438</v>
      </c>
      <c r="H2360">
        <f t="shared" si="147"/>
        <v>1.3399963378905966</v>
      </c>
    </row>
    <row r="2361" spans="1:8" x14ac:dyDescent="0.2">
      <c r="A2361" t="s">
        <v>12</v>
      </c>
      <c r="B2361" s="2">
        <v>46280</v>
      </c>
      <c r="C2361">
        <v>47.040000915527337</v>
      </c>
      <c r="D2361">
        <f>_xlfn.XLOOKUP(B2361, Oil_Price!A:A, Oil_Price!B:B, "")</f>
        <v>105.8300018310547</v>
      </c>
      <c r="E2361">
        <f t="shared" si="144"/>
        <v>1.6641462073607262E-2</v>
      </c>
      <c r="F2361">
        <f t="shared" si="145"/>
        <v>4.3791325260226971E-2</v>
      </c>
      <c r="G2361">
        <f t="shared" si="146"/>
        <v>0.77000045776366477</v>
      </c>
      <c r="H2361">
        <f t="shared" si="147"/>
        <v>4.4400024414063068</v>
      </c>
    </row>
    <row r="2362" spans="1:8" x14ac:dyDescent="0.2">
      <c r="A2362" t="s">
        <v>13</v>
      </c>
      <c r="B2362" s="2">
        <v>44565</v>
      </c>
      <c r="C2362">
        <v>27.231473922729489</v>
      </c>
      <c r="D2362">
        <f>_xlfn.XLOOKUP(B2362, Oil_Price!A:A, Oil_Price!B:B, "")</f>
        <v>76.989997863769531</v>
      </c>
      <c r="E2362" t="str">
        <f t="shared" si="144"/>
        <v/>
      </c>
      <c r="F2362" t="str">
        <f t="shared" si="145"/>
        <v/>
      </c>
      <c r="G2362" t="str">
        <f t="shared" si="146"/>
        <v/>
      </c>
      <c r="H2362" t="str">
        <f t="shared" si="147"/>
        <v/>
      </c>
    </row>
    <row r="2363" spans="1:8" x14ac:dyDescent="0.2">
      <c r="A2363" t="s">
        <v>13</v>
      </c>
      <c r="B2363" s="2">
        <v>44566</v>
      </c>
      <c r="C2363">
        <v>27.445053100585941</v>
      </c>
      <c r="D2363">
        <f>_xlfn.XLOOKUP(B2363, Oil_Price!A:A, Oil_Price!B:B, "")</f>
        <v>77.849998474121094</v>
      </c>
      <c r="E2363">
        <f t="shared" si="144"/>
        <v>7.8431001738096424E-3</v>
      </c>
      <c r="F2363">
        <f t="shared" si="145"/>
        <v>1.1170290092400007E-2</v>
      </c>
      <c r="G2363">
        <f t="shared" si="146"/>
        <v>0.21357917785645242</v>
      </c>
      <c r="H2363">
        <f t="shared" si="147"/>
        <v>0.8600006103515625</v>
      </c>
    </row>
    <row r="2364" spans="1:8" x14ac:dyDescent="0.2">
      <c r="A2364" t="s">
        <v>13</v>
      </c>
      <c r="B2364" s="2">
        <v>44567</v>
      </c>
      <c r="C2364">
        <v>27.80649566650391</v>
      </c>
      <c r="D2364">
        <f>_xlfn.XLOOKUP(B2364, Oil_Price!A:A, Oil_Price!B:B, "")</f>
        <v>79.459999084472656</v>
      </c>
      <c r="E2364">
        <f t="shared" si="144"/>
        <v>1.3169679963572455E-2</v>
      </c>
      <c r="F2364">
        <f t="shared" si="145"/>
        <v>2.0680804648785692E-2</v>
      </c>
      <c r="G2364">
        <f t="shared" si="146"/>
        <v>0.36144256591796875</v>
      </c>
      <c r="H2364">
        <f t="shared" si="147"/>
        <v>1.6100006103515625</v>
      </c>
    </row>
    <row r="2365" spans="1:8" x14ac:dyDescent="0.2">
      <c r="A2365" t="s">
        <v>13</v>
      </c>
      <c r="B2365" s="2">
        <v>44568</v>
      </c>
      <c r="C2365">
        <v>27.5847053527832</v>
      </c>
      <c r="D2365">
        <f>_xlfn.XLOOKUP(B2365, Oil_Price!A:A, Oil_Price!B:B, "")</f>
        <v>78.900001525878906</v>
      </c>
      <c r="E2365">
        <f t="shared" si="144"/>
        <v>-7.976205142163309E-3</v>
      </c>
      <c r="F2365">
        <f t="shared" si="145"/>
        <v>-7.0475404611875913E-3</v>
      </c>
      <c r="G2365">
        <f t="shared" si="146"/>
        <v>-0.22179031372071023</v>
      </c>
      <c r="H2365">
        <f t="shared" si="147"/>
        <v>-0.55999755859375</v>
      </c>
    </row>
    <row r="2366" spans="1:8" x14ac:dyDescent="0.2">
      <c r="A2366" t="s">
        <v>13</v>
      </c>
      <c r="B2366" s="2">
        <v>44571</v>
      </c>
      <c r="C2366">
        <v>27.691486358642582</v>
      </c>
      <c r="D2366">
        <f>_xlfn.XLOOKUP(B2366, Oil_Price!A:A, Oil_Price!B:B, "")</f>
        <v>78.230003356933594</v>
      </c>
      <c r="E2366">
        <f t="shared" si="144"/>
        <v>3.871022165861499E-3</v>
      </c>
      <c r="F2366">
        <f t="shared" si="145"/>
        <v>-8.4917383521919913E-3</v>
      </c>
      <c r="G2366">
        <f t="shared" si="146"/>
        <v>0.10678100585938211</v>
      </c>
      <c r="H2366">
        <f t="shared" si="147"/>
        <v>-0.6699981689453125</v>
      </c>
    </row>
    <row r="2367" spans="1:8" x14ac:dyDescent="0.2">
      <c r="A2367" t="s">
        <v>13</v>
      </c>
      <c r="B2367" s="2">
        <v>44572</v>
      </c>
      <c r="C2367">
        <v>28.899045944213871</v>
      </c>
      <c r="D2367">
        <f>_xlfn.XLOOKUP(B2367, Oil_Price!A:A, Oil_Price!B:B, "")</f>
        <v>81.220001220703125</v>
      </c>
      <c r="E2367">
        <f t="shared" si="144"/>
        <v>4.3607611737836768E-2</v>
      </c>
      <c r="F2367">
        <f t="shared" si="145"/>
        <v>3.8220602524166009E-2</v>
      </c>
      <c r="G2367">
        <f t="shared" si="146"/>
        <v>1.2075595855712891</v>
      </c>
      <c r="H2367">
        <f t="shared" si="147"/>
        <v>2.9899978637695312</v>
      </c>
    </row>
    <row r="2368" spans="1:8" x14ac:dyDescent="0.2">
      <c r="A2368" t="s">
        <v>13</v>
      </c>
      <c r="B2368" s="2">
        <v>44573</v>
      </c>
      <c r="C2368">
        <v>28.907260894775391</v>
      </c>
      <c r="D2368">
        <f>_xlfn.XLOOKUP(B2368, Oil_Price!A:A, Oil_Price!B:B, "")</f>
        <v>82.639999389648438</v>
      </c>
      <c r="E2368">
        <f t="shared" si="144"/>
        <v>2.8426372889187615E-4</v>
      </c>
      <c r="F2368">
        <f t="shared" si="145"/>
        <v>1.7483355671057937E-2</v>
      </c>
      <c r="G2368">
        <f t="shared" si="146"/>
        <v>8.2149505615198848E-3</v>
      </c>
      <c r="H2368">
        <f t="shared" si="147"/>
        <v>1.4199981689453125</v>
      </c>
    </row>
    <row r="2369" spans="1:8" x14ac:dyDescent="0.2">
      <c r="A2369" t="s">
        <v>13</v>
      </c>
      <c r="B2369" s="2">
        <v>44574</v>
      </c>
      <c r="C2369">
        <v>28.636175155639648</v>
      </c>
      <c r="D2369">
        <f>_xlfn.XLOOKUP(B2369, Oil_Price!A:A, Oil_Price!B:B, "")</f>
        <v>82.120002746582031</v>
      </c>
      <c r="E2369">
        <f t="shared" si="144"/>
        <v>-9.377773291025902E-3</v>
      </c>
      <c r="F2369">
        <f t="shared" si="145"/>
        <v>-6.2923117970344698E-3</v>
      </c>
      <c r="G2369">
        <f t="shared" si="146"/>
        <v>-0.27108573913574219</v>
      </c>
      <c r="H2369">
        <f t="shared" si="147"/>
        <v>-0.51999664306640625</v>
      </c>
    </row>
    <row r="2370" spans="1:8" x14ac:dyDescent="0.2">
      <c r="A2370" t="s">
        <v>13</v>
      </c>
      <c r="B2370" s="2">
        <v>44575</v>
      </c>
      <c r="C2370">
        <v>29.12083625793457</v>
      </c>
      <c r="D2370">
        <f>_xlfn.XLOOKUP(B2370, Oil_Price!A:A, Oil_Price!B:B, "")</f>
        <v>83.819999694824219</v>
      </c>
      <c r="E2370">
        <f t="shared" si="144"/>
        <v>1.6924784810148502E-2</v>
      </c>
      <c r="F2370">
        <f t="shared" si="145"/>
        <v>2.0701374712422841E-2</v>
      </c>
      <c r="G2370">
        <f t="shared" si="146"/>
        <v>0.48466110229492188</v>
      </c>
      <c r="H2370">
        <f t="shared" si="147"/>
        <v>1.6999969482421875</v>
      </c>
    </row>
    <row r="2371" spans="1:8" x14ac:dyDescent="0.2">
      <c r="A2371" t="s">
        <v>13</v>
      </c>
      <c r="B2371" s="2">
        <v>44578</v>
      </c>
      <c r="C2371">
        <v>29.662994384765621</v>
      </c>
      <c r="D2371" t="str">
        <f>_xlfn.XLOOKUP(B2371, Oil_Price!A:A, Oil_Price!B:B, "")</f>
        <v/>
      </c>
      <c r="E2371">
        <f t="shared" ref="E2371:E2434" si="148">IFERROR(IF(AND(A2371=A2370, C2371&lt;&gt;"", C2370&lt;&gt;""), (C2371-C2370)/C2370, ""), "")</f>
        <v>1.8617532890503066E-2</v>
      </c>
      <c r="F2371" t="str">
        <f t="shared" ref="F2371:F2434" si="149">IFERROR(IF(AND(A2371=A2370, D2371&lt;&gt;"", D2370&lt;&gt;""), (D2371-D2370)/D2370, ""), "")</f>
        <v/>
      </c>
      <c r="G2371">
        <f t="shared" ref="G2371:G2434" si="150">IFERROR(IF(AND(A2371=A2370, C2371&lt;&gt;"", C2370&lt;&gt;""), C2371-C2370, ""), "")</f>
        <v>0.54215812683105113</v>
      </c>
      <c r="H2371" t="str">
        <f t="shared" ref="H2371:H2434" si="151">IFERROR(IF(AND(A2371=A2370, D2371&lt;&gt;"", D2370&lt;&gt;""), D2371-D2370, ""), "")</f>
        <v/>
      </c>
    </row>
    <row r="2372" spans="1:8" x14ac:dyDescent="0.2">
      <c r="A2372" t="s">
        <v>13</v>
      </c>
      <c r="B2372" s="2">
        <v>44579</v>
      </c>
      <c r="C2372">
        <v>29.383708953857418</v>
      </c>
      <c r="D2372">
        <f>_xlfn.XLOOKUP(B2372, Oil_Price!A:A, Oil_Price!B:B, "")</f>
        <v>85.430000305175781</v>
      </c>
      <c r="E2372">
        <f t="shared" si="148"/>
        <v>-9.4152811171227899E-3</v>
      </c>
      <c r="F2372" t="str">
        <f t="shared" si="149"/>
        <v/>
      </c>
      <c r="G2372">
        <f t="shared" si="150"/>
        <v>-0.27928543090820312</v>
      </c>
      <c r="H2372" t="str">
        <f t="shared" si="151"/>
        <v/>
      </c>
    </row>
    <row r="2373" spans="1:8" x14ac:dyDescent="0.2">
      <c r="A2373" t="s">
        <v>13</v>
      </c>
      <c r="B2373" s="2">
        <v>44580</v>
      </c>
      <c r="C2373">
        <v>29.202983856201168</v>
      </c>
      <c r="D2373">
        <f>_xlfn.XLOOKUP(B2373, Oil_Price!A:A, Oil_Price!B:B, "")</f>
        <v>86.959999084472656</v>
      </c>
      <c r="E2373">
        <f t="shared" si="148"/>
        <v>-6.1505202743483093E-3</v>
      </c>
      <c r="F2373">
        <f t="shared" si="149"/>
        <v>1.7909385155464877E-2</v>
      </c>
      <c r="G2373">
        <f t="shared" si="150"/>
        <v>-0.18072509765625</v>
      </c>
      <c r="H2373">
        <f t="shared" si="151"/>
        <v>1.529998779296875</v>
      </c>
    </row>
    <row r="2374" spans="1:8" x14ac:dyDescent="0.2">
      <c r="A2374" t="s">
        <v>13</v>
      </c>
      <c r="B2374" s="2">
        <v>44581</v>
      </c>
      <c r="C2374">
        <v>29.014045715332031</v>
      </c>
      <c r="D2374">
        <f>_xlfn.XLOOKUP(B2374, Oil_Price!A:A, Oil_Price!B:B, "")</f>
        <v>86.900001525878906</v>
      </c>
      <c r="E2374">
        <f t="shared" si="148"/>
        <v>-6.4698231454528785E-3</v>
      </c>
      <c r="F2374">
        <f t="shared" si="149"/>
        <v>-6.8994433331891561E-4</v>
      </c>
      <c r="G2374">
        <f t="shared" si="150"/>
        <v>-0.18893814086913707</v>
      </c>
      <c r="H2374">
        <f t="shared" si="151"/>
        <v>-5.999755859375E-2</v>
      </c>
    </row>
    <row r="2375" spans="1:8" x14ac:dyDescent="0.2">
      <c r="A2375" t="s">
        <v>13</v>
      </c>
      <c r="B2375" s="2">
        <v>44582</v>
      </c>
      <c r="C2375">
        <v>27.99543571472168</v>
      </c>
      <c r="D2375">
        <f>_xlfn.XLOOKUP(B2375, Oil_Price!A:A, Oil_Price!B:B, "")</f>
        <v>85.139999389648438</v>
      </c>
      <c r="E2375">
        <f t="shared" si="148"/>
        <v>-3.5107478998424632E-2</v>
      </c>
      <c r="F2375">
        <f t="shared" si="149"/>
        <v>-2.0253188783964961E-2</v>
      </c>
      <c r="G2375">
        <f t="shared" si="150"/>
        <v>-1.0186100006103516</v>
      </c>
      <c r="H2375">
        <f t="shared" si="151"/>
        <v>-1.7600021362304688</v>
      </c>
    </row>
    <row r="2376" spans="1:8" x14ac:dyDescent="0.2">
      <c r="A2376" t="s">
        <v>13</v>
      </c>
      <c r="B2376" s="2">
        <v>44585</v>
      </c>
      <c r="C2376">
        <v>27.272554397583011</v>
      </c>
      <c r="D2376">
        <f>_xlfn.XLOOKUP(B2376, Oil_Price!A:A, Oil_Price!B:B, "")</f>
        <v>83.30999755859375</v>
      </c>
      <c r="E2376">
        <f t="shared" si="148"/>
        <v>-2.582139904893618E-2</v>
      </c>
      <c r="F2376">
        <f t="shared" si="149"/>
        <v>-2.1494031526586837E-2</v>
      </c>
      <c r="G2376">
        <f t="shared" si="150"/>
        <v>-0.72288131713866832</v>
      </c>
      <c r="H2376">
        <f t="shared" si="151"/>
        <v>-1.8300018310546875</v>
      </c>
    </row>
    <row r="2377" spans="1:8" x14ac:dyDescent="0.2">
      <c r="A2377" t="s">
        <v>13</v>
      </c>
      <c r="B2377" s="2">
        <v>44586</v>
      </c>
      <c r="C2377">
        <v>28.636175155639648</v>
      </c>
      <c r="D2377">
        <f>_xlfn.XLOOKUP(B2377, Oil_Price!A:A, Oil_Price!B:B, "")</f>
        <v>85.599998474121094</v>
      </c>
      <c r="E2377">
        <f t="shared" si="148"/>
        <v>4.9999744731556418E-2</v>
      </c>
      <c r="F2377">
        <f t="shared" si="149"/>
        <v>2.7487708349970073E-2</v>
      </c>
      <c r="G2377">
        <f t="shared" si="150"/>
        <v>1.3636207580566371</v>
      </c>
      <c r="H2377">
        <f t="shared" si="151"/>
        <v>2.2900009155273438</v>
      </c>
    </row>
    <row r="2378" spans="1:8" x14ac:dyDescent="0.2">
      <c r="A2378" t="s">
        <v>13</v>
      </c>
      <c r="B2378" s="2">
        <v>44587</v>
      </c>
      <c r="C2378">
        <v>29.046905517578121</v>
      </c>
      <c r="D2378">
        <f>_xlfn.XLOOKUP(B2378, Oil_Price!A:A, Oil_Price!B:B, "")</f>
        <v>87.349998474121094</v>
      </c>
      <c r="E2378">
        <f t="shared" si="148"/>
        <v>1.4343059424176737E-2</v>
      </c>
      <c r="F2378">
        <f t="shared" si="149"/>
        <v>2.0443925598071903E-2</v>
      </c>
      <c r="G2378">
        <f t="shared" si="150"/>
        <v>0.41073036193847301</v>
      </c>
      <c r="H2378">
        <f t="shared" si="151"/>
        <v>1.75</v>
      </c>
    </row>
    <row r="2379" spans="1:8" x14ac:dyDescent="0.2">
      <c r="A2379" t="s">
        <v>13</v>
      </c>
      <c r="B2379" s="2">
        <v>44588</v>
      </c>
      <c r="C2379">
        <v>29.802642822265621</v>
      </c>
      <c r="D2379">
        <f>_xlfn.XLOOKUP(B2379, Oil_Price!A:A, Oil_Price!B:B, "")</f>
        <v>86.610000610351562</v>
      </c>
      <c r="E2379">
        <f t="shared" si="148"/>
        <v>2.6017825004806639E-2</v>
      </c>
      <c r="F2379">
        <f t="shared" si="149"/>
        <v>-8.4716414046506032E-3</v>
      </c>
      <c r="G2379">
        <f t="shared" si="150"/>
        <v>0.7557373046875</v>
      </c>
      <c r="H2379">
        <f t="shared" si="151"/>
        <v>-0.73999786376953125</v>
      </c>
    </row>
    <row r="2380" spans="1:8" x14ac:dyDescent="0.2">
      <c r="A2380" t="s">
        <v>13</v>
      </c>
      <c r="B2380" s="2">
        <v>44589</v>
      </c>
      <c r="C2380">
        <v>29.69586181640625</v>
      </c>
      <c r="D2380">
        <f>_xlfn.XLOOKUP(B2380, Oil_Price!A:A, Oil_Price!B:B, "")</f>
        <v>86.819999694824219</v>
      </c>
      <c r="E2380">
        <f t="shared" si="148"/>
        <v>-3.5829374762561365E-3</v>
      </c>
      <c r="F2380">
        <f t="shared" si="149"/>
        <v>2.4246516914070695E-3</v>
      </c>
      <c r="G2380">
        <f t="shared" si="150"/>
        <v>-0.10678100585937145</v>
      </c>
      <c r="H2380">
        <f t="shared" si="151"/>
        <v>0.20999908447265625</v>
      </c>
    </row>
    <row r="2381" spans="1:8" x14ac:dyDescent="0.2">
      <c r="A2381" t="s">
        <v>13</v>
      </c>
      <c r="B2381" s="2">
        <v>44592</v>
      </c>
      <c r="C2381">
        <v>29.835506439208981</v>
      </c>
      <c r="D2381">
        <f>_xlfn.XLOOKUP(B2381, Oil_Price!A:A, Oil_Price!B:B, "")</f>
        <v>88.150001525878906</v>
      </c>
      <c r="E2381">
        <f t="shared" si="148"/>
        <v>4.7024943632240548E-3</v>
      </c>
      <c r="F2381">
        <f t="shared" si="149"/>
        <v>1.5319072054016324E-2</v>
      </c>
      <c r="G2381">
        <f t="shared" si="150"/>
        <v>0.13964462280273082</v>
      </c>
      <c r="H2381">
        <f t="shared" si="151"/>
        <v>1.3300018310546875</v>
      </c>
    </row>
    <row r="2382" spans="1:8" x14ac:dyDescent="0.2">
      <c r="A2382" t="s">
        <v>13</v>
      </c>
      <c r="B2382" s="2">
        <v>44593</v>
      </c>
      <c r="C2382">
        <v>31.158065795898441</v>
      </c>
      <c r="D2382">
        <f>_xlfn.XLOOKUP(B2382, Oil_Price!A:A, Oil_Price!B:B, "")</f>
        <v>88.199996948242188</v>
      </c>
      <c r="E2382">
        <f t="shared" si="148"/>
        <v>4.4328369601643165E-2</v>
      </c>
      <c r="F2382">
        <f t="shared" si="149"/>
        <v>5.6716303457582688E-4</v>
      </c>
      <c r="G2382">
        <f t="shared" si="150"/>
        <v>1.3225593566894602</v>
      </c>
      <c r="H2382">
        <f t="shared" si="151"/>
        <v>4.999542236328125E-2</v>
      </c>
    </row>
    <row r="2383" spans="1:8" x14ac:dyDescent="0.2">
      <c r="A2383" t="s">
        <v>13</v>
      </c>
      <c r="B2383" s="2">
        <v>44594</v>
      </c>
      <c r="C2383">
        <v>31.58522796630859</v>
      </c>
      <c r="D2383">
        <f>_xlfn.XLOOKUP(B2383, Oil_Price!A:A, Oil_Price!B:B, "")</f>
        <v>88.260002136230469</v>
      </c>
      <c r="E2383">
        <f t="shared" si="148"/>
        <v>1.3709521419214011E-2</v>
      </c>
      <c r="F2383">
        <f t="shared" si="149"/>
        <v>6.8033095311209244E-4</v>
      </c>
      <c r="G2383">
        <f t="shared" si="150"/>
        <v>0.42716217041014914</v>
      </c>
      <c r="H2383">
        <f t="shared" si="151"/>
        <v>6.000518798828125E-2</v>
      </c>
    </row>
    <row r="2384" spans="1:8" x14ac:dyDescent="0.2">
      <c r="A2384" t="s">
        <v>13</v>
      </c>
      <c r="B2384" s="2">
        <v>44595</v>
      </c>
      <c r="C2384">
        <v>30.47624397277832</v>
      </c>
      <c r="D2384">
        <f>_xlfn.XLOOKUP(B2384, Oil_Price!A:A, Oil_Price!B:B, "")</f>
        <v>90.269996643066406</v>
      </c>
      <c r="E2384">
        <f t="shared" si="148"/>
        <v>-3.5110843420639665E-2</v>
      </c>
      <c r="F2384">
        <f t="shared" si="149"/>
        <v>2.2773560595811957E-2</v>
      </c>
      <c r="G2384">
        <f t="shared" si="150"/>
        <v>-1.1089839935302699</v>
      </c>
      <c r="H2384">
        <f t="shared" si="151"/>
        <v>2.0099945068359375</v>
      </c>
    </row>
    <row r="2385" spans="1:8" x14ac:dyDescent="0.2">
      <c r="A2385" t="s">
        <v>13</v>
      </c>
      <c r="B2385" s="2">
        <v>44596</v>
      </c>
      <c r="C2385">
        <v>30.098373413085941</v>
      </c>
      <c r="D2385">
        <f>_xlfn.XLOOKUP(B2385, Oil_Price!A:A, Oil_Price!B:B, "")</f>
        <v>92.30999755859375</v>
      </c>
      <c r="E2385">
        <f t="shared" si="148"/>
        <v>-1.2398855975490187E-2</v>
      </c>
      <c r="F2385">
        <f t="shared" si="149"/>
        <v>2.2598881038997303E-2</v>
      </c>
      <c r="G2385">
        <f t="shared" si="150"/>
        <v>-0.37787055969237926</v>
      </c>
      <c r="H2385">
        <f t="shared" si="151"/>
        <v>2.0400009155273438</v>
      </c>
    </row>
    <row r="2386" spans="1:8" x14ac:dyDescent="0.2">
      <c r="A2386" t="s">
        <v>13</v>
      </c>
      <c r="B2386" s="2">
        <v>44599</v>
      </c>
      <c r="C2386">
        <v>30.172306060791019</v>
      </c>
      <c r="D2386">
        <f>_xlfn.XLOOKUP(B2386, Oil_Price!A:A, Oil_Price!B:B, "")</f>
        <v>91.319999694824219</v>
      </c>
      <c r="E2386">
        <f t="shared" si="148"/>
        <v>2.4563668836979163E-3</v>
      </c>
      <c r="F2386">
        <f t="shared" si="149"/>
        <v>-1.0724709023430862E-2</v>
      </c>
      <c r="G2386">
        <f t="shared" si="150"/>
        <v>7.3932647705078125E-2</v>
      </c>
      <c r="H2386">
        <f t="shared" si="151"/>
        <v>-0.98999786376953125</v>
      </c>
    </row>
    <row r="2387" spans="1:8" x14ac:dyDescent="0.2">
      <c r="A2387" t="s">
        <v>13</v>
      </c>
      <c r="B2387" s="2">
        <v>44600</v>
      </c>
      <c r="C2387">
        <v>29.736934661865231</v>
      </c>
      <c r="D2387">
        <f>_xlfn.XLOOKUP(B2387, Oil_Price!A:A, Oil_Price!B:B, "")</f>
        <v>89.360000610351562</v>
      </c>
      <c r="E2387">
        <f t="shared" si="148"/>
        <v>-1.4429503600043169E-2</v>
      </c>
      <c r="F2387">
        <f t="shared" si="149"/>
        <v>-2.1462977343655685E-2</v>
      </c>
      <c r="G2387">
        <f t="shared" si="150"/>
        <v>-0.43537139892578836</v>
      </c>
      <c r="H2387">
        <f t="shared" si="151"/>
        <v>-1.9599990844726562</v>
      </c>
    </row>
    <row r="2388" spans="1:8" x14ac:dyDescent="0.2">
      <c r="A2388" t="s">
        <v>13</v>
      </c>
      <c r="B2388" s="2">
        <v>44601</v>
      </c>
      <c r="C2388">
        <v>30.057302474975589</v>
      </c>
      <c r="D2388">
        <f>_xlfn.XLOOKUP(B2388, Oil_Price!A:A, Oil_Price!B:B, "")</f>
        <v>89.660003662109375</v>
      </c>
      <c r="E2388">
        <f t="shared" si="148"/>
        <v>1.0773397350911212E-2</v>
      </c>
      <c r="F2388">
        <f t="shared" si="149"/>
        <v>3.3572409322819522E-3</v>
      </c>
      <c r="G2388">
        <f t="shared" si="150"/>
        <v>0.32036781311035867</v>
      </c>
      <c r="H2388">
        <f t="shared" si="151"/>
        <v>0.3000030517578125</v>
      </c>
    </row>
    <row r="2389" spans="1:8" x14ac:dyDescent="0.2">
      <c r="A2389" t="s">
        <v>13</v>
      </c>
      <c r="B2389" s="2">
        <v>44602</v>
      </c>
      <c r="C2389">
        <v>30.1558723449707</v>
      </c>
      <c r="D2389">
        <f>_xlfn.XLOOKUP(B2389, Oil_Price!A:A, Oil_Price!B:B, "")</f>
        <v>89.879997253417969</v>
      </c>
      <c r="E2389">
        <f t="shared" si="148"/>
        <v>3.279398411656372E-3</v>
      </c>
      <c r="F2389">
        <f t="shared" si="149"/>
        <v>2.4536424528561981E-3</v>
      </c>
      <c r="G2389">
        <f t="shared" si="150"/>
        <v>9.8569869995110082E-2</v>
      </c>
      <c r="H2389">
        <f t="shared" si="151"/>
        <v>0.21999359130859375</v>
      </c>
    </row>
    <row r="2390" spans="1:8" x14ac:dyDescent="0.2">
      <c r="A2390" t="s">
        <v>13</v>
      </c>
      <c r="B2390" s="2">
        <v>44603</v>
      </c>
      <c r="C2390">
        <v>31.527725219726559</v>
      </c>
      <c r="D2390">
        <f>_xlfn.XLOOKUP(B2390, Oil_Price!A:A, Oil_Price!B:B, "")</f>
        <v>93.099998474121094</v>
      </c>
      <c r="E2390">
        <f t="shared" si="148"/>
        <v>4.5492064002076615E-2</v>
      </c>
      <c r="F2390">
        <f t="shared" si="149"/>
        <v>3.5825559847585266E-2</v>
      </c>
      <c r="G2390">
        <f t="shared" si="150"/>
        <v>1.3718528747558594</v>
      </c>
      <c r="H2390">
        <f t="shared" si="151"/>
        <v>3.220001220703125</v>
      </c>
    </row>
    <row r="2391" spans="1:8" x14ac:dyDescent="0.2">
      <c r="A2391" t="s">
        <v>13</v>
      </c>
      <c r="B2391" s="2">
        <v>44606</v>
      </c>
      <c r="C2391">
        <v>31.084133148193359</v>
      </c>
      <c r="D2391">
        <f>_xlfn.XLOOKUP(B2391, Oil_Price!A:A, Oil_Price!B:B, "")</f>
        <v>95.459999084472656</v>
      </c>
      <c r="E2391">
        <f t="shared" si="148"/>
        <v>-1.4069904138077452E-2</v>
      </c>
      <c r="F2391">
        <f t="shared" si="149"/>
        <v>2.5349093974556501E-2</v>
      </c>
      <c r="G2391">
        <f t="shared" si="150"/>
        <v>-0.44359207153319957</v>
      </c>
      <c r="H2391">
        <f t="shared" si="151"/>
        <v>2.3600006103515625</v>
      </c>
    </row>
    <row r="2392" spans="1:8" x14ac:dyDescent="0.2">
      <c r="A2392" t="s">
        <v>13</v>
      </c>
      <c r="B2392" s="2">
        <v>44607</v>
      </c>
      <c r="C2392">
        <v>30.591251373291019</v>
      </c>
      <c r="D2392">
        <f>_xlfn.XLOOKUP(B2392, Oil_Price!A:A, Oil_Price!B:B, "")</f>
        <v>92.069999694824219</v>
      </c>
      <c r="E2392">
        <f t="shared" si="148"/>
        <v>-1.5856378318563052E-2</v>
      </c>
      <c r="F2392">
        <f t="shared" si="149"/>
        <v>-3.551225038928215E-2</v>
      </c>
      <c r="G2392">
        <f t="shared" si="150"/>
        <v>-0.4928817749023402</v>
      </c>
      <c r="H2392">
        <f t="shared" si="151"/>
        <v>-3.3899993896484375</v>
      </c>
    </row>
    <row r="2393" spans="1:8" x14ac:dyDescent="0.2">
      <c r="A2393" t="s">
        <v>13</v>
      </c>
      <c r="B2393" s="2">
        <v>44608</v>
      </c>
      <c r="C2393">
        <v>30.862333297729489</v>
      </c>
      <c r="D2393">
        <f>_xlfn.XLOOKUP(B2393, Oil_Price!A:A, Oil_Price!B:B, "")</f>
        <v>93.660003662109375</v>
      </c>
      <c r="E2393">
        <f t="shared" si="148"/>
        <v>8.8614199246242319E-3</v>
      </c>
      <c r="F2393">
        <f t="shared" si="149"/>
        <v>1.7269512029492701E-2</v>
      </c>
      <c r="G2393">
        <f t="shared" si="150"/>
        <v>0.27108192443846946</v>
      </c>
      <c r="H2393">
        <f t="shared" si="151"/>
        <v>1.5900039672851562</v>
      </c>
    </row>
    <row r="2394" spans="1:8" x14ac:dyDescent="0.2">
      <c r="A2394" t="s">
        <v>13</v>
      </c>
      <c r="B2394" s="2">
        <v>44609</v>
      </c>
      <c r="C2394">
        <v>30.952699661254879</v>
      </c>
      <c r="D2394">
        <f>_xlfn.XLOOKUP(B2394, Oil_Price!A:A, Oil_Price!B:B, "")</f>
        <v>91.760002136230469</v>
      </c>
      <c r="E2394">
        <f t="shared" si="148"/>
        <v>2.9280470356413003E-3</v>
      </c>
      <c r="F2394">
        <f t="shared" si="149"/>
        <v>-2.0286156860866763E-2</v>
      </c>
      <c r="G2394">
        <f t="shared" si="150"/>
        <v>9.0366363525390625E-2</v>
      </c>
      <c r="H2394">
        <f t="shared" si="151"/>
        <v>-1.9000015258789062</v>
      </c>
    </row>
    <row r="2395" spans="1:8" x14ac:dyDescent="0.2">
      <c r="A2395" t="s">
        <v>13</v>
      </c>
      <c r="B2395" s="2">
        <v>44610</v>
      </c>
      <c r="C2395">
        <v>30.443387985229489</v>
      </c>
      <c r="D2395">
        <f>_xlfn.XLOOKUP(B2395, Oil_Price!A:A, Oil_Price!B:B, "")</f>
        <v>91.069999694824219</v>
      </c>
      <c r="E2395">
        <f t="shared" si="148"/>
        <v>-1.6454515489740071E-2</v>
      </c>
      <c r="F2395">
        <f t="shared" si="149"/>
        <v>-7.5196428219546632E-3</v>
      </c>
      <c r="G2395">
        <f t="shared" si="150"/>
        <v>-0.50931167602539062</v>
      </c>
      <c r="H2395">
        <f t="shared" si="151"/>
        <v>-0.69000244140625</v>
      </c>
    </row>
    <row r="2396" spans="1:8" x14ac:dyDescent="0.2">
      <c r="A2396" t="s">
        <v>13</v>
      </c>
      <c r="B2396" s="2">
        <v>44614</v>
      </c>
      <c r="C2396">
        <v>30.468032836914059</v>
      </c>
      <c r="D2396">
        <f>_xlfn.XLOOKUP(B2396, Oil_Price!A:A, Oil_Price!B:B, "")</f>
        <v>92.349998474121094</v>
      </c>
      <c r="E2396">
        <f t="shared" si="148"/>
        <v>8.0953051928804684E-4</v>
      </c>
      <c r="F2396">
        <f t="shared" si="149"/>
        <v>1.4055109076382495E-2</v>
      </c>
      <c r="G2396">
        <f t="shared" si="150"/>
        <v>2.4644851684570312E-2</v>
      </c>
      <c r="H2396">
        <f t="shared" si="151"/>
        <v>1.279998779296875</v>
      </c>
    </row>
    <row r="2397" spans="1:8" x14ac:dyDescent="0.2">
      <c r="A2397" t="s">
        <v>13</v>
      </c>
      <c r="B2397" s="2">
        <v>44615</v>
      </c>
      <c r="C2397">
        <v>30.468032836914059</v>
      </c>
      <c r="D2397">
        <f>_xlfn.XLOOKUP(B2397, Oil_Price!A:A, Oil_Price!B:B, "")</f>
        <v>92.099998474121094</v>
      </c>
      <c r="E2397">
        <f t="shared" si="148"/>
        <v>0</v>
      </c>
      <c r="F2397">
        <f t="shared" si="149"/>
        <v>-2.7070926272950249E-3</v>
      </c>
      <c r="G2397">
        <f t="shared" si="150"/>
        <v>0</v>
      </c>
      <c r="H2397">
        <f t="shared" si="151"/>
        <v>-0.25</v>
      </c>
    </row>
    <row r="2398" spans="1:8" x14ac:dyDescent="0.2">
      <c r="A2398" t="s">
        <v>13</v>
      </c>
      <c r="B2398" s="2">
        <v>44616</v>
      </c>
      <c r="C2398">
        <v>30.418746948242191</v>
      </c>
      <c r="D2398">
        <f>_xlfn.XLOOKUP(B2398, Oil_Price!A:A, Oil_Price!B:B, "")</f>
        <v>92.80999755859375</v>
      </c>
      <c r="E2398">
        <f t="shared" si="148"/>
        <v>-1.617626216161706E-3</v>
      </c>
      <c r="F2398">
        <f t="shared" si="149"/>
        <v>7.7090021306803471E-3</v>
      </c>
      <c r="G2398">
        <f t="shared" si="150"/>
        <v>-4.9285888671867895E-2</v>
      </c>
      <c r="H2398">
        <f t="shared" si="151"/>
        <v>0.70999908447265625</v>
      </c>
    </row>
    <row r="2399" spans="1:8" x14ac:dyDescent="0.2">
      <c r="A2399" t="s">
        <v>13</v>
      </c>
      <c r="B2399" s="2">
        <v>44617</v>
      </c>
      <c r="C2399">
        <v>31.084133148193359</v>
      </c>
      <c r="D2399">
        <f>_xlfn.XLOOKUP(B2399, Oil_Price!A:A, Oil_Price!B:B, "")</f>
        <v>91.589996337890625</v>
      </c>
      <c r="E2399">
        <f t="shared" si="148"/>
        <v>2.1874214644124878E-2</v>
      </c>
      <c r="F2399">
        <f t="shared" si="149"/>
        <v>-1.314514872099745E-2</v>
      </c>
      <c r="G2399">
        <f t="shared" si="150"/>
        <v>0.66538619995116832</v>
      </c>
      <c r="H2399">
        <f t="shared" si="151"/>
        <v>-1.220001220703125</v>
      </c>
    </row>
    <row r="2400" spans="1:8" x14ac:dyDescent="0.2">
      <c r="A2400" t="s">
        <v>13</v>
      </c>
      <c r="B2400" s="2">
        <v>44620</v>
      </c>
      <c r="C2400">
        <v>31.839876174926761</v>
      </c>
      <c r="D2400">
        <f>_xlfn.XLOOKUP(B2400, Oil_Price!A:A, Oil_Price!B:B, "")</f>
        <v>95.720001220703125</v>
      </c>
      <c r="E2400">
        <f t="shared" si="148"/>
        <v>2.4312822980470553E-2</v>
      </c>
      <c r="F2400">
        <f t="shared" si="149"/>
        <v>4.5092314094830069E-2</v>
      </c>
      <c r="G2400">
        <f t="shared" si="150"/>
        <v>0.75574302673340199</v>
      </c>
      <c r="H2400">
        <f t="shared" si="151"/>
        <v>4.1300048828125</v>
      </c>
    </row>
    <row r="2401" spans="1:8" x14ac:dyDescent="0.2">
      <c r="A2401" t="s">
        <v>13</v>
      </c>
      <c r="B2401" s="2">
        <v>44621</v>
      </c>
      <c r="C2401">
        <v>32.201316833496087</v>
      </c>
      <c r="D2401">
        <f>_xlfn.XLOOKUP(B2401, Oil_Price!A:A, Oil_Price!B:B, "")</f>
        <v>103.4100036621094</v>
      </c>
      <c r="E2401">
        <f t="shared" si="148"/>
        <v>1.1351823624677041E-2</v>
      </c>
      <c r="F2401">
        <f t="shared" si="149"/>
        <v>8.0338511735654053E-2</v>
      </c>
      <c r="G2401">
        <f t="shared" si="150"/>
        <v>0.36144065856932528</v>
      </c>
      <c r="H2401">
        <f t="shared" si="151"/>
        <v>7.6900024414062784</v>
      </c>
    </row>
    <row r="2402" spans="1:8" x14ac:dyDescent="0.2">
      <c r="A2402" t="s">
        <v>13</v>
      </c>
      <c r="B2402" s="2">
        <v>44622</v>
      </c>
      <c r="C2402">
        <v>32.464191436767578</v>
      </c>
      <c r="D2402">
        <f>_xlfn.XLOOKUP(B2402, Oil_Price!A:A, Oil_Price!B:B, "")</f>
        <v>110.59999847412109</v>
      </c>
      <c r="E2402">
        <f t="shared" si="148"/>
        <v>8.1634737060829465E-3</v>
      </c>
      <c r="F2402">
        <f t="shared" si="149"/>
        <v>6.9529006453813574E-2</v>
      </c>
      <c r="G2402">
        <f t="shared" si="150"/>
        <v>0.26287460327149148</v>
      </c>
      <c r="H2402">
        <f t="shared" si="151"/>
        <v>7.1899948120116903</v>
      </c>
    </row>
    <row r="2403" spans="1:8" x14ac:dyDescent="0.2">
      <c r="A2403" t="s">
        <v>13</v>
      </c>
      <c r="B2403" s="2">
        <v>44623</v>
      </c>
      <c r="C2403">
        <v>32.555507659912109</v>
      </c>
      <c r="D2403">
        <f>_xlfn.XLOOKUP(B2403, Oil_Price!A:A, Oil_Price!B:B, "")</f>
        <v>107.6699981689453</v>
      </c>
      <c r="E2403">
        <f t="shared" si="148"/>
        <v>2.8128291235096138E-3</v>
      </c>
      <c r="F2403">
        <f t="shared" si="149"/>
        <v>-2.6491865692578432E-2</v>
      </c>
      <c r="G2403">
        <f t="shared" si="150"/>
        <v>9.131622314453125E-2</v>
      </c>
      <c r="H2403">
        <f t="shared" si="151"/>
        <v>-2.9300003051757955</v>
      </c>
    </row>
    <row r="2404" spans="1:8" x14ac:dyDescent="0.2">
      <c r="A2404" t="s">
        <v>13</v>
      </c>
      <c r="B2404" s="2">
        <v>44624</v>
      </c>
      <c r="C2404">
        <v>33.261260986328118</v>
      </c>
      <c r="D2404">
        <f>_xlfn.XLOOKUP(B2404, Oil_Price!A:A, Oil_Price!B:B, "")</f>
        <v>115.6800003051758</v>
      </c>
      <c r="E2404">
        <f t="shared" si="148"/>
        <v>2.1678461714945158E-2</v>
      </c>
      <c r="F2404">
        <f t="shared" si="149"/>
        <v>7.4394002716169638E-2</v>
      </c>
      <c r="G2404">
        <f t="shared" si="150"/>
        <v>0.70575332641600852</v>
      </c>
      <c r="H2404">
        <f t="shared" si="151"/>
        <v>8.0100021362304972</v>
      </c>
    </row>
    <row r="2405" spans="1:8" x14ac:dyDescent="0.2">
      <c r="A2405" t="s">
        <v>13</v>
      </c>
      <c r="B2405" s="2">
        <v>44627</v>
      </c>
      <c r="C2405">
        <v>34.955043792724609</v>
      </c>
      <c r="D2405">
        <f>_xlfn.XLOOKUP(B2405, Oil_Price!A:A, Oil_Price!B:B, "")</f>
        <v>119.40000152587891</v>
      </c>
      <c r="E2405">
        <f t="shared" si="148"/>
        <v>5.0923589670659596E-2</v>
      </c>
      <c r="F2405">
        <f t="shared" si="149"/>
        <v>3.21576868161252E-2</v>
      </c>
      <c r="G2405">
        <f t="shared" si="150"/>
        <v>1.6937828063964915</v>
      </c>
      <c r="H2405">
        <f t="shared" si="151"/>
        <v>3.7200012207031108</v>
      </c>
    </row>
    <row r="2406" spans="1:8" x14ac:dyDescent="0.2">
      <c r="A2406" t="s">
        <v>13</v>
      </c>
      <c r="B2406" s="2">
        <v>44628</v>
      </c>
      <c r="C2406">
        <v>34.465167999267578</v>
      </c>
      <c r="D2406">
        <f>_xlfn.XLOOKUP(B2406, Oil_Price!A:A, Oil_Price!B:B, "")</f>
        <v>123.6999969482422</v>
      </c>
      <c r="E2406">
        <f t="shared" si="148"/>
        <v>-1.4014452287969723E-2</v>
      </c>
      <c r="F2406">
        <f t="shared" si="149"/>
        <v>3.6013361536107763E-2</v>
      </c>
      <c r="G2406">
        <f t="shared" si="150"/>
        <v>-0.48987579345703125</v>
      </c>
      <c r="H2406">
        <f t="shared" si="151"/>
        <v>4.2999954223632955</v>
      </c>
    </row>
    <row r="2407" spans="1:8" x14ac:dyDescent="0.2">
      <c r="A2407" t="s">
        <v>13</v>
      </c>
      <c r="B2407" s="2">
        <v>44629</v>
      </c>
      <c r="C2407">
        <v>33.294464111328118</v>
      </c>
      <c r="D2407">
        <f>_xlfn.XLOOKUP(B2407, Oil_Price!A:A, Oil_Price!B:B, "")</f>
        <v>108.6999969482422</v>
      </c>
      <c r="E2407">
        <f t="shared" si="148"/>
        <v>-3.396774064656638E-2</v>
      </c>
      <c r="F2407">
        <f t="shared" si="149"/>
        <v>-0.12126111859385258</v>
      </c>
      <c r="G2407">
        <f t="shared" si="150"/>
        <v>-1.1707038879394602</v>
      </c>
      <c r="H2407">
        <f t="shared" si="151"/>
        <v>-15</v>
      </c>
    </row>
    <row r="2408" spans="1:8" x14ac:dyDescent="0.2">
      <c r="A2408" t="s">
        <v>13</v>
      </c>
      <c r="B2408" s="2">
        <v>44630</v>
      </c>
      <c r="C2408">
        <v>33.593368530273438</v>
      </c>
      <c r="D2408">
        <f>_xlfn.XLOOKUP(B2408, Oil_Price!A:A, Oil_Price!B:B, "")</f>
        <v>106.01999664306641</v>
      </c>
      <c r="E2408">
        <f t="shared" si="148"/>
        <v>8.9776011395125681E-3</v>
      </c>
      <c r="F2408">
        <f t="shared" si="149"/>
        <v>-2.4655017299143853E-2</v>
      </c>
      <c r="G2408">
        <f t="shared" si="150"/>
        <v>0.29890441894531961</v>
      </c>
      <c r="H2408">
        <f t="shared" si="151"/>
        <v>-2.6800003051757955</v>
      </c>
    </row>
    <row r="2409" spans="1:8" x14ac:dyDescent="0.2">
      <c r="A2409" t="s">
        <v>13</v>
      </c>
      <c r="B2409" s="2">
        <v>44631</v>
      </c>
      <c r="C2409">
        <v>33.618289947509773</v>
      </c>
      <c r="D2409">
        <f>_xlfn.XLOOKUP(B2409, Oil_Price!A:A, Oil_Price!B:B, "")</f>
        <v>109.3300018310547</v>
      </c>
      <c r="E2409">
        <f t="shared" si="148"/>
        <v>7.4185526270986258E-4</v>
      </c>
      <c r="F2409">
        <f t="shared" si="149"/>
        <v>3.122057435194954E-2</v>
      </c>
      <c r="G2409">
        <f t="shared" si="150"/>
        <v>2.492141723633523E-2</v>
      </c>
      <c r="H2409">
        <f t="shared" si="151"/>
        <v>3.3100051879882955</v>
      </c>
    </row>
    <row r="2410" spans="1:8" x14ac:dyDescent="0.2">
      <c r="A2410" t="s">
        <v>13</v>
      </c>
      <c r="B2410" s="2">
        <v>44634</v>
      </c>
      <c r="C2410">
        <v>32.729873657226562</v>
      </c>
      <c r="D2410">
        <f>_xlfn.XLOOKUP(B2410, Oil_Price!A:A, Oil_Price!B:B, "")</f>
        <v>103.0100021362305</v>
      </c>
      <c r="E2410">
        <f t="shared" si="148"/>
        <v>-2.6426575880877559E-2</v>
      </c>
      <c r="F2410">
        <f t="shared" si="149"/>
        <v>-5.7806636686884579E-2</v>
      </c>
      <c r="G2410">
        <f t="shared" si="150"/>
        <v>-0.88841629028321023</v>
      </c>
      <c r="H2410">
        <f t="shared" si="151"/>
        <v>-6.3199996948242045</v>
      </c>
    </row>
    <row r="2411" spans="1:8" x14ac:dyDescent="0.2">
      <c r="A2411" t="s">
        <v>13</v>
      </c>
      <c r="B2411" s="2">
        <v>44635</v>
      </c>
      <c r="C2411">
        <v>31.50936126708984</v>
      </c>
      <c r="D2411">
        <f>_xlfn.XLOOKUP(B2411, Oil_Price!A:A, Oil_Price!B:B, "")</f>
        <v>96.44000244140625</v>
      </c>
      <c r="E2411">
        <f t="shared" si="148"/>
        <v>-3.7290470562731319E-2</v>
      </c>
      <c r="F2411">
        <f t="shared" si="149"/>
        <v>-6.3780211227793565E-2</v>
      </c>
      <c r="G2411">
        <f t="shared" si="150"/>
        <v>-1.2205123901367223</v>
      </c>
      <c r="H2411">
        <f t="shared" si="151"/>
        <v>-6.5699996948242472</v>
      </c>
    </row>
    <row r="2412" spans="1:8" x14ac:dyDescent="0.2">
      <c r="A2412" t="s">
        <v>13</v>
      </c>
      <c r="B2412" s="2">
        <v>44636</v>
      </c>
      <c r="C2412">
        <v>31.534269332885739</v>
      </c>
      <c r="D2412">
        <f>_xlfn.XLOOKUP(B2412, Oil_Price!A:A, Oil_Price!B:B, "")</f>
        <v>95.040000915527344</v>
      </c>
      <c r="E2412">
        <f t="shared" si="148"/>
        <v>7.9049732505729437E-4</v>
      </c>
      <c r="F2412">
        <f t="shared" si="149"/>
        <v>-1.4516813463681741E-2</v>
      </c>
      <c r="G2412">
        <f t="shared" si="150"/>
        <v>2.4908065795898438E-2</v>
      </c>
      <c r="H2412">
        <f t="shared" si="151"/>
        <v>-1.4000015258789062</v>
      </c>
    </row>
    <row r="2413" spans="1:8" x14ac:dyDescent="0.2">
      <c r="A2413" t="s">
        <v>13</v>
      </c>
      <c r="B2413" s="2">
        <v>44637</v>
      </c>
      <c r="C2413">
        <v>32.6634521484375</v>
      </c>
      <c r="D2413">
        <f>_xlfn.XLOOKUP(B2413, Oil_Price!A:A, Oil_Price!B:B, "")</f>
        <v>102.98000335693359</v>
      </c>
      <c r="E2413">
        <f t="shared" si="148"/>
        <v>3.5808117309830453E-2</v>
      </c>
      <c r="F2413">
        <f t="shared" si="149"/>
        <v>8.3543795927184555E-2</v>
      </c>
      <c r="G2413">
        <f t="shared" si="150"/>
        <v>1.1291828155517614</v>
      </c>
      <c r="H2413">
        <f t="shared" si="151"/>
        <v>7.94000244140625</v>
      </c>
    </row>
    <row r="2414" spans="1:8" x14ac:dyDescent="0.2">
      <c r="A2414" t="s">
        <v>13</v>
      </c>
      <c r="B2414" s="2">
        <v>44638</v>
      </c>
      <c r="C2414">
        <v>32.480789184570312</v>
      </c>
      <c r="D2414">
        <f>_xlfn.XLOOKUP(B2414, Oil_Price!A:A, Oil_Price!B:B, "")</f>
        <v>104.6999969482422</v>
      </c>
      <c r="E2414">
        <f t="shared" si="148"/>
        <v>-5.592273683659779E-3</v>
      </c>
      <c r="F2414">
        <f t="shared" si="149"/>
        <v>1.6702209509034761E-2</v>
      </c>
      <c r="G2414">
        <f t="shared" si="150"/>
        <v>-0.1826629638671875</v>
      </c>
      <c r="H2414">
        <f t="shared" si="151"/>
        <v>1.719993591308608</v>
      </c>
    </row>
    <row r="2415" spans="1:8" x14ac:dyDescent="0.2">
      <c r="A2415" t="s">
        <v>13</v>
      </c>
      <c r="B2415" s="2">
        <v>44641</v>
      </c>
      <c r="C2415">
        <v>33.933799743652337</v>
      </c>
      <c r="D2415">
        <f>_xlfn.XLOOKUP(B2415, Oil_Price!A:A, Oil_Price!B:B, "")</f>
        <v>112.120002746582</v>
      </c>
      <c r="E2415">
        <f t="shared" si="148"/>
        <v>4.4734459831790752E-2</v>
      </c>
      <c r="F2415">
        <f t="shared" si="149"/>
        <v>7.0869207398428433E-2</v>
      </c>
      <c r="G2415">
        <f t="shared" si="150"/>
        <v>1.4530105590820241</v>
      </c>
      <c r="H2415">
        <f t="shared" si="151"/>
        <v>7.4200057983398011</v>
      </c>
    </row>
    <row r="2416" spans="1:8" x14ac:dyDescent="0.2">
      <c r="A2416" t="s">
        <v>13</v>
      </c>
      <c r="B2416" s="2">
        <v>44642</v>
      </c>
      <c r="C2416">
        <v>33.842464447021477</v>
      </c>
      <c r="D2416">
        <f>_xlfn.XLOOKUP(B2416, Oil_Price!A:A, Oil_Price!B:B, "")</f>
        <v>111.7600021362305</v>
      </c>
      <c r="E2416">
        <f t="shared" si="148"/>
        <v>-2.6915729249549947E-3</v>
      </c>
      <c r="F2416">
        <f t="shared" si="149"/>
        <v>-3.2108508877331464E-3</v>
      </c>
      <c r="G2416">
        <f t="shared" si="150"/>
        <v>-9.1335296630859375E-2</v>
      </c>
      <c r="H2416">
        <f t="shared" si="151"/>
        <v>-0.36000061035150566</v>
      </c>
    </row>
    <row r="2417" spans="1:8" x14ac:dyDescent="0.2">
      <c r="A2417" t="s">
        <v>13</v>
      </c>
      <c r="B2417" s="2">
        <v>44643</v>
      </c>
      <c r="C2417">
        <v>34.382148742675781</v>
      </c>
      <c r="D2417">
        <f>_xlfn.XLOOKUP(B2417, Oil_Price!A:A, Oil_Price!B:B, "")</f>
        <v>114.9300003051758</v>
      </c>
      <c r="E2417">
        <f t="shared" si="148"/>
        <v>1.5946956123693359E-2</v>
      </c>
      <c r="F2417">
        <f t="shared" si="149"/>
        <v>2.8364335257270404E-2</v>
      </c>
      <c r="G2417">
        <f t="shared" si="150"/>
        <v>0.53968429565430398</v>
      </c>
      <c r="H2417">
        <f t="shared" si="151"/>
        <v>3.1699981689452983</v>
      </c>
    </row>
    <row r="2418" spans="1:8" x14ac:dyDescent="0.2">
      <c r="A2418" t="s">
        <v>13</v>
      </c>
      <c r="B2418" s="2">
        <v>44644</v>
      </c>
      <c r="C2418">
        <v>34.216083526611328</v>
      </c>
      <c r="D2418">
        <f>_xlfn.XLOOKUP(B2418, Oil_Price!A:A, Oil_Price!B:B, "")</f>
        <v>112.3399963378906</v>
      </c>
      <c r="E2418">
        <f t="shared" si="148"/>
        <v>-4.8299836437601645E-3</v>
      </c>
      <c r="F2418">
        <f t="shared" si="149"/>
        <v>-2.2535490824048661E-2</v>
      </c>
      <c r="G2418">
        <f t="shared" si="150"/>
        <v>-0.16606521606445312</v>
      </c>
      <c r="H2418">
        <f t="shared" si="151"/>
        <v>-2.5900039672851989</v>
      </c>
    </row>
    <row r="2419" spans="1:8" x14ac:dyDescent="0.2">
      <c r="A2419" t="s">
        <v>13</v>
      </c>
      <c r="B2419" s="2">
        <v>44645</v>
      </c>
      <c r="C2419">
        <v>35.212432861328118</v>
      </c>
      <c r="D2419">
        <f>_xlfn.XLOOKUP(B2419, Oil_Price!A:A, Oil_Price!B:B, "")</f>
        <v>113.90000152587891</v>
      </c>
      <c r="E2419">
        <f t="shared" si="148"/>
        <v>2.9119327287761787E-2</v>
      </c>
      <c r="F2419">
        <f t="shared" si="149"/>
        <v>1.3886462870233719E-2</v>
      </c>
      <c r="G2419">
        <f t="shared" si="150"/>
        <v>0.99634933471678977</v>
      </c>
      <c r="H2419">
        <f t="shared" si="151"/>
        <v>1.5600051879883097</v>
      </c>
    </row>
    <row r="2420" spans="1:8" x14ac:dyDescent="0.2">
      <c r="A2420" t="s">
        <v>13</v>
      </c>
      <c r="B2420" s="2">
        <v>44648</v>
      </c>
      <c r="C2420">
        <v>34.058338165283203</v>
      </c>
      <c r="D2420">
        <f>_xlfn.XLOOKUP(B2420, Oil_Price!A:A, Oil_Price!B:B, "")</f>
        <v>105.9599990844727</v>
      </c>
      <c r="E2420">
        <f t="shared" si="148"/>
        <v>-3.2775204729247595E-2</v>
      </c>
      <c r="F2420">
        <f t="shared" si="149"/>
        <v>-6.9710292669330487E-2</v>
      </c>
      <c r="G2420">
        <f t="shared" si="150"/>
        <v>-1.1540946960449148</v>
      </c>
      <c r="H2420">
        <f t="shared" si="151"/>
        <v>-7.9400024414062074</v>
      </c>
    </row>
    <row r="2421" spans="1:8" x14ac:dyDescent="0.2">
      <c r="A2421" t="s">
        <v>13</v>
      </c>
      <c r="B2421" s="2">
        <v>44649</v>
      </c>
      <c r="C2421">
        <v>33.817550659179688</v>
      </c>
      <c r="D2421">
        <f>_xlfn.XLOOKUP(B2421, Oil_Price!A:A, Oil_Price!B:B, "")</f>
        <v>104.2399978637695</v>
      </c>
      <c r="E2421">
        <f t="shared" si="148"/>
        <v>-7.06985481602148E-3</v>
      </c>
      <c r="F2421">
        <f t="shared" si="149"/>
        <v>-1.623255224202096E-2</v>
      </c>
      <c r="G2421">
        <f t="shared" si="150"/>
        <v>-0.24078750610351562</v>
      </c>
      <c r="H2421">
        <f t="shared" si="151"/>
        <v>-1.7200012207031961</v>
      </c>
    </row>
    <row r="2422" spans="1:8" x14ac:dyDescent="0.2">
      <c r="A2422" t="s">
        <v>13</v>
      </c>
      <c r="B2422" s="2">
        <v>44650</v>
      </c>
      <c r="C2422">
        <v>34.265914916992188</v>
      </c>
      <c r="D2422">
        <f>_xlfn.XLOOKUP(B2422, Oil_Price!A:A, Oil_Price!B:B, "")</f>
        <v>107.8199996948242</v>
      </c>
      <c r="E2422">
        <f t="shared" si="148"/>
        <v>1.325833033655241E-2</v>
      </c>
      <c r="F2422">
        <f t="shared" si="149"/>
        <v>3.4343840218928057E-2</v>
      </c>
      <c r="G2422">
        <f t="shared" si="150"/>
        <v>0.4483642578125</v>
      </c>
      <c r="H2422">
        <f t="shared" si="151"/>
        <v>3.5800018310547017</v>
      </c>
    </row>
    <row r="2423" spans="1:8" x14ac:dyDescent="0.2">
      <c r="A2423" t="s">
        <v>13</v>
      </c>
      <c r="B2423" s="2">
        <v>44651</v>
      </c>
      <c r="C2423">
        <v>33.792652130126953</v>
      </c>
      <c r="D2423">
        <f>_xlfn.XLOOKUP(B2423, Oil_Price!A:A, Oil_Price!B:B, "")</f>
        <v>100.2799987792969</v>
      </c>
      <c r="E2423">
        <f t="shared" si="148"/>
        <v>-1.3811473822067632E-2</v>
      </c>
      <c r="F2423">
        <f t="shared" si="149"/>
        <v>-6.9931375782495489E-2</v>
      </c>
      <c r="G2423">
        <f t="shared" si="150"/>
        <v>-0.47326278686523438</v>
      </c>
      <c r="H2423">
        <f t="shared" si="151"/>
        <v>-7.5400009155273011</v>
      </c>
    </row>
    <row r="2424" spans="1:8" x14ac:dyDescent="0.2">
      <c r="A2424" t="s">
        <v>13</v>
      </c>
      <c r="B2424" s="2">
        <v>44652</v>
      </c>
      <c r="C2424">
        <v>34.058338165283203</v>
      </c>
      <c r="D2424">
        <f>_xlfn.XLOOKUP(B2424, Oil_Price!A:A, Oil_Price!B:B, "")</f>
        <v>99.269996643066406</v>
      </c>
      <c r="E2424">
        <f t="shared" si="148"/>
        <v>7.8622427779021405E-3</v>
      </c>
      <c r="F2424">
        <f t="shared" si="149"/>
        <v>-1.0071820388165132E-2</v>
      </c>
      <c r="G2424">
        <f t="shared" si="150"/>
        <v>0.26568603515625</v>
      </c>
      <c r="H2424">
        <f t="shared" si="151"/>
        <v>-1.0100021362304972</v>
      </c>
    </row>
    <row r="2425" spans="1:8" x14ac:dyDescent="0.2">
      <c r="A2425" t="s">
        <v>13</v>
      </c>
      <c r="B2425" s="2">
        <v>44655</v>
      </c>
      <c r="C2425">
        <v>34.647842407226562</v>
      </c>
      <c r="D2425">
        <f>_xlfn.XLOOKUP(B2425, Oil_Price!A:A, Oil_Price!B:B, "")</f>
        <v>103.2799987792969</v>
      </c>
      <c r="E2425">
        <f t="shared" si="148"/>
        <v>1.7308661364583568E-2</v>
      </c>
      <c r="F2425">
        <f t="shared" si="149"/>
        <v>4.0394905528694597E-2</v>
      </c>
      <c r="G2425">
        <f t="shared" si="150"/>
        <v>0.58950424194335938</v>
      </c>
      <c r="H2425">
        <f t="shared" si="151"/>
        <v>4.0100021362304972</v>
      </c>
    </row>
    <row r="2426" spans="1:8" x14ac:dyDescent="0.2">
      <c r="A2426" t="s">
        <v>13</v>
      </c>
      <c r="B2426" s="2">
        <v>44656</v>
      </c>
      <c r="C2426">
        <v>34.224391937255859</v>
      </c>
      <c r="D2426">
        <f>_xlfn.XLOOKUP(B2426, Oil_Price!A:A, Oil_Price!B:B, "")</f>
        <v>101.9599990844727</v>
      </c>
      <c r="E2426">
        <f t="shared" si="148"/>
        <v>-1.2221553798177727E-2</v>
      </c>
      <c r="F2426">
        <f t="shared" si="149"/>
        <v>-1.2780787281426715E-2</v>
      </c>
      <c r="G2426">
        <f t="shared" si="150"/>
        <v>-0.42345046997070312</v>
      </c>
      <c r="H2426">
        <f t="shared" si="151"/>
        <v>-1.3199996948242045</v>
      </c>
    </row>
    <row r="2427" spans="1:8" x14ac:dyDescent="0.2">
      <c r="A2427" t="s">
        <v>13</v>
      </c>
      <c r="B2427" s="2">
        <v>44657</v>
      </c>
      <c r="C2427">
        <v>33.709617614746087</v>
      </c>
      <c r="D2427">
        <f>_xlfn.XLOOKUP(B2427, Oil_Price!A:A, Oil_Price!B:B, "")</f>
        <v>96.230003356933594</v>
      </c>
      <c r="E2427">
        <f t="shared" si="148"/>
        <v>-1.5041153205980021E-2</v>
      </c>
      <c r="F2427">
        <f t="shared" si="149"/>
        <v>-5.6198467820619227E-2</v>
      </c>
      <c r="G2427">
        <f t="shared" si="150"/>
        <v>-0.51477432250977273</v>
      </c>
      <c r="H2427">
        <f t="shared" si="151"/>
        <v>-5.7299957275391051</v>
      </c>
    </row>
    <row r="2428" spans="1:8" x14ac:dyDescent="0.2">
      <c r="A2428" t="s">
        <v>13</v>
      </c>
      <c r="B2428" s="2">
        <v>44658</v>
      </c>
      <c r="C2428">
        <v>34.141361236572273</v>
      </c>
      <c r="D2428">
        <f>_xlfn.XLOOKUP(B2428, Oil_Price!A:A, Oil_Price!B:B, "")</f>
        <v>96.029998779296875</v>
      </c>
      <c r="E2428">
        <f t="shared" si="148"/>
        <v>1.280772825015144E-2</v>
      </c>
      <c r="F2428">
        <f t="shared" si="149"/>
        <v>-2.0784014409192886E-3</v>
      </c>
      <c r="G2428">
        <f t="shared" si="150"/>
        <v>0.43174362182618609</v>
      </c>
      <c r="H2428">
        <f t="shared" si="151"/>
        <v>-0.20000457763671875</v>
      </c>
    </row>
    <row r="2429" spans="1:8" x14ac:dyDescent="0.2">
      <c r="A2429" t="s">
        <v>13</v>
      </c>
      <c r="B2429" s="2">
        <v>44659</v>
      </c>
      <c r="C2429">
        <v>34.265914916992188</v>
      </c>
      <c r="D2429">
        <f>_xlfn.XLOOKUP(B2429, Oil_Price!A:A, Oil_Price!B:B, "")</f>
        <v>98.260002136230469</v>
      </c>
      <c r="E2429">
        <f t="shared" si="148"/>
        <v>3.6481755825978224E-3</v>
      </c>
      <c r="F2429">
        <f t="shared" si="149"/>
        <v>2.3221945072172182E-2</v>
      </c>
      <c r="G2429">
        <f t="shared" si="150"/>
        <v>0.12455368041991477</v>
      </c>
      <c r="H2429">
        <f t="shared" si="151"/>
        <v>2.2300033569335938</v>
      </c>
    </row>
    <row r="2430" spans="1:8" x14ac:dyDescent="0.2">
      <c r="A2430" t="s">
        <v>13</v>
      </c>
      <c r="B2430" s="2">
        <v>44662</v>
      </c>
      <c r="C2430">
        <v>33.626598358154297</v>
      </c>
      <c r="D2430">
        <f>_xlfn.XLOOKUP(B2430, Oil_Price!A:A, Oil_Price!B:B, "")</f>
        <v>94.290000915527344</v>
      </c>
      <c r="E2430">
        <f t="shared" si="148"/>
        <v>-1.8657507333062883E-2</v>
      </c>
      <c r="F2430">
        <f t="shared" si="149"/>
        <v>-4.04030239608483E-2</v>
      </c>
      <c r="G2430">
        <f t="shared" si="150"/>
        <v>-0.63931655883789062</v>
      </c>
      <c r="H2430">
        <f t="shared" si="151"/>
        <v>-3.970001220703125</v>
      </c>
    </row>
    <row r="2431" spans="1:8" x14ac:dyDescent="0.2">
      <c r="A2431" t="s">
        <v>13</v>
      </c>
      <c r="B2431" s="2">
        <v>44663</v>
      </c>
      <c r="C2431">
        <v>34.340633392333977</v>
      </c>
      <c r="D2431">
        <f>_xlfn.XLOOKUP(B2431, Oil_Price!A:A, Oil_Price!B:B, "")</f>
        <v>100.59999847412109</v>
      </c>
      <c r="E2431">
        <f t="shared" si="148"/>
        <v>2.1234233286832896E-2</v>
      </c>
      <c r="F2431">
        <f t="shared" si="149"/>
        <v>6.6921174009180032E-2</v>
      </c>
      <c r="G2431">
        <f t="shared" si="150"/>
        <v>0.71403503417968039</v>
      </c>
      <c r="H2431">
        <f t="shared" si="151"/>
        <v>6.30999755859375</v>
      </c>
    </row>
    <row r="2432" spans="1:8" x14ac:dyDescent="0.2">
      <c r="A2432" t="s">
        <v>13</v>
      </c>
      <c r="B2432" s="2">
        <v>44664</v>
      </c>
      <c r="C2432">
        <v>34.921840667724609</v>
      </c>
      <c r="D2432">
        <f>_xlfn.XLOOKUP(B2432, Oil_Price!A:A, Oil_Price!B:B, "")</f>
        <v>104.25</v>
      </c>
      <c r="E2432">
        <f t="shared" si="148"/>
        <v>1.6924768647988239E-2</v>
      </c>
      <c r="F2432">
        <f t="shared" si="149"/>
        <v>3.6282321881126602E-2</v>
      </c>
      <c r="G2432">
        <f t="shared" si="150"/>
        <v>0.58120727539063211</v>
      </c>
      <c r="H2432">
        <f t="shared" si="151"/>
        <v>3.6500015258789062</v>
      </c>
    </row>
    <row r="2433" spans="1:8" x14ac:dyDescent="0.2">
      <c r="A2433" t="s">
        <v>13</v>
      </c>
      <c r="B2433" s="2">
        <v>44665</v>
      </c>
      <c r="C2433">
        <v>35.345272064208977</v>
      </c>
      <c r="D2433">
        <f>_xlfn.XLOOKUP(B2433, Oil_Price!A:A, Oil_Price!B:B, "")</f>
        <v>106.9499969482422</v>
      </c>
      <c r="E2433">
        <f t="shared" si="148"/>
        <v>1.2125116786175328E-2</v>
      </c>
      <c r="F2433">
        <f t="shared" si="149"/>
        <v>2.5899251302083471E-2</v>
      </c>
      <c r="G2433">
        <f t="shared" si="150"/>
        <v>0.42343139648436789</v>
      </c>
      <c r="H2433">
        <f t="shared" si="151"/>
        <v>2.6999969482422017</v>
      </c>
    </row>
    <row r="2434" spans="1:8" x14ac:dyDescent="0.2">
      <c r="A2434" t="s">
        <v>13</v>
      </c>
      <c r="B2434" s="2">
        <v>44669</v>
      </c>
      <c r="C2434">
        <v>35.876667022705078</v>
      </c>
      <c r="D2434">
        <f>_xlfn.XLOOKUP(B2434, Oil_Price!A:A, Oil_Price!B:B, "")</f>
        <v>108.2099990844727</v>
      </c>
      <c r="E2434">
        <f t="shared" si="148"/>
        <v>1.503440000492166E-2</v>
      </c>
      <c r="F2434">
        <f t="shared" si="149"/>
        <v>1.1781226481383328E-2</v>
      </c>
      <c r="G2434">
        <f t="shared" si="150"/>
        <v>0.53139495849610086</v>
      </c>
      <c r="H2434">
        <f t="shared" si="151"/>
        <v>1.2600021362304972</v>
      </c>
    </row>
    <row r="2435" spans="1:8" x14ac:dyDescent="0.2">
      <c r="A2435" t="s">
        <v>13</v>
      </c>
      <c r="B2435" s="2">
        <v>44670</v>
      </c>
      <c r="C2435">
        <v>35.677394866943359</v>
      </c>
      <c r="D2435">
        <f>_xlfn.XLOOKUP(B2435, Oil_Price!A:A, Oil_Price!B:B, "")</f>
        <v>102.55999755859381</v>
      </c>
      <c r="E2435">
        <f t="shared" ref="E2435:E2498" si="152">IFERROR(IF(AND(A2435=A2434, C2435&lt;&gt;"", C2434&lt;&gt;""), (C2435-C2434)/C2434, ""), "")</f>
        <v>-5.554366453149241E-3</v>
      </c>
      <c r="F2435">
        <f t="shared" ref="F2435:F2498" si="153">IFERROR(IF(AND(A2435=A2434, D2435&lt;&gt;"", D2434&lt;&gt;""), (D2435-D2434)/D2434, ""), "")</f>
        <v>-5.2213303517989064E-2</v>
      </c>
      <c r="G2435">
        <f t="shared" ref="G2435:G2498" si="154">IFERROR(IF(AND(A2435=A2434, C2435&lt;&gt;"", C2434&lt;&gt;""), C2435-C2434, ""), "")</f>
        <v>-0.19927215576171875</v>
      </c>
      <c r="H2435">
        <f t="shared" ref="H2435:H2498" si="155">IFERROR(IF(AND(A2435=A2434, D2435&lt;&gt;"", D2434&lt;&gt;""), D2435-D2434, ""), "")</f>
        <v>-5.650001525878892</v>
      </c>
    </row>
    <row r="2436" spans="1:8" x14ac:dyDescent="0.2">
      <c r="A2436" t="s">
        <v>13</v>
      </c>
      <c r="B2436" s="2">
        <v>44671</v>
      </c>
      <c r="C2436">
        <v>35.843448638916023</v>
      </c>
      <c r="D2436">
        <f>_xlfn.XLOOKUP(B2436, Oil_Price!A:A, Oil_Price!B:B, "")</f>
        <v>102.75</v>
      </c>
      <c r="E2436">
        <f t="shared" si="152"/>
        <v>4.654313258912279E-3</v>
      </c>
      <c r="F2436">
        <f t="shared" si="153"/>
        <v>1.8525979517271575E-3</v>
      </c>
      <c r="G2436">
        <f t="shared" si="154"/>
        <v>0.16605377197266336</v>
      </c>
      <c r="H2436">
        <f t="shared" si="155"/>
        <v>0.19000244140619316</v>
      </c>
    </row>
    <row r="2437" spans="1:8" x14ac:dyDescent="0.2">
      <c r="A2437" t="s">
        <v>13</v>
      </c>
      <c r="B2437" s="2">
        <v>44672</v>
      </c>
      <c r="C2437">
        <v>34.780681610107422</v>
      </c>
      <c r="D2437">
        <f>_xlfn.XLOOKUP(B2437, Oil_Price!A:A, Oil_Price!B:B, "")</f>
        <v>103.7900009155273</v>
      </c>
      <c r="E2437">
        <f t="shared" si="152"/>
        <v>-2.9650244861057572E-2</v>
      </c>
      <c r="F2437">
        <f t="shared" si="153"/>
        <v>1.0121663411457918E-2</v>
      </c>
      <c r="G2437">
        <f t="shared" si="154"/>
        <v>-1.0627670288086009</v>
      </c>
      <c r="H2437">
        <f t="shared" si="155"/>
        <v>1.0400009155273011</v>
      </c>
    </row>
    <row r="2438" spans="1:8" x14ac:dyDescent="0.2">
      <c r="A2438" t="s">
        <v>13</v>
      </c>
      <c r="B2438" s="2">
        <v>44673</v>
      </c>
      <c r="C2438">
        <v>34.124755859375</v>
      </c>
      <c r="D2438">
        <f>_xlfn.XLOOKUP(B2438, Oil_Price!A:A, Oil_Price!B:B, "")</f>
        <v>102.0699996948242</v>
      </c>
      <c r="E2438">
        <f t="shared" si="152"/>
        <v>-1.8858910187136958E-2</v>
      </c>
      <c r="F2438">
        <f t="shared" si="153"/>
        <v>-1.657193569256226E-2</v>
      </c>
      <c r="G2438">
        <f t="shared" si="154"/>
        <v>-0.65592575073242188</v>
      </c>
      <c r="H2438">
        <f t="shared" si="155"/>
        <v>-1.7200012207030966</v>
      </c>
    </row>
    <row r="2439" spans="1:8" x14ac:dyDescent="0.2">
      <c r="A2439" t="s">
        <v>13</v>
      </c>
      <c r="B2439" s="2">
        <v>44676</v>
      </c>
      <c r="C2439">
        <v>33.028778076171882</v>
      </c>
      <c r="D2439">
        <f>_xlfn.XLOOKUP(B2439, Oil_Price!A:A, Oil_Price!B:B, "")</f>
        <v>98.540000915527344</v>
      </c>
      <c r="E2439">
        <f t="shared" si="152"/>
        <v>-3.2116794848864039E-2</v>
      </c>
      <c r="F2439">
        <f t="shared" si="153"/>
        <v>-3.4584097088773295E-2</v>
      </c>
      <c r="G2439">
        <f t="shared" si="154"/>
        <v>-1.0959777832031179</v>
      </c>
      <c r="H2439">
        <f t="shared" si="155"/>
        <v>-3.5299987792968608</v>
      </c>
    </row>
    <row r="2440" spans="1:8" x14ac:dyDescent="0.2">
      <c r="A2440" t="s">
        <v>13</v>
      </c>
      <c r="B2440" s="2">
        <v>44677</v>
      </c>
      <c r="C2440">
        <v>33.676403045654297</v>
      </c>
      <c r="D2440">
        <f>_xlfn.XLOOKUP(B2440, Oil_Price!A:A, Oil_Price!B:B, "")</f>
        <v>101.6999969482422</v>
      </c>
      <c r="E2440">
        <f t="shared" si="152"/>
        <v>1.9607899753022778E-2</v>
      </c>
      <c r="F2440">
        <f t="shared" si="153"/>
        <v>3.2068155097986453E-2</v>
      </c>
      <c r="G2440">
        <f t="shared" si="154"/>
        <v>0.64762496948241477</v>
      </c>
      <c r="H2440">
        <f t="shared" si="155"/>
        <v>3.159996032714858</v>
      </c>
    </row>
    <row r="2441" spans="1:8" x14ac:dyDescent="0.2">
      <c r="A2441" t="s">
        <v>13</v>
      </c>
      <c r="B2441" s="2">
        <v>44678</v>
      </c>
      <c r="C2441">
        <v>34.996566772460938</v>
      </c>
      <c r="D2441">
        <f>_xlfn.XLOOKUP(B2441, Oil_Price!A:A, Oil_Price!B:B, "")</f>
        <v>102.01999664306641</v>
      </c>
      <c r="E2441">
        <f t="shared" si="152"/>
        <v>3.9201446930568151E-2</v>
      </c>
      <c r="F2441">
        <f t="shared" si="153"/>
        <v>3.1465064348729604E-3</v>
      </c>
      <c r="G2441">
        <f t="shared" si="154"/>
        <v>1.3201637268066406</v>
      </c>
      <c r="H2441">
        <f t="shared" si="155"/>
        <v>0.31999969482420454</v>
      </c>
    </row>
    <row r="2442" spans="1:8" x14ac:dyDescent="0.2">
      <c r="A2442" t="s">
        <v>13</v>
      </c>
      <c r="B2442" s="2">
        <v>44679</v>
      </c>
      <c r="C2442">
        <v>39.206104278564453</v>
      </c>
      <c r="D2442">
        <f>_xlfn.XLOOKUP(B2442, Oil_Price!A:A, Oil_Price!B:B, "")</f>
        <v>105.36000061035161</v>
      </c>
      <c r="E2442">
        <f t="shared" si="152"/>
        <v>0.12028429912776566</v>
      </c>
      <c r="F2442">
        <f t="shared" si="153"/>
        <v>3.2738718655037281E-2</v>
      </c>
      <c r="G2442">
        <f t="shared" si="154"/>
        <v>4.2095375061035156</v>
      </c>
      <c r="H2442">
        <f t="shared" si="155"/>
        <v>3.3400039672851989</v>
      </c>
    </row>
    <row r="2443" spans="1:8" x14ac:dyDescent="0.2">
      <c r="A2443" t="s">
        <v>13</v>
      </c>
      <c r="B2443" s="2">
        <v>44680</v>
      </c>
      <c r="C2443">
        <v>38.342609405517578</v>
      </c>
      <c r="D2443">
        <f>_xlfn.XLOOKUP(B2443, Oil_Price!A:A, Oil_Price!B:B, "")</f>
        <v>104.69000244140619</v>
      </c>
      <c r="E2443">
        <f t="shared" si="152"/>
        <v>-2.2024500748955622E-2</v>
      </c>
      <c r="F2443">
        <f t="shared" si="153"/>
        <v>-6.3591321665158072E-3</v>
      </c>
      <c r="G2443">
        <f t="shared" si="154"/>
        <v>-0.863494873046875</v>
      </c>
      <c r="H2443">
        <f t="shared" si="155"/>
        <v>-0.66999816894541198</v>
      </c>
    </row>
    <row r="2444" spans="1:8" x14ac:dyDescent="0.2">
      <c r="A2444" t="s">
        <v>13</v>
      </c>
      <c r="B2444" s="2">
        <v>44683</v>
      </c>
      <c r="C2444">
        <v>38.541873931884773</v>
      </c>
      <c r="D2444">
        <f>_xlfn.XLOOKUP(B2444, Oil_Price!A:A, Oil_Price!B:B, "")</f>
        <v>105.1699981689453</v>
      </c>
      <c r="E2444">
        <f t="shared" si="152"/>
        <v>5.1969474549773348E-3</v>
      </c>
      <c r="F2444">
        <f t="shared" si="153"/>
        <v>4.5849242176467927E-3</v>
      </c>
      <c r="G2444">
        <f t="shared" si="154"/>
        <v>0.19926452636719461</v>
      </c>
      <c r="H2444">
        <f t="shared" si="155"/>
        <v>0.47999572753910513</v>
      </c>
    </row>
    <row r="2445" spans="1:8" x14ac:dyDescent="0.2">
      <c r="A2445" t="s">
        <v>13</v>
      </c>
      <c r="B2445" s="2">
        <v>44684</v>
      </c>
      <c r="C2445">
        <v>39.4635009765625</v>
      </c>
      <c r="D2445">
        <f>_xlfn.XLOOKUP(B2445, Oil_Price!A:A, Oil_Price!B:B, "")</f>
        <v>102.4100036621094</v>
      </c>
      <c r="E2445">
        <f t="shared" si="152"/>
        <v>2.3912356890236394E-2</v>
      </c>
      <c r="F2445">
        <f t="shared" si="153"/>
        <v>-2.6243173479971293E-2</v>
      </c>
      <c r="G2445">
        <f t="shared" si="154"/>
        <v>0.92162704467772727</v>
      </c>
      <c r="H2445">
        <f t="shared" si="155"/>
        <v>-2.7599945068358949</v>
      </c>
    </row>
    <row r="2446" spans="1:8" x14ac:dyDescent="0.2">
      <c r="A2446" t="s">
        <v>13</v>
      </c>
      <c r="B2446" s="2">
        <v>44685</v>
      </c>
      <c r="C2446">
        <v>39.513317108154297</v>
      </c>
      <c r="D2446">
        <f>_xlfn.XLOOKUP(B2446, Oil_Price!A:A, Oil_Price!B:B, "")</f>
        <v>107.80999755859381</v>
      </c>
      <c r="E2446">
        <f t="shared" si="152"/>
        <v>1.2623343180166108E-3</v>
      </c>
      <c r="F2446">
        <f t="shared" si="153"/>
        <v>5.2729164177174451E-2</v>
      </c>
      <c r="G2446">
        <f t="shared" si="154"/>
        <v>4.9816131591796875E-2</v>
      </c>
      <c r="H2446">
        <f t="shared" si="155"/>
        <v>5.3999938964844034</v>
      </c>
    </row>
    <row r="2447" spans="1:8" x14ac:dyDescent="0.2">
      <c r="A2447" t="s">
        <v>13</v>
      </c>
      <c r="B2447" s="2">
        <v>44686</v>
      </c>
      <c r="C2447">
        <v>39.338951110839837</v>
      </c>
      <c r="D2447">
        <f>_xlfn.XLOOKUP(B2447, Oil_Price!A:A, Oil_Price!B:B, "")</f>
        <v>108.2600021362305</v>
      </c>
      <c r="E2447">
        <f t="shared" si="152"/>
        <v>-4.4128412918913512E-3</v>
      </c>
      <c r="F2447">
        <f t="shared" si="153"/>
        <v>4.1740523868588038E-3</v>
      </c>
      <c r="G2447">
        <f t="shared" si="154"/>
        <v>-0.17436599731446023</v>
      </c>
      <c r="H2447">
        <f t="shared" si="155"/>
        <v>0.45000457763669033</v>
      </c>
    </row>
    <row r="2448" spans="1:8" x14ac:dyDescent="0.2">
      <c r="A2448" t="s">
        <v>13</v>
      </c>
      <c r="B2448" s="2">
        <v>44687</v>
      </c>
      <c r="C2448">
        <v>39.604652404785163</v>
      </c>
      <c r="D2448">
        <f>_xlfn.XLOOKUP(B2448, Oil_Price!A:A, Oil_Price!B:B, "")</f>
        <v>109.76999664306641</v>
      </c>
      <c r="E2448">
        <f t="shared" si="152"/>
        <v>6.7541529817787341E-3</v>
      </c>
      <c r="F2448">
        <f t="shared" si="153"/>
        <v>1.3947852180307425E-2</v>
      </c>
      <c r="G2448">
        <f t="shared" si="154"/>
        <v>0.26570129394532671</v>
      </c>
      <c r="H2448">
        <f t="shared" si="155"/>
        <v>1.5099945068359091</v>
      </c>
    </row>
    <row r="2449" spans="1:8" x14ac:dyDescent="0.2">
      <c r="A2449" t="s">
        <v>13</v>
      </c>
      <c r="B2449" s="2">
        <v>44690</v>
      </c>
      <c r="C2449">
        <v>37.595348358154297</v>
      </c>
      <c r="D2449">
        <f>_xlfn.XLOOKUP(B2449, Oil_Price!A:A, Oil_Price!B:B, "")</f>
        <v>103.0899963378906</v>
      </c>
      <c r="E2449">
        <f t="shared" si="152"/>
        <v>-5.0734040690333035E-2</v>
      </c>
      <c r="F2449">
        <f t="shared" si="153"/>
        <v>-6.0854518624946591E-2</v>
      </c>
      <c r="G2449">
        <f t="shared" si="154"/>
        <v>-2.0093040466308665</v>
      </c>
      <c r="H2449">
        <f t="shared" si="155"/>
        <v>-6.6800003051758097</v>
      </c>
    </row>
    <row r="2450" spans="1:8" x14ac:dyDescent="0.2">
      <c r="A2450" t="s">
        <v>13</v>
      </c>
      <c r="B2450" s="2">
        <v>44691</v>
      </c>
      <c r="C2450">
        <v>37.122089385986328</v>
      </c>
      <c r="D2450">
        <f>_xlfn.XLOOKUP(B2450, Oil_Price!A:A, Oil_Price!B:B, "")</f>
        <v>99.760002136230469</v>
      </c>
      <c r="E2450">
        <f t="shared" si="152"/>
        <v>-1.2588232130726369E-2</v>
      </c>
      <c r="F2450">
        <f t="shared" si="153"/>
        <v>-3.2301817052603703E-2</v>
      </c>
      <c r="G2450">
        <f t="shared" si="154"/>
        <v>-0.47325897216796875</v>
      </c>
      <c r="H2450">
        <f t="shared" si="155"/>
        <v>-3.3299942016601278</v>
      </c>
    </row>
    <row r="2451" spans="1:8" x14ac:dyDescent="0.2">
      <c r="A2451" t="s">
        <v>13</v>
      </c>
      <c r="B2451" s="2">
        <v>44692</v>
      </c>
      <c r="C2451">
        <v>38.400726318359382</v>
      </c>
      <c r="D2451">
        <f>_xlfn.XLOOKUP(B2451, Oil_Price!A:A, Oil_Price!B:B, "")</f>
        <v>105.7099990844727</v>
      </c>
      <c r="E2451">
        <f t="shared" si="152"/>
        <v>3.4444099282184865E-2</v>
      </c>
      <c r="F2451">
        <f t="shared" si="153"/>
        <v>5.964311167633117E-2</v>
      </c>
      <c r="G2451">
        <f t="shared" si="154"/>
        <v>1.278636932373054</v>
      </c>
      <c r="H2451">
        <f t="shared" si="155"/>
        <v>5.9499969482422301</v>
      </c>
    </row>
    <row r="2452" spans="1:8" x14ac:dyDescent="0.2">
      <c r="A2452" t="s">
        <v>13</v>
      </c>
      <c r="B2452" s="2">
        <v>44693</v>
      </c>
      <c r="C2452">
        <v>38.176555633544922</v>
      </c>
      <c r="D2452">
        <f>_xlfn.XLOOKUP(B2452, Oil_Price!A:A, Oil_Price!B:B, "")</f>
        <v>106.129997253418</v>
      </c>
      <c r="E2452">
        <f t="shared" si="152"/>
        <v>-5.8376678335712688E-3</v>
      </c>
      <c r="F2452">
        <f t="shared" si="153"/>
        <v>3.9731167588950445E-3</v>
      </c>
      <c r="G2452">
        <f t="shared" si="154"/>
        <v>-0.22417068481446023</v>
      </c>
      <c r="H2452">
        <f t="shared" si="155"/>
        <v>0.41999816894529829</v>
      </c>
    </row>
    <row r="2453" spans="1:8" x14ac:dyDescent="0.2">
      <c r="A2453" t="s">
        <v>13</v>
      </c>
      <c r="B2453" s="2">
        <v>44694</v>
      </c>
      <c r="C2453">
        <v>38.957023620605469</v>
      </c>
      <c r="D2453">
        <f>_xlfn.XLOOKUP(B2453, Oil_Price!A:A, Oil_Price!B:B, "")</f>
        <v>110.4899978637695</v>
      </c>
      <c r="E2453">
        <f t="shared" si="152"/>
        <v>2.0443645952563788E-2</v>
      </c>
      <c r="F2453">
        <f t="shared" si="153"/>
        <v>4.1081699078354482E-2</v>
      </c>
      <c r="G2453">
        <f t="shared" si="154"/>
        <v>0.78046798706054688</v>
      </c>
      <c r="H2453">
        <f t="shared" si="155"/>
        <v>4.3600006103515057</v>
      </c>
    </row>
    <row r="2454" spans="1:8" x14ac:dyDescent="0.2">
      <c r="A2454" t="s">
        <v>13</v>
      </c>
      <c r="B2454" s="2">
        <v>44697</v>
      </c>
      <c r="C2454">
        <v>40.003189086914062</v>
      </c>
      <c r="D2454">
        <f>_xlfn.XLOOKUP(B2454, Oil_Price!A:A, Oil_Price!B:B, "")</f>
        <v>114.1999969482422</v>
      </c>
      <c r="E2454">
        <f t="shared" si="152"/>
        <v>2.68543479218789E-2</v>
      </c>
      <c r="F2454">
        <f t="shared" si="153"/>
        <v>3.3577691702438121E-2</v>
      </c>
      <c r="G2454">
        <f t="shared" si="154"/>
        <v>1.0461654663085938</v>
      </c>
      <c r="H2454">
        <f t="shared" si="155"/>
        <v>3.7099990844726989</v>
      </c>
    </row>
    <row r="2455" spans="1:8" x14ac:dyDescent="0.2">
      <c r="A2455" t="s">
        <v>13</v>
      </c>
      <c r="B2455" s="2">
        <v>44698</v>
      </c>
      <c r="C2455">
        <v>40.783653259277337</v>
      </c>
      <c r="D2455">
        <f>_xlfn.XLOOKUP(B2455, Oil_Price!A:A, Oil_Price!B:B, "")</f>
        <v>112.40000152587891</v>
      </c>
      <c r="E2455">
        <f t="shared" si="152"/>
        <v>1.9510048828046599E-2</v>
      </c>
      <c r="F2455">
        <f t="shared" si="153"/>
        <v>-1.5761781702840944E-2</v>
      </c>
      <c r="G2455">
        <f t="shared" si="154"/>
        <v>0.78046417236327414</v>
      </c>
      <c r="H2455">
        <f t="shared" si="155"/>
        <v>-1.7999954223632955</v>
      </c>
    </row>
    <row r="2456" spans="1:8" x14ac:dyDescent="0.2">
      <c r="A2456" t="s">
        <v>13</v>
      </c>
      <c r="B2456" s="2">
        <v>44699</v>
      </c>
      <c r="C2456">
        <v>40.351898193359382</v>
      </c>
      <c r="D2456">
        <f>_xlfn.XLOOKUP(B2456, Oil_Price!A:A, Oil_Price!B:B, "")</f>
        <v>109.5899963378906</v>
      </c>
      <c r="E2456">
        <f t="shared" si="152"/>
        <v>-1.0586473535686513E-2</v>
      </c>
      <c r="F2456">
        <f t="shared" si="153"/>
        <v>-2.5000045817093124E-2</v>
      </c>
      <c r="G2456">
        <f t="shared" si="154"/>
        <v>-0.43175506591795454</v>
      </c>
      <c r="H2456">
        <f t="shared" si="155"/>
        <v>-2.8100051879883097</v>
      </c>
    </row>
    <row r="2457" spans="1:8" x14ac:dyDescent="0.2">
      <c r="A2457" t="s">
        <v>13</v>
      </c>
      <c r="B2457" s="2">
        <v>44700</v>
      </c>
      <c r="C2457">
        <v>40.326992034912109</v>
      </c>
      <c r="D2457">
        <f>_xlfn.XLOOKUP(B2457, Oil_Price!A:A, Oil_Price!B:B, "")</f>
        <v>112.2099990844727</v>
      </c>
      <c r="E2457">
        <f t="shared" si="152"/>
        <v>-6.1722396126017885E-4</v>
      </c>
      <c r="F2457">
        <f t="shared" si="153"/>
        <v>2.3907316672445583E-2</v>
      </c>
      <c r="G2457">
        <f t="shared" si="154"/>
        <v>-2.490615844727273E-2</v>
      </c>
      <c r="H2457">
        <f t="shared" si="155"/>
        <v>2.6200027465821023</v>
      </c>
    </row>
    <row r="2458" spans="1:8" x14ac:dyDescent="0.2">
      <c r="A2458" t="s">
        <v>13</v>
      </c>
      <c r="B2458" s="2">
        <v>44701</v>
      </c>
      <c r="C2458">
        <v>40.576087951660163</v>
      </c>
      <c r="D2458">
        <f>_xlfn.XLOOKUP(B2458, Oil_Price!A:A, Oil_Price!B:B, "")</f>
        <v>113.23000335693359</v>
      </c>
      <c r="E2458">
        <f t="shared" si="152"/>
        <v>6.1769029669360232E-3</v>
      </c>
      <c r="F2458">
        <f t="shared" si="153"/>
        <v>9.0901370714122059E-3</v>
      </c>
      <c r="G2458">
        <f t="shared" si="154"/>
        <v>0.24909591674805398</v>
      </c>
      <c r="H2458">
        <f t="shared" si="155"/>
        <v>1.0200042724608949</v>
      </c>
    </row>
    <row r="2459" spans="1:8" x14ac:dyDescent="0.2">
      <c r="A2459" t="s">
        <v>13</v>
      </c>
      <c r="B2459" s="2">
        <v>44705</v>
      </c>
      <c r="C2459">
        <v>41.190494537353523</v>
      </c>
      <c r="D2459">
        <f>_xlfn.XLOOKUP(B2459, Oil_Price!A:A, Oil_Price!B:B, "")</f>
        <v>109.76999664306641</v>
      </c>
      <c r="E2459">
        <f t="shared" si="152"/>
        <v>1.5142085319445416E-2</v>
      </c>
      <c r="F2459">
        <f t="shared" si="153"/>
        <v>-3.0557331195692448E-2</v>
      </c>
      <c r="G2459">
        <f t="shared" si="154"/>
        <v>0.61440658569335938</v>
      </c>
      <c r="H2459">
        <f t="shared" si="155"/>
        <v>-3.4600067138671875</v>
      </c>
    </row>
    <row r="2460" spans="1:8" x14ac:dyDescent="0.2">
      <c r="A2460" t="s">
        <v>13</v>
      </c>
      <c r="B2460" s="2">
        <v>44706</v>
      </c>
      <c r="C2460">
        <v>41.904537200927727</v>
      </c>
      <c r="D2460">
        <f>_xlfn.XLOOKUP(B2460, Oil_Price!A:A, Oil_Price!B:B, "")</f>
        <v>110.3300018310547</v>
      </c>
      <c r="E2460">
        <f t="shared" si="152"/>
        <v>1.7335132087979092E-2</v>
      </c>
      <c r="F2460">
        <f t="shared" si="153"/>
        <v>5.1016234409593381E-3</v>
      </c>
      <c r="G2460">
        <f t="shared" si="154"/>
        <v>0.71404266357420454</v>
      </c>
      <c r="H2460">
        <f t="shared" si="155"/>
        <v>0.56000518798829546</v>
      </c>
    </row>
    <row r="2461" spans="1:8" x14ac:dyDescent="0.2">
      <c r="A2461" t="s">
        <v>13</v>
      </c>
      <c r="B2461" s="2">
        <v>44707</v>
      </c>
      <c r="C2461">
        <v>41.979270935058587</v>
      </c>
      <c r="D2461">
        <f>_xlfn.XLOOKUP(B2461, Oil_Price!A:A, Oil_Price!B:B, "")</f>
        <v>114.0899963378906</v>
      </c>
      <c r="E2461">
        <f t="shared" si="152"/>
        <v>1.7834282185845221E-3</v>
      </c>
      <c r="F2461">
        <f t="shared" si="153"/>
        <v>3.4079529089408256E-2</v>
      </c>
      <c r="G2461">
        <f t="shared" si="154"/>
        <v>7.4733734130859375E-2</v>
      </c>
      <c r="H2461">
        <f t="shared" si="155"/>
        <v>3.7599945068358949</v>
      </c>
    </row>
    <row r="2462" spans="1:8" x14ac:dyDescent="0.2">
      <c r="A2462" t="s">
        <v>13</v>
      </c>
      <c r="B2462" s="2">
        <v>44708</v>
      </c>
      <c r="C2462">
        <v>42.892581939697273</v>
      </c>
      <c r="D2462">
        <f>_xlfn.XLOOKUP(B2462, Oil_Price!A:A, Oil_Price!B:B, "")</f>
        <v>115.0699996948242</v>
      </c>
      <c r="E2462">
        <f t="shared" si="152"/>
        <v>2.1756237883491757E-2</v>
      </c>
      <c r="F2462">
        <f t="shared" si="153"/>
        <v>8.5897395774403897E-3</v>
      </c>
      <c r="G2462">
        <f t="shared" si="154"/>
        <v>0.91331100463868609</v>
      </c>
      <c r="H2462">
        <f t="shared" si="155"/>
        <v>0.98000335693360796</v>
      </c>
    </row>
    <row r="2463" spans="1:8" x14ac:dyDescent="0.2">
      <c r="A2463" t="s">
        <v>13</v>
      </c>
      <c r="B2463" s="2">
        <v>44711</v>
      </c>
      <c r="C2463">
        <v>43.639835357666023</v>
      </c>
      <c r="D2463" t="str">
        <f>_xlfn.XLOOKUP(B2463, Oil_Price!A:A, Oil_Price!B:B, "")</f>
        <v/>
      </c>
      <c r="E2463">
        <f t="shared" si="152"/>
        <v>1.7421507033997495E-2</v>
      </c>
      <c r="F2463" t="str">
        <f t="shared" si="153"/>
        <v/>
      </c>
      <c r="G2463">
        <f t="shared" si="154"/>
        <v>0.74725341796875</v>
      </c>
      <c r="H2463" t="str">
        <f t="shared" si="155"/>
        <v/>
      </c>
    </row>
    <row r="2464" spans="1:8" x14ac:dyDescent="0.2">
      <c r="A2464" t="s">
        <v>13</v>
      </c>
      <c r="B2464" s="2">
        <v>44712</v>
      </c>
      <c r="C2464">
        <v>42.253261566162109</v>
      </c>
      <c r="D2464">
        <f>_xlfn.XLOOKUP(B2464, Oil_Price!A:A, Oil_Price!B:B, "")</f>
        <v>114.6699981689453</v>
      </c>
      <c r="E2464">
        <f t="shared" si="152"/>
        <v>-3.1773121510192404E-2</v>
      </c>
      <c r="F2464" t="str">
        <f t="shared" si="153"/>
        <v/>
      </c>
      <c r="G2464">
        <f t="shared" si="154"/>
        <v>-1.3865737915039134</v>
      </c>
      <c r="H2464" t="str">
        <f t="shared" si="155"/>
        <v/>
      </c>
    </row>
    <row r="2465" spans="1:8" x14ac:dyDescent="0.2">
      <c r="A2465" t="s">
        <v>13</v>
      </c>
      <c r="B2465" s="2">
        <v>44713</v>
      </c>
      <c r="C2465">
        <v>43.000518798828118</v>
      </c>
      <c r="D2465">
        <f>_xlfn.XLOOKUP(B2465, Oil_Price!A:A, Oil_Price!B:B, "")</f>
        <v>115.2600021362305</v>
      </c>
      <c r="E2465">
        <f t="shared" si="152"/>
        <v>1.7685196478759838E-2</v>
      </c>
      <c r="F2465">
        <f t="shared" si="153"/>
        <v>5.1452339470341299E-3</v>
      </c>
      <c r="G2465">
        <f t="shared" si="154"/>
        <v>0.74725723266600852</v>
      </c>
      <c r="H2465">
        <f t="shared" si="155"/>
        <v>0.59000396728519888</v>
      </c>
    </row>
    <row r="2466" spans="1:8" x14ac:dyDescent="0.2">
      <c r="A2466" t="s">
        <v>13</v>
      </c>
      <c r="B2466" s="2">
        <v>44714</v>
      </c>
      <c r="C2466">
        <v>42.556434631347663</v>
      </c>
      <c r="D2466">
        <f>_xlfn.XLOOKUP(B2466, Oil_Price!A:A, Oil_Price!B:B, "")</f>
        <v>116.870002746582</v>
      </c>
      <c r="E2466">
        <f t="shared" si="152"/>
        <v>-1.0327414177443763E-2</v>
      </c>
      <c r="F2466">
        <f t="shared" si="153"/>
        <v>1.3968424262638657E-2</v>
      </c>
      <c r="G2466">
        <f t="shared" si="154"/>
        <v>-0.44408416748045454</v>
      </c>
      <c r="H2466">
        <f t="shared" si="155"/>
        <v>1.6100006103515057</v>
      </c>
    </row>
    <row r="2467" spans="1:8" x14ac:dyDescent="0.2">
      <c r="A2467" t="s">
        <v>13</v>
      </c>
      <c r="B2467" s="2">
        <v>44715</v>
      </c>
      <c r="C2467">
        <v>43.084304809570312</v>
      </c>
      <c r="D2467">
        <f>_xlfn.XLOOKUP(B2467, Oil_Price!A:A, Oil_Price!B:B, "")</f>
        <v>118.870002746582</v>
      </c>
      <c r="E2467">
        <f t="shared" si="152"/>
        <v>1.2404003831510186E-2</v>
      </c>
      <c r="F2467">
        <f t="shared" si="153"/>
        <v>1.711303117136696E-2</v>
      </c>
      <c r="G2467">
        <f t="shared" si="154"/>
        <v>0.52787017822264914</v>
      </c>
      <c r="H2467">
        <f t="shared" si="155"/>
        <v>2</v>
      </c>
    </row>
    <row r="2468" spans="1:8" x14ac:dyDescent="0.2">
      <c r="A2468" t="s">
        <v>13</v>
      </c>
      <c r="B2468" s="2">
        <v>44718</v>
      </c>
      <c r="C2468">
        <v>43.520008087158203</v>
      </c>
      <c r="D2468">
        <f>_xlfn.XLOOKUP(B2468, Oil_Price!A:A, Oil_Price!B:B, "")</f>
        <v>118.5</v>
      </c>
      <c r="E2468">
        <f t="shared" si="152"/>
        <v>1.011280742520204E-2</v>
      </c>
      <c r="F2468">
        <f t="shared" si="153"/>
        <v>-3.1126670987869725E-3</v>
      </c>
      <c r="G2468">
        <f t="shared" si="154"/>
        <v>0.43570327758789062</v>
      </c>
      <c r="H2468">
        <f t="shared" si="155"/>
        <v>-0.37000274658200283</v>
      </c>
    </row>
    <row r="2469" spans="1:8" x14ac:dyDescent="0.2">
      <c r="A2469" t="s">
        <v>13</v>
      </c>
      <c r="B2469" s="2">
        <v>44719</v>
      </c>
      <c r="C2469">
        <v>44.0059814453125</v>
      </c>
      <c r="D2469">
        <f>_xlfn.XLOOKUP(B2469, Oil_Price!A:A, Oil_Price!B:B, "")</f>
        <v>119.4100036621094</v>
      </c>
      <c r="E2469">
        <f t="shared" si="152"/>
        <v>1.1166665161941845E-2</v>
      </c>
      <c r="F2469">
        <f t="shared" si="153"/>
        <v>7.6793557983915904E-3</v>
      </c>
      <c r="G2469">
        <f t="shared" si="154"/>
        <v>0.48597335815429688</v>
      </c>
      <c r="H2469">
        <f t="shared" si="155"/>
        <v>0.91000366210940342</v>
      </c>
    </row>
    <row r="2470" spans="1:8" x14ac:dyDescent="0.2">
      <c r="A2470" t="s">
        <v>13</v>
      </c>
      <c r="B2470" s="2">
        <v>44720</v>
      </c>
      <c r="C2470">
        <v>44.684677124023438</v>
      </c>
      <c r="D2470">
        <f>_xlfn.XLOOKUP(B2470, Oil_Price!A:A, Oil_Price!B:B, "")</f>
        <v>122.11000061035161</v>
      </c>
      <c r="E2470">
        <f t="shared" si="152"/>
        <v>1.5422805182844794E-2</v>
      </c>
      <c r="F2470">
        <f t="shared" si="153"/>
        <v>2.2611145343251936E-2</v>
      </c>
      <c r="G2470">
        <f t="shared" si="154"/>
        <v>0.6786956787109375</v>
      </c>
      <c r="H2470">
        <f t="shared" si="155"/>
        <v>2.6999969482422017</v>
      </c>
    </row>
    <row r="2471" spans="1:8" x14ac:dyDescent="0.2">
      <c r="A2471" t="s">
        <v>13</v>
      </c>
      <c r="B2471" s="2">
        <v>44721</v>
      </c>
      <c r="C2471">
        <v>44.450069427490227</v>
      </c>
      <c r="D2471">
        <f>_xlfn.XLOOKUP(B2471, Oil_Price!A:A, Oil_Price!B:B, "")</f>
        <v>121.5100021362305</v>
      </c>
      <c r="E2471">
        <f t="shared" si="152"/>
        <v>-5.2502940970581644E-3</v>
      </c>
      <c r="F2471">
        <f t="shared" si="153"/>
        <v>-4.9135899690614234E-3</v>
      </c>
      <c r="G2471">
        <f t="shared" si="154"/>
        <v>-0.23460769653321023</v>
      </c>
      <c r="H2471">
        <f t="shared" si="155"/>
        <v>-0.59999847412110796</v>
      </c>
    </row>
    <row r="2472" spans="1:8" x14ac:dyDescent="0.2">
      <c r="A2472" t="s">
        <v>13</v>
      </c>
      <c r="B2472" s="2">
        <v>44722</v>
      </c>
      <c r="C2472">
        <v>44.223838806152337</v>
      </c>
      <c r="D2472">
        <f>_xlfn.XLOOKUP(B2472, Oil_Price!A:A, Oil_Price!B:B, "")</f>
        <v>120.6699981689453</v>
      </c>
      <c r="E2472">
        <f t="shared" si="152"/>
        <v>-5.0895448365256748E-3</v>
      </c>
      <c r="F2472">
        <f t="shared" si="153"/>
        <v>-6.9130438031219151E-3</v>
      </c>
      <c r="G2472">
        <f t="shared" si="154"/>
        <v>-0.22623062133789062</v>
      </c>
      <c r="H2472">
        <f t="shared" si="155"/>
        <v>-0.84000396728519888</v>
      </c>
    </row>
    <row r="2473" spans="1:8" x14ac:dyDescent="0.2">
      <c r="A2473" t="s">
        <v>13</v>
      </c>
      <c r="B2473" s="2">
        <v>44725</v>
      </c>
      <c r="C2473">
        <v>42.765911102294922</v>
      </c>
      <c r="D2473">
        <f>_xlfn.XLOOKUP(B2473, Oil_Price!A:A, Oil_Price!B:B, "")</f>
        <v>120.9300003051758</v>
      </c>
      <c r="E2473">
        <f t="shared" si="152"/>
        <v>-3.2967009269547869E-2</v>
      </c>
      <c r="F2473">
        <f t="shared" si="153"/>
        <v>2.1546543480217713E-3</v>
      </c>
      <c r="G2473">
        <f t="shared" si="154"/>
        <v>-1.4579277038574148</v>
      </c>
      <c r="H2473">
        <f t="shared" si="155"/>
        <v>0.26000213623049717</v>
      </c>
    </row>
    <row r="2474" spans="1:8" x14ac:dyDescent="0.2">
      <c r="A2474" t="s">
        <v>13</v>
      </c>
      <c r="B2474" s="2">
        <v>44726</v>
      </c>
      <c r="C2474">
        <v>42.732383728027337</v>
      </c>
      <c r="D2474">
        <f>_xlfn.XLOOKUP(B2474, Oil_Price!A:A, Oil_Price!B:B, "")</f>
        <v>118.9300003051758</v>
      </c>
      <c r="E2474">
        <f t="shared" si="152"/>
        <v>-7.8397427772294252E-4</v>
      </c>
      <c r="F2474">
        <f t="shared" si="153"/>
        <v>-1.653849330152032E-2</v>
      </c>
      <c r="G2474">
        <f t="shared" si="154"/>
        <v>-3.352737426758523E-2</v>
      </c>
      <c r="H2474">
        <f t="shared" si="155"/>
        <v>-2</v>
      </c>
    </row>
    <row r="2475" spans="1:8" x14ac:dyDescent="0.2">
      <c r="A2475" t="s">
        <v>13</v>
      </c>
      <c r="B2475" s="2">
        <v>44727</v>
      </c>
      <c r="C2475">
        <v>41.911258697509773</v>
      </c>
      <c r="D2475">
        <f>_xlfn.XLOOKUP(B2475, Oil_Price!A:A, Oil_Price!B:B, "")</f>
        <v>115.30999755859381</v>
      </c>
      <c r="E2475">
        <f t="shared" si="152"/>
        <v>-1.9215521318531173E-2</v>
      </c>
      <c r="F2475">
        <f t="shared" si="153"/>
        <v>-3.0438095831943315E-2</v>
      </c>
      <c r="G2475">
        <f t="shared" si="154"/>
        <v>-0.82112503051756391</v>
      </c>
      <c r="H2475">
        <f t="shared" si="155"/>
        <v>-3.6200027465819886</v>
      </c>
    </row>
    <row r="2476" spans="1:8" x14ac:dyDescent="0.2">
      <c r="A2476" t="s">
        <v>13</v>
      </c>
      <c r="B2476" s="2">
        <v>44728</v>
      </c>
      <c r="C2476">
        <v>39.933834075927727</v>
      </c>
      <c r="D2476">
        <f>_xlfn.XLOOKUP(B2476, Oil_Price!A:A, Oil_Price!B:B, "")</f>
        <v>117.5899963378906</v>
      </c>
      <c r="E2476">
        <f t="shared" si="152"/>
        <v>-4.7181227265301329E-2</v>
      </c>
      <c r="F2476">
        <f t="shared" si="153"/>
        <v>1.9772776234239599E-2</v>
      </c>
      <c r="G2476">
        <f t="shared" si="154"/>
        <v>-1.9774246215820455</v>
      </c>
      <c r="H2476">
        <f t="shared" si="155"/>
        <v>2.2799987792967897</v>
      </c>
    </row>
    <row r="2477" spans="1:8" x14ac:dyDescent="0.2">
      <c r="A2477" t="s">
        <v>13</v>
      </c>
      <c r="B2477" s="2">
        <v>44729</v>
      </c>
      <c r="C2477">
        <v>37.470443725585938</v>
      </c>
      <c r="D2477">
        <f>_xlfn.XLOOKUP(B2477, Oil_Price!A:A, Oil_Price!B:B, "")</f>
        <v>109.55999755859381</v>
      </c>
      <c r="E2477">
        <f t="shared" si="152"/>
        <v>-6.1686797858128306E-2</v>
      </c>
      <c r="F2477">
        <f t="shared" si="153"/>
        <v>-6.8288111483759892E-2</v>
      </c>
      <c r="G2477">
        <f t="shared" si="154"/>
        <v>-2.4633903503417898</v>
      </c>
      <c r="H2477">
        <f t="shared" si="155"/>
        <v>-8.0299987792967897</v>
      </c>
    </row>
    <row r="2478" spans="1:8" x14ac:dyDescent="0.2">
      <c r="A2478" t="s">
        <v>13</v>
      </c>
      <c r="B2478" s="2">
        <v>44732</v>
      </c>
      <c r="C2478">
        <v>39.179740905761719</v>
      </c>
      <c r="D2478" t="str">
        <f>_xlfn.XLOOKUP(B2478, Oil_Price!A:A, Oil_Price!B:B, "")</f>
        <v/>
      </c>
      <c r="E2478">
        <f t="shared" si="152"/>
        <v>4.561721213374962E-2</v>
      </c>
      <c r="F2478" t="str">
        <f t="shared" si="153"/>
        <v/>
      </c>
      <c r="G2478">
        <f t="shared" si="154"/>
        <v>1.7092971801757812</v>
      </c>
      <c r="H2478" t="str">
        <f t="shared" si="155"/>
        <v/>
      </c>
    </row>
    <row r="2479" spans="1:8" x14ac:dyDescent="0.2">
      <c r="A2479" t="s">
        <v>13</v>
      </c>
      <c r="B2479" s="2">
        <v>44733</v>
      </c>
      <c r="C2479">
        <v>40.319267272949219</v>
      </c>
      <c r="D2479">
        <f>_xlfn.XLOOKUP(B2479, Oil_Price!A:A, Oil_Price!B:B, "")</f>
        <v>110.65000152587891</v>
      </c>
      <c r="E2479">
        <f t="shared" si="152"/>
        <v>2.9084581491449393E-2</v>
      </c>
      <c r="F2479" t="str">
        <f t="shared" si="153"/>
        <v/>
      </c>
      <c r="G2479">
        <f t="shared" si="154"/>
        <v>1.1395263671875</v>
      </c>
      <c r="H2479" t="str">
        <f t="shared" si="155"/>
        <v/>
      </c>
    </row>
    <row r="2480" spans="1:8" x14ac:dyDescent="0.2">
      <c r="A2480" t="s">
        <v>13</v>
      </c>
      <c r="B2480" s="2">
        <v>44734</v>
      </c>
      <c r="C2480">
        <v>38.216167449951172</v>
      </c>
      <c r="D2480">
        <f>_xlfn.XLOOKUP(B2480, Oil_Price!A:A, Oil_Price!B:B, "")</f>
        <v>106.19000244140619</v>
      </c>
      <c r="E2480">
        <f t="shared" si="152"/>
        <v>-5.2161161778082388E-2</v>
      </c>
      <c r="F2480">
        <f t="shared" si="153"/>
        <v>-4.0307266362121154E-2</v>
      </c>
      <c r="G2480">
        <f t="shared" si="154"/>
        <v>-2.1030998229980469</v>
      </c>
      <c r="H2480">
        <f t="shared" si="155"/>
        <v>-4.4599990844727131</v>
      </c>
    </row>
    <row r="2481" spans="1:8" x14ac:dyDescent="0.2">
      <c r="A2481" t="s">
        <v>13</v>
      </c>
      <c r="B2481" s="2">
        <v>44735</v>
      </c>
      <c r="C2481">
        <v>35.80303955078125</v>
      </c>
      <c r="D2481">
        <f>_xlfn.XLOOKUP(B2481, Oil_Price!A:A, Oil_Price!B:B, "")</f>
        <v>104.26999664306641</v>
      </c>
      <c r="E2481">
        <f t="shared" si="152"/>
        <v>-6.3144162803091472E-2</v>
      </c>
      <c r="F2481">
        <f t="shared" si="153"/>
        <v>-1.8080852756352586E-2</v>
      </c>
      <c r="G2481">
        <f t="shared" si="154"/>
        <v>-2.4131278991699219</v>
      </c>
      <c r="H2481">
        <f t="shared" si="155"/>
        <v>-1.9200057983397869</v>
      </c>
    </row>
    <row r="2482" spans="1:8" x14ac:dyDescent="0.2">
      <c r="A2482" t="s">
        <v>13</v>
      </c>
      <c r="B2482" s="2">
        <v>44736</v>
      </c>
      <c r="C2482">
        <v>37.3280029296875</v>
      </c>
      <c r="D2482">
        <f>_xlfn.XLOOKUP(B2482, Oil_Price!A:A, Oil_Price!B:B, "")</f>
        <v>107.620002746582</v>
      </c>
      <c r="E2482">
        <f t="shared" si="152"/>
        <v>4.2593126115544402E-2</v>
      </c>
      <c r="F2482">
        <f t="shared" si="153"/>
        <v>3.212818846617236E-2</v>
      </c>
      <c r="G2482">
        <f t="shared" si="154"/>
        <v>1.52496337890625</v>
      </c>
      <c r="H2482">
        <f t="shared" si="155"/>
        <v>3.3500061035155966</v>
      </c>
    </row>
    <row r="2483" spans="1:8" x14ac:dyDescent="0.2">
      <c r="A2483" t="s">
        <v>13</v>
      </c>
      <c r="B2483" s="2">
        <v>44739</v>
      </c>
      <c r="C2483">
        <v>38.509422302246087</v>
      </c>
      <c r="D2483">
        <f>_xlfn.XLOOKUP(B2483, Oil_Price!A:A, Oil_Price!B:B, "")</f>
        <v>109.5699996948242</v>
      </c>
      <c r="E2483">
        <f t="shared" si="152"/>
        <v>3.164968066424434E-2</v>
      </c>
      <c r="F2483">
        <f t="shared" si="153"/>
        <v>1.8119279859469557E-2</v>
      </c>
      <c r="G2483">
        <f t="shared" si="154"/>
        <v>1.1814193725585866</v>
      </c>
      <c r="H2483">
        <f t="shared" si="155"/>
        <v>1.9499969482422017</v>
      </c>
    </row>
    <row r="2484" spans="1:8" x14ac:dyDescent="0.2">
      <c r="A2484" t="s">
        <v>13</v>
      </c>
      <c r="B2484" s="2">
        <v>44740</v>
      </c>
      <c r="C2484">
        <v>39.489761352539062</v>
      </c>
      <c r="D2484">
        <f>_xlfn.XLOOKUP(B2484, Oil_Price!A:A, Oil_Price!B:B, "")</f>
        <v>111.7600021362305</v>
      </c>
      <c r="E2484">
        <f t="shared" si="152"/>
        <v>2.5457121703843295E-2</v>
      </c>
      <c r="F2484">
        <f t="shared" si="153"/>
        <v>1.9987245117330622E-2</v>
      </c>
      <c r="G2484">
        <f t="shared" si="154"/>
        <v>0.98033905029297586</v>
      </c>
      <c r="H2484">
        <f t="shared" si="155"/>
        <v>2.1900024414062926</v>
      </c>
    </row>
    <row r="2485" spans="1:8" x14ac:dyDescent="0.2">
      <c r="A2485" t="s">
        <v>13</v>
      </c>
      <c r="B2485" s="2">
        <v>44741</v>
      </c>
      <c r="C2485">
        <v>38.165889739990227</v>
      </c>
      <c r="D2485">
        <f>_xlfn.XLOOKUP(B2485, Oil_Price!A:A, Oil_Price!B:B, "")</f>
        <v>109.7799987792969</v>
      </c>
      <c r="E2485">
        <f t="shared" si="152"/>
        <v>-3.3524426767996017E-2</v>
      </c>
      <c r="F2485">
        <f t="shared" si="153"/>
        <v>-1.7716565131414879E-2</v>
      </c>
      <c r="G2485">
        <f t="shared" si="154"/>
        <v>-1.3238716125488352</v>
      </c>
      <c r="H2485">
        <f t="shared" si="155"/>
        <v>-1.9800033569335938</v>
      </c>
    </row>
    <row r="2486" spans="1:8" x14ac:dyDescent="0.2">
      <c r="A2486" t="s">
        <v>13</v>
      </c>
      <c r="B2486" s="2">
        <v>44742</v>
      </c>
      <c r="C2486">
        <v>37.839111328125</v>
      </c>
      <c r="D2486">
        <f>_xlfn.XLOOKUP(B2486, Oil_Price!A:A, Oil_Price!B:B, "")</f>
        <v>105.7600021362305</v>
      </c>
      <c r="E2486">
        <f t="shared" si="152"/>
        <v>-8.562054077382841E-3</v>
      </c>
      <c r="F2486">
        <f t="shared" si="153"/>
        <v>-3.6618661757760247E-2</v>
      </c>
      <c r="G2486">
        <f t="shared" si="154"/>
        <v>-0.32677841186522727</v>
      </c>
      <c r="H2486">
        <f t="shared" si="155"/>
        <v>-4.0199966430664062</v>
      </c>
    </row>
    <row r="2487" spans="1:8" x14ac:dyDescent="0.2">
      <c r="A2487" t="s">
        <v>13</v>
      </c>
      <c r="B2487" s="2">
        <v>44746</v>
      </c>
      <c r="C2487">
        <v>38.542934417724609</v>
      </c>
      <c r="D2487" t="str">
        <f>_xlfn.XLOOKUP(B2487, Oil_Price!A:A, Oil_Price!B:B, "")</f>
        <v/>
      </c>
      <c r="E2487">
        <f t="shared" si="152"/>
        <v>1.8600412771228925E-2</v>
      </c>
      <c r="F2487" t="str">
        <f t="shared" si="153"/>
        <v/>
      </c>
      <c r="G2487">
        <f t="shared" si="154"/>
        <v>0.70382308959960938</v>
      </c>
      <c r="H2487" t="str">
        <f t="shared" si="155"/>
        <v/>
      </c>
    </row>
    <row r="2488" spans="1:8" x14ac:dyDescent="0.2">
      <c r="A2488" t="s">
        <v>13</v>
      </c>
      <c r="B2488" s="2">
        <v>44747</v>
      </c>
      <c r="C2488">
        <v>36.314155578613281</v>
      </c>
      <c r="D2488">
        <f>_xlfn.XLOOKUP(B2488, Oil_Price!A:A, Oil_Price!B:B, "")</f>
        <v>99.5</v>
      </c>
      <c r="E2488">
        <f t="shared" si="152"/>
        <v>-5.7825873218578475E-2</v>
      </c>
      <c r="F2488" t="str">
        <f t="shared" si="153"/>
        <v/>
      </c>
      <c r="G2488">
        <f t="shared" si="154"/>
        <v>-2.2287788391113281</v>
      </c>
      <c r="H2488" t="str">
        <f t="shared" si="155"/>
        <v/>
      </c>
    </row>
    <row r="2489" spans="1:8" x14ac:dyDescent="0.2">
      <c r="A2489" t="s">
        <v>13</v>
      </c>
      <c r="B2489" s="2">
        <v>44748</v>
      </c>
      <c r="C2489">
        <v>35.568428039550781</v>
      </c>
      <c r="D2489">
        <f>_xlfn.XLOOKUP(B2489, Oil_Price!A:A, Oil_Price!B:B, "")</f>
        <v>98.529998779296875</v>
      </c>
      <c r="E2489">
        <f t="shared" si="152"/>
        <v>-2.0535450354838648E-2</v>
      </c>
      <c r="F2489">
        <f t="shared" si="153"/>
        <v>-9.7487559869660796E-3</v>
      </c>
      <c r="G2489">
        <f t="shared" si="154"/>
        <v>-0.7457275390625</v>
      </c>
      <c r="H2489">
        <f t="shared" si="155"/>
        <v>-0.970001220703125</v>
      </c>
    </row>
    <row r="2490" spans="1:8" x14ac:dyDescent="0.2">
      <c r="A2490" t="s">
        <v>13</v>
      </c>
      <c r="B2490" s="2">
        <v>44749</v>
      </c>
      <c r="C2490">
        <v>36.289016723632812</v>
      </c>
      <c r="D2490">
        <f>_xlfn.XLOOKUP(B2490, Oil_Price!A:A, Oil_Price!B:B, "")</f>
        <v>102.73000335693359</v>
      </c>
      <c r="E2490">
        <f t="shared" si="152"/>
        <v>2.0259222119143504E-2</v>
      </c>
      <c r="F2490">
        <f t="shared" si="153"/>
        <v>4.262665817183816E-2</v>
      </c>
      <c r="G2490">
        <f t="shared" si="154"/>
        <v>0.72058868408203125</v>
      </c>
      <c r="H2490">
        <f t="shared" si="155"/>
        <v>4.2000045776367188</v>
      </c>
    </row>
    <row r="2491" spans="1:8" x14ac:dyDescent="0.2">
      <c r="A2491" t="s">
        <v>13</v>
      </c>
      <c r="B2491" s="2">
        <v>44750</v>
      </c>
      <c r="C2491">
        <v>35.551673889160163</v>
      </c>
      <c r="D2491">
        <f>_xlfn.XLOOKUP(B2491, Oil_Price!A:A, Oil_Price!B:B, "")</f>
        <v>104.7900009155273</v>
      </c>
      <c r="E2491">
        <f t="shared" si="152"/>
        <v>-2.0318622576303177E-2</v>
      </c>
      <c r="F2491">
        <f t="shared" si="153"/>
        <v>2.0052540555618226E-2</v>
      </c>
      <c r="G2491">
        <f t="shared" si="154"/>
        <v>-0.73734283447264914</v>
      </c>
      <c r="H2491">
        <f t="shared" si="155"/>
        <v>2.0599975585937074</v>
      </c>
    </row>
    <row r="2492" spans="1:8" x14ac:dyDescent="0.2">
      <c r="A2492" t="s">
        <v>13</v>
      </c>
      <c r="B2492" s="2">
        <v>44753</v>
      </c>
      <c r="C2492">
        <v>34.789192199707031</v>
      </c>
      <c r="D2492">
        <f>_xlfn.XLOOKUP(B2492, Oil_Price!A:A, Oil_Price!B:B, "")</f>
        <v>104.0899963378906</v>
      </c>
      <c r="E2492">
        <f t="shared" si="152"/>
        <v>-2.144713894007718E-2</v>
      </c>
      <c r="F2492">
        <f t="shared" si="153"/>
        <v>-6.6800703456524266E-3</v>
      </c>
      <c r="G2492">
        <f t="shared" si="154"/>
        <v>-0.76248168945313211</v>
      </c>
      <c r="H2492">
        <f t="shared" si="155"/>
        <v>-0.70000457763670454</v>
      </c>
    </row>
    <row r="2493" spans="1:8" x14ac:dyDescent="0.2">
      <c r="A2493" t="s">
        <v>13</v>
      </c>
      <c r="B2493" s="2">
        <v>44754</v>
      </c>
      <c r="C2493">
        <v>33.272609710693359</v>
      </c>
      <c r="D2493">
        <f>_xlfn.XLOOKUP(B2493, Oil_Price!A:A, Oil_Price!B:B, "")</f>
        <v>95.839996337890625</v>
      </c>
      <c r="E2493">
        <f t="shared" si="152"/>
        <v>-4.3593495367979351E-2</v>
      </c>
      <c r="F2493">
        <f t="shared" si="153"/>
        <v>-7.9258336922400544E-2</v>
      </c>
      <c r="G2493">
        <f t="shared" si="154"/>
        <v>-1.5165824890136719</v>
      </c>
      <c r="H2493">
        <f t="shared" si="155"/>
        <v>-8.2499999999999716</v>
      </c>
    </row>
    <row r="2494" spans="1:8" x14ac:dyDescent="0.2">
      <c r="A2494" t="s">
        <v>13</v>
      </c>
      <c r="B2494" s="2">
        <v>44755</v>
      </c>
      <c r="C2494">
        <v>33.247482299804688</v>
      </c>
      <c r="D2494">
        <f>_xlfn.XLOOKUP(B2494, Oil_Price!A:A, Oil_Price!B:B, "")</f>
        <v>96.300003051757812</v>
      </c>
      <c r="E2494">
        <f t="shared" si="152"/>
        <v>-7.5519807755254826E-4</v>
      </c>
      <c r="F2494">
        <f t="shared" si="153"/>
        <v>4.7997363464560407E-3</v>
      </c>
      <c r="G2494">
        <f t="shared" si="154"/>
        <v>-2.5127410888671875E-2</v>
      </c>
      <c r="H2494">
        <f t="shared" si="155"/>
        <v>0.4600067138671875</v>
      </c>
    </row>
    <row r="2495" spans="1:8" x14ac:dyDescent="0.2">
      <c r="A2495" t="s">
        <v>13</v>
      </c>
      <c r="B2495" s="2">
        <v>44756</v>
      </c>
      <c r="C2495">
        <v>32.443103790283203</v>
      </c>
      <c r="D2495">
        <f>_xlfn.XLOOKUP(B2495, Oil_Price!A:A, Oil_Price!B:B, "")</f>
        <v>95.779998779296875</v>
      </c>
      <c r="E2495">
        <f t="shared" si="152"/>
        <v>-2.419366682469697E-2</v>
      </c>
      <c r="F2495">
        <f t="shared" si="153"/>
        <v>-5.3998365107159321E-3</v>
      </c>
      <c r="G2495">
        <f t="shared" si="154"/>
        <v>-0.80437850952148438</v>
      </c>
      <c r="H2495">
        <f t="shared" si="155"/>
        <v>-0.5200042724609375</v>
      </c>
    </row>
    <row r="2496" spans="1:8" x14ac:dyDescent="0.2">
      <c r="A2496" t="s">
        <v>13</v>
      </c>
      <c r="B2496" s="2">
        <v>44757</v>
      </c>
      <c r="C2496">
        <v>32.945838928222663</v>
      </c>
      <c r="D2496">
        <f>_xlfn.XLOOKUP(B2496, Oil_Price!A:A, Oil_Price!B:B, "")</f>
        <v>97.589996337890625</v>
      </c>
      <c r="E2496">
        <f t="shared" si="152"/>
        <v>1.5495901415265662E-2</v>
      </c>
      <c r="F2496">
        <f t="shared" si="153"/>
        <v>1.8897448127604133E-2</v>
      </c>
      <c r="G2496">
        <f t="shared" si="154"/>
        <v>0.50273513793946023</v>
      </c>
      <c r="H2496">
        <f t="shared" si="155"/>
        <v>1.80999755859375</v>
      </c>
    </row>
    <row r="2497" spans="1:8" x14ac:dyDescent="0.2">
      <c r="A2497" t="s">
        <v>13</v>
      </c>
      <c r="B2497" s="2">
        <v>44760</v>
      </c>
      <c r="C2497">
        <v>33.297752380371087</v>
      </c>
      <c r="D2497">
        <f>_xlfn.XLOOKUP(B2497, Oil_Price!A:A, Oil_Price!B:B, "")</f>
        <v>102.59999847412109</v>
      </c>
      <c r="E2497">
        <f t="shared" si="152"/>
        <v>1.0681575081913024E-2</v>
      </c>
      <c r="F2497">
        <f t="shared" si="153"/>
        <v>5.1337250991219358E-2</v>
      </c>
      <c r="G2497">
        <f t="shared" si="154"/>
        <v>0.35191345214842329</v>
      </c>
      <c r="H2497">
        <f t="shared" si="155"/>
        <v>5.0100021362304688</v>
      </c>
    </row>
    <row r="2498" spans="1:8" x14ac:dyDescent="0.2">
      <c r="A2498" t="s">
        <v>13</v>
      </c>
      <c r="B2498" s="2">
        <v>44761</v>
      </c>
      <c r="C2498">
        <v>34.370246887207031</v>
      </c>
      <c r="D2498">
        <f>_xlfn.XLOOKUP(B2498, Oil_Price!A:A, Oil_Price!B:B, "")</f>
        <v>104.2200012207031</v>
      </c>
      <c r="E2498">
        <f t="shared" si="152"/>
        <v>3.2209216243321473E-2</v>
      </c>
      <c r="F2498">
        <f t="shared" si="153"/>
        <v>1.5789500688838876E-2</v>
      </c>
      <c r="G2498">
        <f t="shared" si="154"/>
        <v>1.0724945068359446</v>
      </c>
      <c r="H2498">
        <f t="shared" si="155"/>
        <v>1.6200027465820028</v>
      </c>
    </row>
    <row r="2499" spans="1:8" x14ac:dyDescent="0.2">
      <c r="A2499" t="s">
        <v>13</v>
      </c>
      <c r="B2499" s="2">
        <v>44762</v>
      </c>
      <c r="C2499">
        <v>34.420513153076172</v>
      </c>
      <c r="D2499">
        <f>_xlfn.XLOOKUP(B2499, Oil_Price!A:A, Oil_Price!B:B, "")</f>
        <v>102.2600021362305</v>
      </c>
      <c r="E2499">
        <f t="shared" ref="E2499:E2562" si="156">IFERROR(IF(AND(A2499=A2498, C2499&lt;&gt;"", C2498&lt;&gt;""), (C2499-C2498)/C2498, ""), "")</f>
        <v>1.4624935931970352E-3</v>
      </c>
      <c r="F2499">
        <f t="shared" ref="F2499:F2562" si="157">IFERROR(IF(AND(A2499=A2498, D2499&lt;&gt;"", D2498&lt;&gt;""), (D2499-D2498)/D2498, ""), "")</f>
        <v>-1.8806362133137737E-2</v>
      </c>
      <c r="G2499">
        <f t="shared" ref="G2499:G2562" si="158">IFERROR(IF(AND(A2499=A2498, C2499&lt;&gt;"", C2498&lt;&gt;""), C2499-C2498, ""), "")</f>
        <v>5.0266265869140625E-2</v>
      </c>
      <c r="H2499">
        <f t="shared" ref="H2499:H2562" si="159">IFERROR(IF(AND(A2499=A2498, D2499&lt;&gt;"", D2498&lt;&gt;""), D2499-D2498, ""), "")</f>
        <v>-1.9599990844725994</v>
      </c>
    </row>
    <row r="2500" spans="1:8" x14ac:dyDescent="0.2">
      <c r="A2500" t="s">
        <v>13</v>
      </c>
      <c r="B2500" s="2">
        <v>44763</v>
      </c>
      <c r="C2500">
        <v>33.825626373291023</v>
      </c>
      <c r="D2500">
        <f>_xlfn.XLOOKUP(B2500, Oil_Price!A:A, Oil_Price!B:B, "")</f>
        <v>96.349998474121094</v>
      </c>
      <c r="E2500">
        <f t="shared" si="156"/>
        <v>-1.7282914323198693E-2</v>
      </c>
      <c r="F2500">
        <f t="shared" si="157"/>
        <v>-5.7793893395739544E-2</v>
      </c>
      <c r="G2500">
        <f t="shared" si="158"/>
        <v>-0.59488677978514914</v>
      </c>
      <c r="H2500">
        <f t="shared" si="159"/>
        <v>-5.9100036621094034</v>
      </c>
    </row>
    <row r="2501" spans="1:8" x14ac:dyDescent="0.2">
      <c r="A2501" t="s">
        <v>13</v>
      </c>
      <c r="B2501" s="2">
        <v>44764</v>
      </c>
      <c r="C2501">
        <v>33.331260681152337</v>
      </c>
      <c r="D2501">
        <f>_xlfn.XLOOKUP(B2501, Oil_Price!A:A, Oil_Price!B:B, "")</f>
        <v>94.699996948242188</v>
      </c>
      <c r="E2501">
        <f t="shared" si="156"/>
        <v>-1.4615123063295024E-2</v>
      </c>
      <c r="F2501">
        <f t="shared" si="157"/>
        <v>-1.7125080975710492E-2</v>
      </c>
      <c r="G2501">
        <f t="shared" si="158"/>
        <v>-0.49436569213868609</v>
      </c>
      <c r="H2501">
        <f t="shared" si="159"/>
        <v>-1.6500015258789062</v>
      </c>
    </row>
    <row r="2502" spans="1:8" x14ac:dyDescent="0.2">
      <c r="A2502" t="s">
        <v>13</v>
      </c>
      <c r="B2502" s="2">
        <v>44767</v>
      </c>
      <c r="C2502">
        <v>34.269702911376953</v>
      </c>
      <c r="D2502">
        <f>_xlfn.XLOOKUP(B2502, Oil_Price!A:A, Oil_Price!B:B, "")</f>
        <v>96.699996948242188</v>
      </c>
      <c r="E2502">
        <f t="shared" si="156"/>
        <v>2.8155017573495887E-2</v>
      </c>
      <c r="F2502">
        <f t="shared" si="157"/>
        <v>2.1119324862207651E-2</v>
      </c>
      <c r="G2502">
        <f t="shared" si="158"/>
        <v>0.93844223022461648</v>
      </c>
      <c r="H2502">
        <f t="shared" si="159"/>
        <v>2</v>
      </c>
    </row>
    <row r="2503" spans="1:8" x14ac:dyDescent="0.2">
      <c r="A2503" t="s">
        <v>13</v>
      </c>
      <c r="B2503" s="2">
        <v>44768</v>
      </c>
      <c r="C2503">
        <v>33.942928314208977</v>
      </c>
      <c r="D2503">
        <f>_xlfn.XLOOKUP(B2503, Oil_Price!A:A, Oil_Price!B:B, "")</f>
        <v>94.980003356933594</v>
      </c>
      <c r="E2503">
        <f t="shared" si="156"/>
        <v>-9.5353787575290679E-3</v>
      </c>
      <c r="F2503">
        <f t="shared" si="157"/>
        <v>-1.7786904297724074E-2</v>
      </c>
      <c r="G2503">
        <f t="shared" si="158"/>
        <v>-0.32677459716797586</v>
      </c>
      <c r="H2503">
        <f t="shared" si="159"/>
        <v>-1.7199935913085938</v>
      </c>
    </row>
    <row r="2504" spans="1:8" x14ac:dyDescent="0.2">
      <c r="A2504" t="s">
        <v>13</v>
      </c>
      <c r="B2504" s="2">
        <v>44769</v>
      </c>
      <c r="C2504">
        <v>34.755672454833977</v>
      </c>
      <c r="D2504">
        <f>_xlfn.XLOOKUP(B2504, Oil_Price!A:A, Oil_Price!B:B, "")</f>
        <v>97.260002136230469</v>
      </c>
      <c r="E2504">
        <f t="shared" si="156"/>
        <v>2.3944432050807297E-2</v>
      </c>
      <c r="F2504">
        <f t="shared" si="157"/>
        <v>2.4005039994878394E-2</v>
      </c>
      <c r="G2504">
        <f t="shared" si="158"/>
        <v>0.812744140625</v>
      </c>
      <c r="H2504">
        <f t="shared" si="159"/>
        <v>2.279998779296875</v>
      </c>
    </row>
    <row r="2505" spans="1:8" x14ac:dyDescent="0.2">
      <c r="A2505" t="s">
        <v>13</v>
      </c>
      <c r="B2505" s="2">
        <v>44770</v>
      </c>
      <c r="C2505">
        <v>35.099208831787109</v>
      </c>
      <c r="D2505">
        <f>_xlfn.XLOOKUP(B2505, Oil_Price!A:A, Oil_Price!B:B, "")</f>
        <v>96.419998168945312</v>
      </c>
      <c r="E2505">
        <f t="shared" si="156"/>
        <v>9.8843254262902767E-3</v>
      </c>
      <c r="F2505">
        <f t="shared" si="157"/>
        <v>-8.6366846476990267E-3</v>
      </c>
      <c r="G2505">
        <f t="shared" si="158"/>
        <v>0.34353637695313211</v>
      </c>
      <c r="H2505">
        <f t="shared" si="159"/>
        <v>-0.84000396728515625</v>
      </c>
    </row>
    <row r="2506" spans="1:8" x14ac:dyDescent="0.2">
      <c r="A2506" t="s">
        <v>13</v>
      </c>
      <c r="B2506" s="2">
        <v>44771</v>
      </c>
      <c r="C2506">
        <v>36.414707183837891</v>
      </c>
      <c r="D2506">
        <f>_xlfn.XLOOKUP(B2506, Oil_Price!A:A, Oil_Price!B:B, "")</f>
        <v>98.620002746582031</v>
      </c>
      <c r="E2506">
        <f t="shared" si="156"/>
        <v>3.7479430330048309E-2</v>
      </c>
      <c r="F2506">
        <f t="shared" si="157"/>
        <v>2.2816890887945383E-2</v>
      </c>
      <c r="G2506">
        <f t="shared" si="158"/>
        <v>1.3154983520507812</v>
      </c>
      <c r="H2506">
        <f t="shared" si="159"/>
        <v>2.2000045776367188</v>
      </c>
    </row>
    <row r="2507" spans="1:8" x14ac:dyDescent="0.2">
      <c r="A2507" t="s">
        <v>13</v>
      </c>
      <c r="B2507" s="2">
        <v>44775</v>
      </c>
      <c r="C2507">
        <v>35.953853607177727</v>
      </c>
      <c r="D2507">
        <f>_xlfn.XLOOKUP(B2507, Oil_Price!A:A, Oil_Price!B:B, "")</f>
        <v>94.419998168945312</v>
      </c>
      <c r="E2507">
        <f t="shared" si="156"/>
        <v>-1.2655699092500356E-2</v>
      </c>
      <c r="F2507">
        <f t="shared" si="157"/>
        <v>-4.2587755634414463E-2</v>
      </c>
      <c r="G2507">
        <f t="shared" si="158"/>
        <v>-0.46085357666016336</v>
      </c>
      <c r="H2507">
        <f t="shared" si="159"/>
        <v>-4.2000045776367188</v>
      </c>
    </row>
    <row r="2508" spans="1:8" x14ac:dyDescent="0.2">
      <c r="A2508" t="s">
        <v>13</v>
      </c>
      <c r="B2508" s="2">
        <v>44776</v>
      </c>
      <c r="C2508">
        <v>34.613235473632812</v>
      </c>
      <c r="D2508">
        <f>_xlfn.XLOOKUP(B2508, Oil_Price!A:A, Oil_Price!B:B, "")</f>
        <v>90.660003662109375</v>
      </c>
      <c r="E2508">
        <f t="shared" si="156"/>
        <v>-3.7287188967061867E-2</v>
      </c>
      <c r="F2508">
        <f t="shared" si="157"/>
        <v>-3.9822014189284299E-2</v>
      </c>
      <c r="G2508">
        <f t="shared" si="158"/>
        <v>-1.3406181335449148</v>
      </c>
      <c r="H2508">
        <f t="shared" si="159"/>
        <v>-3.7599945068359375</v>
      </c>
    </row>
    <row r="2509" spans="1:8" x14ac:dyDescent="0.2">
      <c r="A2509" t="s">
        <v>13</v>
      </c>
      <c r="B2509" s="2">
        <v>44777</v>
      </c>
      <c r="C2509">
        <v>33.063148498535163</v>
      </c>
      <c r="D2509">
        <f>_xlfn.XLOOKUP(B2509, Oil_Price!A:A, Oil_Price!B:B, "")</f>
        <v>88.540000915527344</v>
      </c>
      <c r="E2509">
        <f t="shared" si="156"/>
        <v>-4.4783070807652543E-2</v>
      </c>
      <c r="F2509">
        <f t="shared" si="157"/>
        <v>-2.3384101709098756E-2</v>
      </c>
      <c r="G2509">
        <f t="shared" si="158"/>
        <v>-1.5500869750976491</v>
      </c>
      <c r="H2509">
        <f t="shared" si="159"/>
        <v>-2.1200027465820312</v>
      </c>
    </row>
    <row r="2510" spans="1:8" x14ac:dyDescent="0.2">
      <c r="A2510" t="s">
        <v>13</v>
      </c>
      <c r="B2510" s="2">
        <v>44778</v>
      </c>
      <c r="C2510">
        <v>32.836906433105469</v>
      </c>
      <c r="D2510">
        <f>_xlfn.XLOOKUP(B2510, Oil_Price!A:A, Oil_Price!B:B, "")</f>
        <v>89.010002136230469</v>
      </c>
      <c r="E2510">
        <f t="shared" si="156"/>
        <v>-6.8427259865985867E-3</v>
      </c>
      <c r="F2510">
        <f t="shared" si="157"/>
        <v>5.3083489478561825E-3</v>
      </c>
      <c r="G2510">
        <f t="shared" si="158"/>
        <v>-0.22624206542969461</v>
      </c>
      <c r="H2510">
        <f t="shared" si="159"/>
        <v>0.470001220703125</v>
      </c>
    </row>
    <row r="2511" spans="1:8" x14ac:dyDescent="0.2">
      <c r="A2511" t="s">
        <v>13</v>
      </c>
      <c r="B2511" s="2">
        <v>44781</v>
      </c>
      <c r="C2511">
        <v>32.744743347167969</v>
      </c>
      <c r="D2511">
        <f>_xlfn.XLOOKUP(B2511, Oil_Price!A:A, Oil_Price!B:B, "")</f>
        <v>90.760002136230469</v>
      </c>
      <c r="E2511">
        <f t="shared" si="156"/>
        <v>-2.8066921019266034E-3</v>
      </c>
      <c r="F2511">
        <f t="shared" si="157"/>
        <v>1.9660711807664176E-2</v>
      </c>
      <c r="G2511">
        <f t="shared" si="158"/>
        <v>-9.21630859375E-2</v>
      </c>
      <c r="H2511">
        <f t="shared" si="159"/>
        <v>1.75</v>
      </c>
    </row>
    <row r="2512" spans="1:8" x14ac:dyDescent="0.2">
      <c r="A2512" t="s">
        <v>13</v>
      </c>
      <c r="B2512" s="2">
        <v>44782</v>
      </c>
      <c r="C2512">
        <v>32.862049102783203</v>
      </c>
      <c r="D2512">
        <f>_xlfn.XLOOKUP(B2512, Oil_Price!A:A, Oil_Price!B:B, "")</f>
        <v>90.5</v>
      </c>
      <c r="E2512">
        <f t="shared" si="156"/>
        <v>3.5824301437189284E-3</v>
      </c>
      <c r="F2512">
        <f t="shared" si="157"/>
        <v>-2.8647215746007409E-3</v>
      </c>
      <c r="G2512">
        <f t="shared" si="158"/>
        <v>0.11730575561523438</v>
      </c>
      <c r="H2512">
        <f t="shared" si="159"/>
        <v>-0.26000213623046875</v>
      </c>
    </row>
    <row r="2513" spans="1:8" x14ac:dyDescent="0.2">
      <c r="A2513" t="s">
        <v>13</v>
      </c>
      <c r="B2513" s="2">
        <v>44783</v>
      </c>
      <c r="C2513">
        <v>33.004486083984382</v>
      </c>
      <c r="D2513">
        <f>_xlfn.XLOOKUP(B2513, Oil_Price!A:A, Oil_Price!B:B, "")</f>
        <v>91.930000305175781</v>
      </c>
      <c r="E2513">
        <f t="shared" si="156"/>
        <v>4.3343913447294888E-3</v>
      </c>
      <c r="F2513">
        <f t="shared" si="157"/>
        <v>1.5801108344483769E-2</v>
      </c>
      <c r="G2513">
        <f t="shared" si="158"/>
        <v>0.14243698120117898</v>
      </c>
      <c r="H2513">
        <f t="shared" si="159"/>
        <v>1.4300003051757812</v>
      </c>
    </row>
    <row r="2514" spans="1:8" x14ac:dyDescent="0.2">
      <c r="A2514" t="s">
        <v>13</v>
      </c>
      <c r="B2514" s="2">
        <v>44784</v>
      </c>
      <c r="C2514">
        <v>34.076992034912109</v>
      </c>
      <c r="D2514">
        <f>_xlfn.XLOOKUP(B2514, Oil_Price!A:A, Oil_Price!B:B, "")</f>
        <v>94.339996337890625</v>
      </c>
      <c r="E2514">
        <f t="shared" si="156"/>
        <v>3.2495762794142312E-2</v>
      </c>
      <c r="F2514">
        <f t="shared" si="157"/>
        <v>2.6215555582666063E-2</v>
      </c>
      <c r="G2514">
        <f t="shared" si="158"/>
        <v>1.0725059509277273</v>
      </c>
      <c r="H2514">
        <f t="shared" si="159"/>
        <v>2.4099960327148438</v>
      </c>
    </row>
    <row r="2515" spans="1:8" x14ac:dyDescent="0.2">
      <c r="A2515" t="s">
        <v>13</v>
      </c>
      <c r="B2515" s="2">
        <v>44785</v>
      </c>
      <c r="C2515">
        <v>35.023807525634773</v>
      </c>
      <c r="D2515">
        <f>_xlfn.XLOOKUP(B2515, Oil_Price!A:A, Oil_Price!B:B, "")</f>
        <v>92.089996337890625</v>
      </c>
      <c r="E2515">
        <f t="shared" si="156"/>
        <v>2.7784597001773059E-2</v>
      </c>
      <c r="F2515">
        <f t="shared" si="157"/>
        <v>-2.3849905526192098E-2</v>
      </c>
      <c r="G2515">
        <f t="shared" si="158"/>
        <v>0.94681549072266336</v>
      </c>
      <c r="H2515">
        <f t="shared" si="159"/>
        <v>-2.25</v>
      </c>
    </row>
    <row r="2516" spans="1:8" x14ac:dyDescent="0.2">
      <c r="A2516" t="s">
        <v>13</v>
      </c>
      <c r="B2516" s="2">
        <v>44788</v>
      </c>
      <c r="C2516">
        <v>34.579719543457031</v>
      </c>
      <c r="D2516">
        <f>_xlfn.XLOOKUP(B2516, Oil_Price!A:A, Oil_Price!B:B, "")</f>
        <v>89.410003662109375</v>
      </c>
      <c r="E2516">
        <f t="shared" si="156"/>
        <v>-1.267960320569666E-2</v>
      </c>
      <c r="F2516">
        <f t="shared" si="157"/>
        <v>-2.9101887092578386E-2</v>
      </c>
      <c r="G2516">
        <f t="shared" si="158"/>
        <v>-0.44408798217774148</v>
      </c>
      <c r="H2516">
        <f t="shared" si="159"/>
        <v>-2.67999267578125</v>
      </c>
    </row>
    <row r="2517" spans="1:8" x14ac:dyDescent="0.2">
      <c r="A2517" t="s">
        <v>13</v>
      </c>
      <c r="B2517" s="2">
        <v>44789</v>
      </c>
      <c r="C2517">
        <v>34.227802276611328</v>
      </c>
      <c r="D2517">
        <f>_xlfn.XLOOKUP(B2517, Oil_Price!A:A, Oil_Price!B:B, "")</f>
        <v>86.529998779296875</v>
      </c>
      <c r="E2517">
        <f t="shared" si="156"/>
        <v>-1.0176984414331111E-2</v>
      </c>
      <c r="F2517">
        <f t="shared" si="157"/>
        <v>-3.2211215354563318E-2</v>
      </c>
      <c r="G2517">
        <f t="shared" si="158"/>
        <v>-0.35191726684570312</v>
      </c>
      <c r="H2517">
        <f t="shared" si="159"/>
        <v>-2.8800048828125</v>
      </c>
    </row>
    <row r="2518" spans="1:8" x14ac:dyDescent="0.2">
      <c r="A2518" t="s">
        <v>13</v>
      </c>
      <c r="B2518" s="2">
        <v>44790</v>
      </c>
      <c r="C2518">
        <v>34.948390960693359</v>
      </c>
      <c r="D2518">
        <f>_xlfn.XLOOKUP(B2518, Oil_Price!A:A, Oil_Price!B:B, "")</f>
        <v>88.110000610351562</v>
      </c>
      <c r="E2518">
        <f t="shared" si="156"/>
        <v>2.1052730124435322E-2</v>
      </c>
      <c r="F2518">
        <f t="shared" si="157"/>
        <v>1.8259584575802838E-2</v>
      </c>
      <c r="G2518">
        <f t="shared" si="158"/>
        <v>0.72058868408203125</v>
      </c>
      <c r="H2518">
        <f t="shared" si="159"/>
        <v>1.5800018310546875</v>
      </c>
    </row>
    <row r="2519" spans="1:8" x14ac:dyDescent="0.2">
      <c r="A2519" t="s">
        <v>13</v>
      </c>
      <c r="B2519" s="2">
        <v>44791</v>
      </c>
      <c r="C2519">
        <v>35.76953125</v>
      </c>
      <c r="D2519">
        <f>_xlfn.XLOOKUP(B2519, Oil_Price!A:A, Oil_Price!B:B, "")</f>
        <v>90.5</v>
      </c>
      <c r="E2519">
        <f t="shared" si="156"/>
        <v>2.3495796708643366E-2</v>
      </c>
      <c r="F2519">
        <f t="shared" si="157"/>
        <v>2.712517731350066E-2</v>
      </c>
      <c r="G2519">
        <f t="shared" si="158"/>
        <v>0.82114028930664062</v>
      </c>
      <c r="H2519">
        <f t="shared" si="159"/>
        <v>2.3899993896484375</v>
      </c>
    </row>
    <row r="2520" spans="1:8" x14ac:dyDescent="0.2">
      <c r="A2520" t="s">
        <v>13</v>
      </c>
      <c r="B2520" s="2">
        <v>44792</v>
      </c>
      <c r="C2520">
        <v>35.518161773681641</v>
      </c>
      <c r="D2520">
        <f>_xlfn.XLOOKUP(B2520, Oil_Price!A:A, Oil_Price!B:B, "")</f>
        <v>90.769996643066406</v>
      </c>
      <c r="E2520">
        <f t="shared" si="156"/>
        <v>-7.0274747119689852E-3</v>
      </c>
      <c r="F2520">
        <f t="shared" si="157"/>
        <v>2.9833883211757596E-3</v>
      </c>
      <c r="G2520">
        <f t="shared" si="158"/>
        <v>-0.25136947631835938</v>
      </c>
      <c r="H2520">
        <f t="shared" si="159"/>
        <v>0.26999664306640625</v>
      </c>
    </row>
    <row r="2521" spans="1:8" x14ac:dyDescent="0.2">
      <c r="A2521" t="s">
        <v>13</v>
      </c>
      <c r="B2521" s="2">
        <v>44795</v>
      </c>
      <c r="C2521">
        <v>35.903583526611328</v>
      </c>
      <c r="D2521">
        <f>_xlfn.XLOOKUP(B2521, Oil_Price!A:A, Oil_Price!B:B, "")</f>
        <v>90.230003356933594</v>
      </c>
      <c r="E2521">
        <f t="shared" si="156"/>
        <v>1.085139921895616E-2</v>
      </c>
      <c r="F2521">
        <f t="shared" si="157"/>
        <v>-5.9490283805586179E-3</v>
      </c>
      <c r="G2521">
        <f t="shared" si="158"/>
        <v>0.3854217529296875</v>
      </c>
      <c r="H2521">
        <f t="shared" si="159"/>
        <v>-0.5399932861328125</v>
      </c>
    </row>
    <row r="2522" spans="1:8" x14ac:dyDescent="0.2">
      <c r="A2522" t="s">
        <v>13</v>
      </c>
      <c r="B2522" s="2">
        <v>44796</v>
      </c>
      <c r="C2522">
        <v>37.227451324462891</v>
      </c>
      <c r="D2522">
        <f>_xlfn.XLOOKUP(B2522, Oil_Price!A:A, Oil_Price!B:B, "")</f>
        <v>93.739997863769531</v>
      </c>
      <c r="E2522">
        <f t="shared" si="156"/>
        <v>3.6872859692969835E-2</v>
      </c>
      <c r="F2522">
        <f t="shared" si="157"/>
        <v>3.8900525060949334E-2</v>
      </c>
      <c r="G2522">
        <f t="shared" si="158"/>
        <v>1.3238677978515625</v>
      </c>
      <c r="H2522">
        <f t="shared" si="159"/>
        <v>3.5099945068359375</v>
      </c>
    </row>
    <row r="2523" spans="1:8" x14ac:dyDescent="0.2">
      <c r="A2523" t="s">
        <v>13</v>
      </c>
      <c r="B2523" s="2">
        <v>44797</v>
      </c>
      <c r="C2523">
        <v>37.579368591308587</v>
      </c>
      <c r="D2523">
        <f>_xlfn.XLOOKUP(B2523, Oil_Price!A:A, Oil_Price!B:B, "")</f>
        <v>94.889999389648438</v>
      </c>
      <c r="E2523">
        <f t="shared" si="156"/>
        <v>9.4531657238228466E-3</v>
      </c>
      <c r="F2523">
        <f t="shared" si="157"/>
        <v>1.2267991808045275E-2</v>
      </c>
      <c r="G2523">
        <f t="shared" si="158"/>
        <v>0.35191726684569602</v>
      </c>
      <c r="H2523">
        <f t="shared" si="159"/>
        <v>1.1500015258789062</v>
      </c>
    </row>
    <row r="2524" spans="1:8" x14ac:dyDescent="0.2">
      <c r="A2524" t="s">
        <v>13</v>
      </c>
      <c r="B2524" s="2">
        <v>44798</v>
      </c>
      <c r="C2524">
        <v>37.780467987060547</v>
      </c>
      <c r="D2524">
        <f>_xlfn.XLOOKUP(B2524, Oil_Price!A:A, Oil_Price!B:B, "")</f>
        <v>92.519996643066406</v>
      </c>
      <c r="E2524">
        <f t="shared" si="156"/>
        <v>5.3513244977317371E-3</v>
      </c>
      <c r="F2524">
        <f t="shared" si="157"/>
        <v>-2.4976317439417913E-2</v>
      </c>
      <c r="G2524">
        <f t="shared" si="158"/>
        <v>0.20109939575196023</v>
      </c>
      <c r="H2524">
        <f t="shared" si="159"/>
        <v>-2.3700027465820312</v>
      </c>
    </row>
    <row r="2525" spans="1:8" x14ac:dyDescent="0.2">
      <c r="A2525" t="s">
        <v>13</v>
      </c>
      <c r="B2525" s="2">
        <v>44799</v>
      </c>
      <c r="C2525">
        <v>37.47882080078125</v>
      </c>
      <c r="D2525">
        <f>_xlfn.XLOOKUP(B2525, Oil_Price!A:A, Oil_Price!B:B, "")</f>
        <v>93.05999755859375</v>
      </c>
      <c r="E2525">
        <f t="shared" si="156"/>
        <v>-7.9842098933927495E-3</v>
      </c>
      <c r="F2525">
        <f t="shared" si="157"/>
        <v>5.8365859827104981E-3</v>
      </c>
      <c r="G2525">
        <f t="shared" si="158"/>
        <v>-0.30164718627929688</v>
      </c>
      <c r="H2525">
        <f t="shared" si="159"/>
        <v>0.54000091552734375</v>
      </c>
    </row>
    <row r="2526" spans="1:8" x14ac:dyDescent="0.2">
      <c r="A2526" t="s">
        <v>13</v>
      </c>
      <c r="B2526" s="2">
        <v>44802</v>
      </c>
      <c r="C2526">
        <v>37.981563568115227</v>
      </c>
      <c r="D2526">
        <f>_xlfn.XLOOKUP(B2526, Oil_Price!A:A, Oil_Price!B:B, "")</f>
        <v>97.010002136230469</v>
      </c>
      <c r="E2526">
        <f t="shared" si="156"/>
        <v>1.3414049764433824E-2</v>
      </c>
      <c r="F2526">
        <f t="shared" si="157"/>
        <v>4.2445784238814975E-2</v>
      </c>
      <c r="G2526">
        <f t="shared" si="158"/>
        <v>0.50274276733397727</v>
      </c>
      <c r="H2526">
        <f t="shared" si="159"/>
        <v>3.9500045776367188</v>
      </c>
    </row>
    <row r="2527" spans="1:8" x14ac:dyDescent="0.2">
      <c r="A2527" t="s">
        <v>13</v>
      </c>
      <c r="B2527" s="2">
        <v>44803</v>
      </c>
      <c r="C2527">
        <v>36.171710968017578</v>
      </c>
      <c r="D2527">
        <f>_xlfn.XLOOKUP(B2527, Oil_Price!A:A, Oil_Price!B:B, "")</f>
        <v>91.639999389648438</v>
      </c>
      <c r="E2527">
        <f t="shared" si="156"/>
        <v>-4.7650818715030067E-2</v>
      </c>
      <c r="F2527">
        <f t="shared" si="157"/>
        <v>-5.5355145122468648E-2</v>
      </c>
      <c r="G2527">
        <f t="shared" si="158"/>
        <v>-1.8098526000976491</v>
      </c>
      <c r="H2527">
        <f t="shared" si="159"/>
        <v>-5.3700027465820312</v>
      </c>
    </row>
    <row r="2528" spans="1:8" x14ac:dyDescent="0.2">
      <c r="A2528" t="s">
        <v>13</v>
      </c>
      <c r="B2528" s="2">
        <v>44804</v>
      </c>
      <c r="C2528">
        <v>35.601951599121087</v>
      </c>
      <c r="D2528">
        <f>_xlfn.XLOOKUP(B2528, Oil_Price!A:A, Oil_Price!B:B, "")</f>
        <v>89.550003051757812</v>
      </c>
      <c r="E2528">
        <f t="shared" si="156"/>
        <v>-1.5751518345379436E-2</v>
      </c>
      <c r="F2528">
        <f t="shared" si="157"/>
        <v>-2.2806594847344673E-2</v>
      </c>
      <c r="G2528">
        <f t="shared" si="158"/>
        <v>-0.56975936889649148</v>
      </c>
      <c r="H2528">
        <f t="shared" si="159"/>
        <v>-2.089996337890625</v>
      </c>
    </row>
    <row r="2529" spans="1:8" x14ac:dyDescent="0.2">
      <c r="A2529" t="s">
        <v>13</v>
      </c>
      <c r="B2529" s="2">
        <v>44805</v>
      </c>
      <c r="C2529">
        <v>34.661491394042969</v>
      </c>
      <c r="D2529">
        <f>_xlfn.XLOOKUP(B2529, Oil_Price!A:A, Oil_Price!B:B, "")</f>
        <v>86.610000610351562</v>
      </c>
      <c r="E2529">
        <f t="shared" si="156"/>
        <v>-2.641597336201466E-2</v>
      </c>
      <c r="F2529">
        <f t="shared" si="157"/>
        <v>-3.2830846914734299E-2</v>
      </c>
      <c r="G2529">
        <f t="shared" si="158"/>
        <v>-0.94046020507811789</v>
      </c>
      <c r="H2529">
        <f t="shared" si="159"/>
        <v>-2.94000244140625</v>
      </c>
    </row>
    <row r="2530" spans="1:8" x14ac:dyDescent="0.2">
      <c r="A2530" t="s">
        <v>13</v>
      </c>
      <c r="B2530" s="2">
        <v>44806</v>
      </c>
      <c r="C2530">
        <v>35.415546417236328</v>
      </c>
      <c r="D2530">
        <f>_xlfn.XLOOKUP(B2530, Oil_Price!A:A, Oil_Price!B:B, "")</f>
        <v>86.870002746582031</v>
      </c>
      <c r="E2530">
        <f t="shared" si="156"/>
        <v>2.1754834915238344E-2</v>
      </c>
      <c r="F2530">
        <f t="shared" si="157"/>
        <v>3.0019874656298465E-3</v>
      </c>
      <c r="G2530">
        <f t="shared" si="158"/>
        <v>0.75405502319335938</v>
      </c>
      <c r="H2530">
        <f t="shared" si="159"/>
        <v>0.26000213623046875</v>
      </c>
    </row>
    <row r="2531" spans="1:8" x14ac:dyDescent="0.2">
      <c r="A2531" t="s">
        <v>13</v>
      </c>
      <c r="B2531" s="2">
        <v>44810</v>
      </c>
      <c r="C2531">
        <v>34.636070251464837</v>
      </c>
      <c r="D2531">
        <f>_xlfn.XLOOKUP(B2531, Oil_Price!A:A, Oil_Price!B:B, "")</f>
        <v>86.879997253417969</v>
      </c>
      <c r="E2531">
        <f t="shared" si="156"/>
        <v>-2.2009434969274669E-2</v>
      </c>
      <c r="F2531">
        <f t="shared" si="157"/>
        <v>1.1505130102382484E-4</v>
      </c>
      <c r="G2531">
        <f t="shared" si="158"/>
        <v>-0.77947616577149148</v>
      </c>
      <c r="H2531">
        <f t="shared" si="159"/>
        <v>9.9945068359375E-3</v>
      </c>
    </row>
    <row r="2532" spans="1:8" x14ac:dyDescent="0.2">
      <c r="A2532" t="s">
        <v>13</v>
      </c>
      <c r="B2532" s="2">
        <v>44811</v>
      </c>
      <c r="C2532">
        <v>33.865066528320312</v>
      </c>
      <c r="D2532">
        <f>_xlfn.XLOOKUP(B2532, Oil_Price!A:A, Oil_Price!B:B, "")</f>
        <v>81.94000244140625</v>
      </c>
      <c r="E2532">
        <f t="shared" si="156"/>
        <v>-2.2260138564995452E-2</v>
      </c>
      <c r="F2532">
        <f t="shared" si="157"/>
        <v>-5.68599789155423E-2</v>
      </c>
      <c r="G2532">
        <f t="shared" si="158"/>
        <v>-0.77100372314452414</v>
      </c>
      <c r="H2532">
        <f t="shared" si="159"/>
        <v>-4.9399948120117188</v>
      </c>
    </row>
    <row r="2533" spans="1:8" x14ac:dyDescent="0.2">
      <c r="A2533" t="s">
        <v>13</v>
      </c>
      <c r="B2533" s="2">
        <v>44812</v>
      </c>
      <c r="C2533">
        <v>34.119243621826172</v>
      </c>
      <c r="D2533">
        <f>_xlfn.XLOOKUP(B2533, Oil_Price!A:A, Oil_Price!B:B, "")</f>
        <v>83.540000915527344</v>
      </c>
      <c r="E2533">
        <f t="shared" si="156"/>
        <v>7.5055837641216181E-3</v>
      </c>
      <c r="F2533">
        <f t="shared" si="157"/>
        <v>1.9526463588589987E-2</v>
      </c>
      <c r="G2533">
        <f t="shared" si="158"/>
        <v>0.25417709350585938</v>
      </c>
      <c r="H2533">
        <f t="shared" si="159"/>
        <v>1.5999984741210938</v>
      </c>
    </row>
    <row r="2534" spans="1:8" x14ac:dyDescent="0.2">
      <c r="A2534" t="s">
        <v>13</v>
      </c>
      <c r="B2534" s="2">
        <v>44813</v>
      </c>
      <c r="C2534">
        <v>34.941089630126953</v>
      </c>
      <c r="D2534">
        <f>_xlfn.XLOOKUP(B2534, Oil_Price!A:A, Oil_Price!B:B, "")</f>
        <v>86.790000915527344</v>
      </c>
      <c r="E2534">
        <f t="shared" si="156"/>
        <v>2.4087462706091297E-2</v>
      </c>
      <c r="F2534">
        <f t="shared" si="157"/>
        <v>3.8903518845855453E-2</v>
      </c>
      <c r="G2534">
        <f t="shared" si="158"/>
        <v>0.82184600830078125</v>
      </c>
      <c r="H2534">
        <f t="shared" si="159"/>
        <v>3.25</v>
      </c>
    </row>
    <row r="2535" spans="1:8" x14ac:dyDescent="0.2">
      <c r="A2535" t="s">
        <v>13</v>
      </c>
      <c r="B2535" s="2">
        <v>44816</v>
      </c>
      <c r="C2535">
        <v>35.678203582763672</v>
      </c>
      <c r="D2535">
        <f>_xlfn.XLOOKUP(B2535, Oil_Price!A:A, Oil_Price!B:B, "")</f>
        <v>87.779998779296875</v>
      </c>
      <c r="E2535">
        <f t="shared" si="156"/>
        <v>2.1095906293693924E-2</v>
      </c>
      <c r="F2535">
        <f t="shared" si="157"/>
        <v>1.1406819372350227E-2</v>
      </c>
      <c r="G2535">
        <f t="shared" si="158"/>
        <v>0.73711395263671875</v>
      </c>
      <c r="H2535">
        <f t="shared" si="159"/>
        <v>0.98999786376953125</v>
      </c>
    </row>
    <row r="2536" spans="1:8" x14ac:dyDescent="0.2">
      <c r="A2536" t="s">
        <v>13</v>
      </c>
      <c r="B2536" s="2">
        <v>44817</v>
      </c>
      <c r="C2536">
        <v>35.246101379394531</v>
      </c>
      <c r="D2536">
        <f>_xlfn.XLOOKUP(B2536, Oil_Price!A:A, Oil_Price!B:B, "")</f>
        <v>87.30999755859375</v>
      </c>
      <c r="E2536">
        <f t="shared" si="156"/>
        <v>-1.2111097532328995E-2</v>
      </c>
      <c r="F2536">
        <f t="shared" si="157"/>
        <v>-5.3543088088305593E-3</v>
      </c>
      <c r="G2536">
        <f t="shared" si="158"/>
        <v>-0.43210220336914062</v>
      </c>
      <c r="H2536">
        <f t="shared" si="159"/>
        <v>-0.470001220703125</v>
      </c>
    </row>
    <row r="2537" spans="1:8" x14ac:dyDescent="0.2">
      <c r="A2537" t="s">
        <v>13</v>
      </c>
      <c r="B2537" s="2">
        <v>44818</v>
      </c>
      <c r="C2537">
        <v>35.906959533691413</v>
      </c>
      <c r="D2537">
        <f>_xlfn.XLOOKUP(B2537, Oil_Price!A:A, Oil_Price!B:B, "")</f>
        <v>88.480003356933594</v>
      </c>
      <c r="E2537">
        <f t="shared" si="156"/>
        <v>1.874982277283101E-2</v>
      </c>
      <c r="F2537">
        <f t="shared" si="157"/>
        <v>1.3400593643982784E-2</v>
      </c>
      <c r="G2537">
        <f t="shared" si="158"/>
        <v>0.66085815429688211</v>
      </c>
      <c r="H2537">
        <f t="shared" si="159"/>
        <v>1.1700057983398438</v>
      </c>
    </row>
    <row r="2538" spans="1:8" x14ac:dyDescent="0.2">
      <c r="A2538" t="s">
        <v>13</v>
      </c>
      <c r="B2538" s="2">
        <v>44819</v>
      </c>
      <c r="C2538">
        <v>34.932613372802727</v>
      </c>
      <c r="D2538">
        <f>_xlfn.XLOOKUP(B2538, Oil_Price!A:A, Oil_Price!B:B, "")</f>
        <v>85.099998474121094</v>
      </c>
      <c r="E2538">
        <f t="shared" si="156"/>
        <v>-2.7135301165626666E-2</v>
      </c>
      <c r="F2538">
        <f t="shared" si="157"/>
        <v>-3.8200777063460985E-2</v>
      </c>
      <c r="G2538">
        <f t="shared" si="158"/>
        <v>-0.97434616088868609</v>
      </c>
      <c r="H2538">
        <f t="shared" si="159"/>
        <v>-3.3800048828125</v>
      </c>
    </row>
    <row r="2539" spans="1:8" x14ac:dyDescent="0.2">
      <c r="A2539" t="s">
        <v>13</v>
      </c>
      <c r="B2539" s="2">
        <v>44820</v>
      </c>
      <c r="C2539">
        <v>34.559814453125</v>
      </c>
      <c r="D2539">
        <f>_xlfn.XLOOKUP(B2539, Oil_Price!A:A, Oil_Price!B:B, "")</f>
        <v>85.110000610351562</v>
      </c>
      <c r="E2539">
        <f t="shared" si="156"/>
        <v>-1.0671944743990297E-2</v>
      </c>
      <c r="F2539">
        <f t="shared" si="157"/>
        <v>1.1753391785912193E-4</v>
      </c>
      <c r="G2539">
        <f t="shared" si="158"/>
        <v>-0.37279891967772727</v>
      </c>
      <c r="H2539">
        <f t="shared" si="159"/>
        <v>1.000213623046875E-2</v>
      </c>
    </row>
    <row r="2540" spans="1:8" x14ac:dyDescent="0.2">
      <c r="A2540" t="s">
        <v>13</v>
      </c>
      <c r="B2540" s="2">
        <v>44823</v>
      </c>
      <c r="C2540">
        <v>35.051223754882812</v>
      </c>
      <c r="D2540">
        <f>_xlfn.XLOOKUP(B2540, Oil_Price!A:A, Oil_Price!B:B, "")</f>
        <v>85.730003356933594</v>
      </c>
      <c r="E2540">
        <f t="shared" si="156"/>
        <v>1.4219095488036621E-2</v>
      </c>
      <c r="F2540">
        <f t="shared" si="157"/>
        <v>7.2847226193842015E-3</v>
      </c>
      <c r="G2540">
        <f t="shared" si="158"/>
        <v>0.4914093017578125</v>
      </c>
      <c r="H2540">
        <f t="shared" si="159"/>
        <v>0.62000274658203125</v>
      </c>
    </row>
    <row r="2541" spans="1:8" x14ac:dyDescent="0.2">
      <c r="A2541" t="s">
        <v>13</v>
      </c>
      <c r="B2541" s="2">
        <v>44824</v>
      </c>
      <c r="C2541">
        <v>35.347770690917969</v>
      </c>
      <c r="D2541">
        <f>_xlfn.XLOOKUP(B2541, Oil_Price!A:A, Oil_Price!B:B, "")</f>
        <v>84.449996948242188</v>
      </c>
      <c r="E2541">
        <f t="shared" si="156"/>
        <v>8.46038752053117E-3</v>
      </c>
      <c r="F2541">
        <f t="shared" si="157"/>
        <v>-1.4930670227109972E-2</v>
      </c>
      <c r="G2541">
        <f t="shared" si="158"/>
        <v>0.29654693603515625</v>
      </c>
      <c r="H2541">
        <f t="shared" si="159"/>
        <v>-1.2800064086914062</v>
      </c>
    </row>
    <row r="2542" spans="1:8" x14ac:dyDescent="0.2">
      <c r="A2542" t="s">
        <v>13</v>
      </c>
      <c r="B2542" s="2">
        <v>44825</v>
      </c>
      <c r="C2542">
        <v>34.593715667724609</v>
      </c>
      <c r="D2542">
        <f>_xlfn.XLOOKUP(B2542, Oil_Price!A:A, Oil_Price!B:B, "")</f>
        <v>82.94000244140625</v>
      </c>
      <c r="E2542">
        <f t="shared" si="156"/>
        <v>-2.1332463362027567E-2</v>
      </c>
      <c r="F2542">
        <f t="shared" si="157"/>
        <v>-1.7880338204883356E-2</v>
      </c>
      <c r="G2542">
        <f t="shared" si="158"/>
        <v>-0.75405502319335938</v>
      </c>
      <c r="H2542">
        <f t="shared" si="159"/>
        <v>-1.5099945068359375</v>
      </c>
    </row>
    <row r="2543" spans="1:8" x14ac:dyDescent="0.2">
      <c r="A2543" t="s">
        <v>13</v>
      </c>
      <c r="B2543" s="2">
        <v>44826</v>
      </c>
      <c r="C2543">
        <v>34.500511169433587</v>
      </c>
      <c r="D2543">
        <f>_xlfn.XLOOKUP(B2543, Oil_Price!A:A, Oil_Price!B:B, "")</f>
        <v>83.489997863769531</v>
      </c>
      <c r="E2543">
        <f t="shared" si="156"/>
        <v>-2.6942609804121464E-3</v>
      </c>
      <c r="F2543">
        <f t="shared" si="157"/>
        <v>6.6312443474043871E-3</v>
      </c>
      <c r="G2543">
        <f t="shared" si="158"/>
        <v>-9.320449829102273E-2</v>
      </c>
      <c r="H2543">
        <f t="shared" si="159"/>
        <v>0.54999542236328125</v>
      </c>
    </row>
    <row r="2544" spans="1:8" x14ac:dyDescent="0.2">
      <c r="A2544" t="s">
        <v>13</v>
      </c>
      <c r="B2544" s="2">
        <v>44827</v>
      </c>
      <c r="C2544">
        <v>31.306333541870121</v>
      </c>
      <c r="D2544">
        <f>_xlfn.XLOOKUP(B2544, Oil_Price!A:A, Oil_Price!B:B, "")</f>
        <v>78.739997863769531</v>
      </c>
      <c r="E2544">
        <f t="shared" si="156"/>
        <v>-9.2583487006227635E-2</v>
      </c>
      <c r="F2544">
        <f t="shared" si="157"/>
        <v>-5.6893042538467491E-2</v>
      </c>
      <c r="G2544">
        <f t="shared" si="158"/>
        <v>-3.1941776275634659</v>
      </c>
      <c r="H2544">
        <f t="shared" si="159"/>
        <v>-4.75</v>
      </c>
    </row>
    <row r="2545" spans="1:8" x14ac:dyDescent="0.2">
      <c r="A2545" t="s">
        <v>13</v>
      </c>
      <c r="B2545" s="2">
        <v>44830</v>
      </c>
      <c r="C2545">
        <v>31.001316070556641</v>
      </c>
      <c r="D2545">
        <f>_xlfn.XLOOKUP(B2545, Oil_Price!A:A, Oil_Price!B:B, "")</f>
        <v>76.709999084472656</v>
      </c>
      <c r="E2545">
        <f t="shared" si="156"/>
        <v>-9.7429956435345494E-3</v>
      </c>
      <c r="F2545">
        <f t="shared" si="157"/>
        <v>-2.5781036758586631E-2</v>
      </c>
      <c r="G2545">
        <f t="shared" si="158"/>
        <v>-0.30501747131348012</v>
      </c>
      <c r="H2545">
        <f t="shared" si="159"/>
        <v>-2.029998779296875</v>
      </c>
    </row>
    <row r="2546" spans="1:8" x14ac:dyDescent="0.2">
      <c r="A2546" t="s">
        <v>13</v>
      </c>
      <c r="B2546" s="2">
        <v>44831</v>
      </c>
      <c r="C2546">
        <v>31.450368881225589</v>
      </c>
      <c r="D2546">
        <f>_xlfn.XLOOKUP(B2546, Oil_Price!A:A, Oil_Price!B:B, "")</f>
        <v>78.5</v>
      </c>
      <c r="E2546">
        <f t="shared" si="156"/>
        <v>1.4484959594842322E-2</v>
      </c>
      <c r="F2546">
        <f t="shared" si="157"/>
        <v>2.3334649157748053E-2</v>
      </c>
      <c r="G2546">
        <f t="shared" si="158"/>
        <v>0.44905281066894887</v>
      </c>
      <c r="H2546">
        <f t="shared" si="159"/>
        <v>1.7900009155273438</v>
      </c>
    </row>
    <row r="2547" spans="1:8" x14ac:dyDescent="0.2">
      <c r="A2547" t="s">
        <v>13</v>
      </c>
      <c r="B2547" s="2">
        <v>44832</v>
      </c>
      <c r="C2547">
        <v>32.856819152832031</v>
      </c>
      <c r="D2547">
        <f>_xlfn.XLOOKUP(B2547, Oil_Price!A:A, Oil_Price!B:B, "")</f>
        <v>82.150001525878906</v>
      </c>
      <c r="E2547">
        <f t="shared" si="156"/>
        <v>4.4719674892144977E-2</v>
      </c>
      <c r="F2547">
        <f t="shared" si="157"/>
        <v>4.6496834724572056E-2</v>
      </c>
      <c r="G2547">
        <f t="shared" si="158"/>
        <v>1.4064502716064418</v>
      </c>
      <c r="H2547">
        <f t="shared" si="159"/>
        <v>3.6500015258789062</v>
      </c>
    </row>
    <row r="2548" spans="1:8" x14ac:dyDescent="0.2">
      <c r="A2548" t="s">
        <v>13</v>
      </c>
      <c r="B2548" s="2">
        <v>44833</v>
      </c>
      <c r="C2548">
        <v>32.882244110107422</v>
      </c>
      <c r="D2548">
        <f>_xlfn.XLOOKUP(B2548, Oil_Price!A:A, Oil_Price!B:B, "")</f>
        <v>81.230003356933594</v>
      </c>
      <c r="E2548">
        <f t="shared" si="156"/>
        <v>7.738106709942788E-4</v>
      </c>
      <c r="F2548">
        <f t="shared" si="157"/>
        <v>-1.1199003674461217E-2</v>
      </c>
      <c r="G2548">
        <f t="shared" si="158"/>
        <v>2.5424957275390625E-2</v>
      </c>
      <c r="H2548">
        <f t="shared" si="159"/>
        <v>-0.9199981689453125</v>
      </c>
    </row>
    <row r="2549" spans="1:8" x14ac:dyDescent="0.2">
      <c r="A2549" t="s">
        <v>13</v>
      </c>
      <c r="B2549" s="2">
        <v>44834</v>
      </c>
      <c r="C2549">
        <v>32.958488464355469</v>
      </c>
      <c r="D2549">
        <f>_xlfn.XLOOKUP(B2549, Oil_Price!A:A, Oil_Price!B:B, "")</f>
        <v>79.489997863769531</v>
      </c>
      <c r="E2549">
        <f t="shared" si="156"/>
        <v>2.3187089662353886E-3</v>
      </c>
      <c r="F2549">
        <f t="shared" si="157"/>
        <v>-2.1420724132169323E-2</v>
      </c>
      <c r="G2549">
        <f t="shared" si="158"/>
        <v>7.6244354248046875E-2</v>
      </c>
      <c r="H2549">
        <f t="shared" si="159"/>
        <v>-1.7400054931640625</v>
      </c>
    </row>
    <row r="2550" spans="1:8" x14ac:dyDescent="0.2">
      <c r="A2550" t="s">
        <v>13</v>
      </c>
      <c r="B2550" s="2">
        <v>44837</v>
      </c>
      <c r="C2550">
        <v>35.381656646728523</v>
      </c>
      <c r="D2550">
        <f>_xlfn.XLOOKUP(B2550, Oil_Price!A:A, Oil_Price!B:B, "")</f>
        <v>83.629997253417969</v>
      </c>
      <c r="E2550">
        <f t="shared" si="156"/>
        <v>7.35218238237383E-2</v>
      </c>
      <c r="F2550">
        <f t="shared" si="157"/>
        <v>5.2082016617280513E-2</v>
      </c>
      <c r="G2550">
        <f t="shared" si="158"/>
        <v>2.423168182373054</v>
      </c>
      <c r="H2550">
        <f t="shared" si="159"/>
        <v>4.1399993896484375</v>
      </c>
    </row>
    <row r="2551" spans="1:8" x14ac:dyDescent="0.2">
      <c r="A2551" t="s">
        <v>13</v>
      </c>
      <c r="B2551" s="2">
        <v>44838</v>
      </c>
      <c r="C2551">
        <v>36.677970886230469</v>
      </c>
      <c r="D2551">
        <f>_xlfn.XLOOKUP(B2551, Oil_Price!A:A, Oil_Price!B:B, "")</f>
        <v>86.519996643066406</v>
      </c>
      <c r="E2551">
        <f t="shared" si="156"/>
        <v>3.6638031182234271E-2</v>
      </c>
      <c r="F2551">
        <f t="shared" si="157"/>
        <v>3.4556970997991071E-2</v>
      </c>
      <c r="G2551">
        <f t="shared" si="158"/>
        <v>1.296314239501946</v>
      </c>
      <c r="H2551">
        <f t="shared" si="159"/>
        <v>2.8899993896484375</v>
      </c>
    </row>
    <row r="2552" spans="1:8" x14ac:dyDescent="0.2">
      <c r="A2552" t="s">
        <v>13</v>
      </c>
      <c r="B2552" s="2">
        <v>44839</v>
      </c>
      <c r="C2552">
        <v>37.474403381347663</v>
      </c>
      <c r="D2552">
        <f>_xlfn.XLOOKUP(B2552, Oil_Price!A:A, Oil_Price!B:B, "")</f>
        <v>87.760002136230469</v>
      </c>
      <c r="E2552">
        <f t="shared" si="156"/>
        <v>2.1714191812508058E-2</v>
      </c>
      <c r="F2552">
        <f t="shared" si="157"/>
        <v>1.4332010416963359E-2</v>
      </c>
      <c r="G2552">
        <f t="shared" si="158"/>
        <v>0.79643249511719461</v>
      </c>
      <c r="H2552">
        <f t="shared" si="159"/>
        <v>1.2400054931640625</v>
      </c>
    </row>
    <row r="2553" spans="1:8" x14ac:dyDescent="0.2">
      <c r="A2553" t="s">
        <v>13</v>
      </c>
      <c r="B2553" s="2">
        <v>44840</v>
      </c>
      <c r="C2553">
        <v>38.219993591308587</v>
      </c>
      <c r="D2553">
        <f>_xlfn.XLOOKUP(B2553, Oil_Price!A:A, Oil_Price!B:B, "")</f>
        <v>88.449996948242188</v>
      </c>
      <c r="E2553">
        <f t="shared" si="156"/>
        <v>1.9895986131483814E-2</v>
      </c>
      <c r="F2553">
        <f t="shared" si="157"/>
        <v>7.8622925617143329E-3</v>
      </c>
      <c r="G2553">
        <f t="shared" si="158"/>
        <v>0.74559020996092329</v>
      </c>
      <c r="H2553">
        <f t="shared" si="159"/>
        <v>0.68999481201171875</v>
      </c>
    </row>
    <row r="2554" spans="1:8" x14ac:dyDescent="0.2">
      <c r="A2554" t="s">
        <v>13</v>
      </c>
      <c r="B2554" s="2">
        <v>44841</v>
      </c>
      <c r="C2554">
        <v>38.160682678222663</v>
      </c>
      <c r="D2554">
        <f>_xlfn.XLOOKUP(B2554, Oil_Price!A:A, Oil_Price!B:B, "")</f>
        <v>92.639999389648438</v>
      </c>
      <c r="E2554">
        <f t="shared" si="156"/>
        <v>-1.5518294879937101E-3</v>
      </c>
      <c r="F2554">
        <f t="shared" si="157"/>
        <v>4.7371425505623156E-2</v>
      </c>
      <c r="G2554">
        <f t="shared" si="158"/>
        <v>-5.9310913085923289E-2</v>
      </c>
      <c r="H2554">
        <f t="shared" si="159"/>
        <v>4.19000244140625</v>
      </c>
    </row>
    <row r="2555" spans="1:8" x14ac:dyDescent="0.2">
      <c r="A2555" t="s">
        <v>13</v>
      </c>
      <c r="B2555" s="2">
        <v>44845</v>
      </c>
      <c r="C2555">
        <v>36.584770202636719</v>
      </c>
      <c r="D2555">
        <f>_xlfn.XLOOKUP(B2555, Oil_Price!A:A, Oil_Price!B:B, "")</f>
        <v>89.349998474121094</v>
      </c>
      <c r="E2555">
        <f t="shared" si="156"/>
        <v>-4.1296757945194676E-2</v>
      </c>
      <c r="F2555">
        <f t="shared" si="157"/>
        <v>-3.5513827042349566E-2</v>
      </c>
      <c r="G2555">
        <f t="shared" si="158"/>
        <v>-1.5759124755859446</v>
      </c>
      <c r="H2555">
        <f t="shared" si="159"/>
        <v>-3.2900009155273438</v>
      </c>
    </row>
    <row r="2556" spans="1:8" x14ac:dyDescent="0.2">
      <c r="A2556" t="s">
        <v>13</v>
      </c>
      <c r="B2556" s="2">
        <v>44846</v>
      </c>
      <c r="C2556">
        <v>36.703384399414062</v>
      </c>
      <c r="D2556">
        <f>_xlfn.XLOOKUP(B2556, Oil_Price!A:A, Oil_Price!B:B, "")</f>
        <v>87.269996643066406</v>
      </c>
      <c r="E2556">
        <f t="shared" si="156"/>
        <v>3.2421741648330773E-3</v>
      </c>
      <c r="F2556">
        <f t="shared" si="157"/>
        <v>-2.3279259838567646E-2</v>
      </c>
      <c r="G2556">
        <f t="shared" si="158"/>
        <v>0.11861419677734375</v>
      </c>
      <c r="H2556">
        <f t="shared" si="159"/>
        <v>-2.0800018310546875</v>
      </c>
    </row>
    <row r="2557" spans="1:8" x14ac:dyDescent="0.2">
      <c r="A2557" t="s">
        <v>13</v>
      </c>
      <c r="B2557" s="2">
        <v>44847</v>
      </c>
      <c r="C2557">
        <v>37.609954833984382</v>
      </c>
      <c r="D2557">
        <f>_xlfn.XLOOKUP(B2557, Oil_Price!A:A, Oil_Price!B:B, "")</f>
        <v>89.110000610351562</v>
      </c>
      <c r="E2557">
        <f t="shared" si="156"/>
        <v>2.4699913901803351E-2</v>
      </c>
      <c r="F2557">
        <f t="shared" si="157"/>
        <v>2.1084038479006226E-2</v>
      </c>
      <c r="G2557">
        <f t="shared" si="158"/>
        <v>0.90657043457031961</v>
      </c>
      <c r="H2557">
        <f t="shared" si="159"/>
        <v>1.8400039672851562</v>
      </c>
    </row>
    <row r="2558" spans="1:8" x14ac:dyDescent="0.2">
      <c r="A2558" t="s">
        <v>13</v>
      </c>
      <c r="B2558" s="2">
        <v>44848</v>
      </c>
      <c r="C2558">
        <v>36.466159820556641</v>
      </c>
      <c r="D2558">
        <f>_xlfn.XLOOKUP(B2558, Oil_Price!A:A, Oil_Price!B:B, "")</f>
        <v>85.610000610351562</v>
      </c>
      <c r="E2558">
        <f t="shared" si="156"/>
        <v>-3.0412028370589997E-2</v>
      </c>
      <c r="F2558">
        <f t="shared" si="157"/>
        <v>-3.9277297452890138E-2</v>
      </c>
      <c r="G2558">
        <f t="shared" si="158"/>
        <v>-1.1437950134277415</v>
      </c>
      <c r="H2558">
        <f t="shared" si="159"/>
        <v>-3.5</v>
      </c>
    </row>
    <row r="2559" spans="1:8" x14ac:dyDescent="0.2">
      <c r="A2559" t="s">
        <v>13</v>
      </c>
      <c r="B2559" s="2">
        <v>44851</v>
      </c>
      <c r="C2559">
        <v>36.542411804199219</v>
      </c>
      <c r="D2559">
        <f>_xlfn.XLOOKUP(B2559, Oil_Price!A:A, Oil_Price!B:B, "")</f>
        <v>85.459999084472656</v>
      </c>
      <c r="E2559">
        <f t="shared" si="156"/>
        <v>2.0910340989509263E-3</v>
      </c>
      <c r="F2559">
        <f t="shared" si="157"/>
        <v>-1.7521495714224859E-3</v>
      </c>
      <c r="G2559">
        <f t="shared" si="158"/>
        <v>7.6251983642578125E-2</v>
      </c>
      <c r="H2559">
        <f t="shared" si="159"/>
        <v>-0.15000152587890625</v>
      </c>
    </row>
    <row r="2560" spans="1:8" x14ac:dyDescent="0.2">
      <c r="A2560" t="s">
        <v>13</v>
      </c>
      <c r="B2560" s="2">
        <v>44852</v>
      </c>
      <c r="C2560">
        <v>36.228919982910163</v>
      </c>
      <c r="D2560">
        <f>_xlfn.XLOOKUP(B2560, Oil_Price!A:A, Oil_Price!B:B, "")</f>
        <v>82.819999694824219</v>
      </c>
      <c r="E2560">
        <f t="shared" si="156"/>
        <v>-8.5788486805085731E-3</v>
      </c>
      <c r="F2560">
        <f t="shared" si="157"/>
        <v>-3.0891638403119322E-2</v>
      </c>
      <c r="G2560">
        <f t="shared" si="158"/>
        <v>-0.31349182128905539</v>
      </c>
      <c r="H2560">
        <f t="shared" si="159"/>
        <v>-2.6399993896484375</v>
      </c>
    </row>
    <row r="2561" spans="1:8" x14ac:dyDescent="0.2">
      <c r="A2561" t="s">
        <v>13</v>
      </c>
      <c r="B2561" s="2">
        <v>44853</v>
      </c>
      <c r="C2561">
        <v>36.855903625488281</v>
      </c>
      <c r="D2561">
        <f>_xlfn.XLOOKUP(B2561, Oil_Price!A:A, Oil_Price!B:B, "")</f>
        <v>85.550003051757812</v>
      </c>
      <c r="E2561">
        <f t="shared" si="156"/>
        <v>1.73061643260102E-2</v>
      </c>
      <c r="F2561">
        <f t="shared" si="157"/>
        <v>3.2963093057149617E-2</v>
      </c>
      <c r="G2561">
        <f t="shared" si="158"/>
        <v>0.62698364257811789</v>
      </c>
      <c r="H2561">
        <f t="shared" si="159"/>
        <v>2.7300033569335938</v>
      </c>
    </row>
    <row r="2562" spans="1:8" x14ac:dyDescent="0.2">
      <c r="A2562" t="s">
        <v>13</v>
      </c>
      <c r="B2562" s="2">
        <v>44854</v>
      </c>
      <c r="C2562">
        <v>37.228691101074219</v>
      </c>
      <c r="D2562">
        <f>_xlfn.XLOOKUP(B2562, Oil_Price!A:A, Oil_Price!B:B, "")</f>
        <v>85.980003356933594</v>
      </c>
      <c r="E2562">
        <f t="shared" si="156"/>
        <v>1.0114728955611075E-2</v>
      </c>
      <c r="F2562">
        <f t="shared" si="157"/>
        <v>5.0263037970393852E-3</v>
      </c>
      <c r="G2562">
        <f t="shared" si="158"/>
        <v>0.3727874755859375</v>
      </c>
      <c r="H2562">
        <f t="shared" si="159"/>
        <v>0.43000030517578125</v>
      </c>
    </row>
    <row r="2563" spans="1:8" x14ac:dyDescent="0.2">
      <c r="A2563" t="s">
        <v>13</v>
      </c>
      <c r="B2563" s="2">
        <v>44855</v>
      </c>
      <c r="C2563">
        <v>38.550422668457031</v>
      </c>
      <c r="D2563">
        <f>_xlfn.XLOOKUP(B2563, Oil_Price!A:A, Oil_Price!B:B, "")</f>
        <v>85.050003051757812</v>
      </c>
      <c r="E2563">
        <f t="shared" ref="E2563:E2626" si="160">IFERROR(IF(AND(A2563=A2562, C2563&lt;&gt;"", C2562&lt;&gt;""), (C2563-C2562)/C2562, ""), "")</f>
        <v>3.5503036187717982E-2</v>
      </c>
      <c r="F2563">
        <f t="shared" ref="F2563:F2626" si="161">IFERROR(IF(AND(A2563=A2562, D2563&lt;&gt;"", D2562&lt;&gt;""), (D2563-D2562)/D2562, ""), "")</f>
        <v>-1.0816472073338019E-2</v>
      </c>
      <c r="G2563">
        <f t="shared" ref="G2563:G2626" si="162">IFERROR(IF(AND(A2563=A2562, C2563&lt;&gt;"", C2562&lt;&gt;""), C2563-C2562, ""), "")</f>
        <v>1.3217315673828125</v>
      </c>
      <c r="H2563">
        <f t="shared" ref="H2563:H2626" si="163">IFERROR(IF(AND(A2563=A2562, D2563&lt;&gt;"", D2562&lt;&gt;""), D2563-D2562, ""), "")</f>
        <v>-0.93000030517578125</v>
      </c>
    </row>
    <row r="2564" spans="1:8" x14ac:dyDescent="0.2">
      <c r="A2564" t="s">
        <v>13</v>
      </c>
      <c r="B2564" s="2">
        <v>44858</v>
      </c>
      <c r="C2564">
        <v>38.482643127441413</v>
      </c>
      <c r="D2564">
        <f>_xlfn.XLOOKUP(B2564, Oil_Price!A:A, Oil_Price!B:B, "")</f>
        <v>84.580001831054688</v>
      </c>
      <c r="E2564">
        <f t="shared" si="160"/>
        <v>-1.7582048736154816E-3</v>
      </c>
      <c r="F2564">
        <f t="shared" si="161"/>
        <v>-5.5261752361972548E-3</v>
      </c>
      <c r="G2564">
        <f t="shared" si="162"/>
        <v>-6.7779541015617895E-2</v>
      </c>
      <c r="H2564">
        <f t="shared" si="163"/>
        <v>-0.470001220703125</v>
      </c>
    </row>
    <row r="2565" spans="1:8" x14ac:dyDescent="0.2">
      <c r="A2565" t="s">
        <v>13</v>
      </c>
      <c r="B2565" s="2">
        <v>44859</v>
      </c>
      <c r="C2565">
        <v>38.525001525878913</v>
      </c>
      <c r="D2565">
        <f>_xlfn.XLOOKUP(B2565, Oil_Price!A:A, Oil_Price!B:B, "")</f>
        <v>85.319999694824219</v>
      </c>
      <c r="E2565">
        <f t="shared" si="160"/>
        <v>1.10071437393797E-3</v>
      </c>
      <c r="F2565">
        <f t="shared" si="161"/>
        <v>8.7490878192181716E-3</v>
      </c>
      <c r="G2565">
        <f t="shared" si="162"/>
        <v>4.23583984375E-2</v>
      </c>
      <c r="H2565">
        <f t="shared" si="163"/>
        <v>0.73999786376953125</v>
      </c>
    </row>
    <row r="2566" spans="1:8" x14ac:dyDescent="0.2">
      <c r="A2566" t="s">
        <v>13</v>
      </c>
      <c r="B2566" s="2">
        <v>44860</v>
      </c>
      <c r="C2566">
        <v>39.177391052246087</v>
      </c>
      <c r="D2566">
        <f>_xlfn.XLOOKUP(B2566, Oil_Price!A:A, Oil_Price!B:B, "")</f>
        <v>87.910003662109375</v>
      </c>
      <c r="E2566">
        <f t="shared" si="160"/>
        <v>1.6934185607466751E-2</v>
      </c>
      <c r="F2566">
        <f t="shared" si="161"/>
        <v>3.0356352280229485E-2</v>
      </c>
      <c r="G2566">
        <f t="shared" si="162"/>
        <v>0.65238952636717329</v>
      </c>
      <c r="H2566">
        <f t="shared" si="163"/>
        <v>2.5900039672851562</v>
      </c>
    </row>
    <row r="2567" spans="1:8" x14ac:dyDescent="0.2">
      <c r="A2567" t="s">
        <v>13</v>
      </c>
      <c r="B2567" s="2">
        <v>44861</v>
      </c>
      <c r="C2567">
        <v>38.448753356933587</v>
      </c>
      <c r="D2567">
        <f>_xlfn.XLOOKUP(B2567, Oil_Price!A:A, Oil_Price!B:B, "")</f>
        <v>89.080001831054688</v>
      </c>
      <c r="E2567">
        <f t="shared" si="160"/>
        <v>-1.8598423114515338E-2</v>
      </c>
      <c r="F2567">
        <f t="shared" si="161"/>
        <v>1.3309044707156582E-2</v>
      </c>
      <c r="G2567">
        <f t="shared" si="162"/>
        <v>-0.7286376953125</v>
      </c>
      <c r="H2567">
        <f t="shared" si="163"/>
        <v>1.1699981689453125</v>
      </c>
    </row>
    <row r="2568" spans="1:8" x14ac:dyDescent="0.2">
      <c r="A2568" t="s">
        <v>13</v>
      </c>
      <c r="B2568" s="2">
        <v>44862</v>
      </c>
      <c r="C2568">
        <v>38.855442047119141</v>
      </c>
      <c r="D2568">
        <f>_xlfn.XLOOKUP(B2568, Oil_Price!A:A, Oil_Price!B:B, "")</f>
        <v>87.900001525878906</v>
      </c>
      <c r="E2568">
        <f t="shared" si="160"/>
        <v>1.0577422014443923E-2</v>
      </c>
      <c r="F2568">
        <f t="shared" si="161"/>
        <v>-1.3246523135615997E-2</v>
      </c>
      <c r="G2568">
        <f t="shared" si="162"/>
        <v>0.40668869018555398</v>
      </c>
      <c r="H2568">
        <f t="shared" si="163"/>
        <v>-1.1800003051757812</v>
      </c>
    </row>
    <row r="2569" spans="1:8" x14ac:dyDescent="0.2">
      <c r="A2569" t="s">
        <v>13</v>
      </c>
      <c r="B2569" s="2">
        <v>44865</v>
      </c>
      <c r="C2569">
        <v>39.702693939208977</v>
      </c>
      <c r="D2569">
        <f>_xlfn.XLOOKUP(B2569, Oil_Price!A:A, Oil_Price!B:B, "")</f>
        <v>86.529998779296875</v>
      </c>
      <c r="E2569">
        <f t="shared" si="160"/>
        <v>2.180523106808032E-2</v>
      </c>
      <c r="F2569">
        <f t="shared" si="161"/>
        <v>-1.5585924036402713E-2</v>
      </c>
      <c r="G2569">
        <f t="shared" si="162"/>
        <v>0.84725189208983664</v>
      </c>
      <c r="H2569">
        <f t="shared" si="163"/>
        <v>-1.3700027465820312</v>
      </c>
    </row>
    <row r="2570" spans="1:8" x14ac:dyDescent="0.2">
      <c r="A2570" t="s">
        <v>13</v>
      </c>
      <c r="B2570" s="2">
        <v>44866</v>
      </c>
      <c r="C2570">
        <v>40.4398193359375</v>
      </c>
      <c r="D2570">
        <f>_xlfn.XLOOKUP(B2570, Oil_Price!A:A, Oil_Price!B:B, "")</f>
        <v>88.370002746582031</v>
      </c>
      <c r="E2570">
        <f t="shared" si="160"/>
        <v>1.8566130496262465E-2</v>
      </c>
      <c r="F2570">
        <f t="shared" si="161"/>
        <v>2.1264347547008108E-2</v>
      </c>
      <c r="G2570">
        <f t="shared" si="162"/>
        <v>0.73712539672852273</v>
      </c>
      <c r="H2570">
        <f t="shared" si="163"/>
        <v>1.8400039672851562</v>
      </c>
    </row>
    <row r="2571" spans="1:8" x14ac:dyDescent="0.2">
      <c r="A2571" t="s">
        <v>13</v>
      </c>
      <c r="B2571" s="2">
        <v>44867</v>
      </c>
      <c r="C2571">
        <v>39.533245086669922</v>
      </c>
      <c r="D2571">
        <f>_xlfn.XLOOKUP(B2571, Oil_Price!A:A, Oil_Price!B:B, "")</f>
        <v>90</v>
      </c>
      <c r="E2571">
        <f t="shared" si="160"/>
        <v>-2.2417861013091525E-2</v>
      </c>
      <c r="F2571">
        <f t="shared" si="161"/>
        <v>1.8445142047718379E-2</v>
      </c>
      <c r="G2571">
        <f t="shared" si="162"/>
        <v>-0.90657424926757812</v>
      </c>
      <c r="H2571">
        <f t="shared" si="163"/>
        <v>1.6299972534179688</v>
      </c>
    </row>
    <row r="2572" spans="1:8" x14ac:dyDescent="0.2">
      <c r="A2572" t="s">
        <v>13</v>
      </c>
      <c r="B2572" s="2">
        <v>44868</v>
      </c>
      <c r="C2572">
        <v>41.066787719726562</v>
      </c>
      <c r="D2572">
        <f>_xlfn.XLOOKUP(B2572, Oil_Price!A:A, Oil_Price!B:B, "")</f>
        <v>88.169998168945312</v>
      </c>
      <c r="E2572">
        <f t="shared" si="160"/>
        <v>3.879121558816153E-2</v>
      </c>
      <c r="F2572">
        <f t="shared" si="161"/>
        <v>-2.0333353678385416E-2</v>
      </c>
      <c r="G2572">
        <f t="shared" si="162"/>
        <v>1.5335426330566406</v>
      </c>
      <c r="H2572">
        <f t="shared" si="163"/>
        <v>-1.8300018310546875</v>
      </c>
    </row>
    <row r="2573" spans="1:8" x14ac:dyDescent="0.2">
      <c r="A2573" t="s">
        <v>13</v>
      </c>
      <c r="B2573" s="2">
        <v>44869</v>
      </c>
      <c r="C2573">
        <v>41.26165771484375</v>
      </c>
      <c r="D2573">
        <f>_xlfn.XLOOKUP(B2573, Oil_Price!A:A, Oil_Price!B:B, "")</f>
        <v>92.610000610351562</v>
      </c>
      <c r="E2573">
        <f t="shared" si="160"/>
        <v>4.745196932546567E-3</v>
      </c>
      <c r="F2573">
        <f t="shared" si="161"/>
        <v>5.0357293111185294E-2</v>
      </c>
      <c r="G2573">
        <f t="shared" si="162"/>
        <v>0.1948699951171875</v>
      </c>
      <c r="H2573">
        <f t="shared" si="163"/>
        <v>4.44000244140625</v>
      </c>
    </row>
    <row r="2574" spans="1:8" x14ac:dyDescent="0.2">
      <c r="A2574" t="s">
        <v>13</v>
      </c>
      <c r="B2574" s="2">
        <v>44872</v>
      </c>
      <c r="C2574">
        <v>41.346382141113281</v>
      </c>
      <c r="D2574">
        <f>_xlfn.XLOOKUP(B2574, Oil_Price!A:A, Oil_Price!B:B, "")</f>
        <v>91.790000915527344</v>
      </c>
      <c r="E2574">
        <f t="shared" si="160"/>
        <v>2.0533451868331482E-3</v>
      </c>
      <c r="F2574">
        <f t="shared" si="161"/>
        <v>-8.8543320313137167E-3</v>
      </c>
      <c r="G2574">
        <f t="shared" si="162"/>
        <v>8.472442626953125E-2</v>
      </c>
      <c r="H2574">
        <f t="shared" si="163"/>
        <v>-0.81999969482421875</v>
      </c>
    </row>
    <row r="2575" spans="1:8" x14ac:dyDescent="0.2">
      <c r="A2575" t="s">
        <v>13</v>
      </c>
      <c r="B2575" s="2">
        <v>44873</v>
      </c>
      <c r="C2575">
        <v>40.94818115234375</v>
      </c>
      <c r="D2575">
        <f>_xlfn.XLOOKUP(B2575, Oil_Price!A:A, Oil_Price!B:B, "")</f>
        <v>88.910003662109375</v>
      </c>
      <c r="E2575">
        <f t="shared" si="160"/>
        <v>-9.630854458087524E-3</v>
      </c>
      <c r="F2575">
        <f t="shared" si="161"/>
        <v>-3.137593664552174E-2</v>
      </c>
      <c r="G2575">
        <f t="shared" si="162"/>
        <v>-0.39820098876953125</v>
      </c>
      <c r="H2575">
        <f t="shared" si="163"/>
        <v>-2.8799972534179688</v>
      </c>
    </row>
    <row r="2576" spans="1:8" x14ac:dyDescent="0.2">
      <c r="A2576" t="s">
        <v>13</v>
      </c>
      <c r="B2576" s="2">
        <v>44874</v>
      </c>
      <c r="C2576">
        <v>39.524776458740227</v>
      </c>
      <c r="D2576">
        <f>_xlfn.XLOOKUP(B2576, Oil_Price!A:A, Oil_Price!B:B, "")</f>
        <v>85.830001831054688</v>
      </c>
      <c r="E2576">
        <f t="shared" si="160"/>
        <v>-3.4761121337914452E-2</v>
      </c>
      <c r="F2576">
        <f t="shared" si="161"/>
        <v>-3.464179174662757E-2</v>
      </c>
      <c r="G2576">
        <f t="shared" si="162"/>
        <v>-1.4234046936035227</v>
      </c>
      <c r="H2576">
        <f t="shared" si="163"/>
        <v>-3.0800018310546875</v>
      </c>
    </row>
    <row r="2577" spans="1:8" x14ac:dyDescent="0.2">
      <c r="A2577" t="s">
        <v>13</v>
      </c>
      <c r="B2577" s="2">
        <v>44875</v>
      </c>
      <c r="C2577">
        <v>40.414402008056641</v>
      </c>
      <c r="D2577">
        <f>_xlfn.XLOOKUP(B2577, Oil_Price!A:A, Oil_Price!B:B, "")</f>
        <v>86.470001220703125</v>
      </c>
      <c r="E2577">
        <f t="shared" si="160"/>
        <v>2.2508047584913992E-2</v>
      </c>
      <c r="F2577">
        <f t="shared" si="161"/>
        <v>7.4565929860772222E-3</v>
      </c>
      <c r="G2577">
        <f t="shared" si="162"/>
        <v>0.88962554931641336</v>
      </c>
      <c r="H2577">
        <f t="shared" si="163"/>
        <v>0.6399993896484375</v>
      </c>
    </row>
    <row r="2578" spans="1:8" x14ac:dyDescent="0.2">
      <c r="A2578" t="s">
        <v>13</v>
      </c>
      <c r="B2578" s="2">
        <v>44876</v>
      </c>
      <c r="C2578">
        <v>41.320964813232422</v>
      </c>
      <c r="D2578">
        <f>_xlfn.XLOOKUP(B2578, Oil_Price!A:A, Oil_Price!B:B, "")</f>
        <v>88.959999084472656</v>
      </c>
      <c r="E2578">
        <f t="shared" si="160"/>
        <v>2.2431676831320115E-2</v>
      </c>
      <c r="F2578">
        <f t="shared" si="161"/>
        <v>2.8796089147890079E-2</v>
      </c>
      <c r="G2578">
        <f t="shared" si="162"/>
        <v>0.90656280517578125</v>
      </c>
      <c r="H2578">
        <f t="shared" si="163"/>
        <v>2.4899978637695312</v>
      </c>
    </row>
    <row r="2579" spans="1:8" x14ac:dyDescent="0.2">
      <c r="A2579" t="s">
        <v>13</v>
      </c>
      <c r="B2579" s="2">
        <v>44879</v>
      </c>
      <c r="C2579">
        <v>40.854972839355469</v>
      </c>
      <c r="D2579">
        <f>_xlfn.XLOOKUP(B2579, Oil_Price!A:A, Oil_Price!B:B, "")</f>
        <v>85.870002746582031</v>
      </c>
      <c r="E2579">
        <f t="shared" si="160"/>
        <v>-1.1277373991222155E-2</v>
      </c>
      <c r="F2579">
        <f t="shared" si="161"/>
        <v>-3.4734671421888109E-2</v>
      </c>
      <c r="G2579">
        <f t="shared" si="162"/>
        <v>-0.46599197387695312</v>
      </c>
      <c r="H2579">
        <f t="shared" si="163"/>
        <v>-3.089996337890625</v>
      </c>
    </row>
    <row r="2580" spans="1:8" x14ac:dyDescent="0.2">
      <c r="A2580" t="s">
        <v>13</v>
      </c>
      <c r="B2580" s="2">
        <v>44880</v>
      </c>
      <c r="C2580">
        <v>41.676811218261719</v>
      </c>
      <c r="D2580">
        <f>_xlfn.XLOOKUP(B2580, Oil_Price!A:A, Oil_Price!B:B, "")</f>
        <v>86.919998168945312</v>
      </c>
      <c r="E2580">
        <f t="shared" si="160"/>
        <v>2.0115993765013E-2</v>
      </c>
      <c r="F2580">
        <f t="shared" si="161"/>
        <v>1.222773248839887E-2</v>
      </c>
      <c r="G2580">
        <f t="shared" si="162"/>
        <v>0.82183837890625</v>
      </c>
      <c r="H2580">
        <f t="shared" si="163"/>
        <v>1.0499954223632812</v>
      </c>
    </row>
    <row r="2581" spans="1:8" x14ac:dyDescent="0.2">
      <c r="A2581" t="s">
        <v>13</v>
      </c>
      <c r="B2581" s="2">
        <v>44881</v>
      </c>
      <c r="C2581">
        <v>40.931224822998047</v>
      </c>
      <c r="D2581">
        <f>_xlfn.XLOOKUP(B2581, Oil_Price!A:A, Oil_Price!B:B, "")</f>
        <v>85.589996337890625</v>
      </c>
      <c r="E2581">
        <f t="shared" si="160"/>
        <v>-1.7889717890340297E-2</v>
      </c>
      <c r="F2581">
        <f t="shared" si="161"/>
        <v>-1.5301447987488214E-2</v>
      </c>
      <c r="G2581">
        <f t="shared" si="162"/>
        <v>-0.74558639526367188</v>
      </c>
      <c r="H2581">
        <f t="shared" si="163"/>
        <v>-1.3300018310546875</v>
      </c>
    </row>
    <row r="2582" spans="1:8" x14ac:dyDescent="0.2">
      <c r="A2582" t="s">
        <v>13</v>
      </c>
      <c r="B2582" s="2">
        <v>44882</v>
      </c>
      <c r="C2582">
        <v>40.956642150878913</v>
      </c>
      <c r="D2582">
        <f>_xlfn.XLOOKUP(B2582, Oil_Price!A:A, Oil_Price!B:B, "")</f>
        <v>81.639999389648438</v>
      </c>
      <c r="E2582">
        <f t="shared" si="160"/>
        <v>6.2097647922290449E-4</v>
      </c>
      <c r="F2582">
        <f t="shared" si="161"/>
        <v>-4.6150217516641334E-2</v>
      </c>
      <c r="G2582">
        <f t="shared" si="162"/>
        <v>2.541732788086648E-2</v>
      </c>
      <c r="H2582">
        <f t="shared" si="163"/>
        <v>-3.9499969482421875</v>
      </c>
    </row>
    <row r="2583" spans="1:8" x14ac:dyDescent="0.2">
      <c r="A2583" t="s">
        <v>13</v>
      </c>
      <c r="B2583" s="2">
        <v>44883</v>
      </c>
      <c r="C2583">
        <v>40.380508422851562</v>
      </c>
      <c r="D2583">
        <f>_xlfn.XLOOKUP(B2583, Oil_Price!A:A, Oil_Price!B:B, "")</f>
        <v>80.080001831054688</v>
      </c>
      <c r="E2583">
        <f t="shared" si="160"/>
        <v>-1.4066918032609938E-2</v>
      </c>
      <c r="F2583">
        <f t="shared" si="161"/>
        <v>-1.9108250493097754E-2</v>
      </c>
      <c r="G2583">
        <f t="shared" si="162"/>
        <v>-0.57613372802735086</v>
      </c>
      <c r="H2583">
        <f t="shared" si="163"/>
        <v>-1.55999755859375</v>
      </c>
    </row>
    <row r="2584" spans="1:8" x14ac:dyDescent="0.2">
      <c r="A2584" t="s">
        <v>13</v>
      </c>
      <c r="B2584" s="2">
        <v>44886</v>
      </c>
      <c r="C2584">
        <v>40.092433929443359</v>
      </c>
      <c r="D2584">
        <f>_xlfn.XLOOKUP(B2584, Oil_Price!A:A, Oil_Price!B:B, "")</f>
        <v>79.730003356933594</v>
      </c>
      <c r="E2584">
        <f t="shared" si="160"/>
        <v>-7.1339986706353631E-3</v>
      </c>
      <c r="F2584">
        <f t="shared" si="161"/>
        <v>-4.3706102162620808E-3</v>
      </c>
      <c r="G2584">
        <f t="shared" si="162"/>
        <v>-0.28807449340820312</v>
      </c>
      <c r="H2584">
        <f t="shared" si="163"/>
        <v>-0.34999847412109375</v>
      </c>
    </row>
    <row r="2585" spans="1:8" x14ac:dyDescent="0.2">
      <c r="A2585" t="s">
        <v>13</v>
      </c>
      <c r="B2585" s="2">
        <v>44887</v>
      </c>
      <c r="C2585">
        <v>40.914283752441413</v>
      </c>
      <c r="D2585">
        <f>_xlfn.XLOOKUP(B2585, Oil_Price!A:A, Oil_Price!B:B, "")</f>
        <v>80.949996948242188</v>
      </c>
      <c r="E2585">
        <f t="shared" si="160"/>
        <v>2.0498875784004177E-2</v>
      </c>
      <c r="F2585">
        <f t="shared" si="161"/>
        <v>1.5301562021099538E-2</v>
      </c>
      <c r="G2585">
        <f t="shared" si="162"/>
        <v>0.82184982299805398</v>
      </c>
      <c r="H2585">
        <f t="shared" si="163"/>
        <v>1.2199935913085938</v>
      </c>
    </row>
    <row r="2586" spans="1:8" x14ac:dyDescent="0.2">
      <c r="A2586" t="s">
        <v>13</v>
      </c>
      <c r="B2586" s="2">
        <v>44888</v>
      </c>
      <c r="C2586">
        <v>40.431346893310547</v>
      </c>
      <c r="D2586">
        <f>_xlfn.XLOOKUP(B2586, Oil_Price!A:A, Oil_Price!B:B, "")</f>
        <v>77.94000244140625</v>
      </c>
      <c r="E2586">
        <f t="shared" si="160"/>
        <v>-1.1803624916250647E-2</v>
      </c>
      <c r="F2586">
        <f t="shared" si="161"/>
        <v>-3.7183380115016776E-2</v>
      </c>
      <c r="G2586">
        <f t="shared" si="162"/>
        <v>-0.48293685913086648</v>
      </c>
      <c r="H2586">
        <f t="shared" si="163"/>
        <v>-3.0099945068359375</v>
      </c>
    </row>
    <row r="2587" spans="1:8" x14ac:dyDescent="0.2">
      <c r="A2587" t="s">
        <v>13</v>
      </c>
      <c r="B2587" s="2">
        <v>44889</v>
      </c>
      <c r="C2587">
        <v>40.507598876953118</v>
      </c>
      <c r="D2587" t="str">
        <f>_xlfn.XLOOKUP(B2587, Oil_Price!A:A, Oil_Price!B:B, "")</f>
        <v/>
      </c>
      <c r="E2587">
        <f t="shared" si="160"/>
        <v>1.8859619948794501E-3</v>
      </c>
      <c r="F2587" t="str">
        <f t="shared" si="161"/>
        <v/>
      </c>
      <c r="G2587">
        <f t="shared" si="162"/>
        <v>7.625198364257102E-2</v>
      </c>
      <c r="H2587" t="str">
        <f t="shared" si="163"/>
        <v/>
      </c>
    </row>
    <row r="2588" spans="1:8" x14ac:dyDescent="0.2">
      <c r="A2588" t="s">
        <v>13</v>
      </c>
      <c r="B2588" s="2">
        <v>44890</v>
      </c>
      <c r="C2588">
        <v>40.143276214599609</v>
      </c>
      <c r="D2588">
        <f>_xlfn.XLOOKUP(B2588, Oil_Price!A:A, Oil_Price!B:B, "")</f>
        <v>76.279998779296875</v>
      </c>
      <c r="E2588">
        <f t="shared" si="160"/>
        <v>-8.9939337915383236E-3</v>
      </c>
      <c r="F2588" t="str">
        <f t="shared" si="161"/>
        <v/>
      </c>
      <c r="G2588">
        <f t="shared" si="162"/>
        <v>-0.36432266235350852</v>
      </c>
      <c r="H2588" t="str">
        <f t="shared" si="163"/>
        <v/>
      </c>
    </row>
    <row r="2589" spans="1:8" x14ac:dyDescent="0.2">
      <c r="A2589" t="s">
        <v>13</v>
      </c>
      <c r="B2589" s="2">
        <v>44893</v>
      </c>
      <c r="C2589">
        <v>39.143497467041023</v>
      </c>
      <c r="D2589">
        <f>_xlfn.XLOOKUP(B2589, Oil_Price!A:A, Oil_Price!B:B, "")</f>
        <v>77.239997863769531</v>
      </c>
      <c r="E2589">
        <f t="shared" si="160"/>
        <v>-2.4905260403110287E-2</v>
      </c>
      <c r="F2589">
        <f t="shared" si="161"/>
        <v>1.2585200574665049E-2</v>
      </c>
      <c r="G2589">
        <f t="shared" si="162"/>
        <v>-0.99977874755858664</v>
      </c>
      <c r="H2589">
        <f t="shared" si="163"/>
        <v>0.95999908447265625</v>
      </c>
    </row>
    <row r="2590" spans="1:8" x14ac:dyDescent="0.2">
      <c r="A2590" t="s">
        <v>13</v>
      </c>
      <c r="B2590" s="2">
        <v>44894</v>
      </c>
      <c r="C2590">
        <v>38.491119384765618</v>
      </c>
      <c r="D2590">
        <f>_xlfn.XLOOKUP(B2590, Oil_Price!A:A, Oil_Price!B:B, "")</f>
        <v>78.199996948242188</v>
      </c>
      <c r="E2590">
        <f t="shared" si="160"/>
        <v>-1.6666320704344564E-2</v>
      </c>
      <c r="F2590">
        <f t="shared" si="161"/>
        <v>1.242878186203261E-2</v>
      </c>
      <c r="G2590">
        <f t="shared" si="162"/>
        <v>-0.65237808227540484</v>
      </c>
      <c r="H2590">
        <f t="shared" si="163"/>
        <v>0.95999908447265625</v>
      </c>
    </row>
    <row r="2591" spans="1:8" x14ac:dyDescent="0.2">
      <c r="A2591" t="s">
        <v>13</v>
      </c>
      <c r="B2591" s="2">
        <v>44895</v>
      </c>
      <c r="C2591">
        <v>37.474403381347663</v>
      </c>
      <c r="D2591">
        <f>_xlfn.XLOOKUP(B2591, Oil_Price!A:A, Oil_Price!B:B, "")</f>
        <v>80.550003051757812</v>
      </c>
      <c r="E2591">
        <f t="shared" si="160"/>
        <v>-2.6414300744403919E-2</v>
      </c>
      <c r="F2591">
        <f t="shared" si="161"/>
        <v>3.0051230117962933E-2</v>
      </c>
      <c r="G2591">
        <f t="shared" si="162"/>
        <v>-1.0167160034179545</v>
      </c>
      <c r="H2591">
        <f t="shared" si="163"/>
        <v>2.350006103515625</v>
      </c>
    </row>
    <row r="2592" spans="1:8" x14ac:dyDescent="0.2">
      <c r="A2592" t="s">
        <v>13</v>
      </c>
      <c r="B2592" s="2">
        <v>44896</v>
      </c>
      <c r="C2592">
        <v>37.011432647705078</v>
      </c>
      <c r="D2592">
        <f>_xlfn.XLOOKUP(B2592, Oil_Price!A:A, Oil_Price!B:B, "")</f>
        <v>81.220001220703125</v>
      </c>
      <c r="E2592">
        <f t="shared" si="160"/>
        <v>-1.2354318998258479E-2</v>
      </c>
      <c r="F2592">
        <f t="shared" si="161"/>
        <v>8.3177919746918166E-3</v>
      </c>
      <c r="G2592">
        <f t="shared" si="162"/>
        <v>-0.46297073364258523</v>
      </c>
      <c r="H2592">
        <f t="shared" si="163"/>
        <v>0.6699981689453125</v>
      </c>
    </row>
    <row r="2593" spans="1:8" x14ac:dyDescent="0.2">
      <c r="A2593" t="s">
        <v>13</v>
      </c>
      <c r="B2593" s="2">
        <v>44897</v>
      </c>
      <c r="C2593">
        <v>36.865684509277337</v>
      </c>
      <c r="D2593">
        <f>_xlfn.XLOOKUP(B2593, Oil_Price!A:A, Oil_Price!B:B, "")</f>
        <v>79.980003356933594</v>
      </c>
      <c r="E2593">
        <f t="shared" si="160"/>
        <v>-3.9379220959926478E-3</v>
      </c>
      <c r="F2593">
        <f t="shared" si="161"/>
        <v>-1.5267149041281392E-2</v>
      </c>
      <c r="G2593">
        <f t="shared" si="162"/>
        <v>-0.14574813842774148</v>
      </c>
      <c r="H2593">
        <f t="shared" si="163"/>
        <v>-1.2399978637695312</v>
      </c>
    </row>
    <row r="2594" spans="1:8" x14ac:dyDescent="0.2">
      <c r="A2594" t="s">
        <v>13</v>
      </c>
      <c r="B2594" s="2">
        <v>44900</v>
      </c>
      <c r="C2594">
        <v>36.205532073974609</v>
      </c>
      <c r="D2594">
        <f>_xlfn.XLOOKUP(B2594, Oil_Price!A:A, Oil_Price!B:B, "")</f>
        <v>76.930000305175781</v>
      </c>
      <c r="E2594">
        <f t="shared" si="160"/>
        <v>-1.7906962642633105E-2</v>
      </c>
      <c r="F2594">
        <f t="shared" si="161"/>
        <v>-3.8134570189329739E-2</v>
      </c>
      <c r="G2594">
        <f t="shared" si="162"/>
        <v>-0.66015243530272727</v>
      </c>
      <c r="H2594">
        <f t="shared" si="163"/>
        <v>-3.0500030517578125</v>
      </c>
    </row>
    <row r="2595" spans="1:8" x14ac:dyDescent="0.2">
      <c r="A2595" t="s">
        <v>13</v>
      </c>
      <c r="B2595" s="2">
        <v>44901</v>
      </c>
      <c r="C2595">
        <v>35.090984344482422</v>
      </c>
      <c r="D2595">
        <f>_xlfn.XLOOKUP(B2595, Oil_Price!A:A, Oil_Price!B:B, "")</f>
        <v>74.25</v>
      </c>
      <c r="E2595">
        <f t="shared" si="160"/>
        <v>-3.0783906923808217E-2</v>
      </c>
      <c r="F2595">
        <f t="shared" si="161"/>
        <v>-3.4836868510911383E-2</v>
      </c>
      <c r="G2595">
        <f t="shared" si="162"/>
        <v>-1.1145477294921875</v>
      </c>
      <c r="H2595">
        <f t="shared" si="163"/>
        <v>-2.6800003051757812</v>
      </c>
    </row>
    <row r="2596" spans="1:8" x14ac:dyDescent="0.2">
      <c r="A2596" t="s">
        <v>13</v>
      </c>
      <c r="B2596" s="2">
        <v>44902</v>
      </c>
      <c r="C2596">
        <v>34.859512329101562</v>
      </c>
      <c r="D2596">
        <f>_xlfn.XLOOKUP(B2596, Oil_Price!A:A, Oil_Price!B:B, "")</f>
        <v>72.010002136230469</v>
      </c>
      <c r="E2596">
        <f t="shared" si="160"/>
        <v>-6.596338623862376E-3</v>
      </c>
      <c r="F2596">
        <f t="shared" si="161"/>
        <v>-3.0168321397569444E-2</v>
      </c>
      <c r="G2596">
        <f t="shared" si="162"/>
        <v>-0.23147201538085938</v>
      </c>
      <c r="H2596">
        <f t="shared" si="163"/>
        <v>-2.2399978637695312</v>
      </c>
    </row>
    <row r="2597" spans="1:8" x14ac:dyDescent="0.2">
      <c r="A2597" t="s">
        <v>13</v>
      </c>
      <c r="B2597" s="2">
        <v>44903</v>
      </c>
      <c r="C2597">
        <v>34.825210571289062</v>
      </c>
      <c r="D2597">
        <f>_xlfn.XLOOKUP(B2597, Oil_Price!A:A, Oil_Price!B:B, "")</f>
        <v>71.459999084472656</v>
      </c>
      <c r="E2597">
        <f t="shared" si="160"/>
        <v>-9.8399993346619664E-4</v>
      </c>
      <c r="F2597">
        <f t="shared" si="161"/>
        <v>-7.6378702324893955E-3</v>
      </c>
      <c r="G2597">
        <f t="shared" si="162"/>
        <v>-3.43017578125E-2</v>
      </c>
      <c r="H2597">
        <f t="shared" si="163"/>
        <v>-0.5500030517578125</v>
      </c>
    </row>
    <row r="2598" spans="1:8" x14ac:dyDescent="0.2">
      <c r="A2598" t="s">
        <v>13</v>
      </c>
      <c r="B2598" s="2">
        <v>44904</v>
      </c>
      <c r="C2598">
        <v>34.619449615478523</v>
      </c>
      <c r="D2598">
        <f>_xlfn.XLOOKUP(B2598, Oil_Price!A:A, Oil_Price!B:B, "")</f>
        <v>71.019996643066406</v>
      </c>
      <c r="E2598">
        <f t="shared" si="160"/>
        <v>-5.908390859240783E-3</v>
      </c>
      <c r="F2598">
        <f t="shared" si="161"/>
        <v>-6.1573250355926312E-3</v>
      </c>
      <c r="G2598">
        <f t="shared" si="162"/>
        <v>-0.20576095581053977</v>
      </c>
      <c r="H2598">
        <f t="shared" si="163"/>
        <v>-0.44000244140625</v>
      </c>
    </row>
    <row r="2599" spans="1:8" x14ac:dyDescent="0.2">
      <c r="A2599" t="s">
        <v>13</v>
      </c>
      <c r="B2599" s="2">
        <v>44907</v>
      </c>
      <c r="C2599">
        <v>35.451072692871087</v>
      </c>
      <c r="D2599">
        <f>_xlfn.XLOOKUP(B2599, Oil_Price!A:A, Oil_Price!B:B, "")</f>
        <v>73.169998168945312</v>
      </c>
      <c r="E2599">
        <f t="shared" si="160"/>
        <v>2.4021845714749353E-2</v>
      </c>
      <c r="F2599">
        <f t="shared" si="161"/>
        <v>3.0273185405575602E-2</v>
      </c>
      <c r="G2599">
        <f t="shared" si="162"/>
        <v>0.83162307739256391</v>
      </c>
      <c r="H2599">
        <f t="shared" si="163"/>
        <v>2.1500015258789062</v>
      </c>
    </row>
    <row r="2600" spans="1:8" x14ac:dyDescent="0.2">
      <c r="A2600" t="s">
        <v>13</v>
      </c>
      <c r="B2600" s="2">
        <v>44908</v>
      </c>
      <c r="C2600">
        <v>36.145519256591797</v>
      </c>
      <c r="D2600">
        <f>_xlfn.XLOOKUP(B2600, Oil_Price!A:A, Oil_Price!B:B, "")</f>
        <v>75.389999389648438</v>
      </c>
      <c r="E2600">
        <f t="shared" si="160"/>
        <v>1.9588873085365274E-2</v>
      </c>
      <c r="F2600">
        <f t="shared" si="161"/>
        <v>3.0340320845399914E-2</v>
      </c>
      <c r="G2600">
        <f t="shared" si="162"/>
        <v>0.69444656372071023</v>
      </c>
      <c r="H2600">
        <f t="shared" si="163"/>
        <v>2.220001220703125</v>
      </c>
    </row>
    <row r="2601" spans="1:8" x14ac:dyDescent="0.2">
      <c r="A2601" t="s">
        <v>13</v>
      </c>
      <c r="B2601" s="2">
        <v>44909</v>
      </c>
      <c r="C2601">
        <v>36.162673950195312</v>
      </c>
      <c r="D2601">
        <f>_xlfn.XLOOKUP(B2601, Oil_Price!A:A, Oil_Price!B:B, "")</f>
        <v>77.279998779296875</v>
      </c>
      <c r="E2601">
        <f t="shared" si="160"/>
        <v>4.7460083452493639E-4</v>
      </c>
      <c r="F2601">
        <f t="shared" si="161"/>
        <v>2.5069629990048088E-2</v>
      </c>
      <c r="G2601">
        <f t="shared" si="162"/>
        <v>1.7154693603515625E-2</v>
      </c>
      <c r="H2601">
        <f t="shared" si="163"/>
        <v>1.8899993896484375</v>
      </c>
    </row>
    <row r="2602" spans="1:8" x14ac:dyDescent="0.2">
      <c r="A2602" t="s">
        <v>13</v>
      </c>
      <c r="B2602" s="2">
        <v>44910</v>
      </c>
      <c r="C2602">
        <v>35.77685546875</v>
      </c>
      <c r="D2602">
        <f>_xlfn.XLOOKUP(B2602, Oil_Price!A:A, Oil_Price!B:B, "")</f>
        <v>76.110000610351562</v>
      </c>
      <c r="E2602">
        <f t="shared" si="160"/>
        <v>-1.0668969943336524E-2</v>
      </c>
      <c r="F2602">
        <f t="shared" si="161"/>
        <v>-1.5139728098168038E-2</v>
      </c>
      <c r="G2602">
        <f t="shared" si="162"/>
        <v>-0.3858184814453125</v>
      </c>
      <c r="H2602">
        <f t="shared" si="163"/>
        <v>-1.1699981689453125</v>
      </c>
    </row>
    <row r="2603" spans="1:8" x14ac:dyDescent="0.2">
      <c r="A2603" t="s">
        <v>13</v>
      </c>
      <c r="B2603" s="2">
        <v>44911</v>
      </c>
      <c r="C2603">
        <v>35.125286102294922</v>
      </c>
      <c r="D2603">
        <f>_xlfn.XLOOKUP(B2603, Oil_Price!A:A, Oil_Price!B:B, "")</f>
        <v>74.290000915527344</v>
      </c>
      <c r="E2603">
        <f t="shared" si="160"/>
        <v>-1.8212035628011082E-2</v>
      </c>
      <c r="F2603">
        <f t="shared" si="161"/>
        <v>-2.3912753649047856E-2</v>
      </c>
      <c r="G2603">
        <f t="shared" si="162"/>
        <v>-0.65156936645507812</v>
      </c>
      <c r="H2603">
        <f t="shared" si="163"/>
        <v>-1.8199996948242188</v>
      </c>
    </row>
    <row r="2604" spans="1:8" x14ac:dyDescent="0.2">
      <c r="A2604" t="s">
        <v>13</v>
      </c>
      <c r="B2604" s="2">
        <v>44914</v>
      </c>
      <c r="C2604">
        <v>34.808063507080078</v>
      </c>
      <c r="D2604">
        <f>_xlfn.XLOOKUP(B2604, Oil_Price!A:A, Oil_Price!B:B, "")</f>
        <v>75.19000244140625</v>
      </c>
      <c r="E2604">
        <f t="shared" si="160"/>
        <v>-9.0311747010686384E-3</v>
      </c>
      <c r="F2604">
        <f t="shared" si="161"/>
        <v>1.2114706081404787E-2</v>
      </c>
      <c r="G2604">
        <f t="shared" si="162"/>
        <v>-0.31722259521484375</v>
      </c>
      <c r="H2604">
        <f t="shared" si="163"/>
        <v>0.90000152587890625</v>
      </c>
    </row>
    <row r="2605" spans="1:8" x14ac:dyDescent="0.2">
      <c r="A2605" t="s">
        <v>13</v>
      </c>
      <c r="B2605" s="2">
        <v>44915</v>
      </c>
      <c r="C2605">
        <v>35.365337371826172</v>
      </c>
      <c r="D2605">
        <f>_xlfn.XLOOKUP(B2605, Oil_Price!A:A, Oil_Price!B:B, "")</f>
        <v>76.089996337890625</v>
      </c>
      <c r="E2605">
        <f t="shared" si="160"/>
        <v>1.6009907147886648E-2</v>
      </c>
      <c r="F2605">
        <f t="shared" si="161"/>
        <v>1.1969595255509115E-2</v>
      </c>
      <c r="G2605">
        <f t="shared" si="162"/>
        <v>0.55727386474609375</v>
      </c>
      <c r="H2605">
        <f t="shared" si="163"/>
        <v>0.899993896484375</v>
      </c>
    </row>
    <row r="2606" spans="1:8" x14ac:dyDescent="0.2">
      <c r="A2606" t="s">
        <v>13</v>
      </c>
      <c r="B2606" s="2">
        <v>44916</v>
      </c>
      <c r="C2606">
        <v>36.256977081298828</v>
      </c>
      <c r="D2606">
        <f>_xlfn.XLOOKUP(B2606, Oil_Price!A:A, Oil_Price!B:B, "")</f>
        <v>78.290000915527344</v>
      </c>
      <c r="E2606">
        <f t="shared" si="160"/>
        <v>2.5212249500070706E-2</v>
      </c>
      <c r="F2606">
        <f t="shared" si="161"/>
        <v>2.8913190741490152E-2</v>
      </c>
      <c r="G2606">
        <f t="shared" si="162"/>
        <v>0.89163970947265625</v>
      </c>
      <c r="H2606">
        <f t="shared" si="163"/>
        <v>2.2000045776367188</v>
      </c>
    </row>
    <row r="2607" spans="1:8" x14ac:dyDescent="0.2">
      <c r="A2607" t="s">
        <v>13</v>
      </c>
      <c r="B2607" s="2">
        <v>44917</v>
      </c>
      <c r="C2607">
        <v>35.502510070800781</v>
      </c>
      <c r="D2607">
        <f>_xlfn.XLOOKUP(B2607, Oil_Price!A:A, Oil_Price!B:B, "")</f>
        <v>77.489997863769531</v>
      </c>
      <c r="E2607">
        <f t="shared" si="160"/>
        <v>-2.0808877938342997E-2</v>
      </c>
      <c r="F2607">
        <f t="shared" si="161"/>
        <v>-1.0218457560384918E-2</v>
      </c>
      <c r="G2607">
        <f t="shared" si="162"/>
        <v>-0.75446701049804688</v>
      </c>
      <c r="H2607">
        <f t="shared" si="163"/>
        <v>-0.8000030517578125</v>
      </c>
    </row>
    <row r="2608" spans="1:8" x14ac:dyDescent="0.2">
      <c r="A2608" t="s">
        <v>13</v>
      </c>
      <c r="B2608" s="2">
        <v>44918</v>
      </c>
      <c r="C2608">
        <v>36.702785491943359</v>
      </c>
      <c r="D2608">
        <f>_xlfn.XLOOKUP(B2608, Oil_Price!A:A, Oil_Price!B:B, "")</f>
        <v>79.55999755859375</v>
      </c>
      <c r="E2608">
        <f t="shared" si="160"/>
        <v>3.3808184794509803E-2</v>
      </c>
      <c r="F2608">
        <f t="shared" si="161"/>
        <v>2.6713121072262251E-2</v>
      </c>
      <c r="G2608">
        <f t="shared" si="162"/>
        <v>1.2002754211425781</v>
      </c>
      <c r="H2608">
        <f t="shared" si="163"/>
        <v>2.0699996948242188</v>
      </c>
    </row>
    <row r="2609" spans="1:8" x14ac:dyDescent="0.2">
      <c r="A2609" t="s">
        <v>13</v>
      </c>
      <c r="B2609" s="2">
        <v>44923</v>
      </c>
      <c r="C2609">
        <v>36.45416259765625</v>
      </c>
      <c r="D2609">
        <f>_xlfn.XLOOKUP(B2609, Oil_Price!A:A, Oil_Price!B:B, "")</f>
        <v>78.959999084472656</v>
      </c>
      <c r="E2609">
        <f t="shared" si="160"/>
        <v>-6.7739516484841365E-3</v>
      </c>
      <c r="F2609">
        <f t="shared" si="161"/>
        <v>-7.541459182162636E-3</v>
      </c>
      <c r="G2609">
        <f t="shared" si="162"/>
        <v>-0.24862289428710938</v>
      </c>
      <c r="H2609">
        <f t="shared" si="163"/>
        <v>-0.59999847412109375</v>
      </c>
    </row>
    <row r="2610" spans="1:8" x14ac:dyDescent="0.2">
      <c r="A2610" t="s">
        <v>13</v>
      </c>
      <c r="B2610" s="2">
        <v>44924</v>
      </c>
      <c r="C2610">
        <v>36.445590972900391</v>
      </c>
      <c r="D2610">
        <f>_xlfn.XLOOKUP(B2610, Oil_Price!A:A, Oil_Price!B:B, "")</f>
        <v>78.400001525878906</v>
      </c>
      <c r="E2610">
        <f t="shared" si="160"/>
        <v>-2.3513432061145388E-4</v>
      </c>
      <c r="F2610">
        <f t="shared" si="161"/>
        <v>-7.0921677442606825E-3</v>
      </c>
      <c r="G2610">
        <f t="shared" si="162"/>
        <v>-8.571624755859375E-3</v>
      </c>
      <c r="H2610">
        <f t="shared" si="163"/>
        <v>-0.55999755859375</v>
      </c>
    </row>
    <row r="2611" spans="1:8" x14ac:dyDescent="0.2">
      <c r="A2611" t="s">
        <v>13</v>
      </c>
      <c r="B2611" s="2">
        <v>44925</v>
      </c>
      <c r="C2611">
        <v>36.822818756103523</v>
      </c>
      <c r="D2611">
        <f>_xlfn.XLOOKUP(B2611, Oil_Price!A:A, Oil_Price!B:B, "")</f>
        <v>80.260002136230469</v>
      </c>
      <c r="E2611">
        <f t="shared" si="160"/>
        <v>1.0350436723158773E-2</v>
      </c>
      <c r="F2611">
        <f t="shared" si="161"/>
        <v>2.372449711927108E-2</v>
      </c>
      <c r="G2611">
        <f t="shared" si="162"/>
        <v>0.37722778320313211</v>
      </c>
      <c r="H2611">
        <f t="shared" si="163"/>
        <v>1.8600006103515625</v>
      </c>
    </row>
    <row r="2612" spans="1:8" x14ac:dyDescent="0.2">
      <c r="A2612" t="s">
        <v>13</v>
      </c>
      <c r="B2612" s="2">
        <v>44929</v>
      </c>
      <c r="C2612">
        <v>35.391048431396477</v>
      </c>
      <c r="D2612">
        <f>_xlfn.XLOOKUP(B2612, Oil_Price!A:A, Oil_Price!B:B, "")</f>
        <v>76.930000305175781</v>
      </c>
      <c r="E2612">
        <f t="shared" si="160"/>
        <v>-3.8882692120622189E-2</v>
      </c>
      <c r="F2612">
        <f t="shared" si="161"/>
        <v>-4.149017869950291E-2</v>
      </c>
      <c r="G2612">
        <f t="shared" si="162"/>
        <v>-1.4317703247070455</v>
      </c>
      <c r="H2612">
        <f t="shared" si="163"/>
        <v>-3.3300018310546875</v>
      </c>
    </row>
    <row r="2613" spans="1:8" x14ac:dyDescent="0.2">
      <c r="A2613" t="s">
        <v>13</v>
      </c>
      <c r="B2613" s="2">
        <v>44930</v>
      </c>
      <c r="C2613">
        <v>34.447978973388672</v>
      </c>
      <c r="D2613">
        <f>_xlfn.XLOOKUP(B2613, Oil_Price!A:A, Oil_Price!B:B, "")</f>
        <v>72.839996337890625</v>
      </c>
      <c r="E2613">
        <f t="shared" si="160"/>
        <v>-2.6647118404414936E-2</v>
      </c>
      <c r="F2613">
        <f t="shared" si="161"/>
        <v>-5.3165266489801175E-2</v>
      </c>
      <c r="G2613">
        <f t="shared" si="162"/>
        <v>-0.94306945800780539</v>
      </c>
      <c r="H2613">
        <f t="shared" si="163"/>
        <v>-4.0900039672851562</v>
      </c>
    </row>
    <row r="2614" spans="1:8" x14ac:dyDescent="0.2">
      <c r="A2614" t="s">
        <v>13</v>
      </c>
      <c r="B2614" s="2">
        <v>44931</v>
      </c>
      <c r="C2614">
        <v>35.262458801269531</v>
      </c>
      <c r="D2614">
        <f>_xlfn.XLOOKUP(B2614, Oil_Price!A:A, Oil_Price!B:B, "")</f>
        <v>73.669998168945312</v>
      </c>
      <c r="E2614">
        <f t="shared" si="160"/>
        <v>2.3643762338279736E-2</v>
      </c>
      <c r="F2614">
        <f t="shared" si="161"/>
        <v>1.1394863712025326E-2</v>
      </c>
      <c r="G2614">
        <f t="shared" si="162"/>
        <v>0.81447982788085938</v>
      </c>
      <c r="H2614">
        <f t="shared" si="163"/>
        <v>0.8300018310546875</v>
      </c>
    </row>
    <row r="2615" spans="1:8" x14ac:dyDescent="0.2">
      <c r="A2615" t="s">
        <v>13</v>
      </c>
      <c r="B2615" s="2">
        <v>44932</v>
      </c>
      <c r="C2615">
        <v>36.145519256591797</v>
      </c>
      <c r="D2615">
        <f>_xlfn.XLOOKUP(B2615, Oil_Price!A:A, Oil_Price!B:B, "")</f>
        <v>73.769996643066406</v>
      </c>
      <c r="E2615">
        <f t="shared" si="160"/>
        <v>2.5042509380839698E-2</v>
      </c>
      <c r="F2615">
        <f t="shared" si="161"/>
        <v>1.3573839637103029E-3</v>
      </c>
      <c r="G2615">
        <f t="shared" si="162"/>
        <v>0.88306045532226562</v>
      </c>
      <c r="H2615">
        <f t="shared" si="163"/>
        <v>9.999847412109375E-2</v>
      </c>
    </row>
    <row r="2616" spans="1:8" x14ac:dyDescent="0.2">
      <c r="A2616" t="s">
        <v>13</v>
      </c>
      <c r="B2616" s="2">
        <v>44935</v>
      </c>
      <c r="C2616">
        <v>36.171237945556641</v>
      </c>
      <c r="D2616">
        <f>_xlfn.XLOOKUP(B2616, Oil_Price!A:A, Oil_Price!B:B, "")</f>
        <v>74.629997253417969</v>
      </c>
      <c r="E2616">
        <f t="shared" si="160"/>
        <v>7.1153187155150572E-4</v>
      </c>
      <c r="F2616">
        <f t="shared" si="161"/>
        <v>1.1657864301019911E-2</v>
      </c>
      <c r="G2616">
        <f t="shared" si="162"/>
        <v>2.571868896484375E-2</v>
      </c>
      <c r="H2616">
        <f t="shared" si="163"/>
        <v>0.8600006103515625</v>
      </c>
    </row>
    <row r="2617" spans="1:8" x14ac:dyDescent="0.2">
      <c r="A2617" t="s">
        <v>13</v>
      </c>
      <c r="B2617" s="2">
        <v>44936</v>
      </c>
      <c r="C2617">
        <v>35.716842651367188</v>
      </c>
      <c r="D2617">
        <f>_xlfn.XLOOKUP(B2617, Oil_Price!A:A, Oil_Price!B:B, "")</f>
        <v>75.120002746582031</v>
      </c>
      <c r="E2617">
        <f t="shared" si="160"/>
        <v>-1.2562337370741609E-2</v>
      </c>
      <c r="F2617">
        <f t="shared" si="161"/>
        <v>6.5657980865277445E-3</v>
      </c>
      <c r="G2617">
        <f t="shared" si="162"/>
        <v>-0.45439529418945312</v>
      </c>
      <c r="H2617">
        <f t="shared" si="163"/>
        <v>0.4900054931640625</v>
      </c>
    </row>
    <row r="2618" spans="1:8" x14ac:dyDescent="0.2">
      <c r="A2618" t="s">
        <v>13</v>
      </c>
      <c r="B2618" s="2">
        <v>44937</v>
      </c>
      <c r="C2618">
        <v>36.119800567626953</v>
      </c>
      <c r="D2618">
        <f>_xlfn.XLOOKUP(B2618, Oil_Price!A:A, Oil_Price!B:B, "")</f>
        <v>77.410003662109375</v>
      </c>
      <c r="E2618">
        <f t="shared" si="160"/>
        <v>1.1282013928079978E-2</v>
      </c>
      <c r="F2618">
        <f t="shared" si="161"/>
        <v>3.0484569113404872E-2</v>
      </c>
      <c r="G2618">
        <f t="shared" si="162"/>
        <v>0.40295791625976562</v>
      </c>
      <c r="H2618">
        <f t="shared" si="163"/>
        <v>2.2900009155273438</v>
      </c>
    </row>
    <row r="2619" spans="1:8" x14ac:dyDescent="0.2">
      <c r="A2619" t="s">
        <v>13</v>
      </c>
      <c r="B2619" s="2">
        <v>44938</v>
      </c>
      <c r="C2619">
        <v>37.002861022949219</v>
      </c>
      <c r="D2619">
        <f>_xlfn.XLOOKUP(B2619, Oil_Price!A:A, Oil_Price!B:B, "")</f>
        <v>78.389999389648438</v>
      </c>
      <c r="E2619">
        <f t="shared" si="160"/>
        <v>2.4448098866684361E-2</v>
      </c>
      <c r="F2619">
        <f t="shared" si="161"/>
        <v>1.2659807275254665E-2</v>
      </c>
      <c r="G2619">
        <f t="shared" si="162"/>
        <v>0.88306045532226562</v>
      </c>
      <c r="H2619">
        <f t="shared" si="163"/>
        <v>0.9799957275390625</v>
      </c>
    </row>
    <row r="2620" spans="1:8" x14ac:dyDescent="0.2">
      <c r="A2620" t="s">
        <v>13</v>
      </c>
      <c r="B2620" s="2">
        <v>44939</v>
      </c>
      <c r="C2620">
        <v>37.22576904296875</v>
      </c>
      <c r="D2620">
        <f>_xlfn.XLOOKUP(B2620, Oil_Price!A:A, Oil_Price!B:B, "")</f>
        <v>79.860000610351562</v>
      </c>
      <c r="E2620">
        <f t="shared" si="160"/>
        <v>6.0240752703225684E-3</v>
      </c>
      <c r="F2620">
        <f t="shared" si="161"/>
        <v>1.8752407604907338E-2</v>
      </c>
      <c r="G2620">
        <f t="shared" si="162"/>
        <v>0.22290802001953125</v>
      </c>
      <c r="H2620">
        <f t="shared" si="163"/>
        <v>1.470001220703125</v>
      </c>
    </row>
    <row r="2621" spans="1:8" x14ac:dyDescent="0.2">
      <c r="A2621" t="s">
        <v>13</v>
      </c>
      <c r="B2621" s="2">
        <v>44942</v>
      </c>
      <c r="C2621">
        <v>37.33721923828125</v>
      </c>
      <c r="D2621" t="str">
        <f>_xlfn.XLOOKUP(B2621, Oil_Price!A:A, Oil_Price!B:B, "")</f>
        <v/>
      </c>
      <c r="E2621">
        <f t="shared" si="160"/>
        <v>2.9938990698581917E-3</v>
      </c>
      <c r="F2621" t="str">
        <f t="shared" si="161"/>
        <v/>
      </c>
      <c r="G2621">
        <f t="shared" si="162"/>
        <v>0.1114501953125</v>
      </c>
      <c r="H2621" t="str">
        <f t="shared" si="163"/>
        <v/>
      </c>
    </row>
    <row r="2622" spans="1:8" x14ac:dyDescent="0.2">
      <c r="A2622" t="s">
        <v>13</v>
      </c>
      <c r="B2622" s="2">
        <v>44943</v>
      </c>
      <c r="C2622">
        <v>37.75732421875</v>
      </c>
      <c r="D2622">
        <f>_xlfn.XLOOKUP(B2622, Oil_Price!A:A, Oil_Price!B:B, "")</f>
        <v>80.180000305175781</v>
      </c>
      <c r="E2622">
        <f t="shared" si="160"/>
        <v>1.125164083023149E-2</v>
      </c>
      <c r="F2622" t="str">
        <f t="shared" si="161"/>
        <v/>
      </c>
      <c r="G2622">
        <f t="shared" si="162"/>
        <v>0.42010498046875</v>
      </c>
      <c r="H2622" t="str">
        <f t="shared" si="163"/>
        <v/>
      </c>
    </row>
    <row r="2623" spans="1:8" x14ac:dyDescent="0.2">
      <c r="A2623" t="s">
        <v>13</v>
      </c>
      <c r="B2623" s="2">
        <v>44944</v>
      </c>
      <c r="C2623">
        <v>37.4658203125</v>
      </c>
      <c r="D2623">
        <f>_xlfn.XLOOKUP(B2623, Oil_Price!A:A, Oil_Price!B:B, "")</f>
        <v>79.480003356933594</v>
      </c>
      <c r="E2623">
        <f t="shared" si="160"/>
        <v>-7.7204598652475852E-3</v>
      </c>
      <c r="F2623">
        <f t="shared" si="161"/>
        <v>-8.7303186028673697E-3</v>
      </c>
      <c r="G2623">
        <f t="shared" si="162"/>
        <v>-0.29150390625</v>
      </c>
      <c r="H2623">
        <f t="shared" si="163"/>
        <v>-0.6999969482421875</v>
      </c>
    </row>
    <row r="2624" spans="1:8" x14ac:dyDescent="0.2">
      <c r="A2624" t="s">
        <v>13</v>
      </c>
      <c r="B2624" s="2">
        <v>44945</v>
      </c>
      <c r="C2624">
        <v>38.228858947753913</v>
      </c>
      <c r="D2624">
        <f>_xlfn.XLOOKUP(B2624, Oil_Price!A:A, Oil_Price!B:B, "")</f>
        <v>80.330001831054688</v>
      </c>
      <c r="E2624">
        <f t="shared" si="160"/>
        <v>2.0366259937443173E-2</v>
      </c>
      <c r="F2624">
        <f t="shared" si="161"/>
        <v>1.0694494693261012E-2</v>
      </c>
      <c r="G2624">
        <f t="shared" si="162"/>
        <v>0.76303863525391336</v>
      </c>
      <c r="H2624">
        <f t="shared" si="163"/>
        <v>0.84999847412109375</v>
      </c>
    </row>
    <row r="2625" spans="1:8" x14ac:dyDescent="0.2">
      <c r="A2625" t="s">
        <v>13</v>
      </c>
      <c r="B2625" s="2">
        <v>44946</v>
      </c>
      <c r="C2625">
        <v>37.885921478271477</v>
      </c>
      <c r="D2625">
        <f>_xlfn.XLOOKUP(B2625, Oil_Price!A:A, Oil_Price!B:B, "")</f>
        <v>81.30999755859375</v>
      </c>
      <c r="E2625">
        <f t="shared" si="160"/>
        <v>-8.9706436164133773E-3</v>
      </c>
      <c r="F2625">
        <f t="shared" si="161"/>
        <v>1.2199622870669561E-2</v>
      </c>
      <c r="G2625">
        <f t="shared" si="162"/>
        <v>-0.34293746948243609</v>
      </c>
      <c r="H2625">
        <f t="shared" si="163"/>
        <v>0.9799957275390625</v>
      </c>
    </row>
    <row r="2626" spans="1:8" x14ac:dyDescent="0.2">
      <c r="A2626" t="s">
        <v>13</v>
      </c>
      <c r="B2626" s="2">
        <v>44949</v>
      </c>
      <c r="C2626">
        <v>38.623233795166023</v>
      </c>
      <c r="D2626">
        <f>_xlfn.XLOOKUP(B2626, Oil_Price!A:A, Oil_Price!B:B, "")</f>
        <v>81.620002746582031</v>
      </c>
      <c r="E2626">
        <f t="shared" si="160"/>
        <v>1.9461380062179894E-2</v>
      </c>
      <c r="F2626">
        <f t="shared" si="161"/>
        <v>3.8126330992063404E-3</v>
      </c>
      <c r="G2626">
        <f t="shared" si="162"/>
        <v>0.73731231689454546</v>
      </c>
      <c r="H2626">
        <f t="shared" si="163"/>
        <v>0.31000518798828125</v>
      </c>
    </row>
    <row r="2627" spans="1:8" x14ac:dyDescent="0.2">
      <c r="A2627" t="s">
        <v>13</v>
      </c>
      <c r="B2627" s="2">
        <v>44950</v>
      </c>
      <c r="C2627">
        <v>38.391757965087891</v>
      </c>
      <c r="D2627">
        <f>_xlfn.XLOOKUP(B2627, Oil_Price!A:A, Oil_Price!B:B, "")</f>
        <v>80.129997253417969</v>
      </c>
      <c r="E2627">
        <f t="shared" ref="E2627:E2690" si="164">IFERROR(IF(AND(A2627=A2626, C2627&lt;&gt;"", C2626&lt;&gt;""), (C2627-C2626)/C2626, ""), "")</f>
        <v>-5.9931757994614882E-3</v>
      </c>
      <c r="F2627">
        <f t="shared" ref="F2627:F2690" si="165">IFERROR(IF(AND(A2627=A2626, D2627&lt;&gt;"", D2626&lt;&gt;""), (D2627-D2626)/D2626, ""), "")</f>
        <v>-1.8255396263466298E-2</v>
      </c>
      <c r="G2627">
        <f t="shared" ref="G2627:G2690" si="166">IFERROR(IF(AND(A2627=A2626, C2627&lt;&gt;"", C2626&lt;&gt;""), C2627-C2626, ""), "")</f>
        <v>-0.23147583007813211</v>
      </c>
      <c r="H2627">
        <f t="shared" ref="H2627:H2690" si="167">IFERROR(IF(AND(A2627=A2626, D2627&lt;&gt;"", D2626&lt;&gt;""), D2627-D2626, ""), "")</f>
        <v>-1.4900054931640625</v>
      </c>
    </row>
    <row r="2628" spans="1:8" x14ac:dyDescent="0.2">
      <c r="A2628" t="s">
        <v>13</v>
      </c>
      <c r="B2628" s="2">
        <v>44951</v>
      </c>
      <c r="C2628">
        <v>38.023097991943359</v>
      </c>
      <c r="D2628">
        <f>_xlfn.XLOOKUP(B2628, Oil_Price!A:A, Oil_Price!B:B, "")</f>
        <v>80.150001525878906</v>
      </c>
      <c r="E2628">
        <f t="shared" si="164"/>
        <v>-9.6025811967187756E-3</v>
      </c>
      <c r="F2628">
        <f t="shared" si="165"/>
        <v>2.4964773676045785E-4</v>
      </c>
      <c r="G2628">
        <f t="shared" si="166"/>
        <v>-0.36865997314453125</v>
      </c>
      <c r="H2628">
        <f t="shared" si="167"/>
        <v>2.00042724609375E-2</v>
      </c>
    </row>
    <row r="2629" spans="1:8" x14ac:dyDescent="0.2">
      <c r="A2629" t="s">
        <v>13</v>
      </c>
      <c r="B2629" s="2">
        <v>44952</v>
      </c>
      <c r="C2629">
        <v>39.514869689941413</v>
      </c>
      <c r="D2629">
        <f>_xlfn.XLOOKUP(B2629, Oil_Price!A:A, Oil_Price!B:B, "")</f>
        <v>81.010002136230469</v>
      </c>
      <c r="E2629">
        <f t="shared" si="164"/>
        <v>3.9233302302567316E-2</v>
      </c>
      <c r="F2629">
        <f t="shared" si="165"/>
        <v>1.0729888883082362E-2</v>
      </c>
      <c r="G2629">
        <f t="shared" si="166"/>
        <v>1.491771697998054</v>
      </c>
      <c r="H2629">
        <f t="shared" si="167"/>
        <v>0.8600006103515625</v>
      </c>
    </row>
    <row r="2630" spans="1:8" x14ac:dyDescent="0.2">
      <c r="A2630" t="s">
        <v>13</v>
      </c>
      <c r="B2630" s="2">
        <v>44953</v>
      </c>
      <c r="C2630">
        <v>39.514869689941413</v>
      </c>
      <c r="D2630">
        <f>_xlfn.XLOOKUP(B2630, Oil_Price!A:A, Oil_Price!B:B, "")</f>
        <v>79.680000305175781</v>
      </c>
      <c r="E2630">
        <f t="shared" si="164"/>
        <v>0</v>
      </c>
      <c r="F2630">
        <f t="shared" si="165"/>
        <v>-1.6417748376528738E-2</v>
      </c>
      <c r="G2630">
        <f t="shared" si="166"/>
        <v>0</v>
      </c>
      <c r="H2630">
        <f t="shared" si="167"/>
        <v>-1.3300018310546875</v>
      </c>
    </row>
    <row r="2631" spans="1:8" x14ac:dyDescent="0.2">
      <c r="A2631" t="s">
        <v>13</v>
      </c>
      <c r="B2631" s="2">
        <v>44956</v>
      </c>
      <c r="C2631">
        <v>39.043331146240227</v>
      </c>
      <c r="D2631">
        <f>_xlfn.XLOOKUP(B2631, Oil_Price!A:A, Oil_Price!B:B, "")</f>
        <v>77.900001525878906</v>
      </c>
      <c r="E2631">
        <f t="shared" si="164"/>
        <v>-1.1933192426070865E-2</v>
      </c>
      <c r="F2631">
        <f t="shared" si="165"/>
        <v>-2.2339342024089468E-2</v>
      </c>
      <c r="G2631">
        <f t="shared" si="166"/>
        <v>-0.47153854370118609</v>
      </c>
      <c r="H2631">
        <f t="shared" si="167"/>
        <v>-1.779998779296875</v>
      </c>
    </row>
    <row r="2632" spans="1:8" x14ac:dyDescent="0.2">
      <c r="A2632" t="s">
        <v>13</v>
      </c>
      <c r="B2632" s="2">
        <v>44957</v>
      </c>
      <c r="C2632">
        <v>39.592025756835938</v>
      </c>
      <c r="D2632">
        <f>_xlfn.XLOOKUP(B2632, Oil_Price!A:A, Oil_Price!B:B, "")</f>
        <v>78.870002746582031</v>
      </c>
      <c r="E2632">
        <f t="shared" si="164"/>
        <v>1.4053478391496012E-2</v>
      </c>
      <c r="F2632">
        <f t="shared" si="165"/>
        <v>1.2451876786945685E-2</v>
      </c>
      <c r="G2632">
        <f t="shared" si="166"/>
        <v>0.54869461059571023</v>
      </c>
      <c r="H2632">
        <f t="shared" si="167"/>
        <v>0.970001220703125</v>
      </c>
    </row>
    <row r="2633" spans="1:8" x14ac:dyDescent="0.2">
      <c r="A2633" t="s">
        <v>13</v>
      </c>
      <c r="B2633" s="2">
        <v>44958</v>
      </c>
      <c r="C2633">
        <v>39.111915588378913</v>
      </c>
      <c r="D2633">
        <f>_xlfn.XLOOKUP(B2633, Oil_Price!A:A, Oil_Price!B:B, "")</f>
        <v>76.410003662109375</v>
      </c>
      <c r="E2633">
        <f t="shared" si="164"/>
        <v>-1.2126436050676911E-2</v>
      </c>
      <c r="F2633">
        <f t="shared" si="165"/>
        <v>-3.1190554061179675E-2</v>
      </c>
      <c r="G2633">
        <f t="shared" si="166"/>
        <v>-0.48011016845702414</v>
      </c>
      <c r="H2633">
        <f t="shared" si="167"/>
        <v>-2.4599990844726562</v>
      </c>
    </row>
    <row r="2634" spans="1:8" x14ac:dyDescent="0.2">
      <c r="A2634" t="s">
        <v>13</v>
      </c>
      <c r="B2634" s="2">
        <v>44959</v>
      </c>
      <c r="C2634">
        <v>37.645862579345703</v>
      </c>
      <c r="D2634">
        <f>_xlfn.XLOOKUP(B2634, Oil_Price!A:A, Oil_Price!B:B, "")</f>
        <v>75.879997253417969</v>
      </c>
      <c r="E2634">
        <f t="shared" si="164"/>
        <v>-3.7483538890353142E-2</v>
      </c>
      <c r="F2634">
        <f t="shared" si="165"/>
        <v>-6.9363484267731925E-3</v>
      </c>
      <c r="G2634">
        <f t="shared" si="166"/>
        <v>-1.4660530090332102</v>
      </c>
      <c r="H2634">
        <f t="shared" si="167"/>
        <v>-0.53000640869140625</v>
      </c>
    </row>
    <row r="2635" spans="1:8" x14ac:dyDescent="0.2">
      <c r="A2635" t="s">
        <v>13</v>
      </c>
      <c r="B2635" s="2">
        <v>44960</v>
      </c>
      <c r="C2635">
        <v>37.834480285644531</v>
      </c>
      <c r="D2635">
        <f>_xlfn.XLOOKUP(B2635, Oil_Price!A:A, Oil_Price!B:B, "")</f>
        <v>73.389999389648438</v>
      </c>
      <c r="E2635">
        <f t="shared" si="164"/>
        <v>5.0103170275692579E-3</v>
      </c>
      <c r="F2635">
        <f t="shared" si="165"/>
        <v>-3.2814944041888075E-2</v>
      </c>
      <c r="G2635">
        <f t="shared" si="166"/>
        <v>0.18861770629882812</v>
      </c>
      <c r="H2635">
        <f t="shared" si="167"/>
        <v>-2.4899978637695312</v>
      </c>
    </row>
    <row r="2636" spans="1:8" x14ac:dyDescent="0.2">
      <c r="A2636" t="s">
        <v>13</v>
      </c>
      <c r="B2636" s="2">
        <v>44963</v>
      </c>
      <c r="C2636">
        <v>37.620140075683587</v>
      </c>
      <c r="D2636">
        <f>_xlfn.XLOOKUP(B2636, Oil_Price!A:A, Oil_Price!B:B, "")</f>
        <v>74.110000610351562</v>
      </c>
      <c r="E2636">
        <f t="shared" si="164"/>
        <v>-5.6652082529668399E-3</v>
      </c>
      <c r="F2636">
        <f t="shared" si="165"/>
        <v>9.8106176139944237E-3</v>
      </c>
      <c r="G2636">
        <f t="shared" si="166"/>
        <v>-0.21434020996094461</v>
      </c>
      <c r="H2636">
        <f t="shared" si="167"/>
        <v>0.720001220703125</v>
      </c>
    </row>
    <row r="2637" spans="1:8" x14ac:dyDescent="0.2">
      <c r="A2637" t="s">
        <v>13</v>
      </c>
      <c r="B2637" s="2">
        <v>44964</v>
      </c>
      <c r="C2637">
        <v>38.503208160400391</v>
      </c>
      <c r="D2637">
        <f>_xlfn.XLOOKUP(B2637, Oil_Price!A:A, Oil_Price!B:B, "")</f>
        <v>77.139999389648438</v>
      </c>
      <c r="E2637">
        <f t="shared" si="164"/>
        <v>2.3473280081899268E-2</v>
      </c>
      <c r="F2637">
        <f t="shared" si="165"/>
        <v>4.0885153883990791E-2</v>
      </c>
      <c r="G2637">
        <f t="shared" si="166"/>
        <v>0.88306808471680398</v>
      </c>
      <c r="H2637">
        <f t="shared" si="167"/>
        <v>3.029998779296875</v>
      </c>
    </row>
    <row r="2638" spans="1:8" x14ac:dyDescent="0.2">
      <c r="A2638" t="s">
        <v>13</v>
      </c>
      <c r="B2638" s="2">
        <v>44965</v>
      </c>
      <c r="C2638">
        <v>38.306018829345703</v>
      </c>
      <c r="D2638">
        <f>_xlfn.XLOOKUP(B2638, Oil_Price!A:A, Oil_Price!B:B, "")</f>
        <v>78.470001220703125</v>
      </c>
      <c r="E2638">
        <f t="shared" si="164"/>
        <v>-5.1213740484485635E-3</v>
      </c>
      <c r="F2638">
        <f t="shared" si="165"/>
        <v>1.724140318353649E-2</v>
      </c>
      <c r="G2638">
        <f t="shared" si="166"/>
        <v>-0.1971893310546875</v>
      </c>
      <c r="H2638">
        <f t="shared" si="167"/>
        <v>1.3300018310546875</v>
      </c>
    </row>
    <row r="2639" spans="1:8" x14ac:dyDescent="0.2">
      <c r="A2639" t="s">
        <v>13</v>
      </c>
      <c r="B2639" s="2">
        <v>44966</v>
      </c>
      <c r="C2639">
        <v>38.117397308349609</v>
      </c>
      <c r="D2639">
        <f>_xlfn.XLOOKUP(B2639, Oil_Price!A:A, Oil_Price!B:B, "")</f>
        <v>78.05999755859375</v>
      </c>
      <c r="E2639">
        <f t="shared" si="164"/>
        <v>-4.9240700746378124E-3</v>
      </c>
      <c r="F2639">
        <f t="shared" si="165"/>
        <v>-5.2249733112174554E-3</v>
      </c>
      <c r="G2639">
        <f t="shared" si="166"/>
        <v>-0.18862152099609375</v>
      </c>
      <c r="H2639">
        <f t="shared" si="167"/>
        <v>-0.410003662109375</v>
      </c>
    </row>
    <row r="2640" spans="1:8" x14ac:dyDescent="0.2">
      <c r="A2640" t="s">
        <v>13</v>
      </c>
      <c r="B2640" s="2">
        <v>44967</v>
      </c>
      <c r="C2640">
        <v>39.189079284667969</v>
      </c>
      <c r="D2640">
        <f>_xlfn.XLOOKUP(B2640, Oil_Price!A:A, Oil_Price!B:B, "")</f>
        <v>79.720001220703125</v>
      </c>
      <c r="E2640">
        <f t="shared" si="164"/>
        <v>2.8115297790376879E-2</v>
      </c>
      <c r="F2640">
        <f t="shared" si="165"/>
        <v>2.126574063576335E-2</v>
      </c>
      <c r="G2640">
        <f t="shared" si="166"/>
        <v>1.0716819763183594</v>
      </c>
      <c r="H2640">
        <f t="shared" si="167"/>
        <v>1.660003662109375</v>
      </c>
    </row>
    <row r="2641" spans="1:8" x14ac:dyDescent="0.2">
      <c r="A2641" t="s">
        <v>13</v>
      </c>
      <c r="B2641" s="2">
        <v>44970</v>
      </c>
      <c r="C2641">
        <v>39.189079284667969</v>
      </c>
      <c r="D2641">
        <f>_xlfn.XLOOKUP(B2641, Oil_Price!A:A, Oil_Price!B:B, "")</f>
        <v>80.139999389648438</v>
      </c>
      <c r="E2641">
        <f t="shared" si="164"/>
        <v>0</v>
      </c>
      <c r="F2641">
        <f t="shared" si="165"/>
        <v>5.2684164891387362E-3</v>
      </c>
      <c r="G2641">
        <f t="shared" si="166"/>
        <v>0</v>
      </c>
      <c r="H2641">
        <f t="shared" si="167"/>
        <v>0.4199981689453125</v>
      </c>
    </row>
    <row r="2642" spans="1:8" x14ac:dyDescent="0.2">
      <c r="A2642" t="s">
        <v>13</v>
      </c>
      <c r="B2642" s="2">
        <v>44971</v>
      </c>
      <c r="C2642">
        <v>39.763492584228523</v>
      </c>
      <c r="D2642">
        <f>_xlfn.XLOOKUP(B2642, Oil_Price!A:A, Oil_Price!B:B, "")</f>
        <v>79.05999755859375</v>
      </c>
      <c r="E2642">
        <f t="shared" si="164"/>
        <v>1.4657483922703001E-2</v>
      </c>
      <c r="F2642">
        <f t="shared" si="165"/>
        <v>-1.3476439222361533E-2</v>
      </c>
      <c r="G2642">
        <f t="shared" si="166"/>
        <v>0.57441329956055398</v>
      </c>
      <c r="H2642">
        <f t="shared" si="167"/>
        <v>-1.0800018310546875</v>
      </c>
    </row>
    <row r="2643" spans="1:8" x14ac:dyDescent="0.2">
      <c r="A2643" t="s">
        <v>13</v>
      </c>
      <c r="B2643" s="2">
        <v>44972</v>
      </c>
      <c r="C2643">
        <v>39.909244537353523</v>
      </c>
      <c r="D2643">
        <f>_xlfn.XLOOKUP(B2643, Oil_Price!A:A, Oil_Price!B:B, "")</f>
        <v>78.589996337890625</v>
      </c>
      <c r="E2643">
        <f t="shared" si="164"/>
        <v>3.6654716085681542E-3</v>
      </c>
      <c r="F2643">
        <f t="shared" si="165"/>
        <v>-5.9448676349223625E-3</v>
      </c>
      <c r="G2643">
        <f t="shared" si="166"/>
        <v>0.145751953125</v>
      </c>
      <c r="H2643">
        <f t="shared" si="167"/>
        <v>-0.470001220703125</v>
      </c>
    </row>
    <row r="2644" spans="1:8" x14ac:dyDescent="0.2">
      <c r="A2644" t="s">
        <v>13</v>
      </c>
      <c r="B2644" s="2">
        <v>44973</v>
      </c>
      <c r="C2644">
        <v>39.15478515625</v>
      </c>
      <c r="D2644">
        <f>_xlfn.XLOOKUP(B2644, Oil_Price!A:A, Oil_Price!B:B, "")</f>
        <v>78.489997863769531</v>
      </c>
      <c r="E2644">
        <f t="shared" si="164"/>
        <v>-1.8904376413273815E-2</v>
      </c>
      <c r="F2644">
        <f t="shared" si="165"/>
        <v>-1.2724071609719805E-3</v>
      </c>
      <c r="G2644">
        <f t="shared" si="166"/>
        <v>-0.75445938110352273</v>
      </c>
      <c r="H2644">
        <f t="shared" si="167"/>
        <v>-9.999847412109375E-2</v>
      </c>
    </row>
    <row r="2645" spans="1:8" x14ac:dyDescent="0.2">
      <c r="A2645" t="s">
        <v>13</v>
      </c>
      <c r="B2645" s="2">
        <v>44974</v>
      </c>
      <c r="C2645">
        <v>38.228858947753913</v>
      </c>
      <c r="D2645">
        <f>_xlfn.XLOOKUP(B2645, Oil_Price!A:A, Oil_Price!B:B, "")</f>
        <v>76.339996337890625</v>
      </c>
      <c r="E2645">
        <f t="shared" si="164"/>
        <v>-2.3647842908628185E-2</v>
      </c>
      <c r="F2645">
        <f t="shared" si="165"/>
        <v>-2.7392044647657366E-2</v>
      </c>
      <c r="G2645">
        <f t="shared" si="166"/>
        <v>-0.92592620849608664</v>
      </c>
      <c r="H2645">
        <f t="shared" si="167"/>
        <v>-2.1500015258789062</v>
      </c>
    </row>
    <row r="2646" spans="1:8" x14ac:dyDescent="0.2">
      <c r="A2646" t="s">
        <v>13</v>
      </c>
      <c r="B2646" s="2">
        <v>44978</v>
      </c>
      <c r="C2646">
        <v>38.957592010498047</v>
      </c>
      <c r="D2646">
        <f>_xlfn.XLOOKUP(B2646, Oil_Price!A:A, Oil_Price!B:B, "")</f>
        <v>76.160003662109375</v>
      </c>
      <c r="E2646">
        <f t="shared" si="164"/>
        <v>1.9062380693602922E-2</v>
      </c>
      <c r="F2646">
        <f t="shared" si="165"/>
        <v>-2.3577768458958172E-3</v>
      </c>
      <c r="G2646">
        <f t="shared" si="166"/>
        <v>0.72873306274413352</v>
      </c>
      <c r="H2646">
        <f t="shared" si="167"/>
        <v>-0.17999267578125</v>
      </c>
    </row>
    <row r="2647" spans="1:8" x14ac:dyDescent="0.2">
      <c r="A2647" t="s">
        <v>13</v>
      </c>
      <c r="B2647" s="2">
        <v>44979</v>
      </c>
      <c r="C2647">
        <v>38.023097991943359</v>
      </c>
      <c r="D2647">
        <f>_xlfn.XLOOKUP(B2647, Oil_Price!A:A, Oil_Price!B:B, "")</f>
        <v>73.949996948242188</v>
      </c>
      <c r="E2647">
        <f t="shared" si="164"/>
        <v>-2.3987468689103422E-2</v>
      </c>
      <c r="F2647">
        <f t="shared" si="165"/>
        <v>-2.9017943902314904E-2</v>
      </c>
      <c r="G2647">
        <f t="shared" si="166"/>
        <v>-0.9344940185546875</v>
      </c>
      <c r="H2647">
        <f t="shared" si="167"/>
        <v>-2.2100067138671875</v>
      </c>
    </row>
    <row r="2648" spans="1:8" x14ac:dyDescent="0.2">
      <c r="A2648" t="s">
        <v>13</v>
      </c>
      <c r="B2648" s="2">
        <v>44980</v>
      </c>
      <c r="C2648">
        <v>38.786125183105469</v>
      </c>
      <c r="D2648">
        <f>_xlfn.XLOOKUP(B2648, Oil_Price!A:A, Oil_Price!B:B, "")</f>
        <v>75.389999389648438</v>
      </c>
      <c r="E2648">
        <f t="shared" si="164"/>
        <v>2.0067465079352181E-2</v>
      </c>
      <c r="F2648">
        <f t="shared" si="165"/>
        <v>1.9472650450737837E-2</v>
      </c>
      <c r="G2648">
        <f t="shared" si="166"/>
        <v>0.76302719116210938</v>
      </c>
      <c r="H2648">
        <f t="shared" si="167"/>
        <v>1.44000244140625</v>
      </c>
    </row>
    <row r="2649" spans="1:8" x14ac:dyDescent="0.2">
      <c r="A2649" t="s">
        <v>13</v>
      </c>
      <c r="B2649" s="2">
        <v>44981</v>
      </c>
      <c r="C2649">
        <v>39.626327514648438</v>
      </c>
      <c r="D2649">
        <f>_xlfn.XLOOKUP(B2649, Oil_Price!A:A, Oil_Price!B:B, "")</f>
        <v>76.319999694824219</v>
      </c>
      <c r="E2649">
        <f t="shared" si="164"/>
        <v>2.1662445721929078E-2</v>
      </c>
      <c r="F2649">
        <f t="shared" si="165"/>
        <v>1.2335857709311464E-2</v>
      </c>
      <c r="G2649">
        <f t="shared" si="166"/>
        <v>0.84020233154296875</v>
      </c>
      <c r="H2649">
        <f t="shared" si="167"/>
        <v>0.93000030517578125</v>
      </c>
    </row>
    <row r="2650" spans="1:8" x14ac:dyDescent="0.2">
      <c r="A2650" t="s">
        <v>13</v>
      </c>
      <c r="B2650" s="2">
        <v>44984</v>
      </c>
      <c r="C2650">
        <v>39.712055206298828</v>
      </c>
      <c r="D2650">
        <f>_xlfn.XLOOKUP(B2650, Oil_Price!A:A, Oil_Price!B:B, "")</f>
        <v>75.680000305175781</v>
      </c>
      <c r="E2650">
        <f t="shared" si="164"/>
        <v>2.1634023899565298E-3</v>
      </c>
      <c r="F2650">
        <f t="shared" si="165"/>
        <v>-8.3857362710634317E-3</v>
      </c>
      <c r="G2650">
        <f t="shared" si="166"/>
        <v>8.5727691650390625E-2</v>
      </c>
      <c r="H2650">
        <f t="shared" si="167"/>
        <v>-0.6399993896484375</v>
      </c>
    </row>
    <row r="2651" spans="1:8" x14ac:dyDescent="0.2">
      <c r="A2651" t="s">
        <v>13</v>
      </c>
      <c r="B2651" s="2">
        <v>44985</v>
      </c>
      <c r="C2651">
        <v>39.317684173583977</v>
      </c>
      <c r="D2651">
        <f>_xlfn.XLOOKUP(B2651, Oil_Price!A:A, Oil_Price!B:B, "")</f>
        <v>77.050003051757812</v>
      </c>
      <c r="E2651">
        <f t="shared" si="164"/>
        <v>-9.9307636098445659E-3</v>
      </c>
      <c r="F2651">
        <f t="shared" si="165"/>
        <v>1.8102573216933988E-2</v>
      </c>
      <c r="G2651">
        <f t="shared" si="166"/>
        <v>-0.39437103271485086</v>
      </c>
      <c r="H2651">
        <f t="shared" si="167"/>
        <v>1.3700027465820312</v>
      </c>
    </row>
    <row r="2652" spans="1:8" x14ac:dyDescent="0.2">
      <c r="A2652" t="s">
        <v>13</v>
      </c>
      <c r="B2652" s="2">
        <v>44986</v>
      </c>
      <c r="C2652">
        <v>40.0721435546875</v>
      </c>
      <c r="D2652">
        <f>_xlfn.XLOOKUP(B2652, Oil_Price!A:A, Oil_Price!B:B, "")</f>
        <v>77.69000244140625</v>
      </c>
      <c r="E2652">
        <f t="shared" si="164"/>
        <v>1.9188805163922004E-2</v>
      </c>
      <c r="F2652">
        <f t="shared" si="165"/>
        <v>8.3062863633960177E-3</v>
      </c>
      <c r="G2652">
        <f t="shared" si="166"/>
        <v>0.75445938110352273</v>
      </c>
      <c r="H2652">
        <f t="shared" si="167"/>
        <v>0.6399993896484375</v>
      </c>
    </row>
    <row r="2653" spans="1:8" x14ac:dyDescent="0.2">
      <c r="A2653" t="s">
        <v>13</v>
      </c>
      <c r="B2653" s="2">
        <v>44987</v>
      </c>
      <c r="C2653">
        <v>40.999820709228523</v>
      </c>
      <c r="D2653">
        <f>_xlfn.XLOOKUP(B2653, Oil_Price!A:A, Oil_Price!B:B, "")</f>
        <v>78.160003662109375</v>
      </c>
      <c r="E2653">
        <f t="shared" si="164"/>
        <v>2.3150175464783845E-2</v>
      </c>
      <c r="F2653">
        <f t="shared" si="165"/>
        <v>6.0497001664737956E-3</v>
      </c>
      <c r="G2653">
        <f t="shared" si="166"/>
        <v>0.92767715454102273</v>
      </c>
      <c r="H2653">
        <f t="shared" si="167"/>
        <v>0.470001220703125</v>
      </c>
    </row>
    <row r="2654" spans="1:8" x14ac:dyDescent="0.2">
      <c r="A2654" t="s">
        <v>13</v>
      </c>
      <c r="B2654" s="2">
        <v>44988</v>
      </c>
      <c r="C2654">
        <v>41.589370727539062</v>
      </c>
      <c r="D2654">
        <f>_xlfn.XLOOKUP(B2654, Oil_Price!A:A, Oil_Price!B:B, "")</f>
        <v>79.680000305175781</v>
      </c>
      <c r="E2654">
        <f t="shared" si="164"/>
        <v>1.4379331619317051E-2</v>
      </c>
      <c r="F2654">
        <f t="shared" si="165"/>
        <v>1.944724375445845E-2</v>
      </c>
      <c r="G2654">
        <f t="shared" si="166"/>
        <v>0.58955001831053977</v>
      </c>
      <c r="H2654">
        <f t="shared" si="167"/>
        <v>1.5199966430664062</v>
      </c>
    </row>
    <row r="2655" spans="1:8" x14ac:dyDescent="0.2">
      <c r="A2655" t="s">
        <v>13</v>
      </c>
      <c r="B2655" s="2">
        <v>44991</v>
      </c>
      <c r="C2655">
        <v>41.467994689941413</v>
      </c>
      <c r="D2655">
        <f>_xlfn.XLOOKUP(B2655, Oil_Price!A:A, Oil_Price!B:B, "")</f>
        <v>80.459999084472656</v>
      </c>
      <c r="E2655">
        <f t="shared" si="164"/>
        <v>-2.9184389057677678E-3</v>
      </c>
      <c r="F2655">
        <f t="shared" si="165"/>
        <v>9.7891412689441043E-3</v>
      </c>
      <c r="G2655">
        <f t="shared" si="166"/>
        <v>-0.12137603759764914</v>
      </c>
      <c r="H2655">
        <f t="shared" si="167"/>
        <v>0.779998779296875</v>
      </c>
    </row>
    <row r="2656" spans="1:8" x14ac:dyDescent="0.2">
      <c r="A2656" t="s">
        <v>13</v>
      </c>
      <c r="B2656" s="2">
        <v>44992</v>
      </c>
      <c r="C2656">
        <v>40.8004150390625</v>
      </c>
      <c r="D2656">
        <f>_xlfn.XLOOKUP(B2656, Oil_Price!A:A, Oil_Price!B:B, "")</f>
        <v>77.580001831054688</v>
      </c>
      <c r="E2656">
        <f t="shared" si="164"/>
        <v>-1.6098672141502016E-2</v>
      </c>
      <c r="F2656">
        <f t="shared" si="165"/>
        <v>-3.5794149716486347E-2</v>
      </c>
      <c r="G2656">
        <f t="shared" si="166"/>
        <v>-0.66757965087891336</v>
      </c>
      <c r="H2656">
        <f t="shared" si="167"/>
        <v>-2.8799972534179688</v>
      </c>
    </row>
    <row r="2657" spans="1:8" x14ac:dyDescent="0.2">
      <c r="A2657" t="s">
        <v>13</v>
      </c>
      <c r="B2657" s="2">
        <v>44993</v>
      </c>
      <c r="C2657">
        <v>40.8004150390625</v>
      </c>
      <c r="D2657">
        <f>_xlfn.XLOOKUP(B2657, Oil_Price!A:A, Oil_Price!B:B, "")</f>
        <v>76.660003662109375</v>
      </c>
      <c r="E2657">
        <f t="shared" si="164"/>
        <v>0</v>
      </c>
      <c r="F2657">
        <f t="shared" si="165"/>
        <v>-1.18587025938564E-2</v>
      </c>
      <c r="G2657">
        <f t="shared" si="166"/>
        <v>0</v>
      </c>
      <c r="H2657">
        <f t="shared" si="167"/>
        <v>-0.9199981689453125</v>
      </c>
    </row>
    <row r="2658" spans="1:8" x14ac:dyDescent="0.2">
      <c r="A2658" t="s">
        <v>13</v>
      </c>
      <c r="B2658" s="2">
        <v>44994</v>
      </c>
      <c r="C2658">
        <v>40.436267852783203</v>
      </c>
      <c r="D2658">
        <f>_xlfn.XLOOKUP(B2658, Oil_Price!A:A, Oil_Price!B:B, "")</f>
        <v>75.720001220703125</v>
      </c>
      <c r="E2658">
        <f t="shared" si="164"/>
        <v>-8.9250853436334092E-3</v>
      </c>
      <c r="F2658">
        <f t="shared" si="165"/>
        <v>-1.2261967081940849E-2</v>
      </c>
      <c r="G2658">
        <f t="shared" si="166"/>
        <v>-0.36414718627929688</v>
      </c>
      <c r="H2658">
        <f t="shared" si="167"/>
        <v>-0.94000244140625</v>
      </c>
    </row>
    <row r="2659" spans="1:8" x14ac:dyDescent="0.2">
      <c r="A2659" t="s">
        <v>13</v>
      </c>
      <c r="B2659" s="2">
        <v>44995</v>
      </c>
      <c r="C2659">
        <v>40.115489959716797</v>
      </c>
      <c r="D2659">
        <f>_xlfn.XLOOKUP(B2659, Oil_Price!A:A, Oil_Price!B:B, "")</f>
        <v>76.680000305175781</v>
      </c>
      <c r="E2659">
        <f t="shared" si="164"/>
        <v>-7.9329253192768952E-3</v>
      </c>
      <c r="F2659">
        <f t="shared" si="165"/>
        <v>1.2678276135713748E-2</v>
      </c>
      <c r="G2659">
        <f t="shared" si="166"/>
        <v>-0.32077789306640625</v>
      </c>
      <c r="H2659">
        <f t="shared" si="167"/>
        <v>0.95999908447265625</v>
      </c>
    </row>
    <row r="2660" spans="1:8" x14ac:dyDescent="0.2">
      <c r="A2660" t="s">
        <v>13</v>
      </c>
      <c r="B2660" s="2">
        <v>44998</v>
      </c>
      <c r="C2660">
        <v>38.000049591064453</v>
      </c>
      <c r="D2660">
        <f>_xlfn.XLOOKUP(B2660, Oil_Price!A:A, Oil_Price!B:B, "")</f>
        <v>74.800003051757812</v>
      </c>
      <c r="E2660">
        <f t="shared" si="164"/>
        <v>-5.2733753738932972E-2</v>
      </c>
      <c r="F2660">
        <f t="shared" si="165"/>
        <v>-2.4517439305370894E-2</v>
      </c>
      <c r="G2660">
        <f t="shared" si="166"/>
        <v>-2.1154403686523438</v>
      </c>
      <c r="H2660">
        <f t="shared" si="167"/>
        <v>-1.8799972534179688</v>
      </c>
    </row>
    <row r="2661" spans="1:8" x14ac:dyDescent="0.2">
      <c r="A2661" t="s">
        <v>13</v>
      </c>
      <c r="B2661" s="2">
        <v>44999</v>
      </c>
      <c r="C2661">
        <v>37.341133117675781</v>
      </c>
      <c r="D2661">
        <f>_xlfn.XLOOKUP(B2661, Oil_Price!A:A, Oil_Price!B:B, "")</f>
        <v>71.330001831054688</v>
      </c>
      <c r="E2661">
        <f t="shared" si="164"/>
        <v>-1.7339884565403651E-2</v>
      </c>
      <c r="F2661">
        <f t="shared" si="165"/>
        <v>-4.639038875843441E-2</v>
      </c>
      <c r="G2661">
        <f t="shared" si="166"/>
        <v>-0.65891647338867188</v>
      </c>
      <c r="H2661">
        <f t="shared" si="167"/>
        <v>-3.470001220703125</v>
      </c>
    </row>
    <row r="2662" spans="1:8" x14ac:dyDescent="0.2">
      <c r="A2662" t="s">
        <v>13</v>
      </c>
      <c r="B2662" s="2">
        <v>45000</v>
      </c>
      <c r="C2662">
        <v>34.91357421875</v>
      </c>
      <c r="D2662">
        <f>_xlfn.XLOOKUP(B2662, Oil_Price!A:A, Oil_Price!B:B, "")</f>
        <v>67.610000610351562</v>
      </c>
      <c r="E2662">
        <f t="shared" si="164"/>
        <v>-6.5010316941257279E-2</v>
      </c>
      <c r="F2662">
        <f t="shared" si="165"/>
        <v>-5.2151985492920057E-2</v>
      </c>
      <c r="G2662">
        <f t="shared" si="166"/>
        <v>-2.4275588989257812</v>
      </c>
      <c r="H2662">
        <f t="shared" si="167"/>
        <v>-3.720001220703125</v>
      </c>
    </row>
    <row r="2663" spans="1:8" x14ac:dyDescent="0.2">
      <c r="A2663" t="s">
        <v>13</v>
      </c>
      <c r="B2663" s="2">
        <v>45001</v>
      </c>
      <c r="C2663">
        <v>34.722831726074219</v>
      </c>
      <c r="D2663">
        <f>_xlfn.XLOOKUP(B2663, Oil_Price!A:A, Oil_Price!B:B, "")</f>
        <v>68.349998474121094</v>
      </c>
      <c r="E2663">
        <f t="shared" si="164"/>
        <v>-5.4632760163909203E-3</v>
      </c>
      <c r="F2663">
        <f t="shared" si="165"/>
        <v>1.0945094765407122E-2</v>
      </c>
      <c r="G2663">
        <f t="shared" si="166"/>
        <v>-0.19074249267578125</v>
      </c>
      <c r="H2663">
        <f t="shared" si="167"/>
        <v>0.73999786376953125</v>
      </c>
    </row>
    <row r="2664" spans="1:8" x14ac:dyDescent="0.2">
      <c r="A2664" t="s">
        <v>13</v>
      </c>
      <c r="B2664" s="2">
        <v>45002</v>
      </c>
      <c r="C2664">
        <v>34.280670166015618</v>
      </c>
      <c r="D2664">
        <f>_xlfn.XLOOKUP(B2664, Oil_Price!A:A, Oil_Price!B:B, "")</f>
        <v>66.739997863769531</v>
      </c>
      <c r="E2664">
        <f t="shared" si="164"/>
        <v>-1.2734029400216543E-2</v>
      </c>
      <c r="F2664">
        <f t="shared" si="165"/>
        <v>-2.3555239887256857E-2</v>
      </c>
      <c r="G2664">
        <f t="shared" si="166"/>
        <v>-0.44216156005860086</v>
      </c>
      <c r="H2664">
        <f t="shared" si="167"/>
        <v>-1.6100006103515625</v>
      </c>
    </row>
    <row r="2665" spans="1:8" x14ac:dyDescent="0.2">
      <c r="A2665" t="s">
        <v>13</v>
      </c>
      <c r="B2665" s="2">
        <v>45005</v>
      </c>
      <c r="C2665">
        <v>35.208347320556641</v>
      </c>
      <c r="D2665">
        <f>_xlfn.XLOOKUP(B2665, Oil_Price!A:A, Oil_Price!B:B, "")</f>
        <v>67.639999389648438</v>
      </c>
      <c r="E2665">
        <f t="shared" si="164"/>
        <v>2.7061231593444226E-2</v>
      </c>
      <c r="F2665">
        <f t="shared" si="165"/>
        <v>1.3485189611722792E-2</v>
      </c>
      <c r="G2665">
        <f t="shared" si="166"/>
        <v>0.92767715454102273</v>
      </c>
      <c r="H2665">
        <f t="shared" si="167"/>
        <v>0.90000152587890625</v>
      </c>
    </row>
    <row r="2666" spans="1:8" x14ac:dyDescent="0.2">
      <c r="A2666" t="s">
        <v>13</v>
      </c>
      <c r="B2666" s="2">
        <v>45006</v>
      </c>
      <c r="C2666">
        <v>36.179359436035163</v>
      </c>
      <c r="D2666">
        <f>_xlfn.XLOOKUP(B2666, Oil_Price!A:A, Oil_Price!B:B, "")</f>
        <v>69.330001831054688</v>
      </c>
      <c r="E2666">
        <f t="shared" si="164"/>
        <v>2.7579031376789177E-2</v>
      </c>
      <c r="F2666">
        <f t="shared" si="165"/>
        <v>2.4985252168185063E-2</v>
      </c>
      <c r="G2666">
        <f t="shared" si="166"/>
        <v>0.97101211547852273</v>
      </c>
      <c r="H2666">
        <f t="shared" si="167"/>
        <v>1.69000244140625</v>
      </c>
    </row>
    <row r="2667" spans="1:8" x14ac:dyDescent="0.2">
      <c r="A2667" t="s">
        <v>13</v>
      </c>
      <c r="B2667" s="2">
        <v>45007</v>
      </c>
      <c r="C2667">
        <v>35.702522277832031</v>
      </c>
      <c r="D2667">
        <f>_xlfn.XLOOKUP(B2667, Oil_Price!A:A, Oil_Price!B:B, "")</f>
        <v>70.900001525878906</v>
      </c>
      <c r="E2667">
        <f t="shared" si="164"/>
        <v>-1.3179812070641455E-2</v>
      </c>
      <c r="F2667">
        <f t="shared" si="165"/>
        <v>2.2645314486649495E-2</v>
      </c>
      <c r="G2667">
        <f t="shared" si="166"/>
        <v>-0.47683715820313211</v>
      </c>
      <c r="H2667">
        <f t="shared" si="167"/>
        <v>1.5699996948242188</v>
      </c>
    </row>
    <row r="2668" spans="1:8" x14ac:dyDescent="0.2">
      <c r="A2668" t="s">
        <v>13</v>
      </c>
      <c r="B2668" s="2">
        <v>45008</v>
      </c>
      <c r="C2668">
        <v>35.138996124267578</v>
      </c>
      <c r="D2668">
        <f>_xlfn.XLOOKUP(B2668, Oil_Price!A:A, Oil_Price!B:B, "")</f>
        <v>69.959999084472656</v>
      </c>
      <c r="E2668">
        <f t="shared" si="164"/>
        <v>-1.5783931151395172E-2</v>
      </c>
      <c r="F2668">
        <f t="shared" si="165"/>
        <v>-1.3258144163271191E-2</v>
      </c>
      <c r="G2668">
        <f t="shared" si="166"/>
        <v>-0.56352615356445312</v>
      </c>
      <c r="H2668">
        <f t="shared" si="167"/>
        <v>-0.94000244140625</v>
      </c>
    </row>
    <row r="2669" spans="1:8" x14ac:dyDescent="0.2">
      <c r="A2669" t="s">
        <v>13</v>
      </c>
      <c r="B2669" s="2">
        <v>45009</v>
      </c>
      <c r="C2669">
        <v>34.497413635253913</v>
      </c>
      <c r="D2669">
        <f>_xlfn.XLOOKUP(B2669, Oil_Price!A:A, Oil_Price!B:B, "")</f>
        <v>69.260002136230469</v>
      </c>
      <c r="E2669">
        <f t="shared" si="164"/>
        <v>-1.8258418275375179E-2</v>
      </c>
      <c r="F2669">
        <f t="shared" si="165"/>
        <v>-1.0005674062359287E-2</v>
      </c>
      <c r="G2669">
        <f t="shared" si="166"/>
        <v>-0.64158248901366477</v>
      </c>
      <c r="H2669">
        <f t="shared" si="167"/>
        <v>-0.6999969482421875</v>
      </c>
    </row>
    <row r="2670" spans="1:8" x14ac:dyDescent="0.2">
      <c r="A2670" t="s">
        <v>13</v>
      </c>
      <c r="B2670" s="2">
        <v>45012</v>
      </c>
      <c r="C2670">
        <v>35.217014312744141</v>
      </c>
      <c r="D2670">
        <f>_xlfn.XLOOKUP(B2670, Oil_Price!A:A, Oil_Price!B:B, "")</f>
        <v>72.80999755859375</v>
      </c>
      <c r="E2670">
        <f t="shared" si="164"/>
        <v>2.085955443207042E-2</v>
      </c>
      <c r="F2670">
        <f t="shared" si="165"/>
        <v>5.1256068623570683E-2</v>
      </c>
      <c r="G2670">
        <f t="shared" si="166"/>
        <v>0.71960067749022727</v>
      </c>
      <c r="H2670">
        <f t="shared" si="167"/>
        <v>3.5499954223632812</v>
      </c>
    </row>
    <row r="2671" spans="1:8" x14ac:dyDescent="0.2">
      <c r="A2671" t="s">
        <v>13</v>
      </c>
      <c r="B2671" s="2">
        <v>45013</v>
      </c>
      <c r="C2671">
        <v>35.641834259033203</v>
      </c>
      <c r="D2671">
        <f>_xlfn.XLOOKUP(B2671, Oil_Price!A:A, Oil_Price!B:B, "")</f>
        <v>73.199996948242188</v>
      </c>
      <c r="E2671">
        <f t="shared" si="164"/>
        <v>1.2062917728245094E-2</v>
      </c>
      <c r="F2671">
        <f t="shared" si="165"/>
        <v>5.3563988837465075E-3</v>
      </c>
      <c r="G2671">
        <f t="shared" si="166"/>
        <v>0.4248199462890625</v>
      </c>
      <c r="H2671">
        <f t="shared" si="167"/>
        <v>0.3899993896484375</v>
      </c>
    </row>
    <row r="2672" spans="1:8" x14ac:dyDescent="0.2">
      <c r="A2672" t="s">
        <v>13</v>
      </c>
      <c r="B2672" s="2">
        <v>45014</v>
      </c>
      <c r="C2672">
        <v>36.083995819091797</v>
      </c>
      <c r="D2672">
        <f>_xlfn.XLOOKUP(B2672, Oil_Price!A:A, Oil_Price!B:B, "")</f>
        <v>72.970001220703125</v>
      </c>
      <c r="E2672">
        <f t="shared" si="164"/>
        <v>1.2405690370622006E-2</v>
      </c>
      <c r="F2672">
        <f t="shared" si="165"/>
        <v>-3.1420182667724222E-3</v>
      </c>
      <c r="G2672">
        <f t="shared" si="166"/>
        <v>0.44216156005859375</v>
      </c>
      <c r="H2672">
        <f t="shared" si="167"/>
        <v>-0.2299957275390625</v>
      </c>
    </row>
    <row r="2673" spans="1:8" x14ac:dyDescent="0.2">
      <c r="A2673" t="s">
        <v>13</v>
      </c>
      <c r="B2673" s="2">
        <v>45015</v>
      </c>
      <c r="C2673">
        <v>36.361438751220703</v>
      </c>
      <c r="D2673">
        <f>_xlfn.XLOOKUP(B2673, Oil_Price!A:A, Oil_Price!B:B, "")</f>
        <v>74.370002746582031</v>
      </c>
      <c r="E2673">
        <f t="shared" si="164"/>
        <v>7.6888084545812157E-3</v>
      </c>
      <c r="F2673">
        <f t="shared" si="165"/>
        <v>1.9185987425771021E-2</v>
      </c>
      <c r="G2673">
        <f t="shared" si="166"/>
        <v>0.27744293212890625</v>
      </c>
      <c r="H2673">
        <f t="shared" si="167"/>
        <v>1.4000015258789062</v>
      </c>
    </row>
    <row r="2674" spans="1:8" x14ac:dyDescent="0.2">
      <c r="A2674" t="s">
        <v>13</v>
      </c>
      <c r="B2674" s="2">
        <v>45016</v>
      </c>
      <c r="C2674">
        <v>36.378772735595703</v>
      </c>
      <c r="D2674">
        <f>_xlfn.XLOOKUP(B2674, Oil_Price!A:A, Oil_Price!B:B, "")</f>
        <v>75.669998168945312</v>
      </c>
      <c r="E2674">
        <f t="shared" si="164"/>
        <v>4.7671338017168187E-4</v>
      </c>
      <c r="F2674">
        <f t="shared" si="165"/>
        <v>1.7480104536140115E-2</v>
      </c>
      <c r="G2674">
        <f t="shared" si="166"/>
        <v>1.7333984375E-2</v>
      </c>
      <c r="H2674">
        <f t="shared" si="167"/>
        <v>1.2999954223632812</v>
      </c>
    </row>
    <row r="2675" spans="1:8" x14ac:dyDescent="0.2">
      <c r="A2675" t="s">
        <v>13</v>
      </c>
      <c r="B2675" s="2">
        <v>45019</v>
      </c>
      <c r="C2675">
        <v>38.407527923583977</v>
      </c>
      <c r="D2675">
        <f>_xlfn.XLOOKUP(B2675, Oil_Price!A:A, Oil_Price!B:B, "")</f>
        <v>80.419998168945312</v>
      </c>
      <c r="E2675">
        <f t="shared" si="164"/>
        <v>5.5767554412389203E-2</v>
      </c>
      <c r="F2675">
        <f t="shared" si="165"/>
        <v>6.2772566604202495E-2</v>
      </c>
      <c r="G2675">
        <f t="shared" si="166"/>
        <v>2.0287551879882741</v>
      </c>
      <c r="H2675">
        <f t="shared" si="167"/>
        <v>4.75</v>
      </c>
    </row>
    <row r="2676" spans="1:8" x14ac:dyDescent="0.2">
      <c r="A2676" t="s">
        <v>13</v>
      </c>
      <c r="B2676" s="2">
        <v>45020</v>
      </c>
      <c r="C2676">
        <v>37.757286071777337</v>
      </c>
      <c r="D2676">
        <f>_xlfn.XLOOKUP(B2676, Oil_Price!A:A, Oil_Price!B:B, "")</f>
        <v>80.709999084472656</v>
      </c>
      <c r="E2676">
        <f t="shared" si="164"/>
        <v>-1.693006259346784E-2</v>
      </c>
      <c r="F2676">
        <f t="shared" si="165"/>
        <v>3.6060796086828241E-3</v>
      </c>
      <c r="G2676">
        <f t="shared" si="166"/>
        <v>-0.65024185180664062</v>
      </c>
      <c r="H2676">
        <f t="shared" si="167"/>
        <v>0.29000091552734375</v>
      </c>
    </row>
    <row r="2677" spans="1:8" x14ac:dyDescent="0.2">
      <c r="A2677" t="s">
        <v>13</v>
      </c>
      <c r="B2677" s="2">
        <v>45021</v>
      </c>
      <c r="C2677">
        <v>37.349800109863281</v>
      </c>
      <c r="D2677">
        <f>_xlfn.XLOOKUP(B2677, Oil_Price!A:A, Oil_Price!B:B, "")</f>
        <v>80.610000610351562</v>
      </c>
      <c r="E2677">
        <f t="shared" si="164"/>
        <v>-1.0792247121242153E-2</v>
      </c>
      <c r="F2677">
        <f t="shared" si="165"/>
        <v>-1.2389849492679761E-3</v>
      </c>
      <c r="G2677">
        <f t="shared" si="166"/>
        <v>-0.40748596191405539</v>
      </c>
      <c r="H2677">
        <f t="shared" si="167"/>
        <v>-9.999847412109375E-2</v>
      </c>
    </row>
    <row r="2678" spans="1:8" x14ac:dyDescent="0.2">
      <c r="A2678" t="s">
        <v>13</v>
      </c>
      <c r="B2678" s="2">
        <v>45022</v>
      </c>
      <c r="C2678">
        <v>36.977001190185547</v>
      </c>
      <c r="D2678">
        <f>_xlfn.XLOOKUP(B2678, Oil_Price!A:A, Oil_Price!B:B, "")</f>
        <v>80.699996948242188</v>
      </c>
      <c r="E2678">
        <f t="shared" si="164"/>
        <v>-9.981282860447924E-3</v>
      </c>
      <c r="F2678">
        <f t="shared" si="165"/>
        <v>1.1164413498226432E-3</v>
      </c>
      <c r="G2678">
        <f t="shared" si="166"/>
        <v>-0.37279891967773438</v>
      </c>
      <c r="H2678">
        <f t="shared" si="167"/>
        <v>8.9996337890625E-2</v>
      </c>
    </row>
    <row r="2679" spans="1:8" x14ac:dyDescent="0.2">
      <c r="A2679" t="s">
        <v>13</v>
      </c>
      <c r="B2679" s="2">
        <v>45026</v>
      </c>
      <c r="C2679">
        <v>37.289115905761719</v>
      </c>
      <c r="D2679">
        <f>_xlfn.XLOOKUP(B2679, Oil_Price!A:A, Oil_Price!B:B, "")</f>
        <v>79.739997863769531</v>
      </c>
      <c r="E2679">
        <f t="shared" si="164"/>
        <v>8.4407795529674676E-3</v>
      </c>
      <c r="F2679">
        <f t="shared" si="165"/>
        <v>-1.1895899885700887E-2</v>
      </c>
      <c r="G2679">
        <f t="shared" si="166"/>
        <v>0.31211471557617188</v>
      </c>
      <c r="H2679">
        <f t="shared" si="167"/>
        <v>-0.95999908447265625</v>
      </c>
    </row>
    <row r="2680" spans="1:8" x14ac:dyDescent="0.2">
      <c r="A2680" t="s">
        <v>13</v>
      </c>
      <c r="B2680" s="2">
        <v>45027</v>
      </c>
      <c r="C2680">
        <v>37.731273651123047</v>
      </c>
      <c r="D2680">
        <f>_xlfn.XLOOKUP(B2680, Oil_Price!A:A, Oil_Price!B:B, "")</f>
        <v>81.529998779296875</v>
      </c>
      <c r="E2680">
        <f t="shared" si="164"/>
        <v>1.1857555069923453E-2</v>
      </c>
      <c r="F2680">
        <f t="shared" si="165"/>
        <v>2.2447967939319999E-2</v>
      </c>
      <c r="G2680">
        <f t="shared" si="166"/>
        <v>0.44215774536132812</v>
      </c>
      <c r="H2680">
        <f t="shared" si="167"/>
        <v>1.7900009155273438</v>
      </c>
    </row>
    <row r="2681" spans="1:8" x14ac:dyDescent="0.2">
      <c r="A2681" t="s">
        <v>13</v>
      </c>
      <c r="B2681" s="2">
        <v>45028</v>
      </c>
      <c r="C2681">
        <v>38.000049591064453</v>
      </c>
      <c r="D2681">
        <f>_xlfn.XLOOKUP(B2681, Oil_Price!A:A, Oil_Price!B:B, "")</f>
        <v>83.260002136230469</v>
      </c>
      <c r="E2681">
        <f t="shared" si="164"/>
        <v>7.1234261113633599E-3</v>
      </c>
      <c r="F2681">
        <f t="shared" si="165"/>
        <v>2.1219224614693579E-2</v>
      </c>
      <c r="G2681">
        <f t="shared" si="166"/>
        <v>0.26877593994140625</v>
      </c>
      <c r="H2681">
        <f t="shared" si="167"/>
        <v>1.7300033569335938</v>
      </c>
    </row>
    <row r="2682" spans="1:8" x14ac:dyDescent="0.2">
      <c r="A2682" t="s">
        <v>13</v>
      </c>
      <c r="B2682" s="2">
        <v>45029</v>
      </c>
      <c r="C2682">
        <v>37.739944458007812</v>
      </c>
      <c r="D2682">
        <f>_xlfn.XLOOKUP(B2682, Oil_Price!A:A, Oil_Price!B:B, "")</f>
        <v>82.160003662109375</v>
      </c>
      <c r="E2682">
        <f t="shared" si="164"/>
        <v>-6.8448629898052345E-3</v>
      </c>
      <c r="F2682">
        <f t="shared" si="165"/>
        <v>-1.3211607565434243E-2</v>
      </c>
      <c r="G2682">
        <f t="shared" si="166"/>
        <v>-0.26010513305664062</v>
      </c>
      <c r="H2682">
        <f t="shared" si="167"/>
        <v>-1.0999984741210938</v>
      </c>
    </row>
    <row r="2683" spans="1:8" x14ac:dyDescent="0.2">
      <c r="A2683" t="s">
        <v>13</v>
      </c>
      <c r="B2683" s="2">
        <v>45030</v>
      </c>
      <c r="C2683">
        <v>37.800636291503913</v>
      </c>
      <c r="D2683">
        <f>_xlfn.XLOOKUP(B2683, Oil_Price!A:A, Oil_Price!B:B, "")</f>
        <v>82.519996643066406</v>
      </c>
      <c r="E2683">
        <f t="shared" si="164"/>
        <v>1.6081590571398686E-3</v>
      </c>
      <c r="F2683">
        <f t="shared" si="165"/>
        <v>4.3816086284213874E-3</v>
      </c>
      <c r="G2683">
        <f t="shared" si="166"/>
        <v>6.0691833496100855E-2</v>
      </c>
      <c r="H2683">
        <f t="shared" si="167"/>
        <v>0.35999298095703125</v>
      </c>
    </row>
    <row r="2684" spans="1:8" x14ac:dyDescent="0.2">
      <c r="A2684" t="s">
        <v>13</v>
      </c>
      <c r="B2684" s="2">
        <v>45033</v>
      </c>
      <c r="C2684">
        <v>37.557884216308587</v>
      </c>
      <c r="D2684">
        <f>_xlfn.XLOOKUP(B2684, Oil_Price!A:A, Oil_Price!B:B, "")</f>
        <v>80.830001831054688</v>
      </c>
      <c r="E2684">
        <f t="shared" si="164"/>
        <v>-6.4219044706897641E-3</v>
      </c>
      <c r="F2684">
        <f t="shared" si="165"/>
        <v>-2.0479821628224915E-2</v>
      </c>
      <c r="G2684">
        <f t="shared" si="166"/>
        <v>-0.24275207519532671</v>
      </c>
      <c r="H2684">
        <f t="shared" si="167"/>
        <v>-1.6899948120117188</v>
      </c>
    </row>
    <row r="2685" spans="1:8" x14ac:dyDescent="0.2">
      <c r="A2685" t="s">
        <v>13</v>
      </c>
      <c r="B2685" s="2">
        <v>45034</v>
      </c>
      <c r="C2685">
        <v>36.7689208984375</v>
      </c>
      <c r="D2685">
        <f>_xlfn.XLOOKUP(B2685, Oil_Price!A:A, Oil_Price!B:B, "")</f>
        <v>80.860000610351562</v>
      </c>
      <c r="E2685">
        <f t="shared" si="164"/>
        <v>-2.1006596466594855E-2</v>
      </c>
      <c r="F2685">
        <f t="shared" si="165"/>
        <v>3.711342152333039E-4</v>
      </c>
      <c r="G2685">
        <f t="shared" si="166"/>
        <v>-0.78896331787108664</v>
      </c>
      <c r="H2685">
        <f t="shared" si="167"/>
        <v>2.9998779296875E-2</v>
      </c>
    </row>
    <row r="2686" spans="1:8" x14ac:dyDescent="0.2">
      <c r="A2686" t="s">
        <v>13</v>
      </c>
      <c r="B2686" s="2">
        <v>45035</v>
      </c>
      <c r="C2686">
        <v>36.0233154296875</v>
      </c>
      <c r="D2686">
        <f>_xlfn.XLOOKUP(B2686, Oil_Price!A:A, Oil_Price!B:B, "")</f>
        <v>79.160003662109375</v>
      </c>
      <c r="E2686">
        <f t="shared" si="164"/>
        <v>-2.0278143892487326E-2</v>
      </c>
      <c r="F2686">
        <f t="shared" si="165"/>
        <v>-2.102395418513708E-2</v>
      </c>
      <c r="G2686">
        <f t="shared" si="166"/>
        <v>-0.74560546875</v>
      </c>
      <c r="H2686">
        <f t="shared" si="167"/>
        <v>-1.6999969482421875</v>
      </c>
    </row>
    <row r="2687" spans="1:8" x14ac:dyDescent="0.2">
      <c r="A2687" t="s">
        <v>13</v>
      </c>
      <c r="B2687" s="2">
        <v>45036</v>
      </c>
      <c r="C2687">
        <v>35.754547119140618</v>
      </c>
      <c r="D2687">
        <f>_xlfn.XLOOKUP(B2687, Oil_Price!A:A, Oil_Price!B:B, "")</f>
        <v>77.290000915527344</v>
      </c>
      <c r="E2687">
        <f t="shared" si="164"/>
        <v>-7.4609543108679283E-3</v>
      </c>
      <c r="F2687">
        <f t="shared" si="165"/>
        <v>-2.3623075544109966E-2</v>
      </c>
      <c r="G2687">
        <f t="shared" si="166"/>
        <v>-0.26876831054688211</v>
      </c>
      <c r="H2687">
        <f t="shared" si="167"/>
        <v>-1.8700027465820312</v>
      </c>
    </row>
    <row r="2688" spans="1:8" x14ac:dyDescent="0.2">
      <c r="A2688" t="s">
        <v>13</v>
      </c>
      <c r="B2688" s="2">
        <v>45037</v>
      </c>
      <c r="C2688">
        <v>35.719871520996087</v>
      </c>
      <c r="D2688">
        <f>_xlfn.XLOOKUP(B2688, Oil_Price!A:A, Oil_Price!B:B, "")</f>
        <v>77.870002746582031</v>
      </c>
      <c r="E2688">
        <f t="shared" si="164"/>
        <v>-9.6982344732226319E-4</v>
      </c>
      <c r="F2688">
        <f t="shared" si="165"/>
        <v>7.5042285442406664E-3</v>
      </c>
      <c r="G2688">
        <f t="shared" si="166"/>
        <v>-3.467559814453125E-2</v>
      </c>
      <c r="H2688">
        <f t="shared" si="167"/>
        <v>0.5800018310546875</v>
      </c>
    </row>
    <row r="2689" spans="1:8" x14ac:dyDescent="0.2">
      <c r="A2689" t="s">
        <v>13</v>
      </c>
      <c r="B2689" s="2">
        <v>45040</v>
      </c>
      <c r="C2689">
        <v>35.919269561767578</v>
      </c>
      <c r="D2689">
        <f>_xlfn.XLOOKUP(B2689, Oil_Price!A:A, Oil_Price!B:B, "")</f>
        <v>78.760002136230469</v>
      </c>
      <c r="E2689">
        <f t="shared" si="164"/>
        <v>5.5822720598052997E-3</v>
      </c>
      <c r="F2689">
        <f t="shared" si="165"/>
        <v>1.1429297011133115E-2</v>
      </c>
      <c r="G2689">
        <f t="shared" si="166"/>
        <v>0.19939804077149148</v>
      </c>
      <c r="H2689">
        <f t="shared" si="167"/>
        <v>0.8899993896484375</v>
      </c>
    </row>
    <row r="2690" spans="1:8" x14ac:dyDescent="0.2">
      <c r="A2690" t="s">
        <v>13</v>
      </c>
      <c r="B2690" s="2">
        <v>45041</v>
      </c>
      <c r="C2690">
        <v>35.2950439453125</v>
      </c>
      <c r="D2690">
        <f>_xlfn.XLOOKUP(B2690, Oil_Price!A:A, Oil_Price!B:B, "")</f>
        <v>77.069999694824219</v>
      </c>
      <c r="E2690">
        <f t="shared" si="164"/>
        <v>-1.7378572116608492E-2</v>
      </c>
      <c r="F2690">
        <f t="shared" si="165"/>
        <v>-2.145762310268946E-2</v>
      </c>
      <c r="G2690">
        <f t="shared" si="166"/>
        <v>-0.62422561645507812</v>
      </c>
      <c r="H2690">
        <f t="shared" si="167"/>
        <v>-1.69000244140625</v>
      </c>
    </row>
    <row r="2691" spans="1:8" x14ac:dyDescent="0.2">
      <c r="A2691" t="s">
        <v>13</v>
      </c>
      <c r="B2691" s="2">
        <v>45042</v>
      </c>
      <c r="C2691">
        <v>34.627464294433587</v>
      </c>
      <c r="D2691">
        <f>_xlfn.XLOOKUP(B2691, Oil_Price!A:A, Oil_Price!B:B, "")</f>
        <v>74.300003051757812</v>
      </c>
      <c r="E2691">
        <f t="shared" ref="E2691:E2754" si="168">IFERROR(IF(AND(A2691=A2690, C2691&lt;&gt;"", C2690&lt;&gt;""), (C2691-C2690)/C2690, ""), "")</f>
        <v>-1.8914260367922674E-2</v>
      </c>
      <c r="F2691">
        <f t="shared" ref="F2691:F2754" si="169">IFERROR(IF(AND(A2691=A2690, D2691&lt;&gt;"", D2690&lt;&gt;""), (D2691-D2690)/D2690, ""), "")</f>
        <v>-3.594130860302093E-2</v>
      </c>
      <c r="G2691">
        <f t="shared" ref="G2691:G2754" si="170">IFERROR(IF(AND(A2691=A2690, C2691&lt;&gt;"", C2690&lt;&gt;""), C2691-C2690, ""), "")</f>
        <v>-0.66757965087891336</v>
      </c>
      <c r="H2691">
        <f t="shared" ref="H2691:H2754" si="171">IFERROR(IF(AND(A2691=A2690, D2691&lt;&gt;"", D2690&lt;&gt;""), D2691-D2690, ""), "")</f>
        <v>-2.7699966430664062</v>
      </c>
    </row>
    <row r="2692" spans="1:8" x14ac:dyDescent="0.2">
      <c r="A2692" t="s">
        <v>13</v>
      </c>
      <c r="B2692" s="2">
        <v>45043</v>
      </c>
      <c r="C2692">
        <v>35.797901153564453</v>
      </c>
      <c r="D2692">
        <f>_xlfn.XLOOKUP(B2692, Oil_Price!A:A, Oil_Price!B:B, "")</f>
        <v>74.760002136230469</v>
      </c>
      <c r="E2692">
        <f t="shared" si="168"/>
        <v>3.3800824951511564E-2</v>
      </c>
      <c r="F2692">
        <f t="shared" si="169"/>
        <v>6.1911045165397669E-3</v>
      </c>
      <c r="G2692">
        <f t="shared" si="170"/>
        <v>1.1704368591308665</v>
      </c>
      <c r="H2692">
        <f t="shared" si="171"/>
        <v>0.45999908447265625</v>
      </c>
    </row>
    <row r="2693" spans="1:8" x14ac:dyDescent="0.2">
      <c r="A2693" t="s">
        <v>13</v>
      </c>
      <c r="B2693" s="2">
        <v>45044</v>
      </c>
      <c r="C2693">
        <v>36.777587890625</v>
      </c>
      <c r="D2693">
        <f>_xlfn.XLOOKUP(B2693, Oil_Price!A:A, Oil_Price!B:B, "")</f>
        <v>76.779998779296875</v>
      </c>
      <c r="E2693">
        <f t="shared" si="168"/>
        <v>2.7367155768655949E-2</v>
      </c>
      <c r="F2693">
        <f t="shared" si="169"/>
        <v>2.7019751007838294E-2</v>
      </c>
      <c r="G2693">
        <f t="shared" si="170"/>
        <v>0.97968673706054688</v>
      </c>
      <c r="H2693">
        <f t="shared" si="171"/>
        <v>2.0199966430664062</v>
      </c>
    </row>
    <row r="2694" spans="1:8" x14ac:dyDescent="0.2">
      <c r="A2694" t="s">
        <v>13</v>
      </c>
      <c r="B2694" s="2">
        <v>45047</v>
      </c>
      <c r="C2694">
        <v>36.21405029296875</v>
      </c>
      <c r="D2694">
        <f>_xlfn.XLOOKUP(B2694, Oil_Price!A:A, Oil_Price!B:B, "")</f>
        <v>75.660003662109375</v>
      </c>
      <c r="E2694">
        <f t="shared" si="168"/>
        <v>-1.5322853671975093E-2</v>
      </c>
      <c r="F2694">
        <f t="shared" si="169"/>
        <v>-1.4587068702708783E-2</v>
      </c>
      <c r="G2694">
        <f t="shared" si="170"/>
        <v>-0.56353759765625</v>
      </c>
      <c r="H2694">
        <f t="shared" si="171"/>
        <v>-1.1199951171875</v>
      </c>
    </row>
    <row r="2695" spans="1:8" x14ac:dyDescent="0.2">
      <c r="A2695" t="s">
        <v>13</v>
      </c>
      <c r="B2695" s="2">
        <v>45048</v>
      </c>
      <c r="C2695">
        <v>34.480079650878913</v>
      </c>
      <c r="D2695">
        <f>_xlfn.XLOOKUP(B2695, Oil_Price!A:A, Oil_Price!B:B, "")</f>
        <v>71.660003662109375</v>
      </c>
      <c r="E2695">
        <f t="shared" si="168"/>
        <v>-4.7881157397809793E-2</v>
      </c>
      <c r="F2695">
        <f t="shared" si="169"/>
        <v>-5.2868091546276322E-2</v>
      </c>
      <c r="G2695">
        <f t="shared" si="170"/>
        <v>-1.7339706420898366</v>
      </c>
      <c r="H2695">
        <f t="shared" si="171"/>
        <v>-4</v>
      </c>
    </row>
    <row r="2696" spans="1:8" x14ac:dyDescent="0.2">
      <c r="A2696" t="s">
        <v>13</v>
      </c>
      <c r="B2696" s="2">
        <v>45049</v>
      </c>
      <c r="C2696">
        <v>33.786483764648438</v>
      </c>
      <c r="D2696">
        <f>_xlfn.XLOOKUP(B2696, Oil_Price!A:A, Oil_Price!B:B, "")</f>
        <v>68.599998474121094</v>
      </c>
      <c r="E2696">
        <f t="shared" si="168"/>
        <v>-2.0115843503070208E-2</v>
      </c>
      <c r="F2696">
        <f t="shared" si="169"/>
        <v>-4.2701716879848223E-2</v>
      </c>
      <c r="G2696">
        <f t="shared" si="170"/>
        <v>-0.69359588623047586</v>
      </c>
      <c r="H2696">
        <f t="shared" si="171"/>
        <v>-3.0600051879882812</v>
      </c>
    </row>
    <row r="2697" spans="1:8" x14ac:dyDescent="0.2">
      <c r="A2697" t="s">
        <v>13</v>
      </c>
      <c r="B2697" s="2">
        <v>45050</v>
      </c>
      <c r="C2697">
        <v>33.45703125</v>
      </c>
      <c r="D2697">
        <f>_xlfn.XLOOKUP(B2697, Oil_Price!A:A, Oil_Price!B:B, "")</f>
        <v>68.55999755859375</v>
      </c>
      <c r="E2697">
        <f t="shared" si="168"/>
        <v>-9.7510151379869587E-3</v>
      </c>
      <c r="F2697">
        <f t="shared" si="169"/>
        <v>-5.8310373785844672E-4</v>
      </c>
      <c r="G2697">
        <f t="shared" si="170"/>
        <v>-0.3294525146484375</v>
      </c>
      <c r="H2697">
        <f t="shared" si="171"/>
        <v>-4.000091552734375E-2</v>
      </c>
    </row>
    <row r="2698" spans="1:8" x14ac:dyDescent="0.2">
      <c r="A2698" t="s">
        <v>13</v>
      </c>
      <c r="B2698" s="2">
        <v>45051</v>
      </c>
      <c r="C2698">
        <v>34.402046203613281</v>
      </c>
      <c r="D2698">
        <f>_xlfn.XLOOKUP(B2698, Oil_Price!A:A, Oil_Price!B:B, "")</f>
        <v>71.339996337890625</v>
      </c>
      <c r="E2698">
        <f t="shared" si="168"/>
        <v>2.8245630837711616E-2</v>
      </c>
      <c r="F2698">
        <f t="shared" si="169"/>
        <v>4.0548408376487932E-2</v>
      </c>
      <c r="G2698">
        <f t="shared" si="170"/>
        <v>0.94501495361328125</v>
      </c>
      <c r="H2698">
        <f t="shared" si="171"/>
        <v>2.779998779296875</v>
      </c>
    </row>
    <row r="2699" spans="1:8" x14ac:dyDescent="0.2">
      <c r="A2699" t="s">
        <v>13</v>
      </c>
      <c r="B2699" s="2">
        <v>45054</v>
      </c>
      <c r="C2699">
        <v>34.74884033203125</v>
      </c>
      <c r="D2699">
        <f>_xlfn.XLOOKUP(B2699, Oil_Price!A:A, Oil_Price!B:B, "")</f>
        <v>73.160003662109375</v>
      </c>
      <c r="E2699">
        <f t="shared" si="168"/>
        <v>1.0080625040889126E-2</v>
      </c>
      <c r="F2699">
        <f t="shared" si="169"/>
        <v>2.5511738402656664E-2</v>
      </c>
      <c r="G2699">
        <f t="shared" si="170"/>
        <v>0.34679412841796875</v>
      </c>
      <c r="H2699">
        <f t="shared" si="171"/>
        <v>1.82000732421875</v>
      </c>
    </row>
    <row r="2700" spans="1:8" x14ac:dyDescent="0.2">
      <c r="A2700" t="s">
        <v>13</v>
      </c>
      <c r="B2700" s="2">
        <v>45055</v>
      </c>
      <c r="C2700">
        <v>34.402046203613281</v>
      </c>
      <c r="D2700">
        <f>_xlfn.XLOOKUP(B2700, Oil_Price!A:A, Oil_Price!B:B, "")</f>
        <v>73.709999084472656</v>
      </c>
      <c r="E2700">
        <f t="shared" si="168"/>
        <v>-9.9800201993588897E-3</v>
      </c>
      <c r="F2700">
        <f t="shared" si="169"/>
        <v>7.517706326306977E-3</v>
      </c>
      <c r="G2700">
        <f t="shared" si="170"/>
        <v>-0.34679412841796875</v>
      </c>
      <c r="H2700">
        <f t="shared" si="171"/>
        <v>0.54999542236328125</v>
      </c>
    </row>
    <row r="2701" spans="1:8" x14ac:dyDescent="0.2">
      <c r="A2701" t="s">
        <v>13</v>
      </c>
      <c r="B2701" s="2">
        <v>45056</v>
      </c>
      <c r="C2701">
        <v>33.968555450439453</v>
      </c>
      <c r="D2701">
        <f>_xlfn.XLOOKUP(B2701, Oil_Price!A:A, Oil_Price!B:B, "")</f>
        <v>72.55999755859375</v>
      </c>
      <c r="E2701">
        <f t="shared" si="168"/>
        <v>-1.2600725858228112E-2</v>
      </c>
      <c r="F2701">
        <f t="shared" si="169"/>
        <v>-1.5601703163243686E-2</v>
      </c>
      <c r="G2701">
        <f t="shared" si="170"/>
        <v>-0.43349075317382812</v>
      </c>
      <c r="H2701">
        <f t="shared" si="171"/>
        <v>-1.1500015258789062</v>
      </c>
    </row>
    <row r="2702" spans="1:8" x14ac:dyDescent="0.2">
      <c r="A2702" t="s">
        <v>13</v>
      </c>
      <c r="B2702" s="2">
        <v>45057</v>
      </c>
      <c r="C2702">
        <v>33.699783325195312</v>
      </c>
      <c r="D2702">
        <f>_xlfn.XLOOKUP(B2702, Oil_Price!A:A, Oil_Price!B:B, "")</f>
        <v>70.870002746582031</v>
      </c>
      <c r="E2702">
        <f t="shared" si="168"/>
        <v>-7.9123801904465007E-3</v>
      </c>
      <c r="F2702">
        <f t="shared" si="169"/>
        <v>-2.3290998744136007E-2</v>
      </c>
      <c r="G2702">
        <f t="shared" si="170"/>
        <v>-0.26877212524414062</v>
      </c>
      <c r="H2702">
        <f t="shared" si="171"/>
        <v>-1.6899948120117188</v>
      </c>
    </row>
    <row r="2703" spans="1:8" x14ac:dyDescent="0.2">
      <c r="A2703" t="s">
        <v>13</v>
      </c>
      <c r="B2703" s="2">
        <v>45058</v>
      </c>
      <c r="C2703">
        <v>33.699783325195312</v>
      </c>
      <c r="D2703">
        <f>_xlfn.XLOOKUP(B2703, Oil_Price!A:A, Oil_Price!B:B, "")</f>
        <v>70.040000915527344</v>
      </c>
      <c r="E2703">
        <f t="shared" si="168"/>
        <v>0</v>
      </c>
      <c r="F2703">
        <f t="shared" si="169"/>
        <v>-1.1711609974429096E-2</v>
      </c>
      <c r="G2703">
        <f t="shared" si="170"/>
        <v>0</v>
      </c>
      <c r="H2703">
        <f t="shared" si="171"/>
        <v>-0.8300018310546875</v>
      </c>
    </row>
    <row r="2704" spans="1:8" x14ac:dyDescent="0.2">
      <c r="A2704" t="s">
        <v>13</v>
      </c>
      <c r="B2704" s="2">
        <v>45061</v>
      </c>
      <c r="C2704">
        <v>33.951213836669922</v>
      </c>
      <c r="D2704">
        <f>_xlfn.XLOOKUP(B2704, Oil_Price!A:A, Oil_Price!B:B, "")</f>
        <v>71.110000610351562</v>
      </c>
      <c r="E2704">
        <f t="shared" si="168"/>
        <v>7.4608940077852022E-3</v>
      </c>
      <c r="F2704">
        <f t="shared" si="169"/>
        <v>1.5276980023382722E-2</v>
      </c>
      <c r="G2704">
        <f t="shared" si="170"/>
        <v>0.25143051147460938</v>
      </c>
      <c r="H2704">
        <f t="shared" si="171"/>
        <v>1.0699996948242188</v>
      </c>
    </row>
    <row r="2705" spans="1:8" x14ac:dyDescent="0.2">
      <c r="A2705" t="s">
        <v>13</v>
      </c>
      <c r="B2705" s="2">
        <v>45062</v>
      </c>
      <c r="C2705">
        <v>32.910835266113281</v>
      </c>
      <c r="D2705">
        <f>_xlfn.XLOOKUP(B2705, Oil_Price!A:A, Oil_Price!B:B, "")</f>
        <v>70.860000610351562</v>
      </c>
      <c r="E2705">
        <f t="shared" si="168"/>
        <v>-3.0643339456480692E-2</v>
      </c>
      <c r="F2705">
        <f t="shared" si="169"/>
        <v>-3.5156799023231509E-3</v>
      </c>
      <c r="G2705">
        <f t="shared" si="170"/>
        <v>-1.0403785705566406</v>
      </c>
      <c r="H2705">
        <f t="shared" si="171"/>
        <v>-0.25</v>
      </c>
    </row>
    <row r="2706" spans="1:8" x14ac:dyDescent="0.2">
      <c r="A2706" t="s">
        <v>13</v>
      </c>
      <c r="B2706" s="2">
        <v>45063</v>
      </c>
      <c r="C2706">
        <v>33.370334625244141</v>
      </c>
      <c r="D2706">
        <f>_xlfn.XLOOKUP(B2706, Oil_Price!A:A, Oil_Price!B:B, "")</f>
        <v>72.830001831054688</v>
      </c>
      <c r="E2706">
        <f t="shared" si="168"/>
        <v>1.3961947650838993E-2</v>
      </c>
      <c r="F2706">
        <f t="shared" si="169"/>
        <v>2.7801315322248783E-2</v>
      </c>
      <c r="G2706">
        <f t="shared" si="170"/>
        <v>0.45949935913085938</v>
      </c>
      <c r="H2706">
        <f t="shared" si="171"/>
        <v>1.970001220703125</v>
      </c>
    </row>
    <row r="2707" spans="1:8" x14ac:dyDescent="0.2">
      <c r="A2707" t="s">
        <v>13</v>
      </c>
      <c r="B2707" s="2">
        <v>45064</v>
      </c>
      <c r="C2707">
        <v>33.352989196777337</v>
      </c>
      <c r="D2707">
        <f>_xlfn.XLOOKUP(B2707, Oil_Price!A:A, Oil_Price!B:B, "")</f>
        <v>71.860000610351562</v>
      </c>
      <c r="E2707">
        <f t="shared" si="168"/>
        <v>-5.1978587154119917E-4</v>
      </c>
      <c r="F2707">
        <f t="shared" si="169"/>
        <v>-1.331870378025333E-2</v>
      </c>
      <c r="G2707">
        <f t="shared" si="170"/>
        <v>-1.734542846680398E-2</v>
      </c>
      <c r="H2707">
        <f t="shared" si="171"/>
        <v>-0.970001220703125</v>
      </c>
    </row>
    <row r="2708" spans="1:8" x14ac:dyDescent="0.2">
      <c r="A2708" t="s">
        <v>13</v>
      </c>
      <c r="B2708" s="2">
        <v>45065</v>
      </c>
      <c r="C2708">
        <v>33.665103912353523</v>
      </c>
      <c r="D2708">
        <f>_xlfn.XLOOKUP(B2708, Oil_Price!A:A, Oil_Price!B:B, "")</f>
        <v>71.550003051757812</v>
      </c>
      <c r="E2708">
        <f t="shared" si="168"/>
        <v>9.3579233253954803E-3</v>
      </c>
      <c r="F2708">
        <f t="shared" si="169"/>
        <v>-4.313909768449046E-3</v>
      </c>
      <c r="G2708">
        <f t="shared" si="170"/>
        <v>0.31211471557618609</v>
      </c>
      <c r="H2708">
        <f t="shared" si="171"/>
        <v>-0.30999755859375</v>
      </c>
    </row>
    <row r="2709" spans="1:8" x14ac:dyDescent="0.2">
      <c r="A2709" t="s">
        <v>13</v>
      </c>
      <c r="B2709" s="2">
        <v>45069</v>
      </c>
      <c r="C2709">
        <v>34.115936279296882</v>
      </c>
      <c r="D2709">
        <f>_xlfn.XLOOKUP(B2709, Oil_Price!A:A, Oil_Price!B:B, "")</f>
        <v>72.910003662109375</v>
      </c>
      <c r="E2709">
        <f t="shared" si="168"/>
        <v>1.3391682025313011E-2</v>
      </c>
      <c r="F2709">
        <f t="shared" si="169"/>
        <v>1.9007694651917286E-2</v>
      </c>
      <c r="G2709">
        <f t="shared" si="170"/>
        <v>0.45083236694335938</v>
      </c>
      <c r="H2709">
        <f t="shared" si="171"/>
        <v>1.3600006103515625</v>
      </c>
    </row>
    <row r="2710" spans="1:8" x14ac:dyDescent="0.2">
      <c r="A2710" t="s">
        <v>13</v>
      </c>
      <c r="B2710" s="2">
        <v>45070</v>
      </c>
      <c r="C2710">
        <v>34.089939117431641</v>
      </c>
      <c r="D2710">
        <f>_xlfn.XLOOKUP(B2710, Oil_Price!A:A, Oil_Price!B:B, "")</f>
        <v>74.339996337890625</v>
      </c>
      <c r="E2710">
        <f t="shared" si="168"/>
        <v>-7.6202398938755649E-4</v>
      </c>
      <c r="F2710">
        <f t="shared" si="169"/>
        <v>1.9613120339539956E-2</v>
      </c>
      <c r="G2710">
        <f t="shared" si="170"/>
        <v>-2.599716186524148E-2</v>
      </c>
      <c r="H2710">
        <f t="shared" si="171"/>
        <v>1.42999267578125</v>
      </c>
    </row>
    <row r="2711" spans="1:8" x14ac:dyDescent="0.2">
      <c r="A2711" t="s">
        <v>13</v>
      </c>
      <c r="B2711" s="2">
        <v>45071</v>
      </c>
      <c r="C2711">
        <v>33.630424499511719</v>
      </c>
      <c r="D2711">
        <f>_xlfn.XLOOKUP(B2711, Oil_Price!A:A, Oil_Price!B:B, "")</f>
        <v>71.830001831054688</v>
      </c>
      <c r="E2711">
        <f t="shared" si="168"/>
        <v>-1.3479478984606118E-2</v>
      </c>
      <c r="F2711">
        <f t="shared" si="169"/>
        <v>-3.3763715771890739E-2</v>
      </c>
      <c r="G2711">
        <f t="shared" si="170"/>
        <v>-0.45951461791992188</v>
      </c>
      <c r="H2711">
        <f t="shared" si="171"/>
        <v>-2.5099945068359375</v>
      </c>
    </row>
    <row r="2712" spans="1:8" x14ac:dyDescent="0.2">
      <c r="A2712" t="s">
        <v>13</v>
      </c>
      <c r="B2712" s="2">
        <v>45072</v>
      </c>
      <c r="C2712">
        <v>33.691116333007812</v>
      </c>
      <c r="D2712">
        <f>_xlfn.XLOOKUP(B2712, Oil_Price!A:A, Oil_Price!B:B, "")</f>
        <v>72.669998168945312</v>
      </c>
      <c r="E2712">
        <f t="shared" si="168"/>
        <v>1.8046704553781334E-3</v>
      </c>
      <c r="F2712">
        <f t="shared" si="169"/>
        <v>1.1694226875648838E-2</v>
      </c>
      <c r="G2712">
        <f t="shared" si="170"/>
        <v>6.069183349609375E-2</v>
      </c>
      <c r="H2712">
        <f t="shared" si="171"/>
        <v>0.839996337890625</v>
      </c>
    </row>
    <row r="2713" spans="1:8" x14ac:dyDescent="0.2">
      <c r="A2713" t="s">
        <v>13</v>
      </c>
      <c r="B2713" s="2">
        <v>45075</v>
      </c>
      <c r="C2713">
        <v>34.107273101806641</v>
      </c>
      <c r="D2713" t="str">
        <f>_xlfn.XLOOKUP(B2713, Oil_Price!A:A, Oil_Price!B:B, "")</f>
        <v/>
      </c>
      <c r="E2713">
        <f t="shared" si="168"/>
        <v>1.2352121689452943E-2</v>
      </c>
      <c r="F2713" t="str">
        <f t="shared" si="169"/>
        <v/>
      </c>
      <c r="G2713">
        <f t="shared" si="170"/>
        <v>0.41615676879882812</v>
      </c>
      <c r="H2713" t="str">
        <f t="shared" si="171"/>
        <v/>
      </c>
    </row>
    <row r="2714" spans="1:8" x14ac:dyDescent="0.2">
      <c r="A2714" t="s">
        <v>13</v>
      </c>
      <c r="B2714" s="2">
        <v>45076</v>
      </c>
      <c r="C2714">
        <v>33.639091491699219</v>
      </c>
      <c r="D2714">
        <f>_xlfn.XLOOKUP(B2714, Oil_Price!A:A, Oil_Price!B:B, "")</f>
        <v>69.459999084472656</v>
      </c>
      <c r="E2714">
        <f t="shared" si="168"/>
        <v>-1.3726738244653824E-2</v>
      </c>
      <c r="F2714" t="str">
        <f t="shared" si="169"/>
        <v/>
      </c>
      <c r="G2714">
        <f t="shared" si="170"/>
        <v>-0.46818161010742188</v>
      </c>
      <c r="H2714" t="str">
        <f t="shared" si="171"/>
        <v/>
      </c>
    </row>
    <row r="2715" spans="1:8" x14ac:dyDescent="0.2">
      <c r="A2715" t="s">
        <v>13</v>
      </c>
      <c r="B2715" s="2">
        <v>45077</v>
      </c>
      <c r="C2715">
        <v>32.971511840820312</v>
      </c>
      <c r="D2715">
        <f>_xlfn.XLOOKUP(B2715, Oil_Price!A:A, Oil_Price!B:B, "")</f>
        <v>68.089996337890625</v>
      </c>
      <c r="E2715">
        <f t="shared" si="168"/>
        <v>-1.9845353167270829E-2</v>
      </c>
      <c r="F2715">
        <f t="shared" si="169"/>
        <v>-1.9723621719544289E-2</v>
      </c>
      <c r="G2715">
        <f t="shared" si="170"/>
        <v>-0.66757965087890625</v>
      </c>
      <c r="H2715">
        <f t="shared" si="171"/>
        <v>-1.3700027465820312</v>
      </c>
    </row>
    <row r="2716" spans="1:8" x14ac:dyDescent="0.2">
      <c r="A2716" t="s">
        <v>13</v>
      </c>
      <c r="B2716" s="2">
        <v>45078</v>
      </c>
      <c r="C2716">
        <v>33.413677215576172</v>
      </c>
      <c r="D2716">
        <f>_xlfn.XLOOKUP(B2716, Oil_Price!A:A, Oil_Price!B:B, "")</f>
        <v>70.099998474121094</v>
      </c>
      <c r="E2716">
        <f t="shared" si="168"/>
        <v>1.3410527757736527E-2</v>
      </c>
      <c r="F2716">
        <f t="shared" si="169"/>
        <v>2.9519786229037372E-2</v>
      </c>
      <c r="G2716">
        <f t="shared" si="170"/>
        <v>0.44216537475585938</v>
      </c>
      <c r="H2716">
        <f t="shared" si="171"/>
        <v>2.0100021362304688</v>
      </c>
    </row>
    <row r="2717" spans="1:8" x14ac:dyDescent="0.2">
      <c r="A2717" t="s">
        <v>13</v>
      </c>
      <c r="B2717" s="2">
        <v>45079</v>
      </c>
      <c r="C2717">
        <v>34.494655609130859</v>
      </c>
      <c r="D2717">
        <f>_xlfn.XLOOKUP(B2717, Oil_Price!A:A, Oil_Price!B:B, "")</f>
        <v>71.739997863769531</v>
      </c>
      <c r="E2717">
        <f t="shared" si="168"/>
        <v>3.2351374755328545E-2</v>
      </c>
      <c r="F2717">
        <f t="shared" si="169"/>
        <v>2.339514158839644E-2</v>
      </c>
      <c r="G2717">
        <f t="shared" si="170"/>
        <v>1.0809783935546875</v>
      </c>
      <c r="H2717">
        <f t="shared" si="171"/>
        <v>1.6399993896484375</v>
      </c>
    </row>
    <row r="2718" spans="1:8" x14ac:dyDescent="0.2">
      <c r="A2718" t="s">
        <v>13</v>
      </c>
      <c r="B2718" s="2">
        <v>45082</v>
      </c>
      <c r="C2718">
        <v>34.582538604736328</v>
      </c>
      <c r="D2718">
        <f>_xlfn.XLOOKUP(B2718, Oil_Price!A:A, Oil_Price!B:B, "")</f>
        <v>72.150001525878906</v>
      </c>
      <c r="E2718">
        <f t="shared" si="168"/>
        <v>2.5477278741755523E-3</v>
      </c>
      <c r="F2718">
        <f t="shared" si="169"/>
        <v>5.7151334585756513E-3</v>
      </c>
      <c r="G2718">
        <f t="shared" si="170"/>
        <v>8.788299560546875E-2</v>
      </c>
      <c r="H2718">
        <f t="shared" si="171"/>
        <v>0.410003662109375</v>
      </c>
    </row>
    <row r="2719" spans="1:8" x14ac:dyDescent="0.2">
      <c r="A2719" t="s">
        <v>13</v>
      </c>
      <c r="B2719" s="2">
        <v>45083</v>
      </c>
      <c r="C2719">
        <v>34.969230651855469</v>
      </c>
      <c r="D2719">
        <f>_xlfn.XLOOKUP(B2719, Oil_Price!A:A, Oil_Price!B:B, "")</f>
        <v>71.739997863769531</v>
      </c>
      <c r="E2719">
        <f t="shared" si="168"/>
        <v>1.11817137411127E-2</v>
      </c>
      <c r="F2719">
        <f t="shared" si="169"/>
        <v>-5.6826563193115671E-3</v>
      </c>
      <c r="G2719">
        <f t="shared" si="170"/>
        <v>0.38669204711914062</v>
      </c>
      <c r="H2719">
        <f t="shared" si="171"/>
        <v>-0.410003662109375</v>
      </c>
    </row>
    <row r="2720" spans="1:8" x14ac:dyDescent="0.2">
      <c r="A2720" t="s">
        <v>13</v>
      </c>
      <c r="B2720" s="2">
        <v>45084</v>
      </c>
      <c r="C2720">
        <v>35.584430694580078</v>
      </c>
      <c r="D2720">
        <f>_xlfn.XLOOKUP(B2720, Oil_Price!A:A, Oil_Price!B:B, "")</f>
        <v>72.529998779296875</v>
      </c>
      <c r="E2720">
        <f t="shared" si="168"/>
        <v>1.7592610167760921E-2</v>
      </c>
      <c r="F2720">
        <f t="shared" si="169"/>
        <v>1.1012000823132358E-2</v>
      </c>
      <c r="G2720">
        <f t="shared" si="170"/>
        <v>0.61520004272460938</v>
      </c>
      <c r="H2720">
        <f t="shared" si="171"/>
        <v>0.79000091552734375</v>
      </c>
    </row>
    <row r="2721" spans="1:8" x14ac:dyDescent="0.2">
      <c r="A2721" t="s">
        <v>13</v>
      </c>
      <c r="B2721" s="2">
        <v>45085</v>
      </c>
      <c r="C2721">
        <v>35.522907257080078</v>
      </c>
      <c r="D2721">
        <f>_xlfn.XLOOKUP(B2721, Oil_Price!A:A, Oil_Price!B:B, "")</f>
        <v>71.290000915527344</v>
      </c>
      <c r="E2721">
        <f t="shared" si="168"/>
        <v>-1.7289425824471806E-3</v>
      </c>
      <c r="F2721">
        <f t="shared" si="169"/>
        <v>-1.7096344748918968E-2</v>
      </c>
      <c r="G2721">
        <f t="shared" si="170"/>
        <v>-6.15234375E-2</v>
      </c>
      <c r="H2721">
        <f t="shared" si="171"/>
        <v>-1.2399978637695312</v>
      </c>
    </row>
    <row r="2722" spans="1:8" x14ac:dyDescent="0.2">
      <c r="A2722" t="s">
        <v>13</v>
      </c>
      <c r="B2722" s="2">
        <v>45086</v>
      </c>
      <c r="C2722">
        <v>35.531696319580078</v>
      </c>
      <c r="D2722">
        <f>_xlfn.XLOOKUP(B2722, Oil_Price!A:A, Oil_Price!B:B, "")</f>
        <v>70.169998168945312</v>
      </c>
      <c r="E2722">
        <f t="shared" si="168"/>
        <v>2.4741957172574186E-4</v>
      </c>
      <c r="F2722">
        <f t="shared" si="169"/>
        <v>-1.571051665308772E-2</v>
      </c>
      <c r="G2722">
        <f t="shared" si="170"/>
        <v>8.7890625E-3</v>
      </c>
      <c r="H2722">
        <f t="shared" si="171"/>
        <v>-1.1200027465820312</v>
      </c>
    </row>
    <row r="2723" spans="1:8" x14ac:dyDescent="0.2">
      <c r="A2723" t="s">
        <v>13</v>
      </c>
      <c r="B2723" s="2">
        <v>45089</v>
      </c>
      <c r="C2723">
        <v>34.925296783447273</v>
      </c>
      <c r="D2723">
        <f>_xlfn.XLOOKUP(B2723, Oil_Price!A:A, Oil_Price!B:B, "")</f>
        <v>67.120002746582031</v>
      </c>
      <c r="E2723">
        <f t="shared" si="168"/>
        <v>-1.7066439234386995E-2</v>
      </c>
      <c r="F2723">
        <f t="shared" si="169"/>
        <v>-4.3465804502658488E-2</v>
      </c>
      <c r="G2723">
        <f t="shared" si="170"/>
        <v>-0.60639953613280539</v>
      </c>
      <c r="H2723">
        <f t="shared" si="171"/>
        <v>-3.0499954223632812</v>
      </c>
    </row>
    <row r="2724" spans="1:8" x14ac:dyDescent="0.2">
      <c r="A2724" t="s">
        <v>13</v>
      </c>
      <c r="B2724" s="2">
        <v>45090</v>
      </c>
      <c r="C2724">
        <v>35.145008087158203</v>
      </c>
      <c r="D2724">
        <f>_xlfn.XLOOKUP(B2724, Oil_Price!A:A, Oil_Price!B:B, "")</f>
        <v>69.419998168945312</v>
      </c>
      <c r="E2724">
        <f t="shared" si="168"/>
        <v>6.2908929614325232E-3</v>
      </c>
      <c r="F2724">
        <f t="shared" si="169"/>
        <v>3.426691490235978E-2</v>
      </c>
      <c r="G2724">
        <f t="shared" si="170"/>
        <v>0.21971130371093039</v>
      </c>
      <c r="H2724">
        <f t="shared" si="171"/>
        <v>2.2999954223632812</v>
      </c>
    </row>
    <row r="2725" spans="1:8" x14ac:dyDescent="0.2">
      <c r="A2725" t="s">
        <v>13</v>
      </c>
      <c r="B2725" s="2">
        <v>45091</v>
      </c>
      <c r="C2725">
        <v>34.91650390625</v>
      </c>
      <c r="D2725">
        <f>_xlfn.XLOOKUP(B2725, Oil_Price!A:A, Oil_Price!B:B, "")</f>
        <v>68.269996643066406</v>
      </c>
      <c r="E2725">
        <f t="shared" si="168"/>
        <v>-6.5017535446718908E-3</v>
      </c>
      <c r="F2725">
        <f t="shared" si="169"/>
        <v>-1.6565853589914869E-2</v>
      </c>
      <c r="G2725">
        <f t="shared" si="170"/>
        <v>-0.22850418090820312</v>
      </c>
      <c r="H2725">
        <f t="shared" si="171"/>
        <v>-1.1500015258789062</v>
      </c>
    </row>
    <row r="2726" spans="1:8" x14ac:dyDescent="0.2">
      <c r="A2726" t="s">
        <v>13</v>
      </c>
      <c r="B2726" s="2">
        <v>45092</v>
      </c>
      <c r="C2726">
        <v>35.145008087158203</v>
      </c>
      <c r="D2726">
        <f>_xlfn.XLOOKUP(B2726, Oil_Price!A:A, Oil_Price!B:B, "")</f>
        <v>70.620002746582031</v>
      </c>
      <c r="E2726">
        <f t="shared" si="168"/>
        <v>6.544302989833448E-3</v>
      </c>
      <c r="F2726">
        <f t="shared" si="169"/>
        <v>3.4422238451278654E-2</v>
      </c>
      <c r="G2726">
        <f t="shared" si="170"/>
        <v>0.22850418090820312</v>
      </c>
      <c r="H2726">
        <f t="shared" si="171"/>
        <v>2.350006103515625</v>
      </c>
    </row>
    <row r="2727" spans="1:8" x14ac:dyDescent="0.2">
      <c r="A2727" t="s">
        <v>13</v>
      </c>
      <c r="B2727" s="2">
        <v>45093</v>
      </c>
      <c r="C2727">
        <v>34.93408203125</v>
      </c>
      <c r="D2727">
        <f>_xlfn.XLOOKUP(B2727, Oil_Price!A:A, Oil_Price!B:B, "")</f>
        <v>71.779998779296875</v>
      </c>
      <c r="E2727">
        <f t="shared" si="168"/>
        <v>-6.0015936085464827E-3</v>
      </c>
      <c r="F2727">
        <f t="shared" si="169"/>
        <v>1.6425884842817949E-2</v>
      </c>
      <c r="G2727">
        <f t="shared" si="170"/>
        <v>-0.21092605590820312</v>
      </c>
      <c r="H2727">
        <f t="shared" si="171"/>
        <v>1.1599960327148438</v>
      </c>
    </row>
    <row r="2728" spans="1:8" x14ac:dyDescent="0.2">
      <c r="A2728" t="s">
        <v>13</v>
      </c>
      <c r="B2728" s="2">
        <v>45096</v>
      </c>
      <c r="C2728">
        <v>34.88134765625</v>
      </c>
      <c r="D2728" t="str">
        <f>_xlfn.XLOOKUP(B2728, Oil_Price!A:A, Oil_Price!B:B, "")</f>
        <v/>
      </c>
      <c r="E2728">
        <f t="shared" si="168"/>
        <v>-1.5095394506953665E-3</v>
      </c>
      <c r="F2728" t="str">
        <f t="shared" si="169"/>
        <v/>
      </c>
      <c r="G2728">
        <f t="shared" si="170"/>
        <v>-5.2734375E-2</v>
      </c>
      <c r="H2728" t="str">
        <f t="shared" si="171"/>
        <v/>
      </c>
    </row>
    <row r="2729" spans="1:8" x14ac:dyDescent="0.2">
      <c r="A2729" t="s">
        <v>13</v>
      </c>
      <c r="B2729" s="2">
        <v>45097</v>
      </c>
      <c r="C2729">
        <v>33.844310760498047</v>
      </c>
      <c r="D2729">
        <f>_xlfn.XLOOKUP(B2729, Oil_Price!A:A, Oil_Price!B:B, "")</f>
        <v>70.5</v>
      </c>
      <c r="E2729">
        <f t="shared" si="168"/>
        <v>-2.973041368618503E-2</v>
      </c>
      <c r="F2729" t="str">
        <f t="shared" si="169"/>
        <v/>
      </c>
      <c r="G2729">
        <f t="shared" si="170"/>
        <v>-1.0370368957519531</v>
      </c>
      <c r="H2729" t="str">
        <f t="shared" si="171"/>
        <v/>
      </c>
    </row>
    <row r="2730" spans="1:8" x14ac:dyDescent="0.2">
      <c r="A2730" t="s">
        <v>13</v>
      </c>
      <c r="B2730" s="2">
        <v>45098</v>
      </c>
      <c r="C2730">
        <v>34.274948120117188</v>
      </c>
      <c r="D2730">
        <f>_xlfn.XLOOKUP(B2730, Oil_Price!A:A, Oil_Price!B:B, "")</f>
        <v>72.529998779296875</v>
      </c>
      <c r="E2730">
        <f t="shared" si="168"/>
        <v>1.2724069420901495E-2</v>
      </c>
      <c r="F2730">
        <f t="shared" si="169"/>
        <v>2.8794308926196808E-2</v>
      </c>
      <c r="G2730">
        <f t="shared" si="170"/>
        <v>0.43063735961914062</v>
      </c>
      <c r="H2730">
        <f t="shared" si="171"/>
        <v>2.029998779296875</v>
      </c>
    </row>
    <row r="2731" spans="1:8" x14ac:dyDescent="0.2">
      <c r="A2731" t="s">
        <v>13</v>
      </c>
      <c r="B2731" s="2">
        <v>45099</v>
      </c>
      <c r="C2731">
        <v>33.317012786865227</v>
      </c>
      <c r="D2731">
        <f>_xlfn.XLOOKUP(B2731, Oil_Price!A:A, Oil_Price!B:B, "")</f>
        <v>69.510002136230469</v>
      </c>
      <c r="E2731">
        <f t="shared" si="168"/>
        <v>-2.7948556767901096E-2</v>
      </c>
      <c r="F2731">
        <f t="shared" si="169"/>
        <v>-4.1637897337569528E-2</v>
      </c>
      <c r="G2731">
        <f t="shared" si="170"/>
        <v>-0.95793533325196023</v>
      </c>
      <c r="H2731">
        <f t="shared" si="171"/>
        <v>-3.0199966430664062</v>
      </c>
    </row>
    <row r="2732" spans="1:8" x14ac:dyDescent="0.2">
      <c r="A2732" t="s">
        <v>13</v>
      </c>
      <c r="B2732" s="2">
        <v>45100</v>
      </c>
      <c r="C2732">
        <v>32.965473175048828</v>
      </c>
      <c r="D2732">
        <f>_xlfn.XLOOKUP(B2732, Oil_Price!A:A, Oil_Price!B:B, "")</f>
        <v>69.160003662109375</v>
      </c>
      <c r="E2732">
        <f t="shared" si="168"/>
        <v>-1.0551354470620151E-2</v>
      </c>
      <c r="F2732">
        <f t="shared" si="169"/>
        <v>-5.0352246204099192E-3</v>
      </c>
      <c r="G2732">
        <f t="shared" si="170"/>
        <v>-0.35153961181639914</v>
      </c>
      <c r="H2732">
        <f t="shared" si="171"/>
        <v>-0.34999847412109375</v>
      </c>
    </row>
    <row r="2733" spans="1:8" x14ac:dyDescent="0.2">
      <c r="A2733" t="s">
        <v>13</v>
      </c>
      <c r="B2733" s="2">
        <v>45103</v>
      </c>
      <c r="C2733">
        <v>33.563087463378913</v>
      </c>
      <c r="D2733">
        <f>_xlfn.XLOOKUP(B2733, Oil_Price!A:A, Oil_Price!B:B, "")</f>
        <v>69.370002746582031</v>
      </c>
      <c r="E2733">
        <f t="shared" si="168"/>
        <v>1.8128491138492509E-2</v>
      </c>
      <c r="F2733">
        <f t="shared" si="169"/>
        <v>3.0364238483652399E-3</v>
      </c>
      <c r="G2733">
        <f t="shared" si="170"/>
        <v>0.59761428833008523</v>
      </c>
      <c r="H2733">
        <f t="shared" si="171"/>
        <v>0.20999908447265625</v>
      </c>
    </row>
    <row r="2734" spans="1:8" x14ac:dyDescent="0.2">
      <c r="A2734" t="s">
        <v>13</v>
      </c>
      <c r="B2734" s="2">
        <v>45104</v>
      </c>
      <c r="C2734">
        <v>33.396102905273438</v>
      </c>
      <c r="D2734">
        <f>_xlfn.XLOOKUP(B2734, Oil_Price!A:A, Oil_Price!B:B, "")</f>
        <v>67.699996948242188</v>
      </c>
      <c r="E2734">
        <f t="shared" si="168"/>
        <v>-4.9752442556923494E-3</v>
      </c>
      <c r="F2734">
        <f t="shared" si="169"/>
        <v>-2.4073889753768642E-2</v>
      </c>
      <c r="G2734">
        <f t="shared" si="170"/>
        <v>-0.16698455810547586</v>
      </c>
      <c r="H2734">
        <f t="shared" si="171"/>
        <v>-1.6700057983398438</v>
      </c>
    </row>
    <row r="2735" spans="1:8" x14ac:dyDescent="0.2">
      <c r="A2735" t="s">
        <v>13</v>
      </c>
      <c r="B2735" s="2">
        <v>45105</v>
      </c>
      <c r="C2735">
        <v>33.809165954589837</v>
      </c>
      <c r="D2735">
        <f>_xlfn.XLOOKUP(B2735, Oil_Price!A:A, Oil_Price!B:B, "")</f>
        <v>69.55999755859375</v>
      </c>
      <c r="E2735">
        <f t="shared" si="168"/>
        <v>1.2368600327051157E-2</v>
      </c>
      <c r="F2735">
        <f t="shared" si="169"/>
        <v>2.7474160918700852E-2</v>
      </c>
      <c r="G2735">
        <f t="shared" si="170"/>
        <v>0.41306304931639914</v>
      </c>
      <c r="H2735">
        <f t="shared" si="171"/>
        <v>1.8600006103515625</v>
      </c>
    </row>
    <row r="2736" spans="1:8" x14ac:dyDescent="0.2">
      <c r="A2736" t="s">
        <v>13</v>
      </c>
      <c r="B2736" s="2">
        <v>45106</v>
      </c>
      <c r="C2736">
        <v>33.949775695800781</v>
      </c>
      <c r="D2736">
        <f>_xlfn.XLOOKUP(B2736, Oil_Price!A:A, Oil_Price!B:B, "")</f>
        <v>69.860000610351562</v>
      </c>
      <c r="E2736">
        <f t="shared" si="168"/>
        <v>4.1589236895048527E-3</v>
      </c>
      <c r="F2736">
        <f t="shared" si="169"/>
        <v>4.3128674854409736E-3</v>
      </c>
      <c r="G2736">
        <f t="shared" si="170"/>
        <v>0.14060974121094461</v>
      </c>
      <c r="H2736">
        <f t="shared" si="171"/>
        <v>0.3000030517578125</v>
      </c>
    </row>
    <row r="2737" spans="1:8" x14ac:dyDescent="0.2">
      <c r="A2737" t="s">
        <v>13</v>
      </c>
      <c r="B2737" s="2">
        <v>45107</v>
      </c>
      <c r="C2737">
        <v>34.151908874511719</v>
      </c>
      <c r="D2737">
        <f>_xlfn.XLOOKUP(B2737, Oil_Price!A:A, Oil_Price!B:B, "")</f>
        <v>70.639999389648438</v>
      </c>
      <c r="E2737">
        <f t="shared" si="168"/>
        <v>5.9538884887519062E-3</v>
      </c>
      <c r="F2737">
        <f t="shared" si="169"/>
        <v>1.1165169946782079E-2</v>
      </c>
      <c r="G2737">
        <f t="shared" si="170"/>
        <v>0.2021331787109375</v>
      </c>
      <c r="H2737">
        <f t="shared" si="171"/>
        <v>0.779998779296875</v>
      </c>
    </row>
    <row r="2738" spans="1:8" x14ac:dyDescent="0.2">
      <c r="A2738" t="s">
        <v>13</v>
      </c>
      <c r="B2738" s="2">
        <v>45111</v>
      </c>
      <c r="C2738">
        <v>34.591335296630859</v>
      </c>
      <c r="D2738" t="str">
        <f>_xlfn.XLOOKUP(B2738, Oil_Price!A:A, Oil_Price!B:B, "")</f>
        <v/>
      </c>
      <c r="E2738">
        <f t="shared" si="168"/>
        <v>1.2866818769450797E-2</v>
      </c>
      <c r="F2738" t="str">
        <f t="shared" si="169"/>
        <v/>
      </c>
      <c r="G2738">
        <f t="shared" si="170"/>
        <v>0.43942642211914062</v>
      </c>
      <c r="H2738" t="str">
        <f t="shared" si="171"/>
        <v/>
      </c>
    </row>
    <row r="2739" spans="1:8" x14ac:dyDescent="0.2">
      <c r="A2739" t="s">
        <v>13</v>
      </c>
      <c r="B2739" s="2">
        <v>45112</v>
      </c>
      <c r="C2739">
        <v>34.345252990722663</v>
      </c>
      <c r="D2739">
        <f>_xlfn.XLOOKUP(B2739, Oil_Price!A:A, Oil_Price!B:B, "")</f>
        <v>71.790000915527344</v>
      </c>
      <c r="E2739">
        <f t="shared" si="168"/>
        <v>-7.1139868929015887E-3</v>
      </c>
      <c r="F2739" t="str">
        <f t="shared" si="169"/>
        <v/>
      </c>
      <c r="G2739">
        <f t="shared" si="170"/>
        <v>-0.24608230590819602</v>
      </c>
      <c r="H2739" t="str">
        <f t="shared" si="171"/>
        <v/>
      </c>
    </row>
    <row r="2740" spans="1:8" x14ac:dyDescent="0.2">
      <c r="A2740" t="s">
        <v>13</v>
      </c>
      <c r="B2740" s="2">
        <v>45113</v>
      </c>
      <c r="C2740">
        <v>33.396102905273438</v>
      </c>
      <c r="D2740">
        <f>_xlfn.XLOOKUP(B2740, Oil_Price!A:A, Oil_Price!B:B, "")</f>
        <v>71.800003051757812</v>
      </c>
      <c r="E2740">
        <f t="shared" si="168"/>
        <v>-2.7635553760678666E-2</v>
      </c>
      <c r="F2740">
        <f t="shared" si="169"/>
        <v>1.3932492133880727E-4</v>
      </c>
      <c r="G2740">
        <f t="shared" si="170"/>
        <v>-0.94915008544922586</v>
      </c>
      <c r="H2740">
        <f t="shared" si="171"/>
        <v>1.000213623046875E-2</v>
      </c>
    </row>
    <row r="2741" spans="1:8" x14ac:dyDescent="0.2">
      <c r="A2741" t="s">
        <v>13</v>
      </c>
      <c r="B2741" s="2">
        <v>45114</v>
      </c>
      <c r="C2741">
        <v>34.116748809814453</v>
      </c>
      <c r="D2741">
        <f>_xlfn.XLOOKUP(B2741, Oil_Price!A:A, Oil_Price!B:B, "")</f>
        <v>73.860000610351562</v>
      </c>
      <c r="E2741">
        <f t="shared" si="168"/>
        <v>2.1578742483369863E-2</v>
      </c>
      <c r="F2741">
        <f t="shared" si="169"/>
        <v>2.8690772577109478E-2</v>
      </c>
      <c r="G2741">
        <f t="shared" si="170"/>
        <v>0.72064590454101562</v>
      </c>
      <c r="H2741">
        <f t="shared" si="171"/>
        <v>2.05999755859375</v>
      </c>
    </row>
    <row r="2742" spans="1:8" x14ac:dyDescent="0.2">
      <c r="A2742" t="s">
        <v>13</v>
      </c>
      <c r="B2742" s="2">
        <v>45117</v>
      </c>
      <c r="C2742">
        <v>34.125545501708977</v>
      </c>
      <c r="D2742">
        <f>_xlfn.XLOOKUP(B2742, Oil_Price!A:A, Oil_Price!B:B, "")</f>
        <v>72.989997863769531</v>
      </c>
      <c r="E2742">
        <f t="shared" si="168"/>
        <v>2.5784086120168571E-4</v>
      </c>
      <c r="F2742">
        <f t="shared" si="169"/>
        <v>-1.1779078518719906E-2</v>
      </c>
      <c r="G2742">
        <f t="shared" si="170"/>
        <v>8.7966918945241446E-3</v>
      </c>
      <c r="H2742">
        <f t="shared" si="171"/>
        <v>-0.87000274658203125</v>
      </c>
    </row>
    <row r="2743" spans="1:8" x14ac:dyDescent="0.2">
      <c r="A2743" t="s">
        <v>13</v>
      </c>
      <c r="B2743" s="2">
        <v>45118</v>
      </c>
      <c r="C2743">
        <v>34.274948120117188</v>
      </c>
      <c r="D2743">
        <f>_xlfn.XLOOKUP(B2743, Oil_Price!A:A, Oil_Price!B:B, "")</f>
        <v>74.830001831054688</v>
      </c>
      <c r="E2743">
        <f t="shared" si="168"/>
        <v>4.3780287234010161E-3</v>
      </c>
      <c r="F2743">
        <f t="shared" si="169"/>
        <v>2.5208987822131306E-2</v>
      </c>
      <c r="G2743">
        <f t="shared" si="170"/>
        <v>0.14940261840821023</v>
      </c>
      <c r="H2743">
        <f t="shared" si="171"/>
        <v>1.8400039672851562</v>
      </c>
    </row>
    <row r="2744" spans="1:8" x14ac:dyDescent="0.2">
      <c r="A2744" t="s">
        <v>13</v>
      </c>
      <c r="B2744" s="2">
        <v>45119</v>
      </c>
      <c r="C2744">
        <v>34.415561676025391</v>
      </c>
      <c r="D2744">
        <f>_xlfn.XLOOKUP(B2744, Oil_Price!A:A, Oil_Price!B:B, "")</f>
        <v>75.75</v>
      </c>
      <c r="E2744">
        <f t="shared" si="168"/>
        <v>4.1025169583166201E-3</v>
      </c>
      <c r="F2744">
        <f t="shared" si="169"/>
        <v>1.2294509507328522E-2</v>
      </c>
      <c r="G2744">
        <f t="shared" si="170"/>
        <v>0.14061355590820312</v>
      </c>
      <c r="H2744">
        <f t="shared" si="171"/>
        <v>0.9199981689453125</v>
      </c>
    </row>
    <row r="2745" spans="1:8" x14ac:dyDescent="0.2">
      <c r="A2745" t="s">
        <v>13</v>
      </c>
      <c r="B2745" s="2">
        <v>45120</v>
      </c>
      <c r="C2745">
        <v>34.327686309814453</v>
      </c>
      <c r="D2745">
        <f>_xlfn.XLOOKUP(B2745, Oil_Price!A:A, Oil_Price!B:B, "")</f>
        <v>76.889999389648438</v>
      </c>
      <c r="E2745">
        <f t="shared" si="168"/>
        <v>-2.5533613845434735E-3</v>
      </c>
      <c r="F2745">
        <f t="shared" si="169"/>
        <v>1.5049496893048679E-2</v>
      </c>
      <c r="G2745">
        <f t="shared" si="170"/>
        <v>-8.78753662109375E-2</v>
      </c>
      <c r="H2745">
        <f t="shared" si="171"/>
        <v>1.1399993896484375</v>
      </c>
    </row>
    <row r="2746" spans="1:8" x14ac:dyDescent="0.2">
      <c r="A2746" t="s">
        <v>13</v>
      </c>
      <c r="B2746" s="2">
        <v>45121</v>
      </c>
      <c r="C2746">
        <v>33.615818023681641</v>
      </c>
      <c r="D2746">
        <f>_xlfn.XLOOKUP(B2746, Oil_Price!A:A, Oil_Price!B:B, "")</f>
        <v>75.419998168945312</v>
      </c>
      <c r="E2746">
        <f t="shared" si="168"/>
        <v>-2.0737438570955651E-2</v>
      </c>
      <c r="F2746">
        <f t="shared" si="169"/>
        <v>-1.9118236862686575E-2</v>
      </c>
      <c r="G2746">
        <f t="shared" si="170"/>
        <v>-0.7118682861328125</v>
      </c>
      <c r="H2746">
        <f t="shared" si="171"/>
        <v>-1.470001220703125</v>
      </c>
    </row>
    <row r="2747" spans="1:8" x14ac:dyDescent="0.2">
      <c r="A2747" t="s">
        <v>13</v>
      </c>
      <c r="B2747" s="2">
        <v>45124</v>
      </c>
      <c r="C2747">
        <v>33.299430847167969</v>
      </c>
      <c r="D2747">
        <f>_xlfn.XLOOKUP(B2747, Oil_Price!A:A, Oil_Price!B:B, "")</f>
        <v>74.150001525878906</v>
      </c>
      <c r="E2747">
        <f t="shared" si="168"/>
        <v>-9.411854154219414E-3</v>
      </c>
      <c r="F2747">
        <f t="shared" si="169"/>
        <v>-1.6838990637755489E-2</v>
      </c>
      <c r="G2747">
        <f t="shared" si="170"/>
        <v>-0.31638717651367188</v>
      </c>
      <c r="H2747">
        <f t="shared" si="171"/>
        <v>-1.2699966430664062</v>
      </c>
    </row>
    <row r="2748" spans="1:8" x14ac:dyDescent="0.2">
      <c r="A2748" t="s">
        <v>13</v>
      </c>
      <c r="B2748" s="2">
        <v>45125</v>
      </c>
      <c r="C2748">
        <v>33.861896514892578</v>
      </c>
      <c r="D2748">
        <f>_xlfn.XLOOKUP(B2748, Oil_Price!A:A, Oil_Price!B:B, "")</f>
        <v>75.75</v>
      </c>
      <c r="E2748">
        <f t="shared" si="168"/>
        <v>1.6891149590697752E-2</v>
      </c>
      <c r="F2748">
        <f t="shared" si="169"/>
        <v>2.157786164795536E-2</v>
      </c>
      <c r="G2748">
        <f t="shared" si="170"/>
        <v>0.56246566772460938</v>
      </c>
      <c r="H2748">
        <f t="shared" si="171"/>
        <v>1.5999984741210938</v>
      </c>
    </row>
    <row r="2749" spans="1:8" x14ac:dyDescent="0.2">
      <c r="A2749" t="s">
        <v>13</v>
      </c>
      <c r="B2749" s="2">
        <v>45126</v>
      </c>
      <c r="C2749">
        <v>33.721279144287109</v>
      </c>
      <c r="D2749">
        <f>_xlfn.XLOOKUP(B2749, Oil_Price!A:A, Oil_Price!B:B, "")</f>
        <v>75.349998474121094</v>
      </c>
      <c r="E2749">
        <f t="shared" si="168"/>
        <v>-4.1526726225633807E-3</v>
      </c>
      <c r="F2749">
        <f t="shared" si="169"/>
        <v>-5.2805481964212043E-3</v>
      </c>
      <c r="G2749">
        <f t="shared" si="170"/>
        <v>-0.14061737060546875</v>
      </c>
      <c r="H2749">
        <f t="shared" si="171"/>
        <v>-0.40000152587890625</v>
      </c>
    </row>
    <row r="2750" spans="1:8" x14ac:dyDescent="0.2">
      <c r="A2750" t="s">
        <v>13</v>
      </c>
      <c r="B2750" s="2">
        <v>45127</v>
      </c>
      <c r="C2750">
        <v>33.703704833984382</v>
      </c>
      <c r="D2750">
        <f>_xlfn.XLOOKUP(B2750, Oil_Price!A:A, Oil_Price!B:B, "")</f>
        <v>75.629997253417969</v>
      </c>
      <c r="E2750">
        <f t="shared" si="168"/>
        <v>-5.2116380957940682E-4</v>
      </c>
      <c r="F2750">
        <f t="shared" si="169"/>
        <v>3.7159759119708593E-3</v>
      </c>
      <c r="G2750">
        <f t="shared" si="170"/>
        <v>-1.757431030272727E-2</v>
      </c>
      <c r="H2750">
        <f t="shared" si="171"/>
        <v>0.279998779296875</v>
      </c>
    </row>
    <row r="2751" spans="1:8" x14ac:dyDescent="0.2">
      <c r="A2751" t="s">
        <v>13</v>
      </c>
      <c r="B2751" s="2">
        <v>45128</v>
      </c>
      <c r="C2751">
        <v>34.230998992919922</v>
      </c>
      <c r="D2751">
        <f>_xlfn.XLOOKUP(B2751, Oil_Price!A:A, Oil_Price!B:B, "")</f>
        <v>77.069999694824219</v>
      </c>
      <c r="E2751">
        <f t="shared" si="168"/>
        <v>1.5644991004189378E-2</v>
      </c>
      <c r="F2751">
        <f t="shared" si="169"/>
        <v>1.9040096439262685E-2</v>
      </c>
      <c r="G2751">
        <f t="shared" si="170"/>
        <v>0.52729415893553977</v>
      </c>
      <c r="H2751">
        <f t="shared" si="171"/>
        <v>1.44000244140625</v>
      </c>
    </row>
    <row r="2752" spans="1:8" x14ac:dyDescent="0.2">
      <c r="A2752" t="s">
        <v>13</v>
      </c>
      <c r="B2752" s="2">
        <v>45131</v>
      </c>
      <c r="C2752">
        <v>34.978023529052727</v>
      </c>
      <c r="D2752">
        <f>_xlfn.XLOOKUP(B2752, Oil_Price!A:A, Oil_Price!B:B, "")</f>
        <v>78.739997863769531</v>
      </c>
      <c r="E2752">
        <f t="shared" si="168"/>
        <v>2.1823042216422436E-2</v>
      </c>
      <c r="F2752">
        <f t="shared" si="169"/>
        <v>2.1668589276735969E-2</v>
      </c>
      <c r="G2752">
        <f t="shared" si="170"/>
        <v>0.74702453613280539</v>
      </c>
      <c r="H2752">
        <f t="shared" si="171"/>
        <v>1.6699981689453125</v>
      </c>
    </row>
    <row r="2753" spans="1:8" x14ac:dyDescent="0.2">
      <c r="A2753" t="s">
        <v>13</v>
      </c>
      <c r="B2753" s="2">
        <v>45132</v>
      </c>
      <c r="C2753">
        <v>35.136222839355469</v>
      </c>
      <c r="D2753">
        <f>_xlfn.XLOOKUP(B2753, Oil_Price!A:A, Oil_Price!B:B, "")</f>
        <v>79.629997253417969</v>
      </c>
      <c r="E2753">
        <f t="shared" si="168"/>
        <v>4.5228201693941119E-3</v>
      </c>
      <c r="F2753">
        <f t="shared" si="169"/>
        <v>1.1303015161217714E-2</v>
      </c>
      <c r="G2753">
        <f t="shared" si="170"/>
        <v>0.15819931030274148</v>
      </c>
      <c r="H2753">
        <f t="shared" si="171"/>
        <v>0.8899993896484375</v>
      </c>
    </row>
    <row r="2754" spans="1:8" x14ac:dyDescent="0.2">
      <c r="A2754" t="s">
        <v>13</v>
      </c>
      <c r="B2754" s="2">
        <v>45133</v>
      </c>
      <c r="C2754">
        <v>35.276828765869141</v>
      </c>
      <c r="D2754">
        <f>_xlfn.XLOOKUP(B2754, Oil_Price!A:A, Oil_Price!B:B, "")</f>
        <v>78.779998779296875</v>
      </c>
      <c r="E2754">
        <f t="shared" si="168"/>
        <v>4.0017371006704121E-3</v>
      </c>
      <c r="F2754">
        <f t="shared" si="169"/>
        <v>-1.0674350162489916E-2</v>
      </c>
      <c r="G2754">
        <f t="shared" si="170"/>
        <v>0.14060592651367188</v>
      </c>
      <c r="H2754">
        <f t="shared" si="171"/>
        <v>-0.84999847412109375</v>
      </c>
    </row>
    <row r="2755" spans="1:8" x14ac:dyDescent="0.2">
      <c r="A2755" t="s">
        <v>13</v>
      </c>
      <c r="B2755" s="2">
        <v>45134</v>
      </c>
      <c r="C2755">
        <v>34.960445404052727</v>
      </c>
      <c r="D2755">
        <f>_xlfn.XLOOKUP(B2755, Oil_Price!A:A, Oil_Price!B:B, "")</f>
        <v>80.089996337890625</v>
      </c>
      <c r="E2755">
        <f t="shared" ref="E2755:E2818" si="172">IFERROR(IF(AND(A2755=A2754, C2755&lt;&gt;"", C2754&lt;&gt;""), (C2755-C2754)/C2754, ""), "")</f>
        <v>-8.96858852920813E-3</v>
      </c>
      <c r="F2755">
        <f t="shared" ref="F2755:F2818" si="173">IFERROR(IF(AND(A2755=A2754, D2755&lt;&gt;"", D2754&lt;&gt;""), (D2755-D2754)/D2754, ""), "")</f>
        <v>1.6628555202999228E-2</v>
      </c>
      <c r="G2755">
        <f t="shared" ref="G2755:G2818" si="174">IFERROR(IF(AND(A2755=A2754, C2755&lt;&gt;"", C2754&lt;&gt;""), C2755-C2754, ""), "")</f>
        <v>-0.31638336181641336</v>
      </c>
      <c r="H2755">
        <f t="shared" ref="H2755:H2818" si="175">IFERROR(IF(AND(A2755=A2754, D2755&lt;&gt;"", D2754&lt;&gt;""), D2755-D2754, ""), "")</f>
        <v>1.30999755859375</v>
      </c>
    </row>
    <row r="2756" spans="1:8" x14ac:dyDescent="0.2">
      <c r="A2756" t="s">
        <v>13</v>
      </c>
      <c r="B2756" s="2">
        <v>45135</v>
      </c>
      <c r="C2756">
        <v>35.804145812988281</v>
      </c>
      <c r="D2756">
        <f>_xlfn.XLOOKUP(B2756, Oil_Price!A:A, Oil_Price!B:B, "")</f>
        <v>80.580001831054688</v>
      </c>
      <c r="E2756">
        <f t="shared" si="172"/>
        <v>2.4132999427912024E-2</v>
      </c>
      <c r="F2756">
        <f t="shared" si="173"/>
        <v>6.1181859853855509E-3</v>
      </c>
      <c r="G2756">
        <f t="shared" si="174"/>
        <v>0.84370040893555398</v>
      </c>
      <c r="H2756">
        <f t="shared" si="175"/>
        <v>0.4900054931640625</v>
      </c>
    </row>
    <row r="2757" spans="1:8" x14ac:dyDescent="0.2">
      <c r="A2757" t="s">
        <v>13</v>
      </c>
      <c r="B2757" s="2">
        <v>45138</v>
      </c>
      <c r="C2757">
        <v>36.261135101318359</v>
      </c>
      <c r="D2757">
        <f>_xlfn.XLOOKUP(B2757, Oil_Price!A:A, Oil_Price!B:B, "")</f>
        <v>81.800003051757812</v>
      </c>
      <c r="E2757">
        <f t="shared" si="172"/>
        <v>1.2763585834920299E-2</v>
      </c>
      <c r="F2757">
        <f t="shared" si="173"/>
        <v>1.5140248113433888E-2</v>
      </c>
      <c r="G2757">
        <f t="shared" si="174"/>
        <v>0.45698928833007812</v>
      </c>
      <c r="H2757">
        <f t="shared" si="175"/>
        <v>1.220001220703125</v>
      </c>
    </row>
    <row r="2758" spans="1:8" x14ac:dyDescent="0.2">
      <c r="A2758" t="s">
        <v>13</v>
      </c>
      <c r="B2758" s="2">
        <v>45139</v>
      </c>
      <c r="C2758">
        <v>36.208408355712891</v>
      </c>
      <c r="D2758">
        <f>_xlfn.XLOOKUP(B2758, Oil_Price!A:A, Oil_Price!B:B, "")</f>
        <v>81.370002746582031</v>
      </c>
      <c r="E2758">
        <f t="shared" si="172"/>
        <v>-1.4540842546198105E-3</v>
      </c>
      <c r="F2758">
        <f t="shared" si="173"/>
        <v>-5.2567272510210608E-3</v>
      </c>
      <c r="G2758">
        <f t="shared" si="174"/>
        <v>-5.272674560546875E-2</v>
      </c>
      <c r="H2758">
        <f t="shared" si="175"/>
        <v>-0.43000030517578125</v>
      </c>
    </row>
    <row r="2759" spans="1:8" x14ac:dyDescent="0.2">
      <c r="A2759" t="s">
        <v>13</v>
      </c>
      <c r="B2759" s="2">
        <v>45140</v>
      </c>
      <c r="C2759">
        <v>35.373508453369141</v>
      </c>
      <c r="D2759">
        <f>_xlfn.XLOOKUP(B2759, Oil_Price!A:A, Oil_Price!B:B, "")</f>
        <v>79.489997863769531</v>
      </c>
      <c r="E2759">
        <f t="shared" si="172"/>
        <v>-2.3058177375311809E-2</v>
      </c>
      <c r="F2759">
        <f t="shared" si="173"/>
        <v>-2.3104397435840938E-2</v>
      </c>
      <c r="G2759">
        <f t="shared" si="174"/>
        <v>-0.83489990234375</v>
      </c>
      <c r="H2759">
        <f t="shared" si="175"/>
        <v>-1.8800048828125</v>
      </c>
    </row>
    <row r="2760" spans="1:8" x14ac:dyDescent="0.2">
      <c r="A2760" t="s">
        <v>13</v>
      </c>
      <c r="B2760" s="2">
        <v>45141</v>
      </c>
      <c r="C2760">
        <v>35.593219757080078</v>
      </c>
      <c r="D2760">
        <f>_xlfn.XLOOKUP(B2760, Oil_Price!A:A, Oil_Price!B:B, "")</f>
        <v>81.550003051757812</v>
      </c>
      <c r="E2760">
        <f t="shared" si="172"/>
        <v>6.2111821336741377E-3</v>
      </c>
      <c r="F2760">
        <f t="shared" si="173"/>
        <v>2.5915275422685648E-2</v>
      </c>
      <c r="G2760">
        <f t="shared" si="174"/>
        <v>0.2197113037109375</v>
      </c>
      <c r="H2760">
        <f t="shared" si="175"/>
        <v>2.0600051879882812</v>
      </c>
    </row>
    <row r="2761" spans="1:8" x14ac:dyDescent="0.2">
      <c r="A2761" t="s">
        <v>13</v>
      </c>
      <c r="B2761" s="2">
        <v>45142</v>
      </c>
      <c r="C2761">
        <v>36.102951049804688</v>
      </c>
      <c r="D2761">
        <f>_xlfn.XLOOKUP(B2761, Oil_Price!A:A, Oil_Price!B:B, "")</f>
        <v>82.819999694824219</v>
      </c>
      <c r="E2761">
        <f t="shared" si="172"/>
        <v>1.432102226782154E-2</v>
      </c>
      <c r="F2761">
        <f t="shared" si="173"/>
        <v>1.5573226186887695E-2</v>
      </c>
      <c r="G2761">
        <f t="shared" si="174"/>
        <v>0.50973129272460938</v>
      </c>
      <c r="H2761">
        <f t="shared" si="175"/>
        <v>1.2699966430664062</v>
      </c>
    </row>
    <row r="2762" spans="1:8" x14ac:dyDescent="0.2">
      <c r="A2762" t="s">
        <v>13</v>
      </c>
      <c r="B2762" s="2">
        <v>45146</v>
      </c>
      <c r="C2762">
        <v>36.674190521240227</v>
      </c>
      <c r="D2762">
        <f>_xlfn.XLOOKUP(B2762, Oil_Price!A:A, Oil_Price!B:B, "")</f>
        <v>82.919998168945312</v>
      </c>
      <c r="E2762">
        <f t="shared" si="172"/>
        <v>1.5822514637307748E-2</v>
      </c>
      <c r="F2762">
        <f t="shared" si="173"/>
        <v>1.2074193973625805E-3</v>
      </c>
      <c r="G2762">
        <f t="shared" si="174"/>
        <v>0.57123947143553977</v>
      </c>
      <c r="H2762">
        <f t="shared" si="175"/>
        <v>9.999847412109375E-2</v>
      </c>
    </row>
    <row r="2763" spans="1:8" x14ac:dyDescent="0.2">
      <c r="A2763" t="s">
        <v>13</v>
      </c>
      <c r="B2763" s="2">
        <v>45147</v>
      </c>
      <c r="C2763">
        <v>37.438793182373047</v>
      </c>
      <c r="D2763">
        <f>_xlfn.XLOOKUP(B2763, Oil_Price!A:A, Oil_Price!B:B, "")</f>
        <v>84.400001525878906</v>
      </c>
      <c r="E2763">
        <f t="shared" si="172"/>
        <v>2.0848521815089342E-2</v>
      </c>
      <c r="F2763">
        <f t="shared" si="173"/>
        <v>1.7848569580502904E-2</v>
      </c>
      <c r="G2763">
        <f t="shared" si="174"/>
        <v>0.76460266113281961</v>
      </c>
      <c r="H2763">
        <f t="shared" si="175"/>
        <v>1.4800033569335938</v>
      </c>
    </row>
    <row r="2764" spans="1:8" x14ac:dyDescent="0.2">
      <c r="A2764" t="s">
        <v>13</v>
      </c>
      <c r="B2764" s="2">
        <v>45148</v>
      </c>
      <c r="C2764">
        <v>37.271812438964837</v>
      </c>
      <c r="D2764">
        <f>_xlfn.XLOOKUP(B2764, Oil_Price!A:A, Oil_Price!B:B, "")</f>
        <v>82.819999694824219</v>
      </c>
      <c r="E2764">
        <f t="shared" si="172"/>
        <v>-4.4600995174926793E-3</v>
      </c>
      <c r="F2764">
        <f t="shared" si="173"/>
        <v>-1.8720400503431555E-2</v>
      </c>
      <c r="G2764">
        <f t="shared" si="174"/>
        <v>-0.16698074340821023</v>
      </c>
      <c r="H2764">
        <f t="shared" si="175"/>
        <v>-1.5800018310546875</v>
      </c>
    </row>
    <row r="2765" spans="1:8" x14ac:dyDescent="0.2">
      <c r="A2765" t="s">
        <v>13</v>
      </c>
      <c r="B2765" s="2">
        <v>45149</v>
      </c>
      <c r="C2765">
        <v>37.491523742675781</v>
      </c>
      <c r="D2765">
        <f>_xlfn.XLOOKUP(B2765, Oil_Price!A:A, Oil_Price!B:B, "")</f>
        <v>83.19000244140625</v>
      </c>
      <c r="E2765">
        <f t="shared" si="172"/>
        <v>5.8948381989938651E-3</v>
      </c>
      <c r="F2765">
        <f t="shared" si="173"/>
        <v>4.4675531024561729E-3</v>
      </c>
      <c r="G2765">
        <f t="shared" si="174"/>
        <v>0.21971130371094461</v>
      </c>
      <c r="H2765">
        <f t="shared" si="175"/>
        <v>0.37000274658203125</v>
      </c>
    </row>
    <row r="2766" spans="1:8" x14ac:dyDescent="0.2">
      <c r="A2766" t="s">
        <v>13</v>
      </c>
      <c r="B2766" s="2">
        <v>45152</v>
      </c>
      <c r="C2766">
        <v>37.263023376464837</v>
      </c>
      <c r="D2766">
        <f>_xlfn.XLOOKUP(B2766, Oil_Price!A:A, Oil_Price!B:B, "")</f>
        <v>82.510002136230469</v>
      </c>
      <c r="E2766">
        <f t="shared" si="172"/>
        <v>-6.0947207101867571E-3</v>
      </c>
      <c r="F2766">
        <f t="shared" si="173"/>
        <v>-8.174062810669229E-3</v>
      </c>
      <c r="G2766">
        <f t="shared" si="174"/>
        <v>-0.22850036621094461</v>
      </c>
      <c r="H2766">
        <f t="shared" si="175"/>
        <v>-0.68000030517578125</v>
      </c>
    </row>
    <row r="2767" spans="1:8" x14ac:dyDescent="0.2">
      <c r="A2767" t="s">
        <v>13</v>
      </c>
      <c r="B2767" s="2">
        <v>45153</v>
      </c>
      <c r="C2767">
        <v>36.832386016845703</v>
      </c>
      <c r="D2767">
        <f>_xlfn.XLOOKUP(B2767, Oil_Price!A:A, Oil_Price!B:B, "")</f>
        <v>80.989997863769531</v>
      </c>
      <c r="E2767">
        <f t="shared" si="172"/>
        <v>-1.1556694025292703E-2</v>
      </c>
      <c r="F2767">
        <f t="shared" si="173"/>
        <v>-1.842206075757084E-2</v>
      </c>
      <c r="G2767">
        <f t="shared" si="174"/>
        <v>-0.43063735961913352</v>
      </c>
      <c r="H2767">
        <f t="shared" si="175"/>
        <v>-1.5200042724609375</v>
      </c>
    </row>
    <row r="2768" spans="1:8" x14ac:dyDescent="0.2">
      <c r="A2768" t="s">
        <v>13</v>
      </c>
      <c r="B2768" s="2">
        <v>45154</v>
      </c>
      <c r="C2768">
        <v>37.878219604492188</v>
      </c>
      <c r="D2768">
        <f>_xlfn.XLOOKUP(B2768, Oil_Price!A:A, Oil_Price!B:B, "")</f>
        <v>79.379997253417969</v>
      </c>
      <c r="E2768">
        <f t="shared" si="172"/>
        <v>2.8394402338424687E-2</v>
      </c>
      <c r="F2768">
        <f t="shared" si="173"/>
        <v>-1.987900546756019E-2</v>
      </c>
      <c r="G2768">
        <f t="shared" si="174"/>
        <v>1.0458335876464844</v>
      </c>
      <c r="H2768">
        <f t="shared" si="175"/>
        <v>-1.6100006103515625</v>
      </c>
    </row>
    <row r="2769" spans="1:8" x14ac:dyDescent="0.2">
      <c r="A2769" t="s">
        <v>13</v>
      </c>
      <c r="B2769" s="2">
        <v>45155</v>
      </c>
      <c r="C2769">
        <v>38.827362060546882</v>
      </c>
      <c r="D2769">
        <f>_xlfn.XLOOKUP(B2769, Oil_Price!A:A, Oil_Price!B:B, "")</f>
        <v>80.389999389648438</v>
      </c>
      <c r="E2769">
        <f t="shared" si="172"/>
        <v>2.505773676707156E-2</v>
      </c>
      <c r="F2769">
        <f t="shared" si="173"/>
        <v>1.2723635313390991E-2</v>
      </c>
      <c r="G2769">
        <f t="shared" si="174"/>
        <v>0.94914245605469461</v>
      </c>
      <c r="H2769">
        <f t="shared" si="175"/>
        <v>1.0100021362304688</v>
      </c>
    </row>
    <row r="2770" spans="1:8" x14ac:dyDescent="0.2">
      <c r="A2770" t="s">
        <v>13</v>
      </c>
      <c r="B2770" s="2">
        <v>45156</v>
      </c>
      <c r="C2770">
        <v>39.407398223876953</v>
      </c>
      <c r="D2770">
        <f>_xlfn.XLOOKUP(B2770, Oil_Price!A:A, Oil_Price!B:B, "")</f>
        <v>81.25</v>
      </c>
      <c r="E2770">
        <f t="shared" si="172"/>
        <v>1.4938850659634569E-2</v>
      </c>
      <c r="F2770">
        <f t="shared" si="173"/>
        <v>1.0697855664647536E-2</v>
      </c>
      <c r="G2770">
        <f t="shared" si="174"/>
        <v>0.58003616333007102</v>
      </c>
      <c r="H2770">
        <f t="shared" si="175"/>
        <v>0.8600006103515625</v>
      </c>
    </row>
    <row r="2771" spans="1:8" x14ac:dyDescent="0.2">
      <c r="A2771" t="s">
        <v>13</v>
      </c>
      <c r="B2771" s="2">
        <v>45159</v>
      </c>
      <c r="C2771">
        <v>38.967975616455078</v>
      </c>
      <c r="D2771">
        <f>_xlfn.XLOOKUP(B2771, Oil_Price!A:A, Oil_Price!B:B, "")</f>
        <v>80.720001220703125</v>
      </c>
      <c r="E2771">
        <f t="shared" si="172"/>
        <v>-1.1150764253084557E-2</v>
      </c>
      <c r="F2771">
        <f t="shared" si="173"/>
        <v>-6.5230618990384619E-3</v>
      </c>
      <c r="G2771">
        <f t="shared" si="174"/>
        <v>-0.439422607421875</v>
      </c>
      <c r="H2771">
        <f t="shared" si="175"/>
        <v>-0.529998779296875</v>
      </c>
    </row>
    <row r="2772" spans="1:8" x14ac:dyDescent="0.2">
      <c r="A2772" t="s">
        <v>13</v>
      </c>
      <c r="B2772" s="2">
        <v>45160</v>
      </c>
      <c r="C2772">
        <v>38.792209625244141</v>
      </c>
      <c r="D2772">
        <f>_xlfn.XLOOKUP(B2772, Oil_Price!A:A, Oil_Price!B:B, "")</f>
        <v>80.349998474121094</v>
      </c>
      <c r="E2772">
        <f t="shared" si="172"/>
        <v>-4.5105240503362579E-3</v>
      </c>
      <c r="F2772">
        <f t="shared" si="173"/>
        <v>-4.583780240170917E-3</v>
      </c>
      <c r="G2772">
        <f t="shared" si="174"/>
        <v>-0.1757659912109375</v>
      </c>
      <c r="H2772">
        <f t="shared" si="175"/>
        <v>-0.37000274658203125</v>
      </c>
    </row>
    <row r="2773" spans="1:8" x14ac:dyDescent="0.2">
      <c r="A2773" t="s">
        <v>13</v>
      </c>
      <c r="B2773" s="2">
        <v>45161</v>
      </c>
      <c r="C2773">
        <v>39.020717620849609</v>
      </c>
      <c r="D2773">
        <f>_xlfn.XLOOKUP(B2773, Oil_Price!A:A, Oil_Price!B:B, "")</f>
        <v>78.889999389648438</v>
      </c>
      <c r="E2773">
        <f t="shared" si="172"/>
        <v>5.8905640543034836E-3</v>
      </c>
      <c r="F2773">
        <f t="shared" si="173"/>
        <v>-1.8170492995626984E-2</v>
      </c>
      <c r="G2773">
        <f t="shared" si="174"/>
        <v>0.22850799560546875</v>
      </c>
      <c r="H2773">
        <f t="shared" si="175"/>
        <v>-1.4599990844726562</v>
      </c>
    </row>
    <row r="2774" spans="1:8" x14ac:dyDescent="0.2">
      <c r="A2774" t="s">
        <v>13</v>
      </c>
      <c r="B2774" s="2">
        <v>45162</v>
      </c>
      <c r="C2774">
        <v>38.853729248046882</v>
      </c>
      <c r="D2774">
        <f>_xlfn.XLOOKUP(B2774, Oil_Price!A:A, Oil_Price!B:B, "")</f>
        <v>79.050003051757812</v>
      </c>
      <c r="E2774">
        <f t="shared" si="172"/>
        <v>-4.2794797990465911E-3</v>
      </c>
      <c r="F2774">
        <f t="shared" si="173"/>
        <v>2.0281868848685768E-3</v>
      </c>
      <c r="G2774">
        <f t="shared" si="174"/>
        <v>-0.16698837280272727</v>
      </c>
      <c r="H2774">
        <f t="shared" si="175"/>
        <v>0.160003662109375</v>
      </c>
    </row>
    <row r="2775" spans="1:8" x14ac:dyDescent="0.2">
      <c r="A2775" t="s">
        <v>13</v>
      </c>
      <c r="B2775" s="2">
        <v>45163</v>
      </c>
      <c r="C2775">
        <v>39.345882415771477</v>
      </c>
      <c r="D2775">
        <f>_xlfn.XLOOKUP(B2775, Oil_Price!A:A, Oil_Price!B:B, "")</f>
        <v>79.830001831054688</v>
      </c>
      <c r="E2775">
        <f t="shared" si="172"/>
        <v>1.2666819305365262E-2</v>
      </c>
      <c r="F2775">
        <f t="shared" si="173"/>
        <v>9.8671568524313982E-3</v>
      </c>
      <c r="G2775">
        <f t="shared" si="174"/>
        <v>0.49215316772459516</v>
      </c>
      <c r="H2775">
        <f t="shared" si="175"/>
        <v>0.779998779296875</v>
      </c>
    </row>
    <row r="2776" spans="1:8" x14ac:dyDescent="0.2">
      <c r="A2776" t="s">
        <v>13</v>
      </c>
      <c r="B2776" s="2">
        <v>45166</v>
      </c>
      <c r="C2776">
        <v>39.723793029785163</v>
      </c>
      <c r="D2776">
        <f>_xlfn.XLOOKUP(B2776, Oil_Price!A:A, Oil_Price!B:B, "")</f>
        <v>80.099998474121094</v>
      </c>
      <c r="E2776">
        <f t="shared" si="172"/>
        <v>9.6048325977359118E-3</v>
      </c>
      <c r="F2776">
        <f t="shared" si="173"/>
        <v>3.3821450190844767E-3</v>
      </c>
      <c r="G2776">
        <f t="shared" si="174"/>
        <v>0.37791061401368609</v>
      </c>
      <c r="H2776">
        <f t="shared" si="175"/>
        <v>0.26999664306640625</v>
      </c>
    </row>
    <row r="2777" spans="1:8" x14ac:dyDescent="0.2">
      <c r="A2777" t="s">
        <v>13</v>
      </c>
      <c r="B2777" s="2">
        <v>45167</v>
      </c>
      <c r="C2777">
        <v>40.435646057128913</v>
      </c>
      <c r="D2777">
        <f>_xlfn.XLOOKUP(B2777, Oil_Price!A:A, Oil_Price!B:B, "")</f>
        <v>81.160003662109375</v>
      </c>
      <c r="E2777">
        <f t="shared" si="172"/>
        <v>1.7920066867985085E-2</v>
      </c>
      <c r="F2777">
        <f t="shared" si="173"/>
        <v>1.3233523198265108E-2</v>
      </c>
      <c r="G2777">
        <f t="shared" si="174"/>
        <v>0.71185302734375</v>
      </c>
      <c r="H2777">
        <f t="shared" si="175"/>
        <v>1.0600051879882812</v>
      </c>
    </row>
    <row r="2778" spans="1:8" x14ac:dyDescent="0.2">
      <c r="A2778" t="s">
        <v>13</v>
      </c>
      <c r="B2778" s="2">
        <v>45168</v>
      </c>
      <c r="C2778">
        <v>40.708099365234382</v>
      </c>
      <c r="D2778">
        <f>_xlfn.XLOOKUP(B2778, Oil_Price!A:A, Oil_Price!B:B, "")</f>
        <v>81.629997253417969</v>
      </c>
      <c r="E2778">
        <f t="shared" si="172"/>
        <v>6.737948683212259E-3</v>
      </c>
      <c r="F2778">
        <f t="shared" si="173"/>
        <v>5.7909508391017547E-3</v>
      </c>
      <c r="G2778">
        <f t="shared" si="174"/>
        <v>0.27245330810546875</v>
      </c>
      <c r="H2778">
        <f t="shared" si="175"/>
        <v>0.46999359130859375</v>
      </c>
    </row>
    <row r="2779" spans="1:8" x14ac:dyDescent="0.2">
      <c r="A2779" t="s">
        <v>13</v>
      </c>
      <c r="B2779" s="2">
        <v>45169</v>
      </c>
      <c r="C2779">
        <v>40.681430816650391</v>
      </c>
      <c r="D2779">
        <f>_xlfn.XLOOKUP(B2779, Oil_Price!A:A, Oil_Price!B:B, "")</f>
        <v>83.629997253417969</v>
      </c>
      <c r="E2779">
        <f t="shared" si="172"/>
        <v>-6.5511652471711835E-4</v>
      </c>
      <c r="F2779">
        <f t="shared" si="173"/>
        <v>2.4500797100250511E-2</v>
      </c>
      <c r="G2779">
        <f t="shared" si="174"/>
        <v>-2.666854858399148E-2</v>
      </c>
      <c r="H2779">
        <f t="shared" si="175"/>
        <v>2</v>
      </c>
    </row>
    <row r="2780" spans="1:8" x14ac:dyDescent="0.2">
      <c r="A2780" t="s">
        <v>13</v>
      </c>
      <c r="B2780" s="2">
        <v>45170</v>
      </c>
      <c r="C2780">
        <v>41.285835266113281</v>
      </c>
      <c r="D2780">
        <f>_xlfn.XLOOKUP(B2780, Oil_Price!A:A, Oil_Price!B:B, "")</f>
        <v>85.550003051757812</v>
      </c>
      <c r="E2780">
        <f t="shared" si="172"/>
        <v>1.4857010614668834E-2</v>
      </c>
      <c r="F2780">
        <f t="shared" si="173"/>
        <v>2.2958338651163507E-2</v>
      </c>
      <c r="G2780">
        <f t="shared" si="174"/>
        <v>0.60440444946289062</v>
      </c>
      <c r="H2780">
        <f t="shared" si="175"/>
        <v>1.9200057983398438</v>
      </c>
    </row>
    <row r="2781" spans="1:8" x14ac:dyDescent="0.2">
      <c r="A2781" t="s">
        <v>13</v>
      </c>
      <c r="B2781" s="2">
        <v>45174</v>
      </c>
      <c r="C2781">
        <v>41.632469177246087</v>
      </c>
      <c r="D2781">
        <f>_xlfn.XLOOKUP(B2781, Oil_Price!A:A, Oil_Price!B:B, "")</f>
        <v>86.69000244140625</v>
      </c>
      <c r="E2781">
        <f t="shared" si="172"/>
        <v>8.3959524834251488E-3</v>
      </c>
      <c r="F2781">
        <f t="shared" si="173"/>
        <v>1.3325533009726919E-2</v>
      </c>
      <c r="G2781">
        <f t="shared" si="174"/>
        <v>0.34663391113280539</v>
      </c>
      <c r="H2781">
        <f t="shared" si="175"/>
        <v>1.1399993896484375</v>
      </c>
    </row>
    <row r="2782" spans="1:8" x14ac:dyDescent="0.2">
      <c r="A2782" t="s">
        <v>13</v>
      </c>
      <c r="B2782" s="2">
        <v>45175</v>
      </c>
      <c r="C2782">
        <v>41.756904602050781</v>
      </c>
      <c r="D2782">
        <f>_xlfn.XLOOKUP(B2782, Oil_Price!A:A, Oil_Price!B:B, "")</f>
        <v>87.540000915527344</v>
      </c>
      <c r="E2782">
        <f t="shared" si="172"/>
        <v>2.9889033070540014E-3</v>
      </c>
      <c r="F2782">
        <f t="shared" si="173"/>
        <v>9.8050346081788101E-3</v>
      </c>
      <c r="G2782">
        <f t="shared" si="174"/>
        <v>0.12443542480469461</v>
      </c>
      <c r="H2782">
        <f t="shared" si="175"/>
        <v>0.84999847412109375</v>
      </c>
    </row>
    <row r="2783" spans="1:8" x14ac:dyDescent="0.2">
      <c r="A2783" t="s">
        <v>13</v>
      </c>
      <c r="B2783" s="2">
        <v>45176</v>
      </c>
      <c r="C2783">
        <v>41.561359405517578</v>
      </c>
      <c r="D2783">
        <f>_xlfn.XLOOKUP(B2783, Oil_Price!A:A, Oil_Price!B:B, "")</f>
        <v>86.870002746582031</v>
      </c>
      <c r="E2783">
        <f t="shared" si="172"/>
        <v>-4.6829428186015353E-3</v>
      </c>
      <c r="F2783">
        <f t="shared" si="173"/>
        <v>-7.6536230516131062E-3</v>
      </c>
      <c r="G2783">
        <f t="shared" si="174"/>
        <v>-0.19554519653320312</v>
      </c>
      <c r="H2783">
        <f t="shared" si="175"/>
        <v>-0.6699981689453125</v>
      </c>
    </row>
    <row r="2784" spans="1:8" x14ac:dyDescent="0.2">
      <c r="A2784" t="s">
        <v>13</v>
      </c>
      <c r="B2784" s="2">
        <v>45177</v>
      </c>
      <c r="C2784">
        <v>41.632469177246087</v>
      </c>
      <c r="D2784">
        <f>_xlfn.XLOOKUP(B2784, Oil_Price!A:A, Oil_Price!B:B, "")</f>
        <v>87.510002136230469</v>
      </c>
      <c r="E2784">
        <f t="shared" si="172"/>
        <v>1.7109587546135022E-3</v>
      </c>
      <c r="F2784">
        <f t="shared" si="173"/>
        <v>7.367323234873718E-3</v>
      </c>
      <c r="G2784">
        <f t="shared" si="174"/>
        <v>7.110977172850852E-2</v>
      </c>
      <c r="H2784">
        <f t="shared" si="175"/>
        <v>0.6399993896484375</v>
      </c>
    </row>
    <row r="2785" spans="1:8" x14ac:dyDescent="0.2">
      <c r="A2785" t="s">
        <v>13</v>
      </c>
      <c r="B2785" s="2">
        <v>45180</v>
      </c>
      <c r="C2785">
        <v>40.725868225097663</v>
      </c>
      <c r="D2785">
        <f>_xlfn.XLOOKUP(B2785, Oil_Price!A:A, Oil_Price!B:B, "")</f>
        <v>87.290000915527344</v>
      </c>
      <c r="E2785">
        <f t="shared" si="172"/>
        <v>-2.1776295522820423E-2</v>
      </c>
      <c r="F2785">
        <f t="shared" si="173"/>
        <v>-2.5140122881112483E-3</v>
      </c>
      <c r="G2785">
        <f t="shared" si="174"/>
        <v>-0.90660095214842329</v>
      </c>
      <c r="H2785">
        <f t="shared" si="175"/>
        <v>-0.220001220703125</v>
      </c>
    </row>
    <row r="2786" spans="1:8" x14ac:dyDescent="0.2">
      <c r="A2786" t="s">
        <v>13</v>
      </c>
      <c r="B2786" s="2">
        <v>45181</v>
      </c>
      <c r="C2786">
        <v>41.756904602050781</v>
      </c>
      <c r="D2786">
        <f>_xlfn.XLOOKUP(B2786, Oil_Price!A:A, Oil_Price!B:B, "")</f>
        <v>88.839996337890625</v>
      </c>
      <c r="E2786">
        <f t="shared" si="172"/>
        <v>2.531649838020477E-2</v>
      </c>
      <c r="F2786">
        <f t="shared" si="173"/>
        <v>1.7756849651808911E-2</v>
      </c>
      <c r="G2786">
        <f t="shared" si="174"/>
        <v>1.0310363769531179</v>
      </c>
      <c r="H2786">
        <f t="shared" si="175"/>
        <v>1.5499954223632812</v>
      </c>
    </row>
    <row r="2787" spans="1:8" x14ac:dyDescent="0.2">
      <c r="A2787" t="s">
        <v>13</v>
      </c>
      <c r="B2787" s="2">
        <v>45182</v>
      </c>
      <c r="C2787">
        <v>41.436927795410163</v>
      </c>
      <c r="D2787">
        <f>_xlfn.XLOOKUP(B2787, Oil_Price!A:A, Oil_Price!B:B, "")</f>
        <v>88.519996643066406</v>
      </c>
      <c r="E2787">
        <f t="shared" si="172"/>
        <v>-7.6628478497159265E-3</v>
      </c>
      <c r="F2787">
        <f t="shared" si="173"/>
        <v>-3.6019778029610021E-3</v>
      </c>
      <c r="G2787">
        <f t="shared" si="174"/>
        <v>-0.31997680664061789</v>
      </c>
      <c r="H2787">
        <f t="shared" si="175"/>
        <v>-0.31999969482421875</v>
      </c>
    </row>
    <row r="2788" spans="1:8" x14ac:dyDescent="0.2">
      <c r="A2788" t="s">
        <v>13</v>
      </c>
      <c r="B2788" s="2">
        <v>45183</v>
      </c>
      <c r="C2788">
        <v>41.739124298095703</v>
      </c>
      <c r="D2788">
        <f>_xlfn.XLOOKUP(B2788, Oil_Price!A:A, Oil_Price!B:B, "")</f>
        <v>90.160003662109375</v>
      </c>
      <c r="E2788">
        <f t="shared" si="172"/>
        <v>7.2929273178165763E-3</v>
      </c>
      <c r="F2788">
        <f t="shared" si="173"/>
        <v>1.8526966575200692E-2</v>
      </c>
      <c r="G2788">
        <f t="shared" si="174"/>
        <v>0.30219650268553977</v>
      </c>
      <c r="H2788">
        <f t="shared" si="175"/>
        <v>1.6400070190429688</v>
      </c>
    </row>
    <row r="2789" spans="1:8" x14ac:dyDescent="0.2">
      <c r="A2789" t="s">
        <v>13</v>
      </c>
      <c r="B2789" s="2">
        <v>45184</v>
      </c>
      <c r="C2789">
        <v>42.183536529541023</v>
      </c>
      <c r="D2789">
        <f>_xlfn.XLOOKUP(B2789, Oil_Price!A:A, Oil_Price!B:B, "")</f>
        <v>90.769996643066406</v>
      </c>
      <c r="E2789">
        <f t="shared" si="172"/>
        <v>1.064737794380596E-2</v>
      </c>
      <c r="F2789">
        <f t="shared" si="173"/>
        <v>6.7656716524001955E-3</v>
      </c>
      <c r="G2789">
        <f t="shared" si="174"/>
        <v>0.44441223144531961</v>
      </c>
      <c r="H2789">
        <f t="shared" si="175"/>
        <v>0.60999298095703125</v>
      </c>
    </row>
    <row r="2790" spans="1:8" x14ac:dyDescent="0.2">
      <c r="A2790" t="s">
        <v>13</v>
      </c>
      <c r="B2790" s="2">
        <v>45187</v>
      </c>
      <c r="C2790">
        <v>41.828014373779297</v>
      </c>
      <c r="D2790">
        <f>_xlfn.XLOOKUP(B2790, Oil_Price!A:A, Oil_Price!B:B, "")</f>
        <v>91.480003356933594</v>
      </c>
      <c r="E2790">
        <f t="shared" si="172"/>
        <v>-8.4279836403179376E-3</v>
      </c>
      <c r="F2790">
        <f t="shared" si="173"/>
        <v>7.8220418654320004E-3</v>
      </c>
      <c r="G2790">
        <f t="shared" si="174"/>
        <v>-0.35552215576172586</v>
      </c>
      <c r="H2790">
        <f t="shared" si="175"/>
        <v>0.7100067138671875</v>
      </c>
    </row>
    <row r="2791" spans="1:8" x14ac:dyDescent="0.2">
      <c r="A2791" t="s">
        <v>13</v>
      </c>
      <c r="B2791" s="2">
        <v>45188</v>
      </c>
      <c r="C2791">
        <v>41.614692687988281</v>
      </c>
      <c r="D2791">
        <f>_xlfn.XLOOKUP(B2791, Oil_Price!A:A, Oil_Price!B:B, "")</f>
        <v>91.199996948242188</v>
      </c>
      <c r="E2791">
        <f t="shared" si="172"/>
        <v>-5.0999716095713231E-3</v>
      </c>
      <c r="F2791">
        <f t="shared" si="173"/>
        <v>-3.0608482555350013E-3</v>
      </c>
      <c r="G2791">
        <f t="shared" si="174"/>
        <v>-0.21332168579101562</v>
      </c>
      <c r="H2791">
        <f t="shared" si="175"/>
        <v>-0.28000640869140625</v>
      </c>
    </row>
    <row r="2792" spans="1:8" x14ac:dyDescent="0.2">
      <c r="A2792" t="s">
        <v>13</v>
      </c>
      <c r="B2792" s="2">
        <v>45189</v>
      </c>
      <c r="C2792">
        <v>41.285835266113281</v>
      </c>
      <c r="D2792">
        <f>_xlfn.XLOOKUP(B2792, Oil_Price!A:A, Oil_Price!B:B, "")</f>
        <v>90.279998779296875</v>
      </c>
      <c r="E2792">
        <f t="shared" si="172"/>
        <v>-7.9024354292521748E-3</v>
      </c>
      <c r="F2792">
        <f t="shared" si="173"/>
        <v>-1.0087699558448777E-2</v>
      </c>
      <c r="G2792">
        <f t="shared" si="174"/>
        <v>-0.328857421875</v>
      </c>
      <c r="H2792">
        <f t="shared" si="175"/>
        <v>-0.9199981689453125</v>
      </c>
    </row>
    <row r="2793" spans="1:8" x14ac:dyDescent="0.2">
      <c r="A2793" t="s">
        <v>13</v>
      </c>
      <c r="B2793" s="2">
        <v>45190</v>
      </c>
      <c r="C2793">
        <v>40.983623504638672</v>
      </c>
      <c r="D2793">
        <f>_xlfn.XLOOKUP(B2793, Oil_Price!A:A, Oil_Price!B:B, "")</f>
        <v>89.629997253417969</v>
      </c>
      <c r="E2793">
        <f t="shared" si="172"/>
        <v>-7.3199866134877429E-3</v>
      </c>
      <c r="F2793">
        <f t="shared" si="173"/>
        <v>-7.1998397725717006E-3</v>
      </c>
      <c r="G2793">
        <f t="shared" si="174"/>
        <v>-0.30221176147460938</v>
      </c>
      <c r="H2793">
        <f t="shared" si="175"/>
        <v>-0.65000152587890625</v>
      </c>
    </row>
    <row r="2794" spans="1:8" x14ac:dyDescent="0.2">
      <c r="A2794" t="s">
        <v>13</v>
      </c>
      <c r="B2794" s="2">
        <v>45191</v>
      </c>
      <c r="C2794">
        <v>40.592544555664062</v>
      </c>
      <c r="D2794">
        <f>_xlfn.XLOOKUP(B2794, Oil_Price!A:A, Oil_Price!B:B, "")</f>
        <v>90.029998779296875</v>
      </c>
      <c r="E2794">
        <f t="shared" si="172"/>
        <v>-9.54232240910435E-3</v>
      </c>
      <c r="F2794">
        <f t="shared" si="173"/>
        <v>4.4628086370230536E-3</v>
      </c>
      <c r="G2794">
        <f t="shared" si="174"/>
        <v>-0.39107894897460938</v>
      </c>
      <c r="H2794">
        <f t="shared" si="175"/>
        <v>0.40000152587890625</v>
      </c>
    </row>
    <row r="2795" spans="1:8" x14ac:dyDescent="0.2">
      <c r="A2795" t="s">
        <v>13</v>
      </c>
      <c r="B2795" s="2">
        <v>45194</v>
      </c>
      <c r="C2795">
        <v>40.939186096191413</v>
      </c>
      <c r="D2795">
        <f>_xlfn.XLOOKUP(B2795, Oil_Price!A:A, Oil_Price!B:B, "")</f>
        <v>89.680000305175781</v>
      </c>
      <c r="E2795">
        <f t="shared" si="172"/>
        <v>8.5395371076579223E-3</v>
      </c>
      <c r="F2795">
        <f t="shared" si="173"/>
        <v>-3.8875761286978794E-3</v>
      </c>
      <c r="G2795">
        <f t="shared" si="174"/>
        <v>0.34664154052735086</v>
      </c>
      <c r="H2795">
        <f t="shared" si="175"/>
        <v>-0.34999847412109375</v>
      </c>
    </row>
    <row r="2796" spans="1:8" x14ac:dyDescent="0.2">
      <c r="A2796" t="s">
        <v>13</v>
      </c>
      <c r="B2796" s="2">
        <v>45195</v>
      </c>
      <c r="C2796">
        <v>41.045845031738281</v>
      </c>
      <c r="D2796">
        <f>_xlfn.XLOOKUP(B2796, Oil_Price!A:A, Oil_Price!B:B, "")</f>
        <v>90.389999389648438</v>
      </c>
      <c r="E2796">
        <f t="shared" si="172"/>
        <v>2.6053018078146506E-3</v>
      </c>
      <c r="F2796">
        <f t="shared" si="173"/>
        <v>7.9170281228431207E-3</v>
      </c>
      <c r="G2796">
        <f t="shared" si="174"/>
        <v>0.10665893554686789</v>
      </c>
      <c r="H2796">
        <f t="shared" si="175"/>
        <v>0.70999908447265625</v>
      </c>
    </row>
    <row r="2797" spans="1:8" x14ac:dyDescent="0.2">
      <c r="A2797" t="s">
        <v>13</v>
      </c>
      <c r="B2797" s="2">
        <v>45196</v>
      </c>
      <c r="C2797">
        <v>42.165756225585938</v>
      </c>
      <c r="D2797">
        <f>_xlfn.XLOOKUP(B2797, Oil_Price!A:A, Oil_Price!B:B, "")</f>
        <v>93.680000305175781</v>
      </c>
      <c r="E2797">
        <f t="shared" si="172"/>
        <v>2.7284398530026517E-2</v>
      </c>
      <c r="F2797">
        <f t="shared" si="173"/>
        <v>3.6397841992950805E-2</v>
      </c>
      <c r="G2797">
        <f t="shared" si="174"/>
        <v>1.1199111938476562</v>
      </c>
      <c r="H2797">
        <f t="shared" si="175"/>
        <v>3.2900009155273438</v>
      </c>
    </row>
    <row r="2798" spans="1:8" x14ac:dyDescent="0.2">
      <c r="A2798" t="s">
        <v>13</v>
      </c>
      <c r="B2798" s="2">
        <v>45197</v>
      </c>
      <c r="C2798">
        <v>42.236869812011719</v>
      </c>
      <c r="D2798">
        <f>_xlfn.XLOOKUP(B2798, Oil_Price!A:A, Oil_Price!B:B, "")</f>
        <v>91.709999084472656</v>
      </c>
      <c r="E2798">
        <f t="shared" si="172"/>
        <v>1.6865246302076265E-3</v>
      </c>
      <c r="F2798">
        <f t="shared" si="173"/>
        <v>-2.1029047974867304E-2</v>
      </c>
      <c r="G2798">
        <f t="shared" si="174"/>
        <v>7.111358642578125E-2</v>
      </c>
      <c r="H2798">
        <f t="shared" si="175"/>
        <v>-1.970001220703125</v>
      </c>
    </row>
    <row r="2799" spans="1:8" x14ac:dyDescent="0.2">
      <c r="A2799" t="s">
        <v>13</v>
      </c>
      <c r="B2799" s="2">
        <v>45198</v>
      </c>
      <c r="C2799">
        <v>41.516925811767578</v>
      </c>
      <c r="D2799">
        <f>_xlfn.XLOOKUP(B2799, Oil_Price!A:A, Oil_Price!B:B, "")</f>
        <v>90.790000915527344</v>
      </c>
      <c r="E2799">
        <f t="shared" si="172"/>
        <v>-1.7045391939518116E-2</v>
      </c>
      <c r="F2799">
        <f t="shared" si="173"/>
        <v>-1.0031601549771214E-2</v>
      </c>
      <c r="G2799">
        <f t="shared" si="174"/>
        <v>-0.71994400024414062</v>
      </c>
      <c r="H2799">
        <f t="shared" si="175"/>
        <v>-0.9199981689453125</v>
      </c>
    </row>
    <row r="2800" spans="1:8" x14ac:dyDescent="0.2">
      <c r="A2800" t="s">
        <v>13</v>
      </c>
      <c r="B2800" s="2">
        <v>45201</v>
      </c>
      <c r="C2800">
        <v>40.708095550537109</v>
      </c>
      <c r="D2800">
        <f>_xlfn.XLOOKUP(B2800, Oil_Price!A:A, Oil_Price!B:B, "")</f>
        <v>88.819999694824219</v>
      </c>
      <c r="E2800">
        <f t="shared" si="172"/>
        <v>-1.9481940086257869E-2</v>
      </c>
      <c r="F2800">
        <f t="shared" si="173"/>
        <v>-2.1698438163207528E-2</v>
      </c>
      <c r="G2800">
        <f t="shared" si="174"/>
        <v>-0.80883026123046875</v>
      </c>
      <c r="H2800">
        <f t="shared" si="175"/>
        <v>-1.970001220703125</v>
      </c>
    </row>
    <row r="2801" spans="1:8" x14ac:dyDescent="0.2">
      <c r="A2801" t="s">
        <v>13</v>
      </c>
      <c r="B2801" s="2">
        <v>45202</v>
      </c>
      <c r="C2801">
        <v>40.868080139160163</v>
      </c>
      <c r="D2801">
        <f>_xlfn.XLOOKUP(B2801, Oil_Price!A:A, Oil_Price!B:B, "")</f>
        <v>89.230003356933594</v>
      </c>
      <c r="E2801">
        <f t="shared" si="172"/>
        <v>3.930043556678817E-3</v>
      </c>
      <c r="F2801">
        <f t="shared" si="173"/>
        <v>4.6161187065762513E-3</v>
      </c>
      <c r="G2801">
        <f t="shared" si="174"/>
        <v>0.15998458862305398</v>
      </c>
      <c r="H2801">
        <f t="shared" si="175"/>
        <v>0.410003662109375</v>
      </c>
    </row>
    <row r="2802" spans="1:8" x14ac:dyDescent="0.2">
      <c r="A2802" t="s">
        <v>13</v>
      </c>
      <c r="B2802" s="2">
        <v>45203</v>
      </c>
      <c r="C2802">
        <v>38.912666320800781</v>
      </c>
      <c r="D2802">
        <f>_xlfn.XLOOKUP(B2802, Oil_Price!A:A, Oil_Price!B:B, "")</f>
        <v>84.220001220703125</v>
      </c>
      <c r="E2802">
        <f t="shared" si="172"/>
        <v>-4.7846970342159206E-2</v>
      </c>
      <c r="F2802">
        <f t="shared" si="173"/>
        <v>-5.6147057578712599E-2</v>
      </c>
      <c r="G2802">
        <f t="shared" si="174"/>
        <v>-1.9554138183593821</v>
      </c>
      <c r="H2802">
        <f t="shared" si="175"/>
        <v>-5.0100021362304688</v>
      </c>
    </row>
    <row r="2803" spans="1:8" x14ac:dyDescent="0.2">
      <c r="A2803" t="s">
        <v>13</v>
      </c>
      <c r="B2803" s="2">
        <v>45204</v>
      </c>
      <c r="C2803">
        <v>38.957111358642578</v>
      </c>
      <c r="D2803">
        <f>_xlfn.XLOOKUP(B2803, Oil_Price!A:A, Oil_Price!B:B, "")</f>
        <v>82.30999755859375</v>
      </c>
      <c r="E2803">
        <f t="shared" si="172"/>
        <v>1.1421740539542201E-3</v>
      </c>
      <c r="F2803">
        <f t="shared" si="173"/>
        <v>-2.2678741800348658E-2</v>
      </c>
      <c r="G2803">
        <f t="shared" si="174"/>
        <v>4.4445037841796875E-2</v>
      </c>
      <c r="H2803">
        <f t="shared" si="175"/>
        <v>-1.910003662109375</v>
      </c>
    </row>
    <row r="2804" spans="1:8" x14ac:dyDescent="0.2">
      <c r="A2804" t="s">
        <v>13</v>
      </c>
      <c r="B2804" s="2">
        <v>45205</v>
      </c>
      <c r="C2804">
        <v>39.134876251220703</v>
      </c>
      <c r="D2804">
        <f>_xlfn.XLOOKUP(B2804, Oil_Price!A:A, Oil_Price!B:B, "")</f>
        <v>82.790000915527344</v>
      </c>
      <c r="E2804">
        <f t="shared" si="172"/>
        <v>4.563092241147087E-3</v>
      </c>
      <c r="F2804">
        <f t="shared" si="173"/>
        <v>5.8316531547931991E-3</v>
      </c>
      <c r="G2804">
        <f t="shared" si="174"/>
        <v>0.177764892578125</v>
      </c>
      <c r="H2804">
        <f t="shared" si="175"/>
        <v>0.48000335693359375</v>
      </c>
    </row>
    <row r="2805" spans="1:8" x14ac:dyDescent="0.2">
      <c r="A2805" t="s">
        <v>13</v>
      </c>
      <c r="B2805" s="2">
        <v>45209</v>
      </c>
      <c r="C2805">
        <v>40.939186096191413</v>
      </c>
      <c r="D2805">
        <f>_xlfn.XLOOKUP(B2805, Oil_Price!A:A, Oil_Price!B:B, "")</f>
        <v>85.970001220703125</v>
      </c>
      <c r="E2805">
        <f t="shared" si="172"/>
        <v>4.6104907382054895E-2</v>
      </c>
      <c r="F2805">
        <f t="shared" si="173"/>
        <v>3.8410439304384272E-2</v>
      </c>
      <c r="G2805">
        <f t="shared" si="174"/>
        <v>1.8043098449707102</v>
      </c>
      <c r="H2805">
        <f t="shared" si="175"/>
        <v>3.1800003051757812</v>
      </c>
    </row>
    <row r="2806" spans="1:8" x14ac:dyDescent="0.2">
      <c r="A2806" t="s">
        <v>13</v>
      </c>
      <c r="B2806" s="2">
        <v>45210</v>
      </c>
      <c r="C2806">
        <v>40.779201507568359</v>
      </c>
      <c r="D2806">
        <f>_xlfn.XLOOKUP(B2806, Oil_Price!A:A, Oil_Price!B:B, "")</f>
        <v>83.489997863769531</v>
      </c>
      <c r="E2806">
        <f t="shared" si="172"/>
        <v>-3.9078595321155492E-3</v>
      </c>
      <c r="F2806">
        <f t="shared" si="173"/>
        <v>-2.884731094241702E-2</v>
      </c>
      <c r="G2806">
        <f t="shared" si="174"/>
        <v>-0.15998458862305398</v>
      </c>
      <c r="H2806">
        <f t="shared" si="175"/>
        <v>-2.4800033569335938</v>
      </c>
    </row>
    <row r="2807" spans="1:8" x14ac:dyDescent="0.2">
      <c r="A2807" t="s">
        <v>13</v>
      </c>
      <c r="B2807" s="2">
        <v>45211</v>
      </c>
      <c r="C2807">
        <v>41.232490539550781</v>
      </c>
      <c r="D2807">
        <f>_xlfn.XLOOKUP(B2807, Oil_Price!A:A, Oil_Price!B:B, "")</f>
        <v>82.910003662109375</v>
      </c>
      <c r="E2807">
        <f t="shared" si="172"/>
        <v>1.1115691706182484E-2</v>
      </c>
      <c r="F2807">
        <f t="shared" si="173"/>
        <v>-6.9468704814980549E-3</v>
      </c>
      <c r="G2807">
        <f t="shared" si="174"/>
        <v>0.45328903198242188</v>
      </c>
      <c r="H2807">
        <f t="shared" si="175"/>
        <v>-0.57999420166015625</v>
      </c>
    </row>
    <row r="2808" spans="1:8" x14ac:dyDescent="0.2">
      <c r="A2808" t="s">
        <v>13</v>
      </c>
      <c r="B2808" s="2">
        <v>45212</v>
      </c>
      <c r="C2808">
        <v>41.543582916259773</v>
      </c>
      <c r="D2808">
        <f>_xlfn.XLOOKUP(B2808, Oil_Price!A:A, Oil_Price!B:B, "")</f>
        <v>87.69000244140625</v>
      </c>
      <c r="E2808">
        <f t="shared" si="172"/>
        <v>7.5448359446196279E-3</v>
      </c>
      <c r="F2808">
        <f t="shared" si="173"/>
        <v>5.7652859343454328E-2</v>
      </c>
      <c r="G2808">
        <f t="shared" si="174"/>
        <v>0.31109237670899148</v>
      </c>
      <c r="H2808">
        <f t="shared" si="175"/>
        <v>4.779998779296875</v>
      </c>
    </row>
    <row r="2809" spans="1:8" x14ac:dyDescent="0.2">
      <c r="A2809" t="s">
        <v>13</v>
      </c>
      <c r="B2809" s="2">
        <v>45215</v>
      </c>
      <c r="C2809">
        <v>41.499141693115227</v>
      </c>
      <c r="D2809">
        <f>_xlfn.XLOOKUP(B2809, Oil_Price!A:A, Oil_Price!B:B, "")</f>
        <v>86.660003662109375</v>
      </c>
      <c r="E2809">
        <f t="shared" si="172"/>
        <v>-1.0697494059221256E-3</v>
      </c>
      <c r="F2809">
        <f t="shared" si="173"/>
        <v>-1.1745908890641346E-2</v>
      </c>
      <c r="G2809">
        <f t="shared" si="174"/>
        <v>-4.4441223144545461E-2</v>
      </c>
      <c r="H2809">
        <f t="shared" si="175"/>
        <v>-1.029998779296875</v>
      </c>
    </row>
    <row r="2810" spans="1:8" x14ac:dyDescent="0.2">
      <c r="A2810" t="s">
        <v>13</v>
      </c>
      <c r="B2810" s="2">
        <v>45216</v>
      </c>
      <c r="C2810">
        <v>41.668025970458977</v>
      </c>
      <c r="D2810">
        <f>_xlfn.XLOOKUP(B2810, Oil_Price!A:A, Oil_Price!B:B, "")</f>
        <v>86.660003662109375</v>
      </c>
      <c r="E2810">
        <f t="shared" si="172"/>
        <v>4.069584826419872E-3</v>
      </c>
      <c r="F2810">
        <f t="shared" si="173"/>
        <v>0</v>
      </c>
      <c r="G2810">
        <f t="shared" si="174"/>
        <v>0.16888427734375</v>
      </c>
      <c r="H2810">
        <f t="shared" si="175"/>
        <v>0</v>
      </c>
    </row>
    <row r="2811" spans="1:8" x14ac:dyDescent="0.2">
      <c r="A2811" t="s">
        <v>13</v>
      </c>
      <c r="B2811" s="2">
        <v>45217</v>
      </c>
      <c r="C2811">
        <v>42.0679931640625</v>
      </c>
      <c r="D2811">
        <f>_xlfn.XLOOKUP(B2811, Oil_Price!A:A, Oil_Price!B:B, "")</f>
        <v>88.319999694824219</v>
      </c>
      <c r="E2811">
        <f t="shared" si="172"/>
        <v>9.5988994987927685E-3</v>
      </c>
      <c r="F2811">
        <f t="shared" si="173"/>
        <v>1.9155273050613188E-2</v>
      </c>
      <c r="G2811">
        <f t="shared" si="174"/>
        <v>0.39996719360352273</v>
      </c>
      <c r="H2811">
        <f t="shared" si="175"/>
        <v>1.6599960327148438</v>
      </c>
    </row>
    <row r="2812" spans="1:8" x14ac:dyDescent="0.2">
      <c r="A2812" t="s">
        <v>13</v>
      </c>
      <c r="B2812" s="2">
        <v>45218</v>
      </c>
      <c r="C2812">
        <v>42.032436370849609</v>
      </c>
      <c r="D2812">
        <f>_xlfn.XLOOKUP(B2812, Oil_Price!A:A, Oil_Price!B:B, "")</f>
        <v>89.370002746582031</v>
      </c>
      <c r="E2812">
        <f t="shared" si="172"/>
        <v>-8.4522199749870143E-4</v>
      </c>
      <c r="F2812">
        <f t="shared" si="173"/>
        <v>1.188862155101825E-2</v>
      </c>
      <c r="G2812">
        <f t="shared" si="174"/>
        <v>-3.5556793212890625E-2</v>
      </c>
      <c r="H2812">
        <f t="shared" si="175"/>
        <v>1.0500030517578125</v>
      </c>
    </row>
    <row r="2813" spans="1:8" x14ac:dyDescent="0.2">
      <c r="A2813" t="s">
        <v>13</v>
      </c>
      <c r="B2813" s="2">
        <v>45219</v>
      </c>
      <c r="C2813">
        <v>41.330272674560547</v>
      </c>
      <c r="D2813">
        <f>_xlfn.XLOOKUP(B2813, Oil_Price!A:A, Oil_Price!B:B, "")</f>
        <v>88.75</v>
      </c>
      <c r="E2813">
        <f t="shared" si="172"/>
        <v>-1.6705281846950658E-2</v>
      </c>
      <c r="F2813">
        <f t="shared" si="173"/>
        <v>-6.9374815657118616E-3</v>
      </c>
      <c r="G2813">
        <f t="shared" si="174"/>
        <v>-0.7021636962890625</v>
      </c>
      <c r="H2813">
        <f t="shared" si="175"/>
        <v>-0.62000274658203125</v>
      </c>
    </row>
    <row r="2814" spans="1:8" x14ac:dyDescent="0.2">
      <c r="A2814" t="s">
        <v>13</v>
      </c>
      <c r="B2814" s="2">
        <v>45222</v>
      </c>
      <c r="C2814">
        <v>40.779201507568359</v>
      </c>
      <c r="D2814">
        <f>_xlfn.XLOOKUP(B2814, Oil_Price!A:A, Oil_Price!B:B, "")</f>
        <v>85.489997863769531</v>
      </c>
      <c r="E2814">
        <f t="shared" si="172"/>
        <v>-1.333335425419007E-2</v>
      </c>
      <c r="F2814">
        <f t="shared" si="173"/>
        <v>-3.6732418436399648E-2</v>
      </c>
      <c r="G2814">
        <f t="shared" si="174"/>
        <v>-0.5510711669921875</v>
      </c>
      <c r="H2814">
        <f t="shared" si="175"/>
        <v>-3.2600021362304688</v>
      </c>
    </row>
    <row r="2815" spans="1:8" x14ac:dyDescent="0.2">
      <c r="A2815" t="s">
        <v>13</v>
      </c>
      <c r="B2815" s="2">
        <v>45223</v>
      </c>
      <c r="C2815">
        <v>40.130363464355469</v>
      </c>
      <c r="D2815">
        <f>_xlfn.XLOOKUP(B2815, Oil_Price!A:A, Oil_Price!B:B, "")</f>
        <v>83.739997863769531</v>
      </c>
      <c r="E2815">
        <f t="shared" si="172"/>
        <v>-1.5911004120384025E-2</v>
      </c>
      <c r="F2815">
        <f t="shared" si="173"/>
        <v>-2.0470230947819992E-2</v>
      </c>
      <c r="G2815">
        <f t="shared" si="174"/>
        <v>-0.64883804321289062</v>
      </c>
      <c r="H2815">
        <f t="shared" si="175"/>
        <v>-1.75</v>
      </c>
    </row>
    <row r="2816" spans="1:8" x14ac:dyDescent="0.2">
      <c r="A2816" t="s">
        <v>13</v>
      </c>
      <c r="B2816" s="2">
        <v>45224</v>
      </c>
      <c r="C2816">
        <v>40.708095550537109</v>
      </c>
      <c r="D2816">
        <f>_xlfn.XLOOKUP(B2816, Oil_Price!A:A, Oil_Price!B:B, "")</f>
        <v>85.389999389648438</v>
      </c>
      <c r="E2816">
        <f t="shared" si="172"/>
        <v>1.4396383095179115E-2</v>
      </c>
      <c r="F2816">
        <f t="shared" si="173"/>
        <v>1.9703863959528313E-2</v>
      </c>
      <c r="G2816">
        <f t="shared" si="174"/>
        <v>0.57773208618164062</v>
      </c>
      <c r="H2816">
        <f t="shared" si="175"/>
        <v>1.6500015258789062</v>
      </c>
    </row>
    <row r="2817" spans="1:8" x14ac:dyDescent="0.2">
      <c r="A2817" t="s">
        <v>13</v>
      </c>
      <c r="B2817" s="2">
        <v>45225</v>
      </c>
      <c r="C2817">
        <v>40.14813232421875</v>
      </c>
      <c r="D2817">
        <f>_xlfn.XLOOKUP(B2817, Oil_Price!A:A, Oil_Price!B:B, "")</f>
        <v>83.209999084472656</v>
      </c>
      <c r="E2817">
        <f t="shared" si="172"/>
        <v>-1.3755574136923021E-2</v>
      </c>
      <c r="F2817">
        <f t="shared" si="173"/>
        <v>-2.5529925292868148E-2</v>
      </c>
      <c r="G2817">
        <f t="shared" si="174"/>
        <v>-0.55996322631835938</v>
      </c>
      <c r="H2817">
        <f t="shared" si="175"/>
        <v>-2.1800003051757812</v>
      </c>
    </row>
    <row r="2818" spans="1:8" x14ac:dyDescent="0.2">
      <c r="A2818" t="s">
        <v>13</v>
      </c>
      <c r="B2818" s="2">
        <v>45226</v>
      </c>
      <c r="C2818">
        <v>40.050365447998047</v>
      </c>
      <c r="D2818">
        <f>_xlfn.XLOOKUP(B2818, Oil_Price!A:A, Oil_Price!B:B, "")</f>
        <v>85.540000915527344</v>
      </c>
      <c r="E2818">
        <f t="shared" si="172"/>
        <v>-2.4351537807831411E-3</v>
      </c>
      <c r="F2818">
        <f t="shared" si="173"/>
        <v>2.800146444767208E-2</v>
      </c>
      <c r="G2818">
        <f t="shared" si="174"/>
        <v>-9.7766876220703125E-2</v>
      </c>
      <c r="H2818">
        <f t="shared" si="175"/>
        <v>2.3300018310546875</v>
      </c>
    </row>
    <row r="2819" spans="1:8" x14ac:dyDescent="0.2">
      <c r="A2819" t="s">
        <v>13</v>
      </c>
      <c r="B2819" s="2">
        <v>45229</v>
      </c>
      <c r="C2819">
        <v>39.881488800048828</v>
      </c>
      <c r="D2819">
        <f>_xlfn.XLOOKUP(B2819, Oil_Price!A:A, Oil_Price!B:B, "")</f>
        <v>82.30999755859375</v>
      </c>
      <c r="E2819">
        <f t="shared" ref="E2819:E2882" si="176">IFERROR(IF(AND(A2819=A2818, C2819&lt;&gt;"", C2818&lt;&gt;""), (C2819-C2818)/C2818, ""), "")</f>
        <v>-4.2166069163211643E-3</v>
      </c>
      <c r="F2819">
        <f t="shared" ref="F2819:F2882" si="177">IFERROR(IF(AND(A2819=A2818, D2819&lt;&gt;"", D2818&lt;&gt;""), (D2819-D2818)/D2818, ""), "")</f>
        <v>-3.7760151068075086E-2</v>
      </c>
      <c r="G2819">
        <f t="shared" ref="G2819:G2882" si="178">IFERROR(IF(AND(A2819=A2818, C2819&lt;&gt;"", C2818&lt;&gt;""), C2819-C2818, ""), "")</f>
        <v>-0.16887664794921875</v>
      </c>
      <c r="H2819">
        <f t="shared" ref="H2819:H2882" si="179">IFERROR(IF(AND(A2819=A2818, D2819&lt;&gt;"", D2818&lt;&gt;""), D2819-D2818, ""), "")</f>
        <v>-3.2300033569335938</v>
      </c>
    </row>
    <row r="2820" spans="1:8" x14ac:dyDescent="0.2">
      <c r="A2820" t="s">
        <v>13</v>
      </c>
      <c r="B2820" s="2">
        <v>45230</v>
      </c>
      <c r="C2820">
        <v>39.917037963867188</v>
      </c>
      <c r="D2820">
        <f>_xlfn.XLOOKUP(B2820, Oil_Price!A:A, Oil_Price!B:B, "")</f>
        <v>81.019996643066406</v>
      </c>
      <c r="E2820">
        <f t="shared" si="176"/>
        <v>8.9137002875168121E-4</v>
      </c>
      <c r="F2820">
        <f t="shared" si="177"/>
        <v>-1.5672469369337971E-2</v>
      </c>
      <c r="G2820">
        <f t="shared" si="178"/>
        <v>3.5549163818359375E-2</v>
      </c>
      <c r="H2820">
        <f t="shared" si="179"/>
        <v>-1.2900009155273438</v>
      </c>
    </row>
    <row r="2821" spans="1:8" x14ac:dyDescent="0.2">
      <c r="A2821" t="s">
        <v>13</v>
      </c>
      <c r="B2821" s="2">
        <v>45231</v>
      </c>
      <c r="C2821">
        <v>40.3170166015625</v>
      </c>
      <c r="D2821">
        <f>_xlfn.XLOOKUP(B2821, Oil_Price!A:A, Oil_Price!B:B, "")</f>
        <v>80.44000244140625</v>
      </c>
      <c r="E2821">
        <f t="shared" si="176"/>
        <v>1.0020248447727316E-2</v>
      </c>
      <c r="F2821">
        <f t="shared" si="177"/>
        <v>-7.1586549702701259E-3</v>
      </c>
      <c r="G2821">
        <f t="shared" si="178"/>
        <v>0.3999786376953125</v>
      </c>
      <c r="H2821">
        <f t="shared" si="179"/>
        <v>-0.57999420166015625</v>
      </c>
    </row>
    <row r="2822" spans="1:8" x14ac:dyDescent="0.2">
      <c r="A2822" t="s">
        <v>13</v>
      </c>
      <c r="B2822" s="2">
        <v>45232</v>
      </c>
      <c r="C2822">
        <v>41.730236053466797</v>
      </c>
      <c r="D2822">
        <f>_xlfn.XLOOKUP(B2822, Oil_Price!A:A, Oil_Price!B:B, "")</f>
        <v>82.459999084472656</v>
      </c>
      <c r="E2822">
        <f t="shared" si="176"/>
        <v>3.5052679266191711E-2</v>
      </c>
      <c r="F2822">
        <f t="shared" si="177"/>
        <v>2.5111842140206338E-2</v>
      </c>
      <c r="G2822">
        <f t="shared" si="178"/>
        <v>1.4132194519042969</v>
      </c>
      <c r="H2822">
        <f t="shared" si="179"/>
        <v>2.0199966430664062</v>
      </c>
    </row>
    <row r="2823" spans="1:8" x14ac:dyDescent="0.2">
      <c r="A2823" t="s">
        <v>13</v>
      </c>
      <c r="B2823" s="2">
        <v>45233</v>
      </c>
      <c r="C2823">
        <v>40.983623504638672</v>
      </c>
      <c r="D2823">
        <f>_xlfn.XLOOKUP(B2823, Oil_Price!A:A, Oil_Price!B:B, "")</f>
        <v>80.510002136230469</v>
      </c>
      <c r="E2823">
        <f t="shared" si="176"/>
        <v>-1.789140487658706E-2</v>
      </c>
      <c r="F2823">
        <f t="shared" si="177"/>
        <v>-2.3647792504152172E-2</v>
      </c>
      <c r="G2823">
        <f t="shared" si="178"/>
        <v>-0.746612548828125</v>
      </c>
      <c r="H2823">
        <f t="shared" si="179"/>
        <v>-1.9499969482421875</v>
      </c>
    </row>
    <row r="2824" spans="1:8" x14ac:dyDescent="0.2">
      <c r="A2824" t="s">
        <v>13</v>
      </c>
      <c r="B2824" s="2">
        <v>45236</v>
      </c>
      <c r="C2824">
        <v>40.903640747070312</v>
      </c>
      <c r="D2824">
        <f>_xlfn.XLOOKUP(B2824, Oil_Price!A:A, Oil_Price!B:B, "")</f>
        <v>80.819999694824219</v>
      </c>
      <c r="E2824">
        <f t="shared" si="176"/>
        <v>-1.9515784776645395E-3</v>
      </c>
      <c r="F2824">
        <f t="shared" si="177"/>
        <v>3.8504229334040394E-3</v>
      </c>
      <c r="G2824">
        <f t="shared" si="178"/>
        <v>-7.9982757568359375E-2</v>
      </c>
      <c r="H2824">
        <f t="shared" si="179"/>
        <v>0.30999755859375</v>
      </c>
    </row>
    <row r="2825" spans="1:8" x14ac:dyDescent="0.2">
      <c r="A2825" t="s">
        <v>13</v>
      </c>
      <c r="B2825" s="2">
        <v>45237</v>
      </c>
      <c r="C2825">
        <v>39.19708251953125</v>
      </c>
      <c r="D2825">
        <f>_xlfn.XLOOKUP(B2825, Oil_Price!A:A, Oil_Price!B:B, "")</f>
        <v>77.370002746582031</v>
      </c>
      <c r="E2825">
        <f t="shared" si="176"/>
        <v>-4.1721426170634783E-2</v>
      </c>
      <c r="F2825">
        <f t="shared" si="177"/>
        <v>-4.2687416001847972E-2</v>
      </c>
      <c r="G2825">
        <f t="shared" si="178"/>
        <v>-1.7065582275390625</v>
      </c>
      <c r="H2825">
        <f t="shared" si="179"/>
        <v>-3.4499969482421875</v>
      </c>
    </row>
    <row r="2826" spans="1:8" x14ac:dyDescent="0.2">
      <c r="A2826" t="s">
        <v>13</v>
      </c>
      <c r="B2826" s="2">
        <v>45238</v>
      </c>
      <c r="C2826">
        <v>38.477149963378913</v>
      </c>
      <c r="D2826">
        <f>_xlfn.XLOOKUP(B2826, Oil_Price!A:A, Oil_Price!B:B, "")</f>
        <v>75.330001831054688</v>
      </c>
      <c r="E2826">
        <f t="shared" si="176"/>
        <v>-1.8366993405532321E-2</v>
      </c>
      <c r="F2826">
        <f t="shared" si="177"/>
        <v>-2.6366819737736982E-2</v>
      </c>
      <c r="G2826">
        <f t="shared" si="178"/>
        <v>-0.71993255615233664</v>
      </c>
      <c r="H2826">
        <f t="shared" si="179"/>
        <v>-2.0400009155273438</v>
      </c>
    </row>
    <row r="2827" spans="1:8" x14ac:dyDescent="0.2">
      <c r="A2827" t="s">
        <v>13</v>
      </c>
      <c r="B2827" s="2">
        <v>45239</v>
      </c>
      <c r="C2827">
        <v>39.899265289306641</v>
      </c>
      <c r="D2827">
        <f>_xlfn.XLOOKUP(B2827, Oil_Price!A:A, Oil_Price!B:B, "")</f>
        <v>75.739997863769531</v>
      </c>
      <c r="E2827">
        <f t="shared" si="176"/>
        <v>3.6959996446754566E-2</v>
      </c>
      <c r="F2827">
        <f t="shared" si="177"/>
        <v>5.442665906664341E-3</v>
      </c>
      <c r="G2827">
        <f t="shared" si="178"/>
        <v>1.4221153259277273</v>
      </c>
      <c r="H2827">
        <f t="shared" si="179"/>
        <v>0.40999603271484375</v>
      </c>
    </row>
    <row r="2828" spans="1:8" x14ac:dyDescent="0.2">
      <c r="A2828" t="s">
        <v>13</v>
      </c>
      <c r="B2828" s="2">
        <v>45240</v>
      </c>
      <c r="C2828">
        <v>40.690315246582031</v>
      </c>
      <c r="D2828">
        <f>_xlfn.XLOOKUP(B2828, Oil_Price!A:A, Oil_Price!B:B, "")</f>
        <v>77.169998168945312</v>
      </c>
      <c r="E2828">
        <f t="shared" si="176"/>
        <v>1.9826178540871504E-2</v>
      </c>
      <c r="F2828">
        <f t="shared" si="177"/>
        <v>1.8880384809989895E-2</v>
      </c>
      <c r="G2828">
        <f t="shared" si="178"/>
        <v>0.79104995727539062</v>
      </c>
      <c r="H2828">
        <f t="shared" si="179"/>
        <v>1.4300003051757812</v>
      </c>
    </row>
    <row r="2829" spans="1:8" x14ac:dyDescent="0.2">
      <c r="A2829" t="s">
        <v>13</v>
      </c>
      <c r="B2829" s="2">
        <v>45243</v>
      </c>
      <c r="C2829">
        <v>41.35693359375</v>
      </c>
      <c r="D2829">
        <f>_xlfn.XLOOKUP(B2829, Oil_Price!A:A, Oil_Price!B:B, "")</f>
        <v>78.260002136230469</v>
      </c>
      <c r="E2829">
        <f t="shared" si="176"/>
        <v>1.6382727514601018E-2</v>
      </c>
      <c r="F2829">
        <f t="shared" si="177"/>
        <v>1.4124711586734166E-2</v>
      </c>
      <c r="G2829">
        <f t="shared" si="178"/>
        <v>0.66661834716796875</v>
      </c>
      <c r="H2829">
        <f t="shared" si="179"/>
        <v>1.0900039672851562</v>
      </c>
    </row>
    <row r="2830" spans="1:8" x14ac:dyDescent="0.2">
      <c r="A2830" t="s">
        <v>13</v>
      </c>
      <c r="B2830" s="2">
        <v>45244</v>
      </c>
      <c r="C2830">
        <v>40.876964569091797</v>
      </c>
      <c r="D2830">
        <f>_xlfn.XLOOKUP(B2830, Oil_Price!A:A, Oil_Price!B:B, "")</f>
        <v>78.260002136230469</v>
      </c>
      <c r="E2830">
        <f t="shared" si="176"/>
        <v>-1.1605527367501388E-2</v>
      </c>
      <c r="F2830">
        <f t="shared" si="177"/>
        <v>0</v>
      </c>
      <c r="G2830">
        <f t="shared" si="178"/>
        <v>-0.47996902465820312</v>
      </c>
      <c r="H2830">
        <f t="shared" si="179"/>
        <v>0</v>
      </c>
    </row>
    <row r="2831" spans="1:8" x14ac:dyDescent="0.2">
      <c r="A2831" t="s">
        <v>13</v>
      </c>
      <c r="B2831" s="2">
        <v>45245</v>
      </c>
      <c r="C2831">
        <v>40.556987762451172</v>
      </c>
      <c r="D2831">
        <f>_xlfn.XLOOKUP(B2831, Oil_Price!A:A, Oil_Price!B:B, "")</f>
        <v>76.660003662109375</v>
      </c>
      <c r="E2831">
        <f t="shared" si="176"/>
        <v>-7.8278025292163773E-3</v>
      </c>
      <c r="F2831">
        <f t="shared" si="177"/>
        <v>-2.0444651551834989E-2</v>
      </c>
      <c r="G2831">
        <f t="shared" si="178"/>
        <v>-0.319976806640625</v>
      </c>
      <c r="H2831">
        <f t="shared" si="179"/>
        <v>-1.5999984741210938</v>
      </c>
    </row>
    <row r="2832" spans="1:8" x14ac:dyDescent="0.2">
      <c r="A2832" t="s">
        <v>13</v>
      </c>
      <c r="B2832" s="2">
        <v>45246</v>
      </c>
      <c r="C2832">
        <v>39.614845275878913</v>
      </c>
      <c r="D2832">
        <f>_xlfn.XLOOKUP(B2832, Oil_Price!A:A, Oil_Price!B:B, "")</f>
        <v>72.900001525878906</v>
      </c>
      <c r="E2832">
        <f t="shared" si="176"/>
        <v>-2.3230090264359356E-2</v>
      </c>
      <c r="F2832">
        <f t="shared" si="177"/>
        <v>-4.9047768805272306E-2</v>
      </c>
      <c r="G2832">
        <f t="shared" si="178"/>
        <v>-0.94214248657225852</v>
      </c>
      <c r="H2832">
        <f t="shared" si="179"/>
        <v>-3.7600021362304688</v>
      </c>
    </row>
    <row r="2833" spans="1:8" x14ac:dyDescent="0.2">
      <c r="A2833" t="s">
        <v>13</v>
      </c>
      <c r="B2833" s="2">
        <v>45247</v>
      </c>
      <c r="C2833">
        <v>41.179168701171882</v>
      </c>
      <c r="D2833">
        <f>_xlfn.XLOOKUP(B2833, Oil_Price!A:A, Oil_Price!B:B, "")</f>
        <v>75.889999389648438</v>
      </c>
      <c r="E2833">
        <f t="shared" si="176"/>
        <v>3.9488313393602217E-2</v>
      </c>
      <c r="F2833">
        <f t="shared" si="177"/>
        <v>4.1015059001173082E-2</v>
      </c>
      <c r="G2833">
        <f t="shared" si="178"/>
        <v>1.5643234252929688</v>
      </c>
      <c r="H2833">
        <f t="shared" si="179"/>
        <v>2.9899978637695312</v>
      </c>
    </row>
    <row r="2834" spans="1:8" x14ac:dyDescent="0.2">
      <c r="A2834" t="s">
        <v>13</v>
      </c>
      <c r="B2834" s="2">
        <v>45250</v>
      </c>
      <c r="C2834">
        <v>40.832530975341797</v>
      </c>
      <c r="D2834">
        <f>_xlfn.XLOOKUP(B2834, Oil_Price!A:A, Oil_Price!B:B, "")</f>
        <v>77.599998474121094</v>
      </c>
      <c r="E2834">
        <f t="shared" si="176"/>
        <v>-8.417793189210751E-3</v>
      </c>
      <c r="F2834">
        <f t="shared" si="177"/>
        <v>2.253260110983614E-2</v>
      </c>
      <c r="G2834">
        <f t="shared" si="178"/>
        <v>-0.34663772583008523</v>
      </c>
      <c r="H2834">
        <f t="shared" si="179"/>
        <v>1.7099990844726562</v>
      </c>
    </row>
    <row r="2835" spans="1:8" x14ac:dyDescent="0.2">
      <c r="A2835" t="s">
        <v>13</v>
      </c>
      <c r="B2835" s="2">
        <v>45251</v>
      </c>
      <c r="C2835">
        <v>40.370334625244141</v>
      </c>
      <c r="D2835">
        <f>_xlfn.XLOOKUP(B2835, Oil_Price!A:A, Oil_Price!B:B, "")</f>
        <v>77.769996643066406</v>
      </c>
      <c r="E2835">
        <f t="shared" si="176"/>
        <v>-1.1319316707964301E-2</v>
      </c>
      <c r="F2835">
        <f t="shared" si="177"/>
        <v>2.1906980964955221E-3</v>
      </c>
      <c r="G2835">
        <f t="shared" si="178"/>
        <v>-0.46219635009765625</v>
      </c>
      <c r="H2835">
        <f t="shared" si="179"/>
        <v>0.1699981689453125</v>
      </c>
    </row>
    <row r="2836" spans="1:8" x14ac:dyDescent="0.2">
      <c r="A2836" t="s">
        <v>13</v>
      </c>
      <c r="B2836" s="2">
        <v>45252</v>
      </c>
      <c r="C2836">
        <v>40.041481018066413</v>
      </c>
      <c r="D2836">
        <f>_xlfn.XLOOKUP(B2836, Oil_Price!A:A, Oil_Price!B:B, "")</f>
        <v>77.099998474121094</v>
      </c>
      <c r="E2836">
        <f t="shared" si="176"/>
        <v>-8.1459222528239943E-3</v>
      </c>
      <c r="F2836">
        <f t="shared" si="177"/>
        <v>-8.615124056393364E-3</v>
      </c>
      <c r="G2836">
        <f t="shared" si="178"/>
        <v>-0.32885360717772727</v>
      </c>
      <c r="H2836">
        <f t="shared" si="179"/>
        <v>-0.6699981689453125</v>
      </c>
    </row>
    <row r="2837" spans="1:8" x14ac:dyDescent="0.2">
      <c r="A2837" t="s">
        <v>13</v>
      </c>
      <c r="B2837" s="2">
        <v>45253</v>
      </c>
      <c r="C2837">
        <v>39.730392456054688</v>
      </c>
      <c r="D2837" t="str">
        <f>_xlfn.XLOOKUP(B2837, Oil_Price!A:A, Oil_Price!B:B, "")</f>
        <v/>
      </c>
      <c r="E2837">
        <f t="shared" si="176"/>
        <v>-7.7691572365009435E-3</v>
      </c>
      <c r="F2837" t="str">
        <f t="shared" si="177"/>
        <v/>
      </c>
      <c r="G2837">
        <f t="shared" si="178"/>
        <v>-0.31108856201172586</v>
      </c>
      <c r="H2837" t="str">
        <f t="shared" si="179"/>
        <v/>
      </c>
    </row>
    <row r="2838" spans="1:8" x14ac:dyDescent="0.2">
      <c r="A2838" t="s">
        <v>13</v>
      </c>
      <c r="B2838" s="2">
        <v>45254</v>
      </c>
      <c r="C2838">
        <v>39.685943603515618</v>
      </c>
      <c r="D2838">
        <f>_xlfn.XLOOKUP(B2838, Oil_Price!A:A, Oil_Price!B:B, "")</f>
        <v>75.540000915527344</v>
      </c>
      <c r="E2838">
        <f t="shared" si="176"/>
        <v>-1.1187619802204055E-3</v>
      </c>
      <c r="F2838" t="str">
        <f t="shared" si="177"/>
        <v/>
      </c>
      <c r="G2838">
        <f t="shared" si="178"/>
        <v>-4.4448852539069605E-2</v>
      </c>
      <c r="H2838" t="str">
        <f t="shared" si="179"/>
        <v/>
      </c>
    </row>
    <row r="2839" spans="1:8" x14ac:dyDescent="0.2">
      <c r="A2839" t="s">
        <v>13</v>
      </c>
      <c r="B2839" s="2">
        <v>45257</v>
      </c>
      <c r="C2839">
        <v>39.054878234863281</v>
      </c>
      <c r="D2839">
        <f>_xlfn.XLOOKUP(B2839, Oil_Price!A:A, Oil_Price!B:B, "")</f>
        <v>74.860000610351562</v>
      </c>
      <c r="E2839">
        <f t="shared" si="176"/>
        <v>-1.5901483279748278E-2</v>
      </c>
      <c r="F2839">
        <f t="shared" si="177"/>
        <v>-9.0018572535654588E-3</v>
      </c>
      <c r="G2839">
        <f t="shared" si="178"/>
        <v>-0.63106536865233664</v>
      </c>
      <c r="H2839">
        <f t="shared" si="179"/>
        <v>-0.68000030517578125</v>
      </c>
    </row>
    <row r="2840" spans="1:8" x14ac:dyDescent="0.2">
      <c r="A2840" t="s">
        <v>13</v>
      </c>
      <c r="B2840" s="2">
        <v>45258</v>
      </c>
      <c r="C2840">
        <v>39.570404052734382</v>
      </c>
      <c r="D2840">
        <f>_xlfn.XLOOKUP(B2840, Oil_Price!A:A, Oil_Price!B:B, "")</f>
        <v>76.410003662109375</v>
      </c>
      <c r="E2840">
        <f t="shared" si="176"/>
        <v>1.3200036491495299E-2</v>
      </c>
      <c r="F2840">
        <f t="shared" si="177"/>
        <v>2.0705357188355134E-2</v>
      </c>
      <c r="G2840">
        <f t="shared" si="178"/>
        <v>0.51552581787110086</v>
      </c>
      <c r="H2840">
        <f t="shared" si="179"/>
        <v>1.5500030517578125</v>
      </c>
    </row>
    <row r="2841" spans="1:8" x14ac:dyDescent="0.2">
      <c r="A2841" t="s">
        <v>13</v>
      </c>
      <c r="B2841" s="2">
        <v>45259</v>
      </c>
      <c r="C2841">
        <v>39.845939636230469</v>
      </c>
      <c r="D2841">
        <f>_xlfn.XLOOKUP(B2841, Oil_Price!A:A, Oil_Price!B:B, "")</f>
        <v>77.860000610351562</v>
      </c>
      <c r="E2841">
        <f t="shared" si="176"/>
        <v>6.9631733638324238E-3</v>
      </c>
      <c r="F2841">
        <f t="shared" si="177"/>
        <v>1.8976532898155325E-2</v>
      </c>
      <c r="G2841">
        <f t="shared" si="178"/>
        <v>0.27553558349608664</v>
      </c>
      <c r="H2841">
        <f t="shared" si="179"/>
        <v>1.4499969482421875</v>
      </c>
    </row>
    <row r="2842" spans="1:8" x14ac:dyDescent="0.2">
      <c r="A2842" t="s">
        <v>13</v>
      </c>
      <c r="B2842" s="2">
        <v>45260</v>
      </c>
      <c r="C2842">
        <v>40.255332946777337</v>
      </c>
      <c r="D2842">
        <f>_xlfn.XLOOKUP(B2842, Oil_Price!A:A, Oil_Price!B:B, "")</f>
        <v>75.959999084472656</v>
      </c>
      <c r="E2842">
        <f t="shared" si="176"/>
        <v>1.0274404726915296E-2</v>
      </c>
      <c r="F2842">
        <f t="shared" si="177"/>
        <v>-2.4402793616550515E-2</v>
      </c>
      <c r="G2842">
        <f t="shared" si="178"/>
        <v>0.40939331054686789</v>
      </c>
      <c r="H2842">
        <f t="shared" si="179"/>
        <v>-1.9000015258789062</v>
      </c>
    </row>
    <row r="2843" spans="1:8" x14ac:dyDescent="0.2">
      <c r="A2843" t="s">
        <v>13</v>
      </c>
      <c r="B2843" s="2">
        <v>45261</v>
      </c>
      <c r="C2843">
        <v>40.066375732421882</v>
      </c>
      <c r="D2843">
        <f>_xlfn.XLOOKUP(B2843, Oil_Price!A:A, Oil_Price!B:B, "")</f>
        <v>74.069999694824219</v>
      </c>
      <c r="E2843">
        <f t="shared" si="176"/>
        <v>-4.6939672466572314E-3</v>
      </c>
      <c r="F2843">
        <f t="shared" si="177"/>
        <v>-2.488150885239783E-2</v>
      </c>
      <c r="G2843">
        <f t="shared" si="178"/>
        <v>-0.18895721435545454</v>
      </c>
      <c r="H2843">
        <f t="shared" si="179"/>
        <v>-1.8899993896484375</v>
      </c>
    </row>
    <row r="2844" spans="1:8" x14ac:dyDescent="0.2">
      <c r="A2844" t="s">
        <v>13</v>
      </c>
      <c r="B2844" s="2">
        <v>45264</v>
      </c>
      <c r="C2844">
        <v>39.697467803955078</v>
      </c>
      <c r="D2844">
        <f>_xlfn.XLOOKUP(B2844, Oil_Price!A:A, Oil_Price!B:B, "")</f>
        <v>73.040000915527344</v>
      </c>
      <c r="E2844">
        <f t="shared" si="176"/>
        <v>-9.2074194813753039E-3</v>
      </c>
      <c r="F2844">
        <f t="shared" si="177"/>
        <v>-1.3905748393959399E-2</v>
      </c>
      <c r="G2844">
        <f t="shared" si="178"/>
        <v>-0.36890792846680398</v>
      </c>
      <c r="H2844">
        <f t="shared" si="179"/>
        <v>-1.029998779296875</v>
      </c>
    </row>
    <row r="2845" spans="1:8" x14ac:dyDescent="0.2">
      <c r="A2845" t="s">
        <v>13</v>
      </c>
      <c r="B2845" s="2">
        <v>45265</v>
      </c>
      <c r="C2845">
        <v>39.166610717773438</v>
      </c>
      <c r="D2845">
        <f>_xlfn.XLOOKUP(B2845, Oil_Price!A:A, Oil_Price!B:B, "")</f>
        <v>72.319999694824219</v>
      </c>
      <c r="E2845">
        <f t="shared" si="176"/>
        <v>-1.3372567963358889E-2</v>
      </c>
      <c r="F2845">
        <f t="shared" si="177"/>
        <v>-9.8576288564922818E-3</v>
      </c>
      <c r="G2845">
        <f t="shared" si="178"/>
        <v>-0.53085708618164062</v>
      </c>
      <c r="H2845">
        <f t="shared" si="179"/>
        <v>-0.720001220703125</v>
      </c>
    </row>
    <row r="2846" spans="1:8" x14ac:dyDescent="0.2">
      <c r="A2846" t="s">
        <v>13</v>
      </c>
      <c r="B2846" s="2">
        <v>45266</v>
      </c>
      <c r="C2846">
        <v>37.007186889648438</v>
      </c>
      <c r="D2846">
        <f>_xlfn.XLOOKUP(B2846, Oil_Price!A:A, Oil_Price!B:B, "")</f>
        <v>69.379997253417969</v>
      </c>
      <c r="E2846">
        <f t="shared" si="176"/>
        <v>-5.5134304157318209E-2</v>
      </c>
      <c r="F2846">
        <f t="shared" si="177"/>
        <v>-4.065268879718565E-2</v>
      </c>
      <c r="G2846">
        <f t="shared" si="178"/>
        <v>-2.159423828125</v>
      </c>
      <c r="H2846">
        <f t="shared" si="179"/>
        <v>-2.94000244140625</v>
      </c>
    </row>
    <row r="2847" spans="1:8" x14ac:dyDescent="0.2">
      <c r="A2847" t="s">
        <v>13</v>
      </c>
      <c r="B2847" s="2">
        <v>45267</v>
      </c>
      <c r="C2847">
        <v>36.998188018798828</v>
      </c>
      <c r="D2847">
        <f>_xlfn.XLOOKUP(B2847, Oil_Price!A:A, Oil_Price!B:B, "")</f>
        <v>69.339996337890625</v>
      </c>
      <c r="E2847">
        <f t="shared" si="176"/>
        <v>-2.4316549313632151E-4</v>
      </c>
      <c r="F2847">
        <f t="shared" si="177"/>
        <v>-5.7654824316634185E-4</v>
      </c>
      <c r="G2847">
        <f t="shared" si="178"/>
        <v>-8.998870849609375E-3</v>
      </c>
      <c r="H2847">
        <f t="shared" si="179"/>
        <v>-4.000091552734375E-2</v>
      </c>
    </row>
    <row r="2848" spans="1:8" x14ac:dyDescent="0.2">
      <c r="A2848" t="s">
        <v>13</v>
      </c>
      <c r="B2848" s="2">
        <v>45268</v>
      </c>
      <c r="C2848">
        <v>37.583026885986328</v>
      </c>
      <c r="D2848">
        <f>_xlfn.XLOOKUP(B2848, Oil_Price!A:A, Oil_Price!B:B, "")</f>
        <v>71.230003356933594</v>
      </c>
      <c r="E2848">
        <f t="shared" si="176"/>
        <v>1.5807229988948179E-2</v>
      </c>
      <c r="F2848">
        <f t="shared" si="177"/>
        <v>2.7257097185772135E-2</v>
      </c>
      <c r="G2848">
        <f t="shared" si="178"/>
        <v>0.5848388671875</v>
      </c>
      <c r="H2848">
        <f t="shared" si="179"/>
        <v>1.8900070190429688</v>
      </c>
    </row>
    <row r="2849" spans="1:8" x14ac:dyDescent="0.2">
      <c r="A2849" t="s">
        <v>13</v>
      </c>
      <c r="B2849" s="2">
        <v>45271</v>
      </c>
      <c r="C2849">
        <v>36.97119140625</v>
      </c>
      <c r="D2849">
        <f>_xlfn.XLOOKUP(B2849, Oil_Price!A:A, Oil_Price!B:B, "")</f>
        <v>71.319999694824219</v>
      </c>
      <c r="E2849">
        <f t="shared" si="176"/>
        <v>-1.6279569008436218E-2</v>
      </c>
      <c r="F2849">
        <f t="shared" si="177"/>
        <v>1.2634610929281203E-3</v>
      </c>
      <c r="G2849">
        <f t="shared" si="178"/>
        <v>-0.61183547973632812</v>
      </c>
      <c r="H2849">
        <f t="shared" si="179"/>
        <v>8.9996337890625E-2</v>
      </c>
    </row>
    <row r="2850" spans="1:8" x14ac:dyDescent="0.2">
      <c r="A2850" t="s">
        <v>13</v>
      </c>
      <c r="B2850" s="2">
        <v>45272</v>
      </c>
      <c r="C2850">
        <v>36.197402954101562</v>
      </c>
      <c r="D2850">
        <f>_xlfn.XLOOKUP(B2850, Oil_Price!A:A, Oil_Price!B:B, "")</f>
        <v>68.610000610351562</v>
      </c>
      <c r="E2850">
        <f t="shared" si="176"/>
        <v>-2.0929497338774649E-2</v>
      </c>
      <c r="F2850">
        <f t="shared" si="177"/>
        <v>-3.799774391571295E-2</v>
      </c>
      <c r="G2850">
        <f t="shared" si="178"/>
        <v>-0.7737884521484375</v>
      </c>
      <c r="H2850">
        <f t="shared" si="179"/>
        <v>-2.7099990844726562</v>
      </c>
    </row>
    <row r="2851" spans="1:8" x14ac:dyDescent="0.2">
      <c r="A2851" t="s">
        <v>13</v>
      </c>
      <c r="B2851" s="2">
        <v>45273</v>
      </c>
      <c r="C2851">
        <v>37.025184631347663</v>
      </c>
      <c r="D2851">
        <f>_xlfn.XLOOKUP(B2851, Oil_Price!A:A, Oil_Price!B:B, "")</f>
        <v>69.470001220703125</v>
      </c>
      <c r="E2851">
        <f t="shared" si="176"/>
        <v>2.2868537786971375E-2</v>
      </c>
      <c r="F2851">
        <f t="shared" si="177"/>
        <v>1.2534624729646331E-2</v>
      </c>
      <c r="G2851">
        <f t="shared" si="178"/>
        <v>0.82778167724610086</v>
      </c>
      <c r="H2851">
        <f t="shared" si="179"/>
        <v>0.8600006103515625</v>
      </c>
    </row>
    <row r="2852" spans="1:8" x14ac:dyDescent="0.2">
      <c r="A2852" t="s">
        <v>13</v>
      </c>
      <c r="B2852" s="2">
        <v>45274</v>
      </c>
      <c r="C2852">
        <v>37.717998504638672</v>
      </c>
      <c r="D2852">
        <f>_xlfn.XLOOKUP(B2852, Oil_Price!A:A, Oil_Price!B:B, "")</f>
        <v>71.580001831054688</v>
      </c>
      <c r="E2852">
        <f t="shared" si="176"/>
        <v>1.8711962686728433E-2</v>
      </c>
      <c r="F2852">
        <f t="shared" si="177"/>
        <v>3.0372831053337452E-2</v>
      </c>
      <c r="G2852">
        <f t="shared" si="178"/>
        <v>0.69281387329100852</v>
      </c>
      <c r="H2852">
        <f t="shared" si="179"/>
        <v>2.1100006103515625</v>
      </c>
    </row>
    <row r="2853" spans="1:8" x14ac:dyDescent="0.2">
      <c r="A2853" t="s">
        <v>13</v>
      </c>
      <c r="B2853" s="2">
        <v>45275</v>
      </c>
      <c r="C2853">
        <v>37.232124328613281</v>
      </c>
      <c r="D2853">
        <f>_xlfn.XLOOKUP(B2853, Oil_Price!A:A, Oil_Price!B:B, "")</f>
        <v>71.430000305175781</v>
      </c>
      <c r="E2853">
        <f t="shared" si="176"/>
        <v>-1.2881759247263249E-2</v>
      </c>
      <c r="F2853">
        <f t="shared" si="177"/>
        <v>-2.0955786817796465E-3</v>
      </c>
      <c r="G2853">
        <f t="shared" si="178"/>
        <v>-0.48587417602539062</v>
      </c>
      <c r="H2853">
        <f t="shared" si="179"/>
        <v>-0.15000152587890625</v>
      </c>
    </row>
    <row r="2854" spans="1:8" x14ac:dyDescent="0.2">
      <c r="A2854" t="s">
        <v>13</v>
      </c>
      <c r="B2854" s="2">
        <v>45278</v>
      </c>
      <c r="C2854">
        <v>37.906944274902337</v>
      </c>
      <c r="D2854">
        <f>_xlfn.XLOOKUP(B2854, Oil_Price!A:A, Oil_Price!B:B, "")</f>
        <v>72.470001220703125</v>
      </c>
      <c r="E2854">
        <f t="shared" si="176"/>
        <v>1.8124669447626685E-2</v>
      </c>
      <c r="F2854">
        <f t="shared" si="177"/>
        <v>1.4559721560745757E-2</v>
      </c>
      <c r="G2854">
        <f t="shared" si="178"/>
        <v>0.67481994628905539</v>
      </c>
      <c r="H2854">
        <f t="shared" si="179"/>
        <v>1.0400009155273438</v>
      </c>
    </row>
    <row r="2855" spans="1:8" x14ac:dyDescent="0.2">
      <c r="A2855" t="s">
        <v>13</v>
      </c>
      <c r="B2855" s="2">
        <v>45279</v>
      </c>
      <c r="C2855">
        <v>38.554771423339837</v>
      </c>
      <c r="D2855">
        <f>_xlfn.XLOOKUP(B2855, Oil_Price!A:A, Oil_Price!B:B, "")</f>
        <v>73.44000244140625</v>
      </c>
      <c r="E2855">
        <f t="shared" si="176"/>
        <v>1.7089933278172924E-2</v>
      </c>
      <c r="F2855">
        <f t="shared" si="177"/>
        <v>1.338486552179078E-2</v>
      </c>
      <c r="G2855">
        <f t="shared" si="178"/>
        <v>0.6478271484375</v>
      </c>
      <c r="H2855">
        <f t="shared" si="179"/>
        <v>0.970001220703125</v>
      </c>
    </row>
    <row r="2856" spans="1:8" x14ac:dyDescent="0.2">
      <c r="A2856" t="s">
        <v>13</v>
      </c>
      <c r="B2856" s="2">
        <v>45280</v>
      </c>
      <c r="C2856">
        <v>38.203865051269531</v>
      </c>
      <c r="D2856">
        <f>_xlfn.XLOOKUP(B2856, Oil_Price!A:A, Oil_Price!B:B, "")</f>
        <v>74.220001220703125</v>
      </c>
      <c r="E2856">
        <f t="shared" si="176"/>
        <v>-9.1015031114379218E-3</v>
      </c>
      <c r="F2856">
        <f t="shared" si="177"/>
        <v>1.0620898057828815E-2</v>
      </c>
      <c r="G2856">
        <f t="shared" si="178"/>
        <v>-0.35090637207030539</v>
      </c>
      <c r="H2856">
        <f t="shared" si="179"/>
        <v>0.779998779296875</v>
      </c>
    </row>
    <row r="2857" spans="1:8" x14ac:dyDescent="0.2">
      <c r="A2857" t="s">
        <v>13</v>
      </c>
      <c r="B2857" s="2">
        <v>45281</v>
      </c>
      <c r="C2857">
        <v>38.185871124267578</v>
      </c>
      <c r="D2857">
        <f>_xlfn.XLOOKUP(B2857, Oil_Price!A:A, Oil_Price!B:B, "")</f>
        <v>73.889999389648438</v>
      </c>
      <c r="E2857">
        <f t="shared" si="176"/>
        <v>-4.7099755424759516E-4</v>
      </c>
      <c r="F2857">
        <f t="shared" si="177"/>
        <v>-4.4462655029253208E-3</v>
      </c>
      <c r="G2857">
        <f t="shared" si="178"/>
        <v>-1.7993927001953125E-2</v>
      </c>
      <c r="H2857">
        <f t="shared" si="179"/>
        <v>-0.3300018310546875</v>
      </c>
    </row>
    <row r="2858" spans="1:8" x14ac:dyDescent="0.2">
      <c r="A2858" t="s">
        <v>13</v>
      </c>
      <c r="B2858" s="2">
        <v>45282</v>
      </c>
      <c r="C2858">
        <v>38.203865051269531</v>
      </c>
      <c r="D2858">
        <f>_xlfn.XLOOKUP(B2858, Oil_Price!A:A, Oil_Price!B:B, "")</f>
        <v>73.55999755859375</v>
      </c>
      <c r="E2858">
        <f t="shared" si="176"/>
        <v>4.7121949747842124E-4</v>
      </c>
      <c r="F2858">
        <f t="shared" si="177"/>
        <v>-4.4661230718716022E-3</v>
      </c>
      <c r="G2858">
        <f t="shared" si="178"/>
        <v>1.7993927001953125E-2</v>
      </c>
      <c r="H2858">
        <f t="shared" si="179"/>
        <v>-0.3300018310546875</v>
      </c>
    </row>
    <row r="2859" spans="1:8" x14ac:dyDescent="0.2">
      <c r="A2859" t="s">
        <v>13</v>
      </c>
      <c r="B2859" s="2">
        <v>45287</v>
      </c>
      <c r="C2859">
        <v>38.446807861328118</v>
      </c>
      <c r="D2859">
        <f>_xlfn.XLOOKUP(B2859, Oil_Price!A:A, Oil_Price!B:B, "")</f>
        <v>74.110000610351562</v>
      </c>
      <c r="E2859">
        <f t="shared" si="176"/>
        <v>6.3591160143759732E-3</v>
      </c>
      <c r="F2859">
        <f t="shared" si="177"/>
        <v>7.476931348722668E-3</v>
      </c>
      <c r="G2859">
        <f t="shared" si="178"/>
        <v>0.24294281005858664</v>
      </c>
      <c r="H2859">
        <f t="shared" si="179"/>
        <v>0.5500030517578125</v>
      </c>
    </row>
    <row r="2860" spans="1:8" x14ac:dyDescent="0.2">
      <c r="A2860" t="s">
        <v>13</v>
      </c>
      <c r="B2860" s="2">
        <v>45288</v>
      </c>
      <c r="C2860">
        <v>37.969932556152337</v>
      </c>
      <c r="D2860">
        <f>_xlfn.XLOOKUP(B2860, Oil_Price!A:A, Oil_Price!B:B, "")</f>
        <v>71.769996643066406</v>
      </c>
      <c r="E2860">
        <f t="shared" si="176"/>
        <v>-1.240350842378902E-2</v>
      </c>
      <c r="F2860">
        <f t="shared" si="177"/>
        <v>-3.1574739549500262E-2</v>
      </c>
      <c r="G2860">
        <f t="shared" si="178"/>
        <v>-0.47687530517578125</v>
      </c>
      <c r="H2860">
        <f t="shared" si="179"/>
        <v>-2.3400039672851562</v>
      </c>
    </row>
    <row r="2861" spans="1:8" x14ac:dyDescent="0.2">
      <c r="A2861" t="s">
        <v>13</v>
      </c>
      <c r="B2861" s="2">
        <v>45289</v>
      </c>
      <c r="C2861">
        <v>38.194869995117188</v>
      </c>
      <c r="D2861">
        <f>_xlfn.XLOOKUP(B2861, Oil_Price!A:A, Oil_Price!B:B, "")</f>
        <v>71.650001525878906</v>
      </c>
      <c r="E2861">
        <f t="shared" si="176"/>
        <v>5.9240937189498338E-3</v>
      </c>
      <c r="F2861">
        <f t="shared" si="177"/>
        <v>-1.6719398467338865E-3</v>
      </c>
      <c r="G2861">
        <f t="shared" si="178"/>
        <v>0.22493743896485086</v>
      </c>
      <c r="H2861">
        <f t="shared" si="179"/>
        <v>-0.1199951171875</v>
      </c>
    </row>
    <row r="2862" spans="1:8" x14ac:dyDescent="0.2">
      <c r="A2862" t="s">
        <v>13</v>
      </c>
      <c r="B2862" s="2">
        <v>45293</v>
      </c>
      <c r="C2862">
        <v>38.509792327880859</v>
      </c>
      <c r="D2862">
        <f>_xlfn.XLOOKUP(B2862, Oil_Price!A:A, Oil_Price!B:B, "")</f>
        <v>70.379997253417969</v>
      </c>
      <c r="E2862">
        <f t="shared" si="176"/>
        <v>8.2451473929334336E-3</v>
      </c>
      <c r="F2862">
        <f t="shared" si="177"/>
        <v>-1.7725111589875279E-2</v>
      </c>
      <c r="G2862">
        <f t="shared" si="178"/>
        <v>0.31492233276367188</v>
      </c>
      <c r="H2862">
        <f t="shared" si="179"/>
        <v>-1.2700042724609375</v>
      </c>
    </row>
    <row r="2863" spans="1:8" x14ac:dyDescent="0.2">
      <c r="A2863" t="s">
        <v>13</v>
      </c>
      <c r="B2863" s="2">
        <v>45294</v>
      </c>
      <c r="C2863">
        <v>40.795185089111328</v>
      </c>
      <c r="D2863">
        <f>_xlfn.XLOOKUP(B2863, Oil_Price!A:A, Oil_Price!B:B, "")</f>
        <v>72.699996948242188</v>
      </c>
      <c r="E2863">
        <f t="shared" si="176"/>
        <v>5.9345756574642916E-2</v>
      </c>
      <c r="F2863">
        <f t="shared" si="177"/>
        <v>3.2963907152064417E-2</v>
      </c>
      <c r="G2863">
        <f t="shared" si="178"/>
        <v>2.2853927612304688</v>
      </c>
      <c r="H2863">
        <f t="shared" si="179"/>
        <v>2.3199996948242188</v>
      </c>
    </row>
    <row r="2864" spans="1:8" x14ac:dyDescent="0.2">
      <c r="A2864" t="s">
        <v>13</v>
      </c>
      <c r="B2864" s="2">
        <v>45295</v>
      </c>
      <c r="C2864">
        <v>40.489261627197273</v>
      </c>
      <c r="D2864">
        <f>_xlfn.XLOOKUP(B2864, Oil_Price!A:A, Oil_Price!B:B, "")</f>
        <v>72.19000244140625</v>
      </c>
      <c r="E2864">
        <f t="shared" si="176"/>
        <v>-7.4990090434890475E-3</v>
      </c>
      <c r="F2864">
        <f t="shared" si="177"/>
        <v>-7.0150554091360064E-3</v>
      </c>
      <c r="G2864">
        <f t="shared" si="178"/>
        <v>-0.30592346191405539</v>
      </c>
      <c r="H2864">
        <f t="shared" si="179"/>
        <v>-0.5099945068359375</v>
      </c>
    </row>
    <row r="2865" spans="1:8" x14ac:dyDescent="0.2">
      <c r="A2865" t="s">
        <v>13</v>
      </c>
      <c r="B2865" s="2">
        <v>45296</v>
      </c>
      <c r="C2865">
        <v>40.633224487304688</v>
      </c>
      <c r="D2865">
        <f>_xlfn.XLOOKUP(B2865, Oil_Price!A:A, Oil_Price!B:B, "")</f>
        <v>73.80999755859375</v>
      </c>
      <c r="E2865">
        <f t="shared" si="176"/>
        <v>3.5555812657920307E-3</v>
      </c>
      <c r="F2865">
        <f t="shared" si="177"/>
        <v>2.2440712874367687E-2</v>
      </c>
      <c r="G2865">
        <f t="shared" si="178"/>
        <v>0.14396286010741477</v>
      </c>
      <c r="H2865">
        <f t="shared" si="179"/>
        <v>1.6199951171875</v>
      </c>
    </row>
    <row r="2866" spans="1:8" x14ac:dyDescent="0.2">
      <c r="A2866" t="s">
        <v>13</v>
      </c>
      <c r="B2866" s="2">
        <v>45299</v>
      </c>
      <c r="C2866">
        <v>39.706470489501953</v>
      </c>
      <c r="D2866">
        <f>_xlfn.XLOOKUP(B2866, Oil_Price!A:A, Oil_Price!B:B, "")</f>
        <v>70.769996643066406</v>
      </c>
      <c r="E2866">
        <f t="shared" si="176"/>
        <v>-2.2807788687611696E-2</v>
      </c>
      <c r="F2866">
        <f t="shared" si="177"/>
        <v>-4.1186844818875003E-2</v>
      </c>
      <c r="G2866">
        <f t="shared" si="178"/>
        <v>-0.92675399780273438</v>
      </c>
      <c r="H2866">
        <f t="shared" si="179"/>
        <v>-3.0400009155273438</v>
      </c>
    </row>
    <row r="2867" spans="1:8" x14ac:dyDescent="0.2">
      <c r="A2867" t="s">
        <v>13</v>
      </c>
      <c r="B2867" s="2">
        <v>45300</v>
      </c>
      <c r="C2867">
        <v>39.418552398681641</v>
      </c>
      <c r="D2867">
        <f>_xlfn.XLOOKUP(B2867, Oil_Price!A:A, Oil_Price!B:B, "")</f>
        <v>72.239997863769531</v>
      </c>
      <c r="E2867">
        <f t="shared" si="176"/>
        <v>-7.2511630288679407E-3</v>
      </c>
      <c r="F2867">
        <f t="shared" si="177"/>
        <v>2.0771531587279599E-2</v>
      </c>
      <c r="G2867">
        <f t="shared" si="178"/>
        <v>-0.2879180908203125</v>
      </c>
      <c r="H2867">
        <f t="shared" si="179"/>
        <v>1.470001220703125</v>
      </c>
    </row>
    <row r="2868" spans="1:8" x14ac:dyDescent="0.2">
      <c r="A2868" t="s">
        <v>13</v>
      </c>
      <c r="B2868" s="2">
        <v>45301</v>
      </c>
      <c r="C2868">
        <v>39.0406494140625</v>
      </c>
      <c r="D2868">
        <f>_xlfn.XLOOKUP(B2868, Oil_Price!A:A, Oil_Price!B:B, "")</f>
        <v>71.370002746582031</v>
      </c>
      <c r="E2868">
        <f t="shared" si="176"/>
        <v>-9.5869320820563576E-3</v>
      </c>
      <c r="F2868">
        <f t="shared" si="177"/>
        <v>-1.204312213336634E-2</v>
      </c>
      <c r="G2868">
        <f t="shared" si="178"/>
        <v>-0.37790298461914062</v>
      </c>
      <c r="H2868">
        <f t="shared" si="179"/>
        <v>-0.8699951171875</v>
      </c>
    </row>
    <row r="2869" spans="1:8" x14ac:dyDescent="0.2">
      <c r="A2869" t="s">
        <v>13</v>
      </c>
      <c r="B2869" s="2">
        <v>45302</v>
      </c>
      <c r="C2869">
        <v>39.355560302734382</v>
      </c>
      <c r="D2869">
        <f>_xlfn.XLOOKUP(B2869, Oil_Price!A:A, Oil_Price!B:B, "")</f>
        <v>72.019996643066406</v>
      </c>
      <c r="E2869">
        <f t="shared" si="176"/>
        <v>8.0662307978527307E-3</v>
      </c>
      <c r="F2869">
        <f t="shared" si="177"/>
        <v>9.1073822540311405E-3</v>
      </c>
      <c r="G2869">
        <f t="shared" si="178"/>
        <v>0.31491088867188211</v>
      </c>
      <c r="H2869">
        <f t="shared" si="179"/>
        <v>0.649993896484375</v>
      </c>
    </row>
    <row r="2870" spans="1:8" x14ac:dyDescent="0.2">
      <c r="A2870" t="s">
        <v>13</v>
      </c>
      <c r="B2870" s="2">
        <v>45303</v>
      </c>
      <c r="C2870">
        <v>39.544509887695312</v>
      </c>
      <c r="D2870">
        <f>_xlfn.XLOOKUP(B2870, Oil_Price!A:A, Oil_Price!B:B, "")</f>
        <v>72.680000305175781</v>
      </c>
      <c r="E2870">
        <f t="shared" si="176"/>
        <v>4.8010899478364783E-3</v>
      </c>
      <c r="F2870">
        <f t="shared" si="177"/>
        <v>9.1641723531365321E-3</v>
      </c>
      <c r="G2870">
        <f t="shared" si="178"/>
        <v>0.18894958496093039</v>
      </c>
      <c r="H2870">
        <f t="shared" si="179"/>
        <v>0.660003662109375</v>
      </c>
    </row>
    <row r="2871" spans="1:8" x14ac:dyDescent="0.2">
      <c r="A2871" t="s">
        <v>13</v>
      </c>
      <c r="B2871" s="2">
        <v>45306</v>
      </c>
      <c r="C2871">
        <v>39.499519348144531</v>
      </c>
      <c r="D2871" t="str">
        <f>_xlfn.XLOOKUP(B2871, Oil_Price!A:A, Oil_Price!B:B, "")</f>
        <v/>
      </c>
      <c r="E2871">
        <f t="shared" si="176"/>
        <v>-1.1377189824466765E-3</v>
      </c>
      <c r="F2871" t="str">
        <f t="shared" si="177"/>
        <v/>
      </c>
      <c r="G2871">
        <f t="shared" si="178"/>
        <v>-4.499053955078125E-2</v>
      </c>
      <c r="H2871" t="str">
        <f t="shared" si="179"/>
        <v/>
      </c>
    </row>
    <row r="2872" spans="1:8" x14ac:dyDescent="0.2">
      <c r="A2872" t="s">
        <v>13</v>
      </c>
      <c r="B2872" s="2">
        <v>45307</v>
      </c>
      <c r="C2872">
        <v>38.842700958251953</v>
      </c>
      <c r="D2872">
        <f>_xlfn.XLOOKUP(B2872, Oil_Price!A:A, Oil_Price!B:B, "")</f>
        <v>72.400001525878906</v>
      </c>
      <c r="E2872">
        <f t="shared" si="176"/>
        <v>-1.6628516010624109E-2</v>
      </c>
      <c r="F2872" t="str">
        <f t="shared" si="177"/>
        <v/>
      </c>
      <c r="G2872">
        <f t="shared" si="178"/>
        <v>-0.65681838989257812</v>
      </c>
      <c r="H2872" t="str">
        <f t="shared" si="179"/>
        <v/>
      </c>
    </row>
    <row r="2873" spans="1:8" x14ac:dyDescent="0.2">
      <c r="A2873" t="s">
        <v>13</v>
      </c>
      <c r="B2873" s="2">
        <v>45308</v>
      </c>
      <c r="C2873">
        <v>38.293846130371087</v>
      </c>
      <c r="D2873">
        <f>_xlfn.XLOOKUP(B2873, Oil_Price!A:A, Oil_Price!B:B, "")</f>
        <v>72.55999755859375</v>
      </c>
      <c r="E2873">
        <f t="shared" si="176"/>
        <v>-1.4130192142682725E-2</v>
      </c>
      <c r="F2873">
        <f t="shared" si="177"/>
        <v>2.2098899080499911E-3</v>
      </c>
      <c r="G2873">
        <f t="shared" si="178"/>
        <v>-0.54885482788086648</v>
      </c>
      <c r="H2873">
        <f t="shared" si="179"/>
        <v>0.15999603271484375</v>
      </c>
    </row>
    <row r="2874" spans="1:8" x14ac:dyDescent="0.2">
      <c r="A2874" t="s">
        <v>13</v>
      </c>
      <c r="B2874" s="2">
        <v>45309</v>
      </c>
      <c r="C2874">
        <v>38.158885955810547</v>
      </c>
      <c r="D2874">
        <f>_xlfn.XLOOKUP(B2874, Oil_Price!A:A, Oil_Price!B:B, "")</f>
        <v>74.080001831054688</v>
      </c>
      <c r="E2874">
        <f t="shared" si="176"/>
        <v>-3.5243306222380736E-3</v>
      </c>
      <c r="F2874">
        <f t="shared" si="177"/>
        <v>2.094824040248212E-2</v>
      </c>
      <c r="G2874">
        <f t="shared" si="178"/>
        <v>-0.13496017456053977</v>
      </c>
      <c r="H2874">
        <f t="shared" si="179"/>
        <v>1.5200042724609375</v>
      </c>
    </row>
    <row r="2875" spans="1:8" x14ac:dyDescent="0.2">
      <c r="A2875" t="s">
        <v>13</v>
      </c>
      <c r="B2875" s="2">
        <v>45310</v>
      </c>
      <c r="C2875">
        <v>38.059906005859382</v>
      </c>
      <c r="D2875">
        <f>_xlfn.XLOOKUP(B2875, Oil_Price!A:A, Oil_Price!B:B, "")</f>
        <v>73.410003662109375</v>
      </c>
      <c r="E2875">
        <f t="shared" si="176"/>
        <v>-2.5938899281752444E-3</v>
      </c>
      <c r="F2875">
        <f t="shared" si="177"/>
        <v>-9.0442515170733439E-3</v>
      </c>
      <c r="G2875">
        <f t="shared" si="178"/>
        <v>-9.897994995116477E-2</v>
      </c>
      <c r="H2875">
        <f t="shared" si="179"/>
        <v>-0.6699981689453125</v>
      </c>
    </row>
    <row r="2876" spans="1:8" x14ac:dyDescent="0.2">
      <c r="A2876" t="s">
        <v>13</v>
      </c>
      <c r="B2876" s="2">
        <v>45313</v>
      </c>
      <c r="C2876">
        <v>38.446807861328118</v>
      </c>
      <c r="D2876">
        <f>_xlfn.XLOOKUP(B2876, Oil_Price!A:A, Oil_Price!B:B, "")</f>
        <v>75.19000244140625</v>
      </c>
      <c r="E2876">
        <f t="shared" si="176"/>
        <v>1.0165601969935807E-2</v>
      </c>
      <c r="F2876">
        <f t="shared" si="177"/>
        <v>2.4247359903288256E-2</v>
      </c>
      <c r="G2876">
        <f t="shared" si="178"/>
        <v>0.38690185546873579</v>
      </c>
      <c r="H2876">
        <f t="shared" si="179"/>
        <v>1.779998779296875</v>
      </c>
    </row>
    <row r="2877" spans="1:8" x14ac:dyDescent="0.2">
      <c r="A2877" t="s">
        <v>13</v>
      </c>
      <c r="B2877" s="2">
        <v>45314</v>
      </c>
      <c r="C2877">
        <v>38.212863922119141</v>
      </c>
      <c r="D2877">
        <f>_xlfn.XLOOKUP(B2877, Oil_Price!A:A, Oil_Price!B:B, "")</f>
        <v>74.370002746582031</v>
      </c>
      <c r="E2877">
        <f t="shared" si="176"/>
        <v>-6.0848728990135683E-3</v>
      </c>
      <c r="F2877">
        <f t="shared" si="177"/>
        <v>-1.0905701133115731E-2</v>
      </c>
      <c r="G2877">
        <f t="shared" si="178"/>
        <v>-0.23394393920897727</v>
      </c>
      <c r="H2877">
        <f t="shared" si="179"/>
        <v>-0.81999969482421875</v>
      </c>
    </row>
    <row r="2878" spans="1:8" x14ac:dyDescent="0.2">
      <c r="A2878" t="s">
        <v>13</v>
      </c>
      <c r="B2878" s="2">
        <v>45315</v>
      </c>
      <c r="C2878">
        <v>38.734733581542969</v>
      </c>
      <c r="D2878">
        <f>_xlfn.XLOOKUP(B2878, Oil_Price!A:A, Oil_Price!B:B, "")</f>
        <v>75.089996337890625</v>
      </c>
      <c r="E2878">
        <f t="shared" si="176"/>
        <v>1.3656910418633894E-2</v>
      </c>
      <c r="F2878">
        <f t="shared" si="177"/>
        <v>9.6812365835455601E-3</v>
      </c>
      <c r="G2878">
        <f t="shared" si="178"/>
        <v>0.52186965942382812</v>
      </c>
      <c r="H2878">
        <f t="shared" si="179"/>
        <v>0.71999359130859375</v>
      </c>
    </row>
    <row r="2879" spans="1:8" x14ac:dyDescent="0.2">
      <c r="A2879" t="s">
        <v>13</v>
      </c>
      <c r="B2879" s="2">
        <v>45316</v>
      </c>
      <c r="C2879">
        <v>39.157611846923828</v>
      </c>
      <c r="D2879">
        <f>_xlfn.XLOOKUP(B2879, Oil_Price!A:A, Oil_Price!B:B, "")</f>
        <v>77.360000610351562</v>
      </c>
      <c r="E2879">
        <f t="shared" si="176"/>
        <v>1.0917288600698162E-2</v>
      </c>
      <c r="F2879">
        <f t="shared" si="177"/>
        <v>3.0230448570623875E-2</v>
      </c>
      <c r="G2879">
        <f t="shared" si="178"/>
        <v>0.42287826538085938</v>
      </c>
      <c r="H2879">
        <f t="shared" si="179"/>
        <v>2.2700042724609375</v>
      </c>
    </row>
    <row r="2880" spans="1:8" x14ac:dyDescent="0.2">
      <c r="A2880" t="s">
        <v>13</v>
      </c>
      <c r="B2880" s="2">
        <v>45317</v>
      </c>
      <c r="C2880">
        <v>39.607494354248047</v>
      </c>
      <c r="D2880">
        <f>_xlfn.XLOOKUP(B2880, Oil_Price!A:A, Oil_Price!B:B, "")</f>
        <v>78.010002136230469</v>
      </c>
      <c r="E2880">
        <f t="shared" si="176"/>
        <v>1.1489017999435554E-2</v>
      </c>
      <c r="F2880">
        <f t="shared" si="177"/>
        <v>8.402294735658641E-3</v>
      </c>
      <c r="G2880">
        <f t="shared" si="178"/>
        <v>0.44988250732421875</v>
      </c>
      <c r="H2880">
        <f t="shared" si="179"/>
        <v>0.65000152587890625</v>
      </c>
    </row>
    <row r="2881" spans="1:8" x14ac:dyDescent="0.2">
      <c r="A2881" t="s">
        <v>13</v>
      </c>
      <c r="B2881" s="2">
        <v>45320</v>
      </c>
      <c r="C2881">
        <v>39.544509887695312</v>
      </c>
      <c r="D2881">
        <f>_xlfn.XLOOKUP(B2881, Oil_Price!A:A, Oil_Price!B:B, "")</f>
        <v>76.779998779296875</v>
      </c>
      <c r="E2881">
        <f t="shared" si="176"/>
        <v>-1.590215881605726E-3</v>
      </c>
      <c r="F2881">
        <f t="shared" si="177"/>
        <v>-1.5767251932458783E-2</v>
      </c>
      <c r="G2881">
        <f t="shared" si="178"/>
        <v>-6.2984466552734375E-2</v>
      </c>
      <c r="H2881">
        <f t="shared" si="179"/>
        <v>-1.2300033569335938</v>
      </c>
    </row>
    <row r="2882" spans="1:8" x14ac:dyDescent="0.2">
      <c r="A2882" t="s">
        <v>13</v>
      </c>
      <c r="B2882" s="2">
        <v>45321</v>
      </c>
      <c r="C2882">
        <v>40.462272644042969</v>
      </c>
      <c r="D2882">
        <f>_xlfn.XLOOKUP(B2882, Oil_Price!A:A, Oil_Price!B:B, "")</f>
        <v>77.819999694824219</v>
      </c>
      <c r="E2882">
        <f t="shared" si="176"/>
        <v>2.3208348237316951E-2</v>
      </c>
      <c r="F2882">
        <f t="shared" si="177"/>
        <v>1.3545206200338882E-2</v>
      </c>
      <c r="G2882">
        <f t="shared" si="178"/>
        <v>0.91776275634765625</v>
      </c>
      <c r="H2882">
        <f t="shared" si="179"/>
        <v>1.0400009155273438</v>
      </c>
    </row>
    <row r="2883" spans="1:8" x14ac:dyDescent="0.2">
      <c r="A2883" t="s">
        <v>13</v>
      </c>
      <c r="B2883" s="2">
        <v>45322</v>
      </c>
      <c r="C2883">
        <v>40.057380676269531</v>
      </c>
      <c r="D2883">
        <f>_xlfn.XLOOKUP(B2883, Oil_Price!A:A, Oil_Price!B:B, "")</f>
        <v>75.849998474121094</v>
      </c>
      <c r="E2883">
        <f t="shared" ref="E2883:E2946" si="180">IFERROR(IF(AND(A2883=A2882, C2883&lt;&gt;"", C2882&lt;&gt;""), (C2883-C2882)/C2882, ""), "")</f>
        <v>-1.0006654132736844E-2</v>
      </c>
      <c r="F2883">
        <f t="shared" ref="F2883:F2946" si="181">IFERROR(IF(AND(A2883=A2882, D2883&lt;&gt;"", D2882&lt;&gt;""), (D2883-D2882)/D2882, ""), "")</f>
        <v>-2.531484487829096E-2</v>
      </c>
      <c r="G2883">
        <f t="shared" ref="G2883:G2946" si="182">IFERROR(IF(AND(A2883=A2882, C2883&lt;&gt;"", C2882&lt;&gt;""), C2883-C2882, ""), "")</f>
        <v>-0.4048919677734375</v>
      </c>
      <c r="H2883">
        <f t="shared" ref="H2883:H2946" si="183">IFERROR(IF(AND(A2883=A2882, D2883&lt;&gt;"", D2882&lt;&gt;""), D2883-D2882, ""), "")</f>
        <v>-1.970001220703125</v>
      </c>
    </row>
    <row r="2884" spans="1:8" x14ac:dyDescent="0.2">
      <c r="A2884" t="s">
        <v>13</v>
      </c>
      <c r="B2884" s="2">
        <v>45323</v>
      </c>
      <c r="C2884">
        <v>39.490524291992188</v>
      </c>
      <c r="D2884">
        <f>_xlfn.XLOOKUP(B2884, Oil_Price!A:A, Oil_Price!B:B, "")</f>
        <v>73.819999694824219</v>
      </c>
      <c r="E2884">
        <f t="shared" si="180"/>
        <v>-1.4151109600961907E-2</v>
      </c>
      <c r="F2884">
        <f t="shared" si="181"/>
        <v>-2.6763333159320772E-2</v>
      </c>
      <c r="G2884">
        <f t="shared" si="182"/>
        <v>-0.56685638427734375</v>
      </c>
      <c r="H2884">
        <f t="shared" si="183"/>
        <v>-2.029998779296875</v>
      </c>
    </row>
    <row r="2885" spans="1:8" x14ac:dyDescent="0.2">
      <c r="A2885" t="s">
        <v>13</v>
      </c>
      <c r="B2885" s="2">
        <v>45324</v>
      </c>
      <c r="C2885">
        <v>38.896686553955078</v>
      </c>
      <c r="D2885">
        <f>_xlfn.XLOOKUP(B2885, Oil_Price!A:A, Oil_Price!B:B, "")</f>
        <v>72.279998779296875</v>
      </c>
      <c r="E2885">
        <f t="shared" si="180"/>
        <v>-1.5037474145602232E-2</v>
      </c>
      <c r="F2885">
        <f t="shared" si="181"/>
        <v>-2.0861567622511366E-2</v>
      </c>
      <c r="G2885">
        <f t="shared" si="182"/>
        <v>-0.59383773803710938</v>
      </c>
      <c r="H2885">
        <f t="shared" si="183"/>
        <v>-1.5400009155273438</v>
      </c>
    </row>
    <row r="2886" spans="1:8" x14ac:dyDescent="0.2">
      <c r="A2886" t="s">
        <v>13</v>
      </c>
      <c r="B2886" s="2">
        <v>45327</v>
      </c>
      <c r="C2886">
        <v>38.770713806152337</v>
      </c>
      <c r="D2886">
        <f>_xlfn.XLOOKUP(B2886, Oil_Price!A:A, Oil_Price!B:B, "")</f>
        <v>72.779998779296875</v>
      </c>
      <c r="E2886">
        <f t="shared" si="180"/>
        <v>-3.2386498430399687E-3</v>
      </c>
      <c r="F2886">
        <f t="shared" si="181"/>
        <v>6.9175430055930598E-3</v>
      </c>
      <c r="G2886">
        <f t="shared" si="182"/>
        <v>-0.12597274780274148</v>
      </c>
      <c r="H2886">
        <f t="shared" si="183"/>
        <v>0.5</v>
      </c>
    </row>
    <row r="2887" spans="1:8" x14ac:dyDescent="0.2">
      <c r="A2887" t="s">
        <v>13</v>
      </c>
      <c r="B2887" s="2">
        <v>45328</v>
      </c>
      <c r="C2887">
        <v>38.806709289550781</v>
      </c>
      <c r="D2887">
        <f>_xlfn.XLOOKUP(B2887, Oil_Price!A:A, Oil_Price!B:B, "")</f>
        <v>73.30999755859375</v>
      </c>
      <c r="E2887">
        <f t="shared" si="180"/>
        <v>9.2841941415926828E-4</v>
      </c>
      <c r="F2887">
        <f t="shared" si="181"/>
        <v>7.2822037398500121E-3</v>
      </c>
      <c r="G2887">
        <f t="shared" si="182"/>
        <v>3.5995483398444605E-2</v>
      </c>
      <c r="H2887">
        <f t="shared" si="183"/>
        <v>0.529998779296875</v>
      </c>
    </row>
    <row r="2888" spans="1:8" x14ac:dyDescent="0.2">
      <c r="A2888" t="s">
        <v>13</v>
      </c>
      <c r="B2888" s="2">
        <v>45329</v>
      </c>
      <c r="C2888">
        <v>38.914684295654297</v>
      </c>
      <c r="D2888">
        <f>_xlfn.XLOOKUP(B2888, Oil_Price!A:A, Oil_Price!B:B, "")</f>
        <v>73.860000610351562</v>
      </c>
      <c r="E2888">
        <f t="shared" si="180"/>
        <v>2.782379853387603E-3</v>
      </c>
      <c r="F2888">
        <f t="shared" si="181"/>
        <v>7.5024290011497692E-3</v>
      </c>
      <c r="G2888">
        <f t="shared" si="182"/>
        <v>0.10797500610351562</v>
      </c>
      <c r="H2888">
        <f t="shared" si="183"/>
        <v>0.5500030517578125</v>
      </c>
    </row>
    <row r="2889" spans="1:8" x14ac:dyDescent="0.2">
      <c r="A2889" t="s">
        <v>13</v>
      </c>
      <c r="B2889" s="2">
        <v>45330</v>
      </c>
      <c r="C2889">
        <v>39.0406494140625</v>
      </c>
      <c r="D2889">
        <f>_xlfn.XLOOKUP(B2889, Oil_Price!A:A, Oil_Price!B:B, "")</f>
        <v>76.220001220703125</v>
      </c>
      <c r="E2889">
        <f t="shared" si="180"/>
        <v>3.2369559380511274E-3</v>
      </c>
      <c r="F2889">
        <f t="shared" si="181"/>
        <v>3.1952350268743511E-2</v>
      </c>
      <c r="G2889">
        <f t="shared" si="182"/>
        <v>0.12596511840820312</v>
      </c>
      <c r="H2889">
        <f t="shared" si="183"/>
        <v>2.3600006103515625</v>
      </c>
    </row>
    <row r="2890" spans="1:8" x14ac:dyDescent="0.2">
      <c r="A2890" t="s">
        <v>13</v>
      </c>
      <c r="B2890" s="2">
        <v>45331</v>
      </c>
      <c r="C2890">
        <v>38.923675537109382</v>
      </c>
      <c r="D2890">
        <f>_xlfn.XLOOKUP(B2890, Oil_Price!A:A, Oil_Price!B:B, "")</f>
        <v>76.839996337890625</v>
      </c>
      <c r="E2890">
        <f t="shared" si="180"/>
        <v>-2.9962072534322069E-3</v>
      </c>
      <c r="F2890">
        <f t="shared" si="181"/>
        <v>8.1342837478083751E-3</v>
      </c>
      <c r="G2890">
        <f t="shared" si="182"/>
        <v>-0.11697387695311789</v>
      </c>
      <c r="H2890">
        <f t="shared" si="183"/>
        <v>0.6199951171875</v>
      </c>
    </row>
    <row r="2891" spans="1:8" x14ac:dyDescent="0.2">
      <c r="A2891" t="s">
        <v>13</v>
      </c>
      <c r="B2891" s="2">
        <v>45334</v>
      </c>
      <c r="C2891">
        <v>39.184604644775391</v>
      </c>
      <c r="D2891">
        <f>_xlfn.XLOOKUP(B2891, Oil_Price!A:A, Oil_Price!B:B, "")</f>
        <v>76.919998168945312</v>
      </c>
      <c r="E2891">
        <f t="shared" si="180"/>
        <v>6.7036091547223418E-3</v>
      </c>
      <c r="F2891">
        <f t="shared" si="181"/>
        <v>1.0411482934342324E-3</v>
      </c>
      <c r="G2891">
        <f t="shared" si="182"/>
        <v>0.26092910766600852</v>
      </c>
      <c r="H2891">
        <f t="shared" si="183"/>
        <v>8.00018310546875E-2</v>
      </c>
    </row>
    <row r="2892" spans="1:8" x14ac:dyDescent="0.2">
      <c r="A2892" t="s">
        <v>13</v>
      </c>
      <c r="B2892" s="2">
        <v>45335</v>
      </c>
      <c r="C2892">
        <v>38.563777923583977</v>
      </c>
      <c r="D2892">
        <f>_xlfn.XLOOKUP(B2892, Oil_Price!A:A, Oil_Price!B:B, "")</f>
        <v>77.870002746582031</v>
      </c>
      <c r="E2892">
        <f t="shared" si="180"/>
        <v>-1.5843638766282416E-2</v>
      </c>
      <c r="F2892">
        <f t="shared" si="181"/>
        <v>1.2350553825419374E-2</v>
      </c>
      <c r="G2892">
        <f t="shared" si="182"/>
        <v>-0.62082672119141336</v>
      </c>
      <c r="H2892">
        <f t="shared" si="183"/>
        <v>0.95000457763671875</v>
      </c>
    </row>
    <row r="2893" spans="1:8" x14ac:dyDescent="0.2">
      <c r="A2893" t="s">
        <v>13</v>
      </c>
      <c r="B2893" s="2">
        <v>45336</v>
      </c>
      <c r="C2893">
        <v>38.419815063476562</v>
      </c>
      <c r="D2893">
        <f>_xlfn.XLOOKUP(B2893, Oil_Price!A:A, Oil_Price!B:B, "")</f>
        <v>76.639999389648438</v>
      </c>
      <c r="E2893">
        <f t="shared" si="180"/>
        <v>-3.7331109102610293E-3</v>
      </c>
      <c r="F2893">
        <f t="shared" si="181"/>
        <v>-1.579559924938596E-2</v>
      </c>
      <c r="G2893">
        <f t="shared" si="182"/>
        <v>-0.14396286010741477</v>
      </c>
      <c r="H2893">
        <f t="shared" si="183"/>
        <v>-1.2300033569335938</v>
      </c>
    </row>
    <row r="2894" spans="1:8" x14ac:dyDescent="0.2">
      <c r="A2894" t="s">
        <v>13</v>
      </c>
      <c r="B2894" s="2">
        <v>45337</v>
      </c>
      <c r="C2894">
        <v>40.111362457275391</v>
      </c>
      <c r="D2894">
        <f>_xlfn.XLOOKUP(B2894, Oil_Price!A:A, Oil_Price!B:B, "")</f>
        <v>78.029998779296875</v>
      </c>
      <c r="E2894">
        <f t="shared" si="180"/>
        <v>4.4027994174466546E-2</v>
      </c>
      <c r="F2894">
        <f t="shared" si="181"/>
        <v>1.8136735395592671E-2</v>
      </c>
      <c r="G2894">
        <f t="shared" si="182"/>
        <v>1.6915473937988281</v>
      </c>
      <c r="H2894">
        <f t="shared" si="183"/>
        <v>1.3899993896484375</v>
      </c>
    </row>
    <row r="2895" spans="1:8" x14ac:dyDescent="0.2">
      <c r="A2895" t="s">
        <v>13</v>
      </c>
      <c r="B2895" s="2">
        <v>45338</v>
      </c>
      <c r="C2895">
        <v>40.111362457275391</v>
      </c>
      <c r="D2895">
        <f>_xlfn.XLOOKUP(B2895, Oil_Price!A:A, Oil_Price!B:B, "")</f>
        <v>79.19000244140625</v>
      </c>
      <c r="E2895">
        <f t="shared" si="180"/>
        <v>0</v>
      </c>
      <c r="F2895">
        <f t="shared" si="181"/>
        <v>1.4866124314449563E-2</v>
      </c>
      <c r="G2895">
        <f t="shared" si="182"/>
        <v>0</v>
      </c>
      <c r="H2895">
        <f t="shared" si="183"/>
        <v>1.160003662109375</v>
      </c>
    </row>
    <row r="2896" spans="1:8" x14ac:dyDescent="0.2">
      <c r="A2896" t="s">
        <v>13</v>
      </c>
      <c r="B2896" s="2">
        <v>45342</v>
      </c>
      <c r="C2896">
        <v>39.697467803955078</v>
      </c>
      <c r="D2896">
        <f>_xlfn.XLOOKUP(B2896, Oil_Price!A:A, Oil_Price!B:B, "")</f>
        <v>78.180000305175781</v>
      </c>
      <c r="E2896">
        <f t="shared" si="180"/>
        <v>-1.0318638609226308E-2</v>
      </c>
      <c r="F2896">
        <f t="shared" si="181"/>
        <v>-1.275416220599037E-2</v>
      </c>
      <c r="G2896">
        <f t="shared" si="182"/>
        <v>-0.4138946533203125</v>
      </c>
      <c r="H2896">
        <f t="shared" si="183"/>
        <v>-1.0100021362304688</v>
      </c>
    </row>
    <row r="2897" spans="1:8" x14ac:dyDescent="0.2">
      <c r="A2897" t="s">
        <v>13</v>
      </c>
      <c r="B2897" s="2">
        <v>45343</v>
      </c>
      <c r="C2897">
        <v>40.804183959960938</v>
      </c>
      <c r="D2897">
        <f>_xlfn.XLOOKUP(B2897, Oil_Price!A:A, Oil_Price!B:B, "")</f>
        <v>77.910003662109375</v>
      </c>
      <c r="E2897">
        <f t="shared" si="180"/>
        <v>2.7878759458193871E-2</v>
      </c>
      <c r="F2897">
        <f t="shared" si="181"/>
        <v>-3.4535257356417734E-3</v>
      </c>
      <c r="G2897">
        <f t="shared" si="182"/>
        <v>1.1067161560058594</v>
      </c>
      <c r="H2897">
        <f t="shared" si="183"/>
        <v>-0.26999664306640625</v>
      </c>
    </row>
    <row r="2898" spans="1:8" x14ac:dyDescent="0.2">
      <c r="A2898" t="s">
        <v>13</v>
      </c>
      <c r="B2898" s="2">
        <v>45344</v>
      </c>
      <c r="C2898">
        <v>40.687210083007812</v>
      </c>
      <c r="D2898">
        <f>_xlfn.XLOOKUP(B2898, Oil_Price!A:A, Oil_Price!B:B, "")</f>
        <v>78.610000610351562</v>
      </c>
      <c r="E2898">
        <f t="shared" si="180"/>
        <v>-2.8667128122916389E-3</v>
      </c>
      <c r="F2898">
        <f t="shared" si="181"/>
        <v>8.9846863732419881E-3</v>
      </c>
      <c r="G2898">
        <f t="shared" si="182"/>
        <v>-0.116973876953125</v>
      </c>
      <c r="H2898">
        <f t="shared" si="183"/>
        <v>0.6999969482421875</v>
      </c>
    </row>
    <row r="2899" spans="1:8" x14ac:dyDescent="0.2">
      <c r="A2899" t="s">
        <v>13</v>
      </c>
      <c r="B2899" s="2">
        <v>45345</v>
      </c>
      <c r="C2899">
        <v>41.200080871582031</v>
      </c>
      <c r="D2899">
        <f>_xlfn.XLOOKUP(B2899, Oil_Price!A:A, Oil_Price!B:B, "")</f>
        <v>76.489997863769531</v>
      </c>
      <c r="E2899">
        <f t="shared" si="180"/>
        <v>1.260520904549336E-2</v>
      </c>
      <c r="F2899">
        <f t="shared" si="181"/>
        <v>-2.6968613791142293E-2</v>
      </c>
      <c r="G2899">
        <f t="shared" si="182"/>
        <v>0.51287078857421875</v>
      </c>
      <c r="H2899">
        <f t="shared" si="183"/>
        <v>-2.1200027465820312</v>
      </c>
    </row>
    <row r="2900" spans="1:8" x14ac:dyDescent="0.2">
      <c r="A2900" t="s">
        <v>13</v>
      </c>
      <c r="B2900" s="2">
        <v>45348</v>
      </c>
      <c r="C2900">
        <v>41.101104736328118</v>
      </c>
      <c r="D2900">
        <f>_xlfn.XLOOKUP(B2900, Oil_Price!A:A, Oil_Price!B:B, "")</f>
        <v>77.580001831054688</v>
      </c>
      <c r="E2900">
        <f t="shared" si="180"/>
        <v>-2.4023286644124686E-3</v>
      </c>
      <c r="F2900">
        <f t="shared" si="181"/>
        <v>1.4250281052778674E-2</v>
      </c>
      <c r="G2900">
        <f t="shared" si="182"/>
        <v>-9.8976135253913355E-2</v>
      </c>
      <c r="H2900">
        <f t="shared" si="183"/>
        <v>1.0900039672851562</v>
      </c>
    </row>
    <row r="2901" spans="1:8" x14ac:dyDescent="0.2">
      <c r="A2901" t="s">
        <v>13</v>
      </c>
      <c r="B2901" s="2">
        <v>45349</v>
      </c>
      <c r="C2901">
        <v>40.939140319824219</v>
      </c>
      <c r="D2901">
        <f>_xlfn.XLOOKUP(B2901, Oil_Price!A:A, Oil_Price!B:B, "")</f>
        <v>78.870002746582031</v>
      </c>
      <c r="E2901">
        <f t="shared" si="180"/>
        <v>-3.9406341397131188E-3</v>
      </c>
      <c r="F2901">
        <f t="shared" si="181"/>
        <v>1.662800831503675E-2</v>
      </c>
      <c r="G2901">
        <f t="shared" si="182"/>
        <v>-0.16196441650389914</v>
      </c>
      <c r="H2901">
        <f t="shared" si="183"/>
        <v>1.2900009155273438</v>
      </c>
    </row>
    <row r="2902" spans="1:8" x14ac:dyDescent="0.2">
      <c r="A2902" t="s">
        <v>13</v>
      </c>
      <c r="B2902" s="2">
        <v>45350</v>
      </c>
      <c r="C2902">
        <v>41.35302734375</v>
      </c>
      <c r="D2902">
        <f>_xlfn.XLOOKUP(B2902, Oil_Price!A:A, Oil_Price!B:B, "")</f>
        <v>78.540000915527344</v>
      </c>
      <c r="E2902">
        <f t="shared" si="180"/>
        <v>1.010981228947209E-2</v>
      </c>
      <c r="F2902">
        <f t="shared" si="181"/>
        <v>-4.1841234888125916E-3</v>
      </c>
      <c r="G2902">
        <f t="shared" si="182"/>
        <v>0.41388702392578125</v>
      </c>
      <c r="H2902">
        <f t="shared" si="183"/>
        <v>-0.3300018310546875</v>
      </c>
    </row>
    <row r="2903" spans="1:8" x14ac:dyDescent="0.2">
      <c r="A2903" t="s">
        <v>13</v>
      </c>
      <c r="B2903" s="2">
        <v>45351</v>
      </c>
      <c r="C2903">
        <v>41.955875396728523</v>
      </c>
      <c r="D2903">
        <f>_xlfn.XLOOKUP(B2903, Oil_Price!A:A, Oil_Price!B:B, "")</f>
        <v>78.260002136230469</v>
      </c>
      <c r="E2903">
        <f t="shared" si="180"/>
        <v>1.4578087547673478E-2</v>
      </c>
      <c r="F2903">
        <f t="shared" si="181"/>
        <v>-3.5650468045960934E-3</v>
      </c>
      <c r="G2903">
        <f t="shared" si="182"/>
        <v>0.60284805297852273</v>
      </c>
      <c r="H2903">
        <f t="shared" si="183"/>
        <v>-0.279998779296875</v>
      </c>
    </row>
    <row r="2904" spans="1:8" x14ac:dyDescent="0.2">
      <c r="A2904" t="s">
        <v>13</v>
      </c>
      <c r="B2904" s="2">
        <v>45352</v>
      </c>
      <c r="C2904">
        <v>43.153053283691413</v>
      </c>
      <c r="D2904">
        <f>_xlfn.XLOOKUP(B2904, Oil_Price!A:A, Oil_Price!B:B, "")</f>
        <v>79.970001220703125</v>
      </c>
      <c r="E2904">
        <f t="shared" si="180"/>
        <v>2.8534213042691981E-2</v>
      </c>
      <c r="F2904">
        <f t="shared" si="181"/>
        <v>2.1850230485503809E-2</v>
      </c>
      <c r="G2904">
        <f t="shared" si="182"/>
        <v>1.1971778869628906</v>
      </c>
      <c r="H2904">
        <f t="shared" si="183"/>
        <v>1.7099990844726562</v>
      </c>
    </row>
    <row r="2905" spans="1:8" x14ac:dyDescent="0.2">
      <c r="A2905" t="s">
        <v>13</v>
      </c>
      <c r="B2905" s="2">
        <v>45355</v>
      </c>
      <c r="C2905">
        <v>42.333683013916023</v>
      </c>
      <c r="D2905">
        <f>_xlfn.XLOOKUP(B2905, Oil_Price!A:A, Oil_Price!B:B, "")</f>
        <v>78.739997863769531</v>
      </c>
      <c r="E2905">
        <f t="shared" si="180"/>
        <v>-1.8987538712238714E-2</v>
      </c>
      <c r="F2905">
        <f t="shared" si="181"/>
        <v>-1.538080953055135E-2</v>
      </c>
      <c r="G2905">
        <f t="shared" si="182"/>
        <v>-0.81937026977539062</v>
      </c>
      <c r="H2905">
        <f t="shared" si="183"/>
        <v>-1.2300033569335938</v>
      </c>
    </row>
    <row r="2906" spans="1:8" x14ac:dyDescent="0.2">
      <c r="A2906" t="s">
        <v>13</v>
      </c>
      <c r="B2906" s="2">
        <v>45356</v>
      </c>
      <c r="C2906">
        <v>42.72515869140625</v>
      </c>
      <c r="D2906">
        <f>_xlfn.XLOOKUP(B2906, Oil_Price!A:A, Oil_Price!B:B, "")</f>
        <v>78.150001525878906</v>
      </c>
      <c r="E2906">
        <f t="shared" si="180"/>
        <v>9.2473805636410257E-3</v>
      </c>
      <c r="F2906">
        <f t="shared" si="181"/>
        <v>-7.49296868043349E-3</v>
      </c>
      <c r="G2906">
        <f t="shared" si="182"/>
        <v>0.39147567749022727</v>
      </c>
      <c r="H2906">
        <f t="shared" si="183"/>
        <v>-0.589996337890625</v>
      </c>
    </row>
    <row r="2907" spans="1:8" x14ac:dyDescent="0.2">
      <c r="A2907" t="s">
        <v>13</v>
      </c>
      <c r="B2907" s="2">
        <v>45357</v>
      </c>
      <c r="C2907">
        <v>42.970977783203118</v>
      </c>
      <c r="D2907">
        <f>_xlfn.XLOOKUP(B2907, Oil_Price!A:A, Oil_Price!B:B, "")</f>
        <v>79.129997253417969</v>
      </c>
      <c r="E2907">
        <f t="shared" si="180"/>
        <v>5.7534974550325548E-3</v>
      </c>
      <c r="F2907">
        <f t="shared" si="181"/>
        <v>1.2539932289246889E-2</v>
      </c>
      <c r="G2907">
        <f t="shared" si="182"/>
        <v>0.24581909179686789</v>
      </c>
      <c r="H2907">
        <f t="shared" si="183"/>
        <v>0.9799957275390625</v>
      </c>
    </row>
    <row r="2908" spans="1:8" x14ac:dyDescent="0.2">
      <c r="A2908" t="s">
        <v>13</v>
      </c>
      <c r="B2908" s="2">
        <v>45358</v>
      </c>
      <c r="C2908">
        <v>42.625011444091797</v>
      </c>
      <c r="D2908">
        <f>_xlfn.XLOOKUP(B2908, Oil_Price!A:A, Oil_Price!B:B, "")</f>
        <v>78.930000305175781</v>
      </c>
      <c r="E2908">
        <f t="shared" si="180"/>
        <v>-8.051162830336047E-3</v>
      </c>
      <c r="F2908">
        <f t="shared" si="181"/>
        <v>-2.5274479361055298E-3</v>
      </c>
      <c r="G2908">
        <f t="shared" si="182"/>
        <v>-0.34596633911132102</v>
      </c>
      <c r="H2908">
        <f t="shared" si="183"/>
        <v>-0.1999969482421875</v>
      </c>
    </row>
    <row r="2909" spans="1:8" x14ac:dyDescent="0.2">
      <c r="A2909" t="s">
        <v>13</v>
      </c>
      <c r="B2909" s="2">
        <v>45359</v>
      </c>
      <c r="C2909">
        <v>42.342792510986328</v>
      </c>
      <c r="D2909">
        <f>_xlfn.XLOOKUP(B2909, Oil_Price!A:A, Oil_Price!B:B, "")</f>
        <v>78.010002136230469</v>
      </c>
      <c r="E2909">
        <f t="shared" si="180"/>
        <v>-6.6209702600463884E-3</v>
      </c>
      <c r="F2909">
        <f t="shared" si="181"/>
        <v>-1.165587438728268E-2</v>
      </c>
      <c r="G2909">
        <f t="shared" si="182"/>
        <v>-0.28221893310546875</v>
      </c>
      <c r="H2909">
        <f t="shared" si="183"/>
        <v>-0.9199981689453125</v>
      </c>
    </row>
    <row r="2910" spans="1:8" x14ac:dyDescent="0.2">
      <c r="A2910" t="s">
        <v>13</v>
      </c>
      <c r="B2910" s="2">
        <v>45362</v>
      </c>
      <c r="C2910">
        <v>42.661441802978523</v>
      </c>
      <c r="D2910">
        <f>_xlfn.XLOOKUP(B2910, Oil_Price!A:A, Oil_Price!B:B, "")</f>
        <v>77.930000305175781</v>
      </c>
      <c r="E2910">
        <f t="shared" si="180"/>
        <v>7.5254671006763987E-3</v>
      </c>
      <c r="F2910">
        <f t="shared" si="181"/>
        <v>-1.0255329940252874E-3</v>
      </c>
      <c r="G2910">
        <f t="shared" si="182"/>
        <v>0.31864929199219461</v>
      </c>
      <c r="H2910">
        <f t="shared" si="183"/>
        <v>-8.00018310546875E-2</v>
      </c>
    </row>
    <row r="2911" spans="1:8" x14ac:dyDescent="0.2">
      <c r="A2911" t="s">
        <v>13</v>
      </c>
      <c r="B2911" s="2">
        <v>45363</v>
      </c>
      <c r="C2911">
        <v>43.007392883300781</v>
      </c>
      <c r="D2911">
        <f>_xlfn.XLOOKUP(B2911, Oil_Price!A:A, Oil_Price!B:B, "")</f>
        <v>77.55999755859375</v>
      </c>
      <c r="E2911">
        <f t="shared" si="180"/>
        <v>8.1092214820106014E-3</v>
      </c>
      <c r="F2911">
        <f t="shared" si="181"/>
        <v>-4.747885860812158E-3</v>
      </c>
      <c r="G2911">
        <f t="shared" si="182"/>
        <v>0.34595108032225852</v>
      </c>
      <c r="H2911">
        <f t="shared" si="183"/>
        <v>-0.37000274658203125</v>
      </c>
    </row>
    <row r="2912" spans="1:8" x14ac:dyDescent="0.2">
      <c r="A2912" t="s">
        <v>13</v>
      </c>
      <c r="B2912" s="2">
        <v>45364</v>
      </c>
      <c r="C2912">
        <v>43.617359161376953</v>
      </c>
      <c r="D2912">
        <f>_xlfn.XLOOKUP(B2912, Oil_Price!A:A, Oil_Price!B:B, "")</f>
        <v>79.720001220703125</v>
      </c>
      <c r="E2912">
        <f t="shared" si="180"/>
        <v>1.4182823863127355E-2</v>
      </c>
      <c r="F2912">
        <f t="shared" si="181"/>
        <v>2.7849455003883555E-2</v>
      </c>
      <c r="G2912">
        <f t="shared" si="182"/>
        <v>0.60996627807617188</v>
      </c>
      <c r="H2912">
        <f t="shared" si="183"/>
        <v>2.160003662109375</v>
      </c>
    </row>
    <row r="2913" spans="1:8" x14ac:dyDescent="0.2">
      <c r="A2913" t="s">
        <v>13</v>
      </c>
      <c r="B2913" s="2">
        <v>45365</v>
      </c>
      <c r="C2913">
        <v>44.436717987060547</v>
      </c>
      <c r="D2913">
        <f>_xlfn.XLOOKUP(B2913, Oil_Price!A:A, Oil_Price!B:B, "")</f>
        <v>81.260002136230469</v>
      </c>
      <c r="E2913">
        <f t="shared" si="180"/>
        <v>1.8785154384338188E-2</v>
      </c>
      <c r="F2913">
        <f t="shared" si="181"/>
        <v>1.9317622829230573E-2</v>
      </c>
      <c r="G2913">
        <f t="shared" si="182"/>
        <v>0.81935882568359375</v>
      </c>
      <c r="H2913">
        <f t="shared" si="183"/>
        <v>1.5400009155273438</v>
      </c>
    </row>
    <row r="2914" spans="1:8" x14ac:dyDescent="0.2">
      <c r="A2914" t="s">
        <v>13</v>
      </c>
      <c r="B2914" s="2">
        <v>45366</v>
      </c>
      <c r="C2914">
        <v>44.48223876953125</v>
      </c>
      <c r="D2914">
        <f>_xlfn.XLOOKUP(B2914, Oil_Price!A:A, Oil_Price!B:B, "")</f>
        <v>81.040000915527344</v>
      </c>
      <c r="E2914">
        <f t="shared" si="180"/>
        <v>1.024395691958129E-3</v>
      </c>
      <c r="F2914">
        <f t="shared" si="181"/>
        <v>-2.707374045281197E-3</v>
      </c>
      <c r="G2914">
        <f t="shared" si="182"/>
        <v>4.5520782470703125E-2</v>
      </c>
      <c r="H2914">
        <f t="shared" si="183"/>
        <v>-0.220001220703125</v>
      </c>
    </row>
    <row r="2915" spans="1:8" x14ac:dyDescent="0.2">
      <c r="A2915" t="s">
        <v>13</v>
      </c>
      <c r="B2915" s="2">
        <v>45369</v>
      </c>
      <c r="C2915">
        <v>44.755355834960938</v>
      </c>
      <c r="D2915">
        <f>_xlfn.XLOOKUP(B2915, Oil_Price!A:A, Oil_Price!B:B, "")</f>
        <v>82.720001220703125</v>
      </c>
      <c r="E2915">
        <f t="shared" si="180"/>
        <v>6.1399127603434149E-3</v>
      </c>
      <c r="F2915">
        <f t="shared" si="181"/>
        <v>2.073050698662926E-2</v>
      </c>
      <c r="G2915">
        <f t="shared" si="182"/>
        <v>0.2731170654296875</v>
      </c>
      <c r="H2915">
        <f t="shared" si="183"/>
        <v>1.6800003051757812</v>
      </c>
    </row>
    <row r="2916" spans="1:8" x14ac:dyDescent="0.2">
      <c r="A2916" t="s">
        <v>13</v>
      </c>
      <c r="B2916" s="2">
        <v>45370</v>
      </c>
      <c r="C2916">
        <v>44.791774749755859</v>
      </c>
      <c r="D2916">
        <f>_xlfn.XLOOKUP(B2916, Oil_Price!A:A, Oil_Price!B:B, "")</f>
        <v>83.470001220703125</v>
      </c>
      <c r="E2916">
        <f t="shared" si="180"/>
        <v>8.1373310781439486E-4</v>
      </c>
      <c r="F2916">
        <f t="shared" si="181"/>
        <v>9.0667310074010292E-3</v>
      </c>
      <c r="G2916">
        <f t="shared" si="182"/>
        <v>3.6418914794921875E-2</v>
      </c>
      <c r="H2916">
        <f t="shared" si="183"/>
        <v>0.75</v>
      </c>
    </row>
    <row r="2917" spans="1:8" x14ac:dyDescent="0.2">
      <c r="A2917" t="s">
        <v>13</v>
      </c>
      <c r="B2917" s="2">
        <v>45371</v>
      </c>
      <c r="C2917">
        <v>44.646110534667969</v>
      </c>
      <c r="D2917">
        <f>_xlfn.XLOOKUP(B2917, Oil_Price!A:A, Oil_Price!B:B, "")</f>
        <v>81.680000305175781</v>
      </c>
      <c r="E2917">
        <f t="shared" si="180"/>
        <v>-3.25203044312694E-3</v>
      </c>
      <c r="F2917">
        <f t="shared" si="181"/>
        <v>-2.1444841132737022E-2</v>
      </c>
      <c r="G2917">
        <f t="shared" si="182"/>
        <v>-0.14566421508789062</v>
      </c>
      <c r="H2917">
        <f t="shared" si="183"/>
        <v>-1.7900009155273438</v>
      </c>
    </row>
    <row r="2918" spans="1:8" x14ac:dyDescent="0.2">
      <c r="A2918" t="s">
        <v>13</v>
      </c>
      <c r="B2918" s="2">
        <v>45372</v>
      </c>
      <c r="C2918">
        <v>44.600593566894531</v>
      </c>
      <c r="D2918">
        <f>_xlfn.XLOOKUP(B2918, Oil_Price!A:A, Oil_Price!B:B, "")</f>
        <v>81.069999694824219</v>
      </c>
      <c r="E2918">
        <f t="shared" si="180"/>
        <v>-1.0195057806456243E-3</v>
      </c>
      <c r="F2918">
        <f t="shared" si="181"/>
        <v>-7.4681759068616071E-3</v>
      </c>
      <c r="G2918">
        <f t="shared" si="182"/>
        <v>-4.55169677734375E-2</v>
      </c>
      <c r="H2918">
        <f t="shared" si="183"/>
        <v>-0.6100006103515625</v>
      </c>
    </row>
    <row r="2919" spans="1:8" x14ac:dyDescent="0.2">
      <c r="A2919" t="s">
        <v>13</v>
      </c>
      <c r="B2919" s="2">
        <v>45373</v>
      </c>
      <c r="C2919">
        <v>44.473136901855469</v>
      </c>
      <c r="D2919">
        <f>_xlfn.XLOOKUP(B2919, Oil_Price!A:A, Oil_Price!B:B, "")</f>
        <v>80.629997253417969</v>
      </c>
      <c r="E2919">
        <f t="shared" si="180"/>
        <v>-2.8577347260613398E-3</v>
      </c>
      <c r="F2919">
        <f t="shared" si="181"/>
        <v>-5.4274385477065847E-3</v>
      </c>
      <c r="G2919">
        <f t="shared" si="182"/>
        <v>-0.1274566650390625</v>
      </c>
      <c r="H2919">
        <f t="shared" si="183"/>
        <v>-0.44000244140625</v>
      </c>
    </row>
    <row r="2920" spans="1:8" x14ac:dyDescent="0.2">
      <c r="A2920" t="s">
        <v>13</v>
      </c>
      <c r="B2920" s="2">
        <v>45376</v>
      </c>
      <c r="C2920">
        <v>45.474578857421882</v>
      </c>
      <c r="D2920">
        <f>_xlfn.XLOOKUP(B2920, Oil_Price!A:A, Oil_Price!B:B, "")</f>
        <v>81.949996948242188</v>
      </c>
      <c r="E2920">
        <f t="shared" si="180"/>
        <v>2.2517906883348992E-2</v>
      </c>
      <c r="F2920">
        <f t="shared" si="181"/>
        <v>1.6371074535392757E-2</v>
      </c>
      <c r="G2920">
        <f t="shared" si="182"/>
        <v>1.0014419555664134</v>
      </c>
      <c r="H2920">
        <f t="shared" si="183"/>
        <v>1.3199996948242188</v>
      </c>
    </row>
    <row r="2921" spans="1:8" x14ac:dyDescent="0.2">
      <c r="A2921" t="s">
        <v>13</v>
      </c>
      <c r="B2921" s="2">
        <v>45377</v>
      </c>
      <c r="C2921">
        <v>45.055793762207031</v>
      </c>
      <c r="D2921">
        <f>_xlfn.XLOOKUP(B2921, Oil_Price!A:A, Oil_Price!B:B, "")</f>
        <v>81.620002746582031</v>
      </c>
      <c r="E2921">
        <f t="shared" si="180"/>
        <v>-9.2092132733737498E-3</v>
      </c>
      <c r="F2921">
        <f t="shared" si="181"/>
        <v>-4.0267750329334769E-3</v>
      </c>
      <c r="G2921">
        <f t="shared" si="182"/>
        <v>-0.41878509521485086</v>
      </c>
      <c r="H2921">
        <f t="shared" si="183"/>
        <v>-0.32999420166015625</v>
      </c>
    </row>
    <row r="2922" spans="1:8" x14ac:dyDescent="0.2">
      <c r="A2922" t="s">
        <v>13</v>
      </c>
      <c r="B2922" s="2">
        <v>45378</v>
      </c>
      <c r="C2922">
        <v>45.064899444580078</v>
      </c>
      <c r="D2922">
        <f>_xlfn.XLOOKUP(B2922, Oil_Price!A:A, Oil_Price!B:B, "")</f>
        <v>81.349998474121094</v>
      </c>
      <c r="E2922">
        <f t="shared" si="180"/>
        <v>2.0209792376768101E-4</v>
      </c>
      <c r="F2922">
        <f t="shared" si="181"/>
        <v>-3.308064976415899E-3</v>
      </c>
      <c r="G2922">
        <f t="shared" si="182"/>
        <v>9.105682373046875E-3</v>
      </c>
      <c r="H2922">
        <f t="shared" si="183"/>
        <v>-0.2700042724609375</v>
      </c>
    </row>
    <row r="2923" spans="1:8" x14ac:dyDescent="0.2">
      <c r="A2923" t="s">
        <v>13</v>
      </c>
      <c r="B2923" s="2">
        <v>45379</v>
      </c>
      <c r="C2923">
        <v>45.510993957519531</v>
      </c>
      <c r="D2923">
        <f>_xlfn.XLOOKUP(B2923, Oil_Price!A:A, Oil_Price!B:B, "")</f>
        <v>83.169998168945312</v>
      </c>
      <c r="E2923">
        <f t="shared" si="180"/>
        <v>9.8989350567186187E-3</v>
      </c>
      <c r="F2923">
        <f t="shared" si="181"/>
        <v>2.2372461327128279E-2</v>
      </c>
      <c r="G2923">
        <f t="shared" si="182"/>
        <v>0.44609451293945312</v>
      </c>
      <c r="H2923">
        <f t="shared" si="183"/>
        <v>1.8199996948242188</v>
      </c>
    </row>
    <row r="2924" spans="1:8" x14ac:dyDescent="0.2">
      <c r="A2924" t="s">
        <v>13</v>
      </c>
      <c r="B2924" s="2">
        <v>45383</v>
      </c>
      <c r="C2924">
        <v>46.102752685546882</v>
      </c>
      <c r="D2924">
        <f>_xlfn.XLOOKUP(B2924, Oil_Price!A:A, Oil_Price!B:B, "")</f>
        <v>83.709999084472656</v>
      </c>
      <c r="E2924">
        <f t="shared" si="180"/>
        <v>1.300254458471518E-2</v>
      </c>
      <c r="F2924">
        <f t="shared" si="181"/>
        <v>6.492736893301672E-3</v>
      </c>
      <c r="G2924">
        <f t="shared" si="182"/>
        <v>0.59175872802735086</v>
      </c>
      <c r="H2924">
        <f t="shared" si="183"/>
        <v>0.54000091552734375</v>
      </c>
    </row>
    <row r="2925" spans="1:8" x14ac:dyDescent="0.2">
      <c r="A2925" t="s">
        <v>13</v>
      </c>
      <c r="B2925" s="2">
        <v>45384</v>
      </c>
      <c r="C2925">
        <v>46.922115325927727</v>
      </c>
      <c r="D2925">
        <f>_xlfn.XLOOKUP(B2925, Oil_Price!A:A, Oil_Price!B:B, "")</f>
        <v>85.150001525878906</v>
      </c>
      <c r="E2925">
        <f t="shared" si="180"/>
        <v>1.7772531847923989E-2</v>
      </c>
      <c r="F2925">
        <f t="shared" si="181"/>
        <v>1.7202275201952017E-2</v>
      </c>
      <c r="G2925">
        <f t="shared" si="182"/>
        <v>0.81936264038084516</v>
      </c>
      <c r="H2925">
        <f t="shared" si="183"/>
        <v>1.44000244140625</v>
      </c>
    </row>
    <row r="2926" spans="1:8" x14ac:dyDescent="0.2">
      <c r="A2926" t="s">
        <v>13</v>
      </c>
      <c r="B2926" s="2">
        <v>45385</v>
      </c>
      <c r="C2926">
        <v>47.441043853759773</v>
      </c>
      <c r="D2926">
        <f>_xlfn.XLOOKUP(B2926, Oil_Price!A:A, Oil_Price!B:B, "")</f>
        <v>85.430000305175781</v>
      </c>
      <c r="E2926">
        <f t="shared" si="180"/>
        <v>1.1059359200400359E-2</v>
      </c>
      <c r="F2926">
        <f t="shared" si="181"/>
        <v>3.2883003438558644E-3</v>
      </c>
      <c r="G2926">
        <f t="shared" si="182"/>
        <v>0.51892852783204546</v>
      </c>
      <c r="H2926">
        <f t="shared" si="183"/>
        <v>0.279998779296875</v>
      </c>
    </row>
    <row r="2927" spans="1:8" x14ac:dyDescent="0.2">
      <c r="A2927" t="s">
        <v>13</v>
      </c>
      <c r="B2927" s="2">
        <v>45386</v>
      </c>
      <c r="C2927">
        <v>47.577606201171882</v>
      </c>
      <c r="D2927">
        <f>_xlfn.XLOOKUP(B2927, Oil_Price!A:A, Oil_Price!B:B, "")</f>
        <v>86.589996337890625</v>
      </c>
      <c r="E2927">
        <f t="shared" si="180"/>
        <v>2.8785696164922519E-3</v>
      </c>
      <c r="F2927">
        <f t="shared" si="181"/>
        <v>1.3578321767190317E-2</v>
      </c>
      <c r="G2927">
        <f t="shared" si="182"/>
        <v>0.13656234741210938</v>
      </c>
      <c r="H2927">
        <f t="shared" si="183"/>
        <v>1.1599960327148438</v>
      </c>
    </row>
    <row r="2928" spans="1:8" x14ac:dyDescent="0.2">
      <c r="A2928" t="s">
        <v>13</v>
      </c>
      <c r="B2928" s="2">
        <v>45387</v>
      </c>
      <c r="C2928">
        <v>48.251304626464837</v>
      </c>
      <c r="D2928">
        <f>_xlfn.XLOOKUP(B2928, Oil_Price!A:A, Oil_Price!B:B, "")</f>
        <v>86.910003662109375</v>
      </c>
      <c r="E2928">
        <f t="shared" si="180"/>
        <v>1.4159989942418766E-2</v>
      </c>
      <c r="F2928">
        <f t="shared" si="181"/>
        <v>3.6956615977903565E-3</v>
      </c>
      <c r="G2928">
        <f t="shared" si="182"/>
        <v>0.67369842529295454</v>
      </c>
      <c r="H2928">
        <f t="shared" si="183"/>
        <v>0.32000732421875</v>
      </c>
    </row>
    <row r="2929" spans="1:8" x14ac:dyDescent="0.2">
      <c r="A2929" t="s">
        <v>13</v>
      </c>
      <c r="B2929" s="2">
        <v>45390</v>
      </c>
      <c r="C2929">
        <v>47.83251953125</v>
      </c>
      <c r="D2929">
        <f>_xlfn.XLOOKUP(B2929, Oil_Price!A:A, Oil_Price!B:B, "")</f>
        <v>86.430000305175781</v>
      </c>
      <c r="E2929">
        <f t="shared" si="180"/>
        <v>-8.6792491613820882E-3</v>
      </c>
      <c r="F2929">
        <f t="shared" si="181"/>
        <v>-5.5229931734873854E-3</v>
      </c>
      <c r="G2929">
        <f t="shared" si="182"/>
        <v>-0.41878509521483664</v>
      </c>
      <c r="H2929">
        <f t="shared" si="183"/>
        <v>-0.48000335693359375</v>
      </c>
    </row>
    <row r="2930" spans="1:8" x14ac:dyDescent="0.2">
      <c r="A2930" t="s">
        <v>13</v>
      </c>
      <c r="B2930" s="2">
        <v>45391</v>
      </c>
      <c r="C2930">
        <v>47.878040313720703</v>
      </c>
      <c r="D2930">
        <f>_xlfn.XLOOKUP(B2930, Oil_Price!A:A, Oil_Price!B:B, "")</f>
        <v>85.230003356933594</v>
      </c>
      <c r="E2930">
        <f t="shared" si="180"/>
        <v>9.5167017996957977E-4</v>
      </c>
      <c r="F2930">
        <f t="shared" si="181"/>
        <v>-1.3884032673899305E-2</v>
      </c>
      <c r="G2930">
        <f t="shared" si="182"/>
        <v>4.5520782470703125E-2</v>
      </c>
      <c r="H2930">
        <f t="shared" si="183"/>
        <v>-1.1999969482421875</v>
      </c>
    </row>
    <row r="2931" spans="1:8" x14ac:dyDescent="0.2">
      <c r="A2931" t="s">
        <v>13</v>
      </c>
      <c r="B2931" s="2">
        <v>45392</v>
      </c>
      <c r="C2931">
        <v>48.943210601806641</v>
      </c>
      <c r="D2931">
        <f>_xlfn.XLOOKUP(B2931, Oil_Price!A:A, Oil_Price!B:B, "")</f>
        <v>86.209999084472656</v>
      </c>
      <c r="E2931">
        <f t="shared" si="180"/>
        <v>2.2247574902949509E-2</v>
      </c>
      <c r="F2931">
        <f t="shared" si="181"/>
        <v>1.1498248139624629E-2</v>
      </c>
      <c r="G2931">
        <f t="shared" si="182"/>
        <v>1.0651702880859375</v>
      </c>
      <c r="H2931">
        <f t="shared" si="183"/>
        <v>0.9799957275390625</v>
      </c>
    </row>
    <row r="2932" spans="1:8" x14ac:dyDescent="0.2">
      <c r="A2932" t="s">
        <v>13</v>
      </c>
      <c r="B2932" s="2">
        <v>45393</v>
      </c>
      <c r="C2932">
        <v>47.768795013427727</v>
      </c>
      <c r="D2932">
        <f>_xlfn.XLOOKUP(B2932, Oil_Price!A:A, Oil_Price!B:B, "")</f>
        <v>85.019996643066406</v>
      </c>
      <c r="E2932">
        <f t="shared" si="180"/>
        <v>-2.399547504011848E-2</v>
      </c>
      <c r="F2932">
        <f t="shared" si="181"/>
        <v>-1.3803531539772191E-2</v>
      </c>
      <c r="G2932">
        <f t="shared" si="182"/>
        <v>-1.1744155883789134</v>
      </c>
      <c r="H2932">
        <f t="shared" si="183"/>
        <v>-1.19000244140625</v>
      </c>
    </row>
    <row r="2933" spans="1:8" x14ac:dyDescent="0.2">
      <c r="A2933" t="s">
        <v>13</v>
      </c>
      <c r="B2933" s="2">
        <v>45394</v>
      </c>
      <c r="C2933">
        <v>47.268070220947273</v>
      </c>
      <c r="D2933">
        <f>_xlfn.XLOOKUP(B2933, Oil_Price!A:A, Oil_Price!B:B, "")</f>
        <v>85.660003662109375</v>
      </c>
      <c r="E2933">
        <f t="shared" si="180"/>
        <v>-1.0482257137524646E-2</v>
      </c>
      <c r="F2933">
        <f t="shared" si="181"/>
        <v>7.5277234099392657E-3</v>
      </c>
      <c r="G2933">
        <f t="shared" si="182"/>
        <v>-0.50072479248045454</v>
      </c>
      <c r="H2933">
        <f t="shared" si="183"/>
        <v>0.64000701904296875</v>
      </c>
    </row>
    <row r="2934" spans="1:8" x14ac:dyDescent="0.2">
      <c r="A2934" t="s">
        <v>13</v>
      </c>
      <c r="B2934" s="2">
        <v>45397</v>
      </c>
      <c r="C2934">
        <v>46.658100128173828</v>
      </c>
      <c r="D2934">
        <f>_xlfn.XLOOKUP(B2934, Oil_Price!A:A, Oil_Price!B:B, "")</f>
        <v>85.410003662109375</v>
      </c>
      <c r="E2934">
        <f t="shared" si="180"/>
        <v>-1.2904484780576696E-2</v>
      </c>
      <c r="F2934">
        <f t="shared" si="181"/>
        <v>-2.9185149347662749E-3</v>
      </c>
      <c r="G2934">
        <f t="shared" si="182"/>
        <v>-0.60997009277344461</v>
      </c>
      <c r="H2934">
        <f t="shared" si="183"/>
        <v>-0.25</v>
      </c>
    </row>
    <row r="2935" spans="1:8" x14ac:dyDescent="0.2">
      <c r="A2935" t="s">
        <v>13</v>
      </c>
      <c r="B2935" s="2">
        <v>45398</v>
      </c>
      <c r="C2935">
        <v>47.268070220947273</v>
      </c>
      <c r="D2935">
        <f>_xlfn.XLOOKUP(B2935, Oil_Price!A:A, Oil_Price!B:B, "")</f>
        <v>85.360000610351562</v>
      </c>
      <c r="E2935">
        <f t="shared" si="180"/>
        <v>1.3073187530092399E-2</v>
      </c>
      <c r="F2935">
        <f t="shared" si="181"/>
        <v>-5.8544724989861418E-4</v>
      </c>
      <c r="G2935">
        <f t="shared" si="182"/>
        <v>0.60997009277344461</v>
      </c>
      <c r="H2935">
        <f t="shared" si="183"/>
        <v>-5.00030517578125E-2</v>
      </c>
    </row>
    <row r="2936" spans="1:8" x14ac:dyDescent="0.2">
      <c r="A2936" t="s">
        <v>13</v>
      </c>
      <c r="B2936" s="2">
        <v>45399</v>
      </c>
      <c r="C2936">
        <v>47.504776000976562</v>
      </c>
      <c r="D2936">
        <f>_xlfn.XLOOKUP(B2936, Oil_Price!A:A, Oil_Price!B:B, "")</f>
        <v>82.69000244140625</v>
      </c>
      <c r="E2936">
        <f t="shared" si="180"/>
        <v>5.0077309888651106E-3</v>
      </c>
      <c r="F2936">
        <f t="shared" si="181"/>
        <v>-3.1279266047961149E-2</v>
      </c>
      <c r="G2936">
        <f t="shared" si="182"/>
        <v>0.23670578002928977</v>
      </c>
      <c r="H2936">
        <f t="shared" si="183"/>
        <v>-2.6699981689453125</v>
      </c>
    </row>
    <row r="2937" spans="1:8" x14ac:dyDescent="0.2">
      <c r="A2937" t="s">
        <v>13</v>
      </c>
      <c r="B2937" s="2">
        <v>45400</v>
      </c>
      <c r="C2937">
        <v>47.695964813232422</v>
      </c>
      <c r="D2937">
        <f>_xlfn.XLOOKUP(B2937, Oil_Price!A:A, Oil_Price!B:B, "")</f>
        <v>82.730003356933594</v>
      </c>
      <c r="E2937">
        <f t="shared" si="180"/>
        <v>4.0246229611087753E-3</v>
      </c>
      <c r="F2937">
        <f t="shared" si="181"/>
        <v>4.837454873179888E-4</v>
      </c>
      <c r="G2937">
        <f t="shared" si="182"/>
        <v>0.19118881225585938</v>
      </c>
      <c r="H2937">
        <f t="shared" si="183"/>
        <v>4.000091552734375E-2</v>
      </c>
    </row>
    <row r="2938" spans="1:8" x14ac:dyDescent="0.2">
      <c r="A2938" t="s">
        <v>13</v>
      </c>
      <c r="B2938" s="2">
        <v>45401</v>
      </c>
      <c r="C2938">
        <v>48.242206573486328</v>
      </c>
      <c r="D2938">
        <f>_xlfn.XLOOKUP(B2938, Oil_Price!A:A, Oil_Price!B:B, "")</f>
        <v>83.139999389648438</v>
      </c>
      <c r="E2938">
        <f t="shared" si="180"/>
        <v>1.1452578061747497E-2</v>
      </c>
      <c r="F2938">
        <f t="shared" si="181"/>
        <v>4.9558324196596571E-3</v>
      </c>
      <c r="G2938">
        <f t="shared" si="182"/>
        <v>0.54624176025390625</v>
      </c>
      <c r="H2938">
        <f t="shared" si="183"/>
        <v>0.40999603271484375</v>
      </c>
    </row>
    <row r="2939" spans="1:8" x14ac:dyDescent="0.2">
      <c r="A2939" t="s">
        <v>13</v>
      </c>
      <c r="B2939" s="2">
        <v>45404</v>
      </c>
      <c r="C2939">
        <v>48.742916107177727</v>
      </c>
      <c r="D2939">
        <f>_xlfn.XLOOKUP(B2939, Oil_Price!A:A, Oil_Price!B:B, "")</f>
        <v>82.849998474121094</v>
      </c>
      <c r="E2939">
        <f t="shared" si="180"/>
        <v>1.0379076108981021E-2</v>
      </c>
      <c r="F2939">
        <f t="shared" si="181"/>
        <v>-3.4881034117911127E-3</v>
      </c>
      <c r="G2939">
        <f t="shared" si="182"/>
        <v>0.50070953369139914</v>
      </c>
      <c r="H2939">
        <f t="shared" si="183"/>
        <v>-0.29000091552734375</v>
      </c>
    </row>
    <row r="2940" spans="1:8" x14ac:dyDescent="0.2">
      <c r="A2940" t="s">
        <v>13</v>
      </c>
      <c r="B2940" s="2">
        <v>45405</v>
      </c>
      <c r="C2940">
        <v>48.679187774658203</v>
      </c>
      <c r="D2940">
        <f>_xlfn.XLOOKUP(B2940, Oil_Price!A:A, Oil_Price!B:B, "")</f>
        <v>83.360000610351562</v>
      </c>
      <c r="E2940">
        <f t="shared" si="180"/>
        <v>-1.3074378311588074E-3</v>
      </c>
      <c r="F2940">
        <f t="shared" si="181"/>
        <v>6.155728975538512E-3</v>
      </c>
      <c r="G2940">
        <f t="shared" si="182"/>
        <v>-6.3728332519524145E-2</v>
      </c>
      <c r="H2940">
        <f t="shared" si="183"/>
        <v>0.51000213623046875</v>
      </c>
    </row>
    <row r="2941" spans="1:8" x14ac:dyDescent="0.2">
      <c r="A2941" t="s">
        <v>13</v>
      </c>
      <c r="B2941" s="2">
        <v>45406</v>
      </c>
      <c r="C2941">
        <v>48.970523834228523</v>
      </c>
      <c r="D2941">
        <f>_xlfn.XLOOKUP(B2941, Oil_Price!A:A, Oil_Price!B:B, "")</f>
        <v>82.80999755859375</v>
      </c>
      <c r="E2941">
        <f t="shared" si="180"/>
        <v>5.98481759636067E-3</v>
      </c>
      <c r="F2941">
        <f t="shared" si="181"/>
        <v>-6.5979252366933604E-3</v>
      </c>
      <c r="G2941">
        <f t="shared" si="182"/>
        <v>0.29133605957031961</v>
      </c>
      <c r="H2941">
        <f t="shared" si="183"/>
        <v>-0.5500030517578125</v>
      </c>
    </row>
    <row r="2942" spans="1:8" x14ac:dyDescent="0.2">
      <c r="A2942" t="s">
        <v>13</v>
      </c>
      <c r="B2942" s="2">
        <v>45407</v>
      </c>
      <c r="C2942">
        <v>49.052452087402337</v>
      </c>
      <c r="D2942">
        <f>_xlfn.XLOOKUP(B2942, Oil_Price!A:A, Oil_Price!B:B, "")</f>
        <v>83.569999694824219</v>
      </c>
      <c r="E2942">
        <f t="shared" si="180"/>
        <v>1.6730115742921499E-3</v>
      </c>
      <c r="F2942">
        <f t="shared" si="181"/>
        <v>9.1776616186072836E-3</v>
      </c>
      <c r="G2942">
        <f t="shared" si="182"/>
        <v>8.1928253173813914E-2</v>
      </c>
      <c r="H2942">
        <f t="shared" si="183"/>
        <v>0.76000213623046875</v>
      </c>
    </row>
    <row r="2943" spans="1:8" x14ac:dyDescent="0.2">
      <c r="A2943" t="s">
        <v>13</v>
      </c>
      <c r="B2943" s="2">
        <v>45408</v>
      </c>
      <c r="C2943">
        <v>49.043350219726562</v>
      </c>
      <c r="D2943">
        <f>_xlfn.XLOOKUP(B2943, Oil_Price!A:A, Oil_Price!B:B, "")</f>
        <v>83.849998474121094</v>
      </c>
      <c r="E2943">
        <f t="shared" si="180"/>
        <v>-1.8555377536593504E-4</v>
      </c>
      <c r="F2943">
        <f t="shared" si="181"/>
        <v>3.3504700289500697E-3</v>
      </c>
      <c r="G2943">
        <f t="shared" si="182"/>
        <v>-9.1018676757741446E-3</v>
      </c>
      <c r="H2943">
        <f t="shared" si="183"/>
        <v>0.279998779296875</v>
      </c>
    </row>
    <row r="2944" spans="1:8" x14ac:dyDescent="0.2">
      <c r="A2944" t="s">
        <v>13</v>
      </c>
      <c r="B2944" s="2">
        <v>45411</v>
      </c>
      <c r="C2944">
        <v>49.389308929443359</v>
      </c>
      <c r="D2944">
        <f>_xlfn.XLOOKUP(B2944, Oil_Price!A:A, Oil_Price!B:B, "")</f>
        <v>82.629997253417969</v>
      </c>
      <c r="E2944">
        <f t="shared" si="180"/>
        <v>7.0541410439298033E-3</v>
      </c>
      <c r="F2944">
        <f t="shared" si="181"/>
        <v>-1.4549806116927457E-2</v>
      </c>
      <c r="G2944">
        <f t="shared" si="182"/>
        <v>0.34595870971679688</v>
      </c>
      <c r="H2944">
        <f t="shared" si="183"/>
        <v>-1.220001220703125</v>
      </c>
    </row>
    <row r="2945" spans="1:8" x14ac:dyDescent="0.2">
      <c r="A2945" t="s">
        <v>13</v>
      </c>
      <c r="B2945" s="2">
        <v>45412</v>
      </c>
      <c r="C2945">
        <v>47.823413848876953</v>
      </c>
      <c r="D2945">
        <f>_xlfn.XLOOKUP(B2945, Oil_Price!A:A, Oil_Price!B:B, "")</f>
        <v>81.930000305175781</v>
      </c>
      <c r="E2945">
        <f t="shared" si="180"/>
        <v>-3.1705142560375051E-2</v>
      </c>
      <c r="F2945">
        <f t="shared" si="181"/>
        <v>-8.4714628041843761E-3</v>
      </c>
      <c r="G2945">
        <f t="shared" si="182"/>
        <v>-1.5658950805664062</v>
      </c>
      <c r="H2945">
        <f t="shared" si="183"/>
        <v>-0.6999969482421875</v>
      </c>
    </row>
    <row r="2946" spans="1:8" x14ac:dyDescent="0.2">
      <c r="A2946" t="s">
        <v>13</v>
      </c>
      <c r="B2946" s="2">
        <v>45413</v>
      </c>
      <c r="C2946">
        <v>47.149711608886719</v>
      </c>
      <c r="D2946">
        <f>_xlfn.XLOOKUP(B2946, Oil_Price!A:A, Oil_Price!B:B, "")</f>
        <v>79</v>
      </c>
      <c r="E2946">
        <f t="shared" si="180"/>
        <v>-1.4087288751889365E-2</v>
      </c>
      <c r="F2946">
        <f t="shared" si="181"/>
        <v>-3.5762239646796187E-2</v>
      </c>
      <c r="G2946">
        <f t="shared" si="182"/>
        <v>-0.67370223999023438</v>
      </c>
      <c r="H2946">
        <f t="shared" si="183"/>
        <v>-2.9300003051757812</v>
      </c>
    </row>
    <row r="2947" spans="1:8" x14ac:dyDescent="0.2">
      <c r="A2947" t="s">
        <v>13</v>
      </c>
      <c r="B2947" s="2">
        <v>45414</v>
      </c>
      <c r="C2947">
        <v>47.368209838867188</v>
      </c>
      <c r="D2947">
        <f>_xlfn.XLOOKUP(B2947, Oil_Price!A:A, Oil_Price!B:B, "")</f>
        <v>78.949996948242188</v>
      </c>
      <c r="E2947">
        <f t="shared" ref="E2947:E3010" si="184">IFERROR(IF(AND(A2947=A2946, C2947&lt;&gt;"", C2946&lt;&gt;""), (C2947-C2946)/C2946, ""), "")</f>
        <v>4.6341371457993491E-3</v>
      </c>
      <c r="F2947">
        <f t="shared" ref="F2947:F3010" si="185">IFERROR(IF(AND(A2947=A2946, D2947&lt;&gt;"", D2946&lt;&gt;""), (D2947-D2946)/D2946, ""), "")</f>
        <v>-6.3295002225079112E-4</v>
      </c>
      <c r="G2947">
        <f t="shared" ref="G2947:G3010" si="186">IFERROR(IF(AND(A2947=A2946, C2947&lt;&gt;"", C2946&lt;&gt;""), C2947-C2946, ""), "")</f>
        <v>0.21849822998046875</v>
      </c>
      <c r="H2947">
        <f t="shared" ref="H2947:H3010" si="187">IFERROR(IF(AND(A2947=A2946, D2947&lt;&gt;"", D2946&lt;&gt;""), D2947-D2946, ""), "")</f>
        <v>-5.00030517578125E-2</v>
      </c>
    </row>
    <row r="2948" spans="1:8" x14ac:dyDescent="0.2">
      <c r="A2948" t="s">
        <v>13</v>
      </c>
      <c r="B2948" s="2">
        <v>45415</v>
      </c>
      <c r="C2948">
        <v>47.577606201171882</v>
      </c>
      <c r="D2948">
        <f>_xlfn.XLOOKUP(B2948, Oil_Price!A:A, Oil_Price!B:B, "")</f>
        <v>78.110000610351562</v>
      </c>
      <c r="E2948">
        <f t="shared" si="184"/>
        <v>4.420609582186024E-3</v>
      </c>
      <c r="F2948">
        <f t="shared" si="185"/>
        <v>-1.0639599371248962E-2</v>
      </c>
      <c r="G2948">
        <f t="shared" si="186"/>
        <v>0.20939636230469461</v>
      </c>
      <c r="H2948">
        <f t="shared" si="187"/>
        <v>-0.839996337890625</v>
      </c>
    </row>
    <row r="2949" spans="1:8" x14ac:dyDescent="0.2">
      <c r="A2949" t="s">
        <v>13</v>
      </c>
      <c r="B2949" s="2">
        <v>45418</v>
      </c>
      <c r="C2949">
        <v>48.369651794433587</v>
      </c>
      <c r="D2949">
        <f>_xlfn.XLOOKUP(B2949, Oil_Price!A:A, Oil_Price!B:B, "")</f>
        <v>78.480003356933594</v>
      </c>
      <c r="E2949">
        <f t="shared" si="184"/>
        <v>1.6647445226914248E-2</v>
      </c>
      <c r="F2949">
        <f t="shared" si="185"/>
        <v>4.7369446126082409E-3</v>
      </c>
      <c r="G2949">
        <f t="shared" si="186"/>
        <v>0.79204559326170454</v>
      </c>
      <c r="H2949">
        <f t="shared" si="187"/>
        <v>0.37000274658203125</v>
      </c>
    </row>
    <row r="2950" spans="1:8" x14ac:dyDescent="0.2">
      <c r="A2950" t="s">
        <v>13</v>
      </c>
      <c r="B2950" s="2">
        <v>45419</v>
      </c>
      <c r="C2950">
        <v>48.651878356933587</v>
      </c>
      <c r="D2950">
        <f>_xlfn.XLOOKUP(B2950, Oil_Price!A:A, Oil_Price!B:B, "")</f>
        <v>78.379997253417969</v>
      </c>
      <c r="E2950">
        <f t="shared" si="184"/>
        <v>5.8347859045881911E-3</v>
      </c>
      <c r="F2950">
        <f t="shared" si="185"/>
        <v>-1.2742877069052726E-3</v>
      </c>
      <c r="G2950">
        <f t="shared" si="186"/>
        <v>0.2822265625</v>
      </c>
      <c r="H2950">
        <f t="shared" si="187"/>
        <v>-0.100006103515625</v>
      </c>
    </row>
    <row r="2951" spans="1:8" x14ac:dyDescent="0.2">
      <c r="A2951" t="s">
        <v>13</v>
      </c>
      <c r="B2951" s="2">
        <v>45420</v>
      </c>
      <c r="C2951">
        <v>48.861270904541023</v>
      </c>
      <c r="D2951">
        <f>_xlfn.XLOOKUP(B2951, Oil_Price!A:A, Oil_Price!B:B, "")</f>
        <v>78.989997863769531</v>
      </c>
      <c r="E2951">
        <f t="shared" si="184"/>
        <v>4.3038944163929626E-3</v>
      </c>
      <c r="F2951">
        <f t="shared" si="185"/>
        <v>7.7826056612289793E-3</v>
      </c>
      <c r="G2951">
        <f t="shared" si="186"/>
        <v>0.20939254760743609</v>
      </c>
      <c r="H2951">
        <f t="shared" si="187"/>
        <v>0.6100006103515625</v>
      </c>
    </row>
    <row r="2952" spans="1:8" x14ac:dyDescent="0.2">
      <c r="A2952" t="s">
        <v>13</v>
      </c>
      <c r="B2952" s="2">
        <v>45421</v>
      </c>
      <c r="C2952">
        <v>50.008380889892578</v>
      </c>
      <c r="D2952">
        <f>_xlfn.XLOOKUP(B2952, Oil_Price!A:A, Oil_Price!B:B, "")</f>
        <v>79.260002136230469</v>
      </c>
      <c r="E2952">
        <f t="shared" si="184"/>
        <v>2.3476875736462809E-2</v>
      </c>
      <c r="F2952">
        <f t="shared" si="185"/>
        <v>3.4182083778075503E-3</v>
      </c>
      <c r="G2952">
        <f t="shared" si="186"/>
        <v>1.1471099853515554</v>
      </c>
      <c r="H2952">
        <f t="shared" si="187"/>
        <v>0.2700042724609375</v>
      </c>
    </row>
    <row r="2953" spans="1:8" x14ac:dyDescent="0.2">
      <c r="A2953" t="s">
        <v>13</v>
      </c>
      <c r="B2953" s="2">
        <v>45422</v>
      </c>
      <c r="C2953">
        <v>49.880916595458977</v>
      </c>
      <c r="D2953">
        <f>_xlfn.XLOOKUP(B2953, Oil_Price!A:A, Oil_Price!B:B, "")</f>
        <v>78.260002136230469</v>
      </c>
      <c r="E2953">
        <f t="shared" si="184"/>
        <v>-2.5488586545972984E-3</v>
      </c>
      <c r="F2953">
        <f t="shared" si="185"/>
        <v>-1.2616704176732427E-2</v>
      </c>
      <c r="G2953">
        <f t="shared" si="186"/>
        <v>-0.12746429443360086</v>
      </c>
      <c r="H2953">
        <f t="shared" si="187"/>
        <v>-1</v>
      </c>
    </row>
    <row r="2954" spans="1:8" x14ac:dyDescent="0.2">
      <c r="A2954" t="s">
        <v>13</v>
      </c>
      <c r="B2954" s="2">
        <v>45425</v>
      </c>
      <c r="C2954">
        <v>49.352893829345703</v>
      </c>
      <c r="D2954">
        <f>_xlfn.XLOOKUP(B2954, Oil_Price!A:A, Oil_Price!B:B, "")</f>
        <v>79.120002746582031</v>
      </c>
      <c r="E2954">
        <f t="shared" si="184"/>
        <v>-1.05856668672633E-2</v>
      </c>
      <c r="F2954">
        <f t="shared" si="185"/>
        <v>1.0989018488071638E-2</v>
      </c>
      <c r="G2954">
        <f t="shared" si="186"/>
        <v>-0.52802276611327414</v>
      </c>
      <c r="H2954">
        <f t="shared" si="187"/>
        <v>0.8600006103515625</v>
      </c>
    </row>
    <row r="2955" spans="1:8" x14ac:dyDescent="0.2">
      <c r="A2955" t="s">
        <v>13</v>
      </c>
      <c r="B2955" s="2">
        <v>45426</v>
      </c>
      <c r="C2955">
        <v>48.706504821777337</v>
      </c>
      <c r="D2955">
        <f>_xlfn.XLOOKUP(B2955, Oil_Price!A:A, Oil_Price!B:B, "")</f>
        <v>78.019996643066406</v>
      </c>
      <c r="E2955">
        <f t="shared" si="184"/>
        <v>-1.3097286854211118E-2</v>
      </c>
      <c r="F2955">
        <f t="shared" si="185"/>
        <v>-1.3903008914684916E-2</v>
      </c>
      <c r="G2955">
        <f t="shared" si="186"/>
        <v>-0.64638900756836648</v>
      </c>
      <c r="H2955">
        <f t="shared" si="187"/>
        <v>-1.100006103515625</v>
      </c>
    </row>
    <row r="2956" spans="1:8" x14ac:dyDescent="0.2">
      <c r="A2956" t="s">
        <v>13</v>
      </c>
      <c r="B2956" s="2">
        <v>45427</v>
      </c>
      <c r="C2956">
        <v>48.788436889648438</v>
      </c>
      <c r="D2956">
        <f>_xlfn.XLOOKUP(B2956, Oil_Price!A:A, Oil_Price!B:B, "")</f>
        <v>78.629997253417969</v>
      </c>
      <c r="E2956">
        <f t="shared" si="184"/>
        <v>1.6821586391981861E-3</v>
      </c>
      <c r="F2956">
        <f t="shared" si="185"/>
        <v>7.8185162342707289E-3</v>
      </c>
      <c r="G2956">
        <f t="shared" si="186"/>
        <v>8.1932067871100855E-2</v>
      </c>
      <c r="H2956">
        <f t="shared" si="187"/>
        <v>0.6100006103515625</v>
      </c>
    </row>
    <row r="2957" spans="1:8" x14ac:dyDescent="0.2">
      <c r="A2957" t="s">
        <v>13</v>
      </c>
      <c r="B2957" s="2">
        <v>45428</v>
      </c>
      <c r="C2957">
        <v>49.307373046875</v>
      </c>
      <c r="D2957">
        <f>_xlfn.XLOOKUP(B2957, Oil_Price!A:A, Oil_Price!B:B, "")</f>
        <v>79.230003356933594</v>
      </c>
      <c r="E2957">
        <f t="shared" si="184"/>
        <v>1.0636457945974212E-2</v>
      </c>
      <c r="F2957">
        <f t="shared" si="185"/>
        <v>7.6307532045544278E-3</v>
      </c>
      <c r="G2957">
        <f t="shared" si="186"/>
        <v>0.5189361572265625</v>
      </c>
      <c r="H2957">
        <f t="shared" si="187"/>
        <v>0.600006103515625</v>
      </c>
    </row>
    <row r="2958" spans="1:8" x14ac:dyDescent="0.2">
      <c r="A2958" t="s">
        <v>13</v>
      </c>
      <c r="B2958" s="2">
        <v>45429</v>
      </c>
      <c r="C2958">
        <v>49.680633544921882</v>
      </c>
      <c r="D2958">
        <f>_xlfn.XLOOKUP(B2958, Oil_Price!A:A, Oil_Price!B:B, "")</f>
        <v>80.05999755859375</v>
      </c>
      <c r="E2958">
        <f t="shared" si="184"/>
        <v>7.5700747166561654E-3</v>
      </c>
      <c r="F2958">
        <f t="shared" si="185"/>
        <v>1.0475756234932958E-2</v>
      </c>
      <c r="G2958">
        <f t="shared" si="186"/>
        <v>0.37326049804688211</v>
      </c>
      <c r="H2958">
        <f t="shared" si="187"/>
        <v>0.82999420166015625</v>
      </c>
    </row>
    <row r="2959" spans="1:8" x14ac:dyDescent="0.2">
      <c r="A2959" t="s">
        <v>13</v>
      </c>
      <c r="B2959" s="2">
        <v>45433</v>
      </c>
      <c r="C2959">
        <v>51.009815216064453</v>
      </c>
      <c r="D2959">
        <f>_xlfn.XLOOKUP(B2959, Oil_Price!A:A, Oil_Price!B:B, "")</f>
        <v>79.260002136230469</v>
      </c>
      <c r="E2959">
        <f t="shared" si="184"/>
        <v>2.6754523368561867E-2</v>
      </c>
      <c r="F2959">
        <f t="shared" si="185"/>
        <v>-9.9924487479254066E-3</v>
      </c>
      <c r="G2959">
        <f t="shared" si="186"/>
        <v>1.329181671142571</v>
      </c>
      <c r="H2959">
        <f t="shared" si="187"/>
        <v>-0.79999542236328125</v>
      </c>
    </row>
    <row r="2960" spans="1:8" x14ac:dyDescent="0.2">
      <c r="A2960" t="s">
        <v>13</v>
      </c>
      <c r="B2960" s="2">
        <v>45434</v>
      </c>
      <c r="C2960">
        <v>50.463584899902337</v>
      </c>
      <c r="D2960">
        <f>_xlfn.XLOOKUP(B2960, Oil_Price!A:A, Oil_Price!B:B, "")</f>
        <v>77.569999694824219</v>
      </c>
      <c r="E2960">
        <f t="shared" si="184"/>
        <v>-1.0708337480706907E-2</v>
      </c>
      <c r="F2960">
        <f t="shared" si="185"/>
        <v>-2.1322260861178232E-2</v>
      </c>
      <c r="G2960">
        <f t="shared" si="186"/>
        <v>-0.54623031616211648</v>
      </c>
      <c r="H2960">
        <f t="shared" si="187"/>
        <v>-1.69000244140625</v>
      </c>
    </row>
    <row r="2961" spans="1:8" x14ac:dyDescent="0.2">
      <c r="A2961" t="s">
        <v>13</v>
      </c>
      <c r="B2961" s="2">
        <v>45435</v>
      </c>
      <c r="C2961">
        <v>50.208667755126953</v>
      </c>
      <c r="D2961">
        <f>_xlfn.XLOOKUP(B2961, Oil_Price!A:A, Oil_Price!B:B, "")</f>
        <v>76.870002746582031</v>
      </c>
      <c r="E2961">
        <f t="shared" si="184"/>
        <v>-5.0515068495634533E-3</v>
      </c>
      <c r="F2961">
        <f t="shared" si="185"/>
        <v>-9.0240679514775619E-3</v>
      </c>
      <c r="G2961">
        <f t="shared" si="186"/>
        <v>-0.25491714477538352</v>
      </c>
      <c r="H2961">
        <f t="shared" si="187"/>
        <v>-0.6999969482421875</v>
      </c>
    </row>
    <row r="2962" spans="1:8" x14ac:dyDescent="0.2">
      <c r="A2962" t="s">
        <v>13</v>
      </c>
      <c r="B2962" s="2">
        <v>45436</v>
      </c>
      <c r="C2962">
        <v>50.126735687255859</v>
      </c>
      <c r="D2962">
        <f>_xlfn.XLOOKUP(B2962, Oil_Price!A:A, Oil_Price!B:B, "")</f>
        <v>77.720001220703125</v>
      </c>
      <c r="E2962">
        <f t="shared" si="184"/>
        <v>-1.6318311465798139E-3</v>
      </c>
      <c r="F2962">
        <f t="shared" si="185"/>
        <v>1.1057609519324342E-2</v>
      </c>
      <c r="G2962">
        <f t="shared" si="186"/>
        <v>-8.193206787109375E-2</v>
      </c>
      <c r="H2962">
        <f t="shared" si="187"/>
        <v>0.84999847412109375</v>
      </c>
    </row>
    <row r="2963" spans="1:8" x14ac:dyDescent="0.2">
      <c r="A2963" t="s">
        <v>13</v>
      </c>
      <c r="B2963" s="2">
        <v>45439</v>
      </c>
      <c r="C2963">
        <v>50.327014923095703</v>
      </c>
      <c r="D2963" t="str">
        <f>_xlfn.XLOOKUP(B2963, Oil_Price!A:A, Oil_Price!B:B, "")</f>
        <v/>
      </c>
      <c r="E2963">
        <f t="shared" si="184"/>
        <v>3.9954573760677264E-3</v>
      </c>
      <c r="F2963" t="str">
        <f t="shared" si="185"/>
        <v/>
      </c>
      <c r="G2963">
        <f t="shared" si="186"/>
        <v>0.20027923583984375</v>
      </c>
      <c r="H2963" t="str">
        <f t="shared" si="187"/>
        <v/>
      </c>
    </row>
    <row r="2964" spans="1:8" x14ac:dyDescent="0.2">
      <c r="A2964" t="s">
        <v>13</v>
      </c>
      <c r="B2964" s="2">
        <v>45440</v>
      </c>
      <c r="C2964">
        <v>50.563732147216797</v>
      </c>
      <c r="D2964">
        <f>_xlfn.XLOOKUP(B2964, Oil_Price!A:A, Oil_Price!B:B, "")</f>
        <v>79.830001831054688</v>
      </c>
      <c r="E2964">
        <f t="shared" si="184"/>
        <v>4.7035816545610617E-3</v>
      </c>
      <c r="F2964" t="str">
        <f t="shared" si="185"/>
        <v/>
      </c>
      <c r="G2964">
        <f t="shared" si="186"/>
        <v>0.23671722412109375</v>
      </c>
      <c r="H2964" t="str">
        <f t="shared" si="187"/>
        <v/>
      </c>
    </row>
    <row r="2965" spans="1:8" x14ac:dyDescent="0.2">
      <c r="A2965" t="s">
        <v>13</v>
      </c>
      <c r="B2965" s="2">
        <v>45441</v>
      </c>
      <c r="C2965">
        <v>49.589595794677727</v>
      </c>
      <c r="D2965">
        <f>_xlfn.XLOOKUP(B2965, Oil_Price!A:A, Oil_Price!B:B, "")</f>
        <v>79.230003356933594</v>
      </c>
      <c r="E2965">
        <f t="shared" si="184"/>
        <v>-1.926551524525251E-2</v>
      </c>
      <c r="F2965">
        <f t="shared" si="185"/>
        <v>-7.5159521528119048E-3</v>
      </c>
      <c r="G2965">
        <f t="shared" si="186"/>
        <v>-0.97413635253906961</v>
      </c>
      <c r="H2965">
        <f t="shared" si="187"/>
        <v>-0.59999847412109375</v>
      </c>
    </row>
    <row r="2966" spans="1:8" x14ac:dyDescent="0.2">
      <c r="A2966" t="s">
        <v>13</v>
      </c>
      <c r="B2966" s="2">
        <v>45442</v>
      </c>
      <c r="C2966">
        <v>49.680633544921882</v>
      </c>
      <c r="D2966">
        <f>_xlfn.XLOOKUP(B2966, Oil_Price!A:A, Oil_Price!B:B, "")</f>
        <v>77.910003662109375</v>
      </c>
      <c r="E2966">
        <f t="shared" si="184"/>
        <v>1.8358235993914996E-3</v>
      </c>
      <c r="F2966">
        <f t="shared" si="185"/>
        <v>-1.6660351368124771E-2</v>
      </c>
      <c r="G2966">
        <f t="shared" si="186"/>
        <v>9.1037750244154836E-2</v>
      </c>
      <c r="H2966">
        <f t="shared" si="187"/>
        <v>-1.3199996948242188</v>
      </c>
    </row>
    <row r="2967" spans="1:8" x14ac:dyDescent="0.2">
      <c r="A2967" t="s">
        <v>13</v>
      </c>
      <c r="B2967" s="2">
        <v>45443</v>
      </c>
      <c r="C2967">
        <v>50.618339538574219</v>
      </c>
      <c r="D2967">
        <f>_xlfn.XLOOKUP(B2967, Oil_Price!A:A, Oil_Price!B:B, "")</f>
        <v>76.989997863769531</v>
      </c>
      <c r="E2967">
        <f t="shared" si="184"/>
        <v>1.8874678657317252E-2</v>
      </c>
      <c r="F2967">
        <f t="shared" si="185"/>
        <v>-1.180857085220852E-2</v>
      </c>
      <c r="G2967">
        <f t="shared" si="186"/>
        <v>0.93770599365233664</v>
      </c>
      <c r="H2967">
        <f t="shared" si="187"/>
        <v>-0.92000579833984375</v>
      </c>
    </row>
    <row r="2968" spans="1:8" x14ac:dyDescent="0.2">
      <c r="A2968" t="s">
        <v>13</v>
      </c>
      <c r="B2968" s="2">
        <v>45446</v>
      </c>
      <c r="C2968">
        <v>48.214885711669922</v>
      </c>
      <c r="D2968">
        <f>_xlfn.XLOOKUP(B2968, Oil_Price!A:A, Oil_Price!B:B, "")</f>
        <v>74.220001220703125</v>
      </c>
      <c r="E2968">
        <f t="shared" si="184"/>
        <v>-4.7481878086354859E-2</v>
      </c>
      <c r="F2968">
        <f t="shared" si="185"/>
        <v>-3.5978655928368714E-2</v>
      </c>
      <c r="G2968">
        <f t="shared" si="186"/>
        <v>-2.4034538269042969</v>
      </c>
      <c r="H2968">
        <f t="shared" si="187"/>
        <v>-2.7699966430664062</v>
      </c>
    </row>
    <row r="2969" spans="1:8" x14ac:dyDescent="0.2">
      <c r="A2969" t="s">
        <v>13</v>
      </c>
      <c r="B2969" s="2">
        <v>45447</v>
      </c>
      <c r="C2969">
        <v>47.345611572265618</v>
      </c>
      <c r="D2969">
        <f>_xlfn.XLOOKUP(B2969, Oil_Price!A:A, Oil_Price!B:B, "")</f>
        <v>73.25</v>
      </c>
      <c r="E2969">
        <f t="shared" si="184"/>
        <v>-1.8029165196048677E-2</v>
      </c>
      <c r="F2969">
        <f t="shared" si="185"/>
        <v>-1.3069269802606124E-2</v>
      </c>
      <c r="G2969">
        <f t="shared" si="186"/>
        <v>-0.86927413940430398</v>
      </c>
      <c r="H2969">
        <f t="shared" si="187"/>
        <v>-0.970001220703125</v>
      </c>
    </row>
    <row r="2970" spans="1:8" x14ac:dyDescent="0.2">
      <c r="A2970" t="s">
        <v>13</v>
      </c>
      <c r="B2970" s="2">
        <v>45448</v>
      </c>
      <c r="C2970">
        <v>47.566379547119141</v>
      </c>
      <c r="D2970">
        <f>_xlfn.XLOOKUP(B2970, Oil_Price!A:A, Oil_Price!B:B, "")</f>
        <v>74.069999694824219</v>
      </c>
      <c r="E2970">
        <f t="shared" si="184"/>
        <v>4.6629025905929045E-3</v>
      </c>
      <c r="F2970">
        <f t="shared" si="185"/>
        <v>1.1194535082924489E-2</v>
      </c>
      <c r="G2970">
        <f t="shared" si="186"/>
        <v>0.22076797485352273</v>
      </c>
      <c r="H2970">
        <f t="shared" si="187"/>
        <v>0.81999969482421875</v>
      </c>
    </row>
    <row r="2971" spans="1:8" x14ac:dyDescent="0.2">
      <c r="A2971" t="s">
        <v>13</v>
      </c>
      <c r="B2971" s="2">
        <v>45449</v>
      </c>
      <c r="C2971">
        <v>48.265483856201172</v>
      </c>
      <c r="D2971">
        <f>_xlfn.XLOOKUP(B2971, Oil_Price!A:A, Oil_Price!B:B, "")</f>
        <v>75.550003051757812</v>
      </c>
      <c r="E2971">
        <f t="shared" si="184"/>
        <v>1.4697446300059482E-2</v>
      </c>
      <c r="F2971">
        <f t="shared" si="185"/>
        <v>1.9981144363863307E-2</v>
      </c>
      <c r="G2971">
        <f t="shared" si="186"/>
        <v>0.69910430908203125</v>
      </c>
      <c r="H2971">
        <f t="shared" si="187"/>
        <v>1.4800033569335938</v>
      </c>
    </row>
    <row r="2972" spans="1:8" x14ac:dyDescent="0.2">
      <c r="A2972" t="s">
        <v>13</v>
      </c>
      <c r="B2972" s="2">
        <v>45450</v>
      </c>
      <c r="C2972">
        <v>48.0631103515625</v>
      </c>
      <c r="D2972">
        <f>_xlfn.XLOOKUP(B2972, Oil_Price!A:A, Oil_Price!B:B, "")</f>
        <v>75.529998779296875</v>
      </c>
      <c r="E2972">
        <f t="shared" si="184"/>
        <v>-4.192923979413724E-3</v>
      </c>
      <c r="F2972">
        <f t="shared" si="185"/>
        <v>-2.6478188819175784E-4</v>
      </c>
      <c r="G2972">
        <f t="shared" si="186"/>
        <v>-0.20237350463867188</v>
      </c>
      <c r="H2972">
        <f t="shared" si="187"/>
        <v>-2.00042724609375E-2</v>
      </c>
    </row>
    <row r="2973" spans="1:8" x14ac:dyDescent="0.2">
      <c r="A2973" t="s">
        <v>13</v>
      </c>
      <c r="B2973" s="2">
        <v>45453</v>
      </c>
      <c r="C2973">
        <v>48.302276611328118</v>
      </c>
      <c r="D2973">
        <f>_xlfn.XLOOKUP(B2973, Oil_Price!A:A, Oil_Price!B:B, "")</f>
        <v>77.739997863769531</v>
      </c>
      <c r="E2973">
        <f t="shared" si="184"/>
        <v>4.9760878564914339E-3</v>
      </c>
      <c r="F2973">
        <f t="shared" si="185"/>
        <v>2.9259885081296032E-2</v>
      </c>
      <c r="G2973">
        <f t="shared" si="186"/>
        <v>0.23916625976561789</v>
      </c>
      <c r="H2973">
        <f t="shared" si="187"/>
        <v>2.2099990844726562</v>
      </c>
    </row>
    <row r="2974" spans="1:8" x14ac:dyDescent="0.2">
      <c r="A2974" t="s">
        <v>13</v>
      </c>
      <c r="B2974" s="2">
        <v>45454</v>
      </c>
      <c r="C2974">
        <v>48.201091766357422</v>
      </c>
      <c r="D2974">
        <f>_xlfn.XLOOKUP(B2974, Oil_Price!A:A, Oil_Price!B:B, "")</f>
        <v>77.900001525878906</v>
      </c>
      <c r="E2974">
        <f t="shared" si="184"/>
        <v>-2.0948255873091824E-3</v>
      </c>
      <c r="F2974">
        <f t="shared" si="185"/>
        <v>2.0581896900712959E-3</v>
      </c>
      <c r="G2974">
        <f t="shared" si="186"/>
        <v>-0.10118484497069602</v>
      </c>
      <c r="H2974">
        <f t="shared" si="187"/>
        <v>0.160003662109375</v>
      </c>
    </row>
    <row r="2975" spans="1:8" x14ac:dyDescent="0.2">
      <c r="A2975" t="s">
        <v>13</v>
      </c>
      <c r="B2975" s="2">
        <v>45455</v>
      </c>
      <c r="C2975">
        <v>48.053913116455078</v>
      </c>
      <c r="D2975">
        <f>_xlfn.XLOOKUP(B2975, Oil_Price!A:A, Oil_Price!B:B, "")</f>
        <v>78.5</v>
      </c>
      <c r="E2975">
        <f t="shared" si="184"/>
        <v>-3.0534297981413983E-3</v>
      </c>
      <c r="F2975">
        <f t="shared" si="185"/>
        <v>7.702162546450916E-3</v>
      </c>
      <c r="G2975">
        <f t="shared" si="186"/>
        <v>-0.14717864990234375</v>
      </c>
      <c r="H2975">
        <f t="shared" si="187"/>
        <v>0.59999847412109375</v>
      </c>
    </row>
    <row r="2976" spans="1:8" x14ac:dyDescent="0.2">
      <c r="A2976" t="s">
        <v>13</v>
      </c>
      <c r="B2976" s="2">
        <v>45456</v>
      </c>
      <c r="C2976">
        <v>46.646514892578118</v>
      </c>
      <c r="D2976">
        <f>_xlfn.XLOOKUP(B2976, Oil_Price!A:A, Oil_Price!B:B, "")</f>
        <v>78.620002746582031</v>
      </c>
      <c r="E2976">
        <f t="shared" si="184"/>
        <v>-2.9287900456019793E-2</v>
      </c>
      <c r="F2976">
        <f t="shared" si="185"/>
        <v>1.5286974086882962E-3</v>
      </c>
      <c r="G2976">
        <f t="shared" si="186"/>
        <v>-1.4073982238769602</v>
      </c>
      <c r="H2976">
        <f t="shared" si="187"/>
        <v>0.12000274658203125</v>
      </c>
    </row>
    <row r="2977" spans="1:8" x14ac:dyDescent="0.2">
      <c r="A2977" t="s">
        <v>13</v>
      </c>
      <c r="B2977" s="2">
        <v>45457</v>
      </c>
      <c r="C2977">
        <v>46.232566833496087</v>
      </c>
      <c r="D2977">
        <f>_xlfn.XLOOKUP(B2977, Oil_Price!A:A, Oil_Price!B:B, "")</f>
        <v>78.449996948242188</v>
      </c>
      <c r="E2977">
        <f t="shared" si="184"/>
        <v>-8.8741476192875056E-3</v>
      </c>
      <c r="F2977">
        <f t="shared" si="185"/>
        <v>-2.1623733452137877E-3</v>
      </c>
      <c r="G2977">
        <f t="shared" si="186"/>
        <v>-0.41394805908203125</v>
      </c>
      <c r="H2977">
        <f t="shared" si="187"/>
        <v>-0.17000579833984375</v>
      </c>
    </row>
    <row r="2978" spans="1:8" x14ac:dyDescent="0.2">
      <c r="A2978" t="s">
        <v>13</v>
      </c>
      <c r="B2978" s="2">
        <v>45460</v>
      </c>
      <c r="C2978">
        <v>45.965816497802727</v>
      </c>
      <c r="D2978">
        <f>_xlfn.XLOOKUP(B2978, Oil_Price!A:A, Oil_Price!B:B, "")</f>
        <v>80.330001831054688</v>
      </c>
      <c r="E2978">
        <f t="shared" si="184"/>
        <v>-5.7697496367451386E-3</v>
      </c>
      <c r="F2978">
        <f t="shared" si="185"/>
        <v>2.3964371650044083E-2</v>
      </c>
      <c r="G2978">
        <f t="shared" si="186"/>
        <v>-0.26675033569335938</v>
      </c>
      <c r="H2978">
        <f t="shared" si="187"/>
        <v>1.8800048828125</v>
      </c>
    </row>
    <row r="2979" spans="1:8" x14ac:dyDescent="0.2">
      <c r="A2979" t="s">
        <v>13</v>
      </c>
      <c r="B2979" s="2">
        <v>45461</v>
      </c>
      <c r="C2979">
        <v>46.710906982421882</v>
      </c>
      <c r="D2979">
        <f>_xlfn.XLOOKUP(B2979, Oil_Price!A:A, Oil_Price!B:B, "")</f>
        <v>81.569999694824219</v>
      </c>
      <c r="E2979">
        <f t="shared" si="184"/>
        <v>1.6209664950796031E-2</v>
      </c>
      <c r="F2979">
        <f t="shared" si="185"/>
        <v>1.5436298213678888E-2</v>
      </c>
      <c r="G2979">
        <f t="shared" si="186"/>
        <v>0.74509048461915484</v>
      </c>
      <c r="H2979">
        <f t="shared" si="187"/>
        <v>1.2399978637695312</v>
      </c>
    </row>
    <row r="2980" spans="1:8" x14ac:dyDescent="0.2">
      <c r="A2980" t="s">
        <v>13</v>
      </c>
      <c r="B2980" s="2">
        <v>45462</v>
      </c>
      <c r="C2980">
        <v>46.710906982421882</v>
      </c>
      <c r="D2980" t="str">
        <f>_xlfn.XLOOKUP(B2980, Oil_Price!A:A, Oil_Price!B:B, "")</f>
        <v/>
      </c>
      <c r="E2980">
        <f t="shared" si="184"/>
        <v>0</v>
      </c>
      <c r="F2980" t="str">
        <f t="shared" si="185"/>
        <v/>
      </c>
      <c r="G2980">
        <f t="shared" si="186"/>
        <v>0</v>
      </c>
      <c r="H2980" t="str">
        <f t="shared" si="187"/>
        <v/>
      </c>
    </row>
    <row r="2981" spans="1:8" x14ac:dyDescent="0.2">
      <c r="A2981" t="s">
        <v>13</v>
      </c>
      <c r="B2981" s="2">
        <v>45463</v>
      </c>
      <c r="C2981">
        <v>46.784500122070312</v>
      </c>
      <c r="D2981">
        <f>_xlfn.XLOOKUP(B2981, Oil_Price!A:A, Oil_Price!B:B, "")</f>
        <v>82.169998168945312</v>
      </c>
      <c r="E2981">
        <f t="shared" si="184"/>
        <v>1.5755022628039478E-3</v>
      </c>
      <c r="F2981" t="str">
        <f t="shared" si="185"/>
        <v/>
      </c>
      <c r="G2981">
        <f t="shared" si="186"/>
        <v>7.3593139648430395E-2</v>
      </c>
      <c r="H2981" t="str">
        <f t="shared" si="187"/>
        <v/>
      </c>
    </row>
    <row r="2982" spans="1:8" x14ac:dyDescent="0.2">
      <c r="A2982" t="s">
        <v>13</v>
      </c>
      <c r="B2982" s="2">
        <v>45464</v>
      </c>
      <c r="C2982">
        <v>46.204975128173828</v>
      </c>
      <c r="D2982">
        <f>_xlfn.XLOOKUP(B2982, Oil_Price!A:A, Oil_Price!B:B, "")</f>
        <v>80.730003356933594</v>
      </c>
      <c r="E2982">
        <f t="shared" si="184"/>
        <v>-1.2387115228000414E-2</v>
      </c>
      <c r="F2982">
        <f t="shared" si="185"/>
        <v>-1.7524581283925832E-2</v>
      </c>
      <c r="G2982">
        <f t="shared" si="186"/>
        <v>-0.57952499389648438</v>
      </c>
      <c r="H2982">
        <f t="shared" si="187"/>
        <v>-1.4399948120117188</v>
      </c>
    </row>
    <row r="2983" spans="1:8" x14ac:dyDescent="0.2">
      <c r="A2983" t="s">
        <v>13</v>
      </c>
      <c r="B2983" s="2">
        <v>45467</v>
      </c>
      <c r="C2983">
        <v>47.621574401855469</v>
      </c>
      <c r="D2983">
        <f>_xlfn.XLOOKUP(B2983, Oil_Price!A:A, Oil_Price!B:B, "")</f>
        <v>81.629997253417969</v>
      </c>
      <c r="E2983">
        <f t="shared" si="184"/>
        <v>3.0659020370684253E-2</v>
      </c>
      <c r="F2983">
        <f t="shared" si="185"/>
        <v>1.1148195950212084E-2</v>
      </c>
      <c r="G2983">
        <f t="shared" si="186"/>
        <v>1.4165992736816406</v>
      </c>
      <c r="H2983">
        <f t="shared" si="187"/>
        <v>0.899993896484375</v>
      </c>
    </row>
    <row r="2984" spans="1:8" x14ac:dyDescent="0.2">
      <c r="A2984" t="s">
        <v>13</v>
      </c>
      <c r="B2984" s="2">
        <v>45468</v>
      </c>
      <c r="C2984">
        <v>47.419200897216797</v>
      </c>
      <c r="D2984">
        <f>_xlfn.XLOOKUP(B2984, Oil_Price!A:A, Oil_Price!B:B, "")</f>
        <v>80.830001831054688</v>
      </c>
      <c r="E2984">
        <f t="shared" si="184"/>
        <v>-4.2496181023109316E-3</v>
      </c>
      <c r="F2984">
        <f t="shared" si="185"/>
        <v>-9.8002627622259808E-3</v>
      </c>
      <c r="G2984">
        <f t="shared" si="186"/>
        <v>-0.20237350463867188</v>
      </c>
      <c r="H2984">
        <f t="shared" si="187"/>
        <v>-0.79999542236328125</v>
      </c>
    </row>
    <row r="2985" spans="1:8" x14ac:dyDescent="0.2">
      <c r="A2985" t="s">
        <v>13</v>
      </c>
      <c r="B2985" s="2">
        <v>45469</v>
      </c>
      <c r="C2985">
        <v>47.014457702636719</v>
      </c>
      <c r="D2985">
        <f>_xlfn.XLOOKUP(B2985, Oil_Price!A:A, Oil_Price!B:B, "")</f>
        <v>80.900001525878906</v>
      </c>
      <c r="E2985">
        <f t="shared" si="184"/>
        <v>-8.5354284113175333E-3</v>
      </c>
      <c r="F2985">
        <f t="shared" si="185"/>
        <v>8.6601129826184217E-4</v>
      </c>
      <c r="G2985">
        <f t="shared" si="186"/>
        <v>-0.40474319458007812</v>
      </c>
      <c r="H2985">
        <f t="shared" si="187"/>
        <v>6.999969482421875E-2</v>
      </c>
    </row>
    <row r="2986" spans="1:8" x14ac:dyDescent="0.2">
      <c r="A2986" t="s">
        <v>13</v>
      </c>
      <c r="B2986" s="2">
        <v>45470</v>
      </c>
      <c r="C2986">
        <v>47.86993408203125</v>
      </c>
      <c r="D2986">
        <f>_xlfn.XLOOKUP(B2986, Oil_Price!A:A, Oil_Price!B:B, "")</f>
        <v>81.739997863769531</v>
      </c>
      <c r="E2986">
        <f t="shared" si="184"/>
        <v>1.8196027800753585E-2</v>
      </c>
      <c r="F2986">
        <f t="shared" si="185"/>
        <v>1.038314365942157E-2</v>
      </c>
      <c r="G2986">
        <f t="shared" si="186"/>
        <v>0.85547637939453125</v>
      </c>
      <c r="H2986">
        <f t="shared" si="187"/>
        <v>0.839996337890625</v>
      </c>
    </row>
    <row r="2987" spans="1:8" x14ac:dyDescent="0.2">
      <c r="A2987" t="s">
        <v>13</v>
      </c>
      <c r="B2987" s="2">
        <v>45471</v>
      </c>
      <c r="C2987">
        <v>47.971126556396477</v>
      </c>
      <c r="D2987">
        <f>_xlfn.XLOOKUP(B2987, Oil_Price!A:A, Oil_Price!B:B, "")</f>
        <v>81.540000915527344</v>
      </c>
      <c r="E2987">
        <f t="shared" si="184"/>
        <v>2.1139046106021585E-3</v>
      </c>
      <c r="F2987">
        <f t="shared" si="185"/>
        <v>-2.4467452100440318E-3</v>
      </c>
      <c r="G2987">
        <f t="shared" si="186"/>
        <v>0.10119247436522727</v>
      </c>
      <c r="H2987">
        <f t="shared" si="187"/>
        <v>-0.1999969482421875</v>
      </c>
    </row>
    <row r="2988" spans="1:8" x14ac:dyDescent="0.2">
      <c r="A2988" t="s">
        <v>13</v>
      </c>
      <c r="B2988" s="2">
        <v>45475</v>
      </c>
      <c r="C2988">
        <v>48.743824005126953</v>
      </c>
      <c r="D2988">
        <f>_xlfn.XLOOKUP(B2988, Oil_Price!A:A, Oil_Price!B:B, "")</f>
        <v>82.80999755859375</v>
      </c>
      <c r="E2988">
        <f t="shared" si="184"/>
        <v>1.6107552692598674E-2</v>
      </c>
      <c r="F2988">
        <f t="shared" si="185"/>
        <v>1.5575136482793021E-2</v>
      </c>
      <c r="G2988">
        <f t="shared" si="186"/>
        <v>0.77269744873047586</v>
      </c>
      <c r="H2988">
        <f t="shared" si="187"/>
        <v>1.2699966430664062</v>
      </c>
    </row>
    <row r="2989" spans="1:8" x14ac:dyDescent="0.2">
      <c r="A2989" t="s">
        <v>13</v>
      </c>
      <c r="B2989" s="2">
        <v>45476</v>
      </c>
      <c r="C2989">
        <v>49.139354705810547</v>
      </c>
      <c r="D2989">
        <f>_xlfn.XLOOKUP(B2989, Oil_Price!A:A, Oil_Price!B:B, "")</f>
        <v>83.879997253417969</v>
      </c>
      <c r="E2989">
        <f t="shared" si="184"/>
        <v>8.1144782699443356E-3</v>
      </c>
      <c r="F2989">
        <f t="shared" si="185"/>
        <v>1.2921141484965273E-2</v>
      </c>
      <c r="G2989">
        <f t="shared" si="186"/>
        <v>0.39553070068359375</v>
      </c>
      <c r="H2989">
        <f t="shared" si="187"/>
        <v>1.0699996948242188</v>
      </c>
    </row>
    <row r="2990" spans="1:8" x14ac:dyDescent="0.2">
      <c r="A2990" t="s">
        <v>13</v>
      </c>
      <c r="B2990" s="2">
        <v>45477</v>
      </c>
      <c r="C2990">
        <v>49.130157470703118</v>
      </c>
      <c r="D2990" t="str">
        <f>_xlfn.XLOOKUP(B2990, Oil_Price!A:A, Oil_Price!B:B, "")</f>
        <v/>
      </c>
      <c r="E2990">
        <f t="shared" si="184"/>
        <v>-1.8716637942218321E-4</v>
      </c>
      <c r="F2990" t="str">
        <f t="shared" si="185"/>
        <v/>
      </c>
      <c r="G2990">
        <f t="shared" si="186"/>
        <v>-9.1972351074289804E-3</v>
      </c>
      <c r="H2990" t="str">
        <f t="shared" si="187"/>
        <v/>
      </c>
    </row>
    <row r="2991" spans="1:8" x14ac:dyDescent="0.2">
      <c r="A2991" t="s">
        <v>13</v>
      </c>
      <c r="B2991" s="2">
        <v>45478</v>
      </c>
      <c r="C2991">
        <v>47.354808807373047</v>
      </c>
      <c r="D2991">
        <f>_xlfn.XLOOKUP(B2991, Oil_Price!A:A, Oil_Price!B:B, "")</f>
        <v>83.160003662109375</v>
      </c>
      <c r="E2991">
        <f t="shared" si="184"/>
        <v>-3.6135619235267709E-2</v>
      </c>
      <c r="F2991" t="str">
        <f t="shared" si="185"/>
        <v/>
      </c>
      <c r="G2991">
        <f t="shared" si="186"/>
        <v>-1.775348663330071</v>
      </c>
      <c r="H2991" t="str">
        <f t="shared" si="187"/>
        <v/>
      </c>
    </row>
    <row r="2992" spans="1:8" x14ac:dyDescent="0.2">
      <c r="A2992" t="s">
        <v>13</v>
      </c>
      <c r="B2992" s="2">
        <v>45481</v>
      </c>
      <c r="C2992">
        <v>47.603176116943359</v>
      </c>
      <c r="D2992">
        <f>_xlfn.XLOOKUP(B2992, Oil_Price!A:A, Oil_Price!B:B, "")</f>
        <v>82.330001831054688</v>
      </c>
      <c r="E2992">
        <f t="shared" si="184"/>
        <v>5.2448170698060599E-3</v>
      </c>
      <c r="F2992">
        <f t="shared" si="185"/>
        <v>-9.9807815596918443E-3</v>
      </c>
      <c r="G2992">
        <f t="shared" si="186"/>
        <v>0.2483673095703125</v>
      </c>
      <c r="H2992">
        <f t="shared" si="187"/>
        <v>-0.8300018310546875</v>
      </c>
    </row>
    <row r="2993" spans="1:8" x14ac:dyDescent="0.2">
      <c r="A2993" t="s">
        <v>13</v>
      </c>
      <c r="B2993" s="2">
        <v>45482</v>
      </c>
      <c r="C2993">
        <v>46.996059417724609</v>
      </c>
      <c r="D2993">
        <f>_xlfn.XLOOKUP(B2993, Oil_Price!A:A, Oil_Price!B:B, "")</f>
        <v>81.410003662109375</v>
      </c>
      <c r="E2993">
        <f t="shared" si="184"/>
        <v>-1.2753701512001831E-2</v>
      </c>
      <c r="F2993">
        <f t="shared" si="185"/>
        <v>-1.1174518990454962E-2</v>
      </c>
      <c r="G2993">
        <f t="shared" si="186"/>
        <v>-0.60711669921875</v>
      </c>
      <c r="H2993">
        <f t="shared" si="187"/>
        <v>-0.9199981689453125</v>
      </c>
    </row>
    <row r="2994" spans="1:8" x14ac:dyDescent="0.2">
      <c r="A2994" t="s">
        <v>13</v>
      </c>
      <c r="B2994" s="2">
        <v>45483</v>
      </c>
      <c r="C2994">
        <v>47.483589172363281</v>
      </c>
      <c r="D2994">
        <f>_xlfn.XLOOKUP(B2994, Oil_Price!A:A, Oil_Price!B:B, "")</f>
        <v>82.099998474121094</v>
      </c>
      <c r="E2994">
        <f t="shared" si="184"/>
        <v>1.0373843268544332E-2</v>
      </c>
      <c r="F2994">
        <f t="shared" si="185"/>
        <v>8.4755531381073106E-3</v>
      </c>
      <c r="G2994">
        <f t="shared" si="186"/>
        <v>0.48752975463867188</v>
      </c>
      <c r="H2994">
        <f t="shared" si="187"/>
        <v>0.68999481201171875</v>
      </c>
    </row>
    <row r="2995" spans="1:8" x14ac:dyDescent="0.2">
      <c r="A2995" t="s">
        <v>13</v>
      </c>
      <c r="B2995" s="2">
        <v>45484</v>
      </c>
      <c r="C2995">
        <v>47.925128936767578</v>
      </c>
      <c r="D2995">
        <f>_xlfn.XLOOKUP(B2995, Oil_Price!A:A, Oil_Price!B:B, "")</f>
        <v>82.620002746582031</v>
      </c>
      <c r="E2995">
        <f t="shared" si="184"/>
        <v>9.2987866355579707E-3</v>
      </c>
      <c r="F2995">
        <f t="shared" si="185"/>
        <v>6.3337914997020264E-3</v>
      </c>
      <c r="G2995">
        <f t="shared" si="186"/>
        <v>0.44153976440429688</v>
      </c>
      <c r="H2995">
        <f t="shared" si="187"/>
        <v>0.5200042724609375</v>
      </c>
    </row>
    <row r="2996" spans="1:8" x14ac:dyDescent="0.2">
      <c r="A2996" t="s">
        <v>13</v>
      </c>
      <c r="B2996" s="2">
        <v>45485</v>
      </c>
      <c r="C2996">
        <v>47.99871826171875</v>
      </c>
      <c r="D2996">
        <f>_xlfn.XLOOKUP(B2996, Oil_Price!A:A, Oil_Price!B:B, "")</f>
        <v>82.209999084472656</v>
      </c>
      <c r="E2996">
        <f t="shared" si="184"/>
        <v>1.5355060400205837E-3</v>
      </c>
      <c r="F2996">
        <f t="shared" si="185"/>
        <v>-4.9625229784483003E-3</v>
      </c>
      <c r="G2996">
        <f t="shared" si="186"/>
        <v>7.3589324951171875E-2</v>
      </c>
      <c r="H2996">
        <f t="shared" si="187"/>
        <v>-0.410003662109375</v>
      </c>
    </row>
    <row r="2997" spans="1:8" x14ac:dyDescent="0.2">
      <c r="A2997" t="s">
        <v>13</v>
      </c>
      <c r="B2997" s="2">
        <v>45488</v>
      </c>
      <c r="C2997">
        <v>48.872596740722663</v>
      </c>
      <c r="D2997">
        <f>_xlfn.XLOOKUP(B2997, Oil_Price!A:A, Oil_Price!B:B, "")</f>
        <v>81.910003662109375</v>
      </c>
      <c r="E2997">
        <f t="shared" si="184"/>
        <v>1.8206287806249045E-2</v>
      </c>
      <c r="F2997">
        <f t="shared" si="185"/>
        <v>-3.6491354543749487E-3</v>
      </c>
      <c r="G2997">
        <f t="shared" si="186"/>
        <v>0.87387847900391336</v>
      </c>
      <c r="H2997">
        <f t="shared" si="187"/>
        <v>-0.29999542236328125</v>
      </c>
    </row>
    <row r="2998" spans="1:8" x14ac:dyDescent="0.2">
      <c r="A2998" t="s">
        <v>13</v>
      </c>
      <c r="B2998" s="2">
        <v>45489</v>
      </c>
      <c r="C2998">
        <v>48.293079376220703</v>
      </c>
      <c r="D2998">
        <f>_xlfn.XLOOKUP(B2998, Oil_Price!A:A, Oil_Price!B:B, "")</f>
        <v>80.760002136230469</v>
      </c>
      <c r="E2998">
        <f t="shared" si="184"/>
        <v>-1.1857715839745476E-2</v>
      </c>
      <c r="F2998">
        <f t="shared" si="185"/>
        <v>-1.4039817781266731E-2</v>
      </c>
      <c r="G2998">
        <f t="shared" si="186"/>
        <v>-0.57951736450196023</v>
      </c>
      <c r="H2998">
        <f t="shared" si="187"/>
        <v>-1.1500015258789062</v>
      </c>
    </row>
    <row r="2999" spans="1:8" x14ac:dyDescent="0.2">
      <c r="A2999" t="s">
        <v>13</v>
      </c>
      <c r="B2999" s="2">
        <v>45490</v>
      </c>
      <c r="C2999">
        <v>48.909381866455078</v>
      </c>
      <c r="D2999">
        <f>_xlfn.XLOOKUP(B2999, Oil_Price!A:A, Oil_Price!B:B, "")</f>
        <v>82.849998474121094</v>
      </c>
      <c r="E2999">
        <f t="shared" si="184"/>
        <v>1.2761714477413085E-2</v>
      </c>
      <c r="F2999">
        <f t="shared" si="185"/>
        <v>2.5879102062987849E-2</v>
      </c>
      <c r="G2999">
        <f t="shared" si="186"/>
        <v>0.616302490234375</v>
      </c>
      <c r="H2999">
        <f t="shared" si="187"/>
        <v>2.089996337890625</v>
      </c>
    </row>
    <row r="3000" spans="1:8" x14ac:dyDescent="0.2">
      <c r="A3000" t="s">
        <v>13</v>
      </c>
      <c r="B3000" s="2">
        <v>45491</v>
      </c>
      <c r="C3000">
        <v>48.964584350585938</v>
      </c>
      <c r="D3000">
        <f>_xlfn.XLOOKUP(B3000, Oil_Price!A:A, Oil_Price!B:B, "")</f>
        <v>82.819999694824219</v>
      </c>
      <c r="E3000">
        <f t="shared" si="184"/>
        <v>1.1286686117110893E-3</v>
      </c>
      <c r="F3000">
        <f t="shared" si="185"/>
        <v>-3.6208545382466573E-4</v>
      </c>
      <c r="G3000">
        <f t="shared" si="186"/>
        <v>5.5202484130859375E-2</v>
      </c>
      <c r="H3000">
        <f t="shared" si="187"/>
        <v>-2.9998779296875E-2</v>
      </c>
    </row>
    <row r="3001" spans="1:8" x14ac:dyDescent="0.2">
      <c r="A3001" t="s">
        <v>13</v>
      </c>
      <c r="B3001" s="2">
        <v>45492</v>
      </c>
      <c r="C3001">
        <v>48.615028381347663</v>
      </c>
      <c r="D3001">
        <f>_xlfn.XLOOKUP(B3001, Oil_Price!A:A, Oil_Price!B:B, "")</f>
        <v>80.129997253417969</v>
      </c>
      <c r="E3001">
        <f t="shared" si="184"/>
        <v>-7.1389551014148693E-3</v>
      </c>
      <c r="F3001">
        <f t="shared" si="185"/>
        <v>-3.2480106874165561E-2</v>
      </c>
      <c r="G3001">
        <f t="shared" si="186"/>
        <v>-0.34955596923827414</v>
      </c>
      <c r="H3001">
        <f t="shared" si="187"/>
        <v>-2.69000244140625</v>
      </c>
    </row>
    <row r="3002" spans="1:8" x14ac:dyDescent="0.2">
      <c r="A3002" t="s">
        <v>13</v>
      </c>
      <c r="B3002" s="2">
        <v>45495</v>
      </c>
      <c r="C3002">
        <v>49.038169860839837</v>
      </c>
      <c r="D3002">
        <f>_xlfn.XLOOKUP(B3002, Oil_Price!A:A, Oil_Price!B:B, "")</f>
        <v>79.779998779296875</v>
      </c>
      <c r="E3002">
        <f t="shared" si="184"/>
        <v>8.7039233253748717E-3</v>
      </c>
      <c r="F3002">
        <f t="shared" si="185"/>
        <v>-4.367883266165524E-3</v>
      </c>
      <c r="G3002">
        <f t="shared" si="186"/>
        <v>0.42314147949217329</v>
      </c>
      <c r="H3002">
        <f t="shared" si="187"/>
        <v>-0.34999847412109375</v>
      </c>
    </row>
    <row r="3003" spans="1:8" x14ac:dyDescent="0.2">
      <c r="A3003" t="s">
        <v>13</v>
      </c>
      <c r="B3003" s="2">
        <v>45496</v>
      </c>
      <c r="C3003">
        <v>48.274684906005859</v>
      </c>
      <c r="D3003">
        <f>_xlfn.XLOOKUP(B3003, Oil_Price!A:A, Oil_Price!B:B, "")</f>
        <v>76.959999084472656</v>
      </c>
      <c r="E3003">
        <f t="shared" si="184"/>
        <v>-1.5569197565908136E-2</v>
      </c>
      <c r="F3003">
        <f t="shared" si="185"/>
        <v>-3.5347201528862601E-2</v>
      </c>
      <c r="G3003">
        <f t="shared" si="186"/>
        <v>-0.76348495483397727</v>
      </c>
      <c r="H3003">
        <f t="shared" si="187"/>
        <v>-2.8199996948242188</v>
      </c>
    </row>
    <row r="3004" spans="1:8" x14ac:dyDescent="0.2">
      <c r="A3004" t="s">
        <v>13</v>
      </c>
      <c r="B3004" s="2">
        <v>45497</v>
      </c>
      <c r="C3004">
        <v>48.329875946044922</v>
      </c>
      <c r="D3004">
        <f>_xlfn.XLOOKUP(B3004, Oil_Price!A:A, Oil_Price!B:B, "")</f>
        <v>77.589996337890625</v>
      </c>
      <c r="E3004">
        <f t="shared" si="184"/>
        <v>1.1432708498568818E-3</v>
      </c>
      <c r="F3004">
        <f t="shared" si="185"/>
        <v>8.186035095016992E-3</v>
      </c>
      <c r="G3004">
        <f t="shared" si="186"/>
        <v>5.51910400390625E-2</v>
      </c>
      <c r="H3004">
        <f t="shared" si="187"/>
        <v>0.62999725341796875</v>
      </c>
    </row>
    <row r="3005" spans="1:8" x14ac:dyDescent="0.2">
      <c r="A3005" t="s">
        <v>13</v>
      </c>
      <c r="B3005" s="2">
        <v>45498</v>
      </c>
      <c r="C3005">
        <v>48.936985015869141</v>
      </c>
      <c r="D3005">
        <f>_xlfn.XLOOKUP(B3005, Oil_Price!A:A, Oil_Price!B:B, "")</f>
        <v>78.279998779296875</v>
      </c>
      <c r="E3005">
        <f t="shared" si="184"/>
        <v>1.2561775877554297E-2</v>
      </c>
      <c r="F3005">
        <f t="shared" si="185"/>
        <v>8.8929304546092793E-3</v>
      </c>
      <c r="G3005">
        <f t="shared" si="186"/>
        <v>0.60710906982421875</v>
      </c>
      <c r="H3005">
        <f t="shared" si="187"/>
        <v>0.69000244140625</v>
      </c>
    </row>
    <row r="3006" spans="1:8" x14ac:dyDescent="0.2">
      <c r="A3006" t="s">
        <v>13</v>
      </c>
      <c r="B3006" s="2">
        <v>45499</v>
      </c>
      <c r="C3006">
        <v>48.964584350585938</v>
      </c>
      <c r="D3006">
        <f>_xlfn.XLOOKUP(B3006, Oil_Price!A:A, Oil_Price!B:B, "")</f>
        <v>77.160003662109375</v>
      </c>
      <c r="E3006">
        <f t="shared" si="184"/>
        <v>5.6397701468218864E-4</v>
      </c>
      <c r="F3006">
        <f t="shared" si="185"/>
        <v>-1.4307551541297559E-2</v>
      </c>
      <c r="G3006">
        <f t="shared" si="186"/>
        <v>2.7599334716796875E-2</v>
      </c>
      <c r="H3006">
        <f t="shared" si="187"/>
        <v>-1.1199951171875</v>
      </c>
    </row>
    <row r="3007" spans="1:8" x14ac:dyDescent="0.2">
      <c r="A3007" t="s">
        <v>13</v>
      </c>
      <c r="B3007" s="2">
        <v>45502</v>
      </c>
      <c r="C3007">
        <v>48.780609130859382</v>
      </c>
      <c r="D3007">
        <f>_xlfn.XLOOKUP(B3007, Oil_Price!A:A, Oil_Price!B:B, "")</f>
        <v>75.80999755859375</v>
      </c>
      <c r="E3007">
        <f t="shared" si="184"/>
        <v>-3.7573119871557501E-3</v>
      </c>
      <c r="F3007">
        <f t="shared" si="185"/>
        <v>-1.7496190246794489E-2</v>
      </c>
      <c r="G3007">
        <f t="shared" si="186"/>
        <v>-0.18397521972655539</v>
      </c>
      <c r="H3007">
        <f t="shared" si="187"/>
        <v>-1.350006103515625</v>
      </c>
    </row>
    <row r="3008" spans="1:8" x14ac:dyDescent="0.2">
      <c r="A3008" t="s">
        <v>13</v>
      </c>
      <c r="B3008" s="2">
        <v>45503</v>
      </c>
      <c r="C3008">
        <v>48.95538330078125</v>
      </c>
      <c r="D3008">
        <f>_xlfn.XLOOKUP(B3008, Oil_Price!A:A, Oil_Price!B:B, "")</f>
        <v>74.730003356933594</v>
      </c>
      <c r="E3008">
        <f t="shared" si="184"/>
        <v>3.5828615721672694E-3</v>
      </c>
      <c r="F3008">
        <f t="shared" si="185"/>
        <v>-1.4246065643590423E-2</v>
      </c>
      <c r="G3008">
        <f t="shared" si="186"/>
        <v>0.17477416992186789</v>
      </c>
      <c r="H3008">
        <f t="shared" si="187"/>
        <v>-1.0799942016601562</v>
      </c>
    </row>
    <row r="3009" spans="1:8" x14ac:dyDescent="0.2">
      <c r="A3009" t="s">
        <v>13</v>
      </c>
      <c r="B3009" s="2">
        <v>45504</v>
      </c>
      <c r="C3009">
        <v>50.721530914306641</v>
      </c>
      <c r="D3009">
        <f>_xlfn.XLOOKUP(B3009, Oil_Price!A:A, Oil_Price!B:B, "")</f>
        <v>77.910003662109375</v>
      </c>
      <c r="E3009">
        <f t="shared" si="184"/>
        <v>3.6076678282226944E-2</v>
      </c>
      <c r="F3009">
        <f t="shared" si="185"/>
        <v>4.2553193661548722E-2</v>
      </c>
      <c r="G3009">
        <f t="shared" si="186"/>
        <v>1.7661476135253906</v>
      </c>
      <c r="H3009">
        <f t="shared" si="187"/>
        <v>3.1800003051757812</v>
      </c>
    </row>
    <row r="3010" spans="1:8" x14ac:dyDescent="0.2">
      <c r="A3010" t="s">
        <v>13</v>
      </c>
      <c r="B3010" s="2">
        <v>45505</v>
      </c>
      <c r="C3010">
        <v>49.157745361328118</v>
      </c>
      <c r="D3010">
        <f>_xlfn.XLOOKUP(B3010, Oil_Price!A:A, Oil_Price!B:B, "")</f>
        <v>76.30999755859375</v>
      </c>
      <c r="E3010">
        <f t="shared" si="184"/>
        <v>-3.0830803502767255E-2</v>
      </c>
      <c r="F3010">
        <f t="shared" si="185"/>
        <v>-2.0536593868673753E-2</v>
      </c>
      <c r="G3010">
        <f t="shared" si="186"/>
        <v>-1.5637855529785227</v>
      </c>
      <c r="H3010">
        <f t="shared" si="187"/>
        <v>-1.600006103515625</v>
      </c>
    </row>
    <row r="3011" spans="1:8" x14ac:dyDescent="0.2">
      <c r="A3011" t="s">
        <v>13</v>
      </c>
      <c r="B3011" s="2">
        <v>45506</v>
      </c>
      <c r="C3011">
        <v>46.848884582519531</v>
      </c>
      <c r="D3011">
        <f>_xlfn.XLOOKUP(B3011, Oil_Price!A:A, Oil_Price!B:B, "")</f>
        <v>73.519996643066406</v>
      </c>
      <c r="E3011">
        <f t="shared" ref="E3011:E3074" si="188">IFERROR(IF(AND(A3011=A3010, C3011&lt;&gt;"", C3010&lt;&gt;""), (C3011-C3010)/C3010, ""), "")</f>
        <v>-4.6968402676680593E-2</v>
      </c>
      <c r="F3011">
        <f t="shared" ref="F3011:F3074" si="189">IFERROR(IF(AND(A3011=A3010, D3011&lt;&gt;"", D3010&lt;&gt;""), (D3011-D3010)/D3010, ""), "")</f>
        <v>-3.6561407479866234E-2</v>
      </c>
      <c r="G3011">
        <f t="shared" ref="G3011:G3074" si="190">IFERROR(IF(AND(A3011=A3010, C3011&lt;&gt;"", C3010&lt;&gt;""), C3011-C3010, ""), "")</f>
        <v>-2.3088607788085866</v>
      </c>
      <c r="H3011">
        <f t="shared" ref="H3011:H3074" si="191">IFERROR(IF(AND(A3011=A3010, D3011&lt;&gt;"", D3010&lt;&gt;""), D3011-D3010, ""), "")</f>
        <v>-2.7900009155273438</v>
      </c>
    </row>
    <row r="3012" spans="1:8" x14ac:dyDescent="0.2">
      <c r="A3012" t="s">
        <v>13</v>
      </c>
      <c r="B3012" s="2">
        <v>45510</v>
      </c>
      <c r="C3012">
        <v>46.885677337646477</v>
      </c>
      <c r="D3012">
        <f>_xlfn.XLOOKUP(B3012, Oil_Price!A:A, Oil_Price!B:B, "")</f>
        <v>73.199996948242188</v>
      </c>
      <c r="E3012">
        <f t="shared" si="188"/>
        <v>7.8534965036658098E-4</v>
      </c>
      <c r="F3012">
        <f t="shared" si="189"/>
        <v>-4.3525531751285465E-3</v>
      </c>
      <c r="G3012">
        <f t="shared" si="190"/>
        <v>3.679275512694602E-2</v>
      </c>
      <c r="H3012">
        <f t="shared" si="191"/>
        <v>-0.31999969482421875</v>
      </c>
    </row>
    <row r="3013" spans="1:8" x14ac:dyDescent="0.2">
      <c r="A3013" t="s">
        <v>13</v>
      </c>
      <c r="B3013" s="2">
        <v>45511</v>
      </c>
      <c r="C3013">
        <v>48.936985015869141</v>
      </c>
      <c r="D3013">
        <f>_xlfn.XLOOKUP(B3013, Oil_Price!A:A, Oil_Price!B:B, "")</f>
        <v>75.230003356933594</v>
      </c>
      <c r="E3013">
        <f t="shared" si="188"/>
        <v>4.3751264665543868E-2</v>
      </c>
      <c r="F3013">
        <f t="shared" si="189"/>
        <v>2.7732329143767193E-2</v>
      </c>
      <c r="G3013">
        <f t="shared" si="190"/>
        <v>2.0513076782226634</v>
      </c>
      <c r="H3013">
        <f t="shared" si="191"/>
        <v>2.0300064086914062</v>
      </c>
    </row>
    <row r="3014" spans="1:8" x14ac:dyDescent="0.2">
      <c r="A3014" t="s">
        <v>13</v>
      </c>
      <c r="B3014" s="2">
        <v>45512</v>
      </c>
      <c r="C3014">
        <v>50.252395629882812</v>
      </c>
      <c r="D3014">
        <f>_xlfn.XLOOKUP(B3014, Oil_Price!A:A, Oil_Price!B:B, "")</f>
        <v>76.19000244140625</v>
      </c>
      <c r="E3014">
        <f t="shared" si="188"/>
        <v>2.6879682383111964E-2</v>
      </c>
      <c r="F3014">
        <f t="shared" si="189"/>
        <v>1.2760853936399268E-2</v>
      </c>
      <c r="G3014">
        <f t="shared" si="190"/>
        <v>1.3154106140136719</v>
      </c>
      <c r="H3014">
        <f t="shared" si="191"/>
        <v>0.95999908447265625</v>
      </c>
    </row>
    <row r="3015" spans="1:8" x14ac:dyDescent="0.2">
      <c r="A3015" t="s">
        <v>13</v>
      </c>
      <c r="B3015" s="2">
        <v>45513</v>
      </c>
      <c r="C3015">
        <v>50.114414215087891</v>
      </c>
      <c r="D3015">
        <f>_xlfn.XLOOKUP(B3015, Oil_Price!A:A, Oil_Price!B:B, "")</f>
        <v>76.839996337890625</v>
      </c>
      <c r="E3015">
        <f t="shared" si="188"/>
        <v>-2.7457678995281691E-3</v>
      </c>
      <c r="F3015">
        <f t="shared" si="189"/>
        <v>8.5312229381309095E-3</v>
      </c>
      <c r="G3015">
        <f t="shared" si="190"/>
        <v>-0.13798141479492188</v>
      </c>
      <c r="H3015">
        <f t="shared" si="191"/>
        <v>0.649993896484375</v>
      </c>
    </row>
    <row r="3016" spans="1:8" x14ac:dyDescent="0.2">
      <c r="A3016" t="s">
        <v>13</v>
      </c>
      <c r="B3016" s="2">
        <v>45516</v>
      </c>
      <c r="C3016">
        <v>51.255054473876953</v>
      </c>
      <c r="D3016">
        <f>_xlfn.XLOOKUP(B3016, Oil_Price!A:A, Oil_Price!B:B, "")</f>
        <v>80.05999755859375</v>
      </c>
      <c r="E3016">
        <f t="shared" si="188"/>
        <v>2.2760722172537162E-2</v>
      </c>
      <c r="F3016">
        <f t="shared" si="189"/>
        <v>4.1905275561749444E-2</v>
      </c>
      <c r="G3016">
        <f t="shared" si="190"/>
        <v>1.1406402587890625</v>
      </c>
      <c r="H3016">
        <f t="shared" si="191"/>
        <v>3.220001220703125</v>
      </c>
    </row>
    <row r="3017" spans="1:8" x14ac:dyDescent="0.2">
      <c r="A3017" t="s">
        <v>13</v>
      </c>
      <c r="B3017" s="2">
        <v>45517</v>
      </c>
      <c r="C3017">
        <v>51.650592803955078</v>
      </c>
      <c r="D3017">
        <f>_xlfn.XLOOKUP(B3017, Oil_Price!A:A, Oil_Price!B:B, "")</f>
        <v>78.349998474121094</v>
      </c>
      <c r="E3017">
        <f t="shared" si="188"/>
        <v>7.7170599882928253E-3</v>
      </c>
      <c r="F3017">
        <f t="shared" si="189"/>
        <v>-2.1358969980247052E-2</v>
      </c>
      <c r="G3017">
        <f t="shared" si="190"/>
        <v>0.395538330078125</v>
      </c>
      <c r="H3017">
        <f t="shared" si="191"/>
        <v>-1.7099990844726562</v>
      </c>
    </row>
    <row r="3018" spans="1:8" x14ac:dyDescent="0.2">
      <c r="A3018" t="s">
        <v>13</v>
      </c>
      <c r="B3018" s="2">
        <v>45518</v>
      </c>
      <c r="C3018">
        <v>51.935752868652337</v>
      </c>
      <c r="D3018">
        <f>_xlfn.XLOOKUP(B3018, Oil_Price!A:A, Oil_Price!B:B, "")</f>
        <v>76.980003356933594</v>
      </c>
      <c r="E3018">
        <f t="shared" si="188"/>
        <v>5.520944663299639E-3</v>
      </c>
      <c r="F3018">
        <f t="shared" si="189"/>
        <v>-1.7485579372921209E-2</v>
      </c>
      <c r="G3018">
        <f t="shared" si="190"/>
        <v>0.28516006469725852</v>
      </c>
      <c r="H3018">
        <f t="shared" si="191"/>
        <v>-1.3699951171875</v>
      </c>
    </row>
    <row r="3019" spans="1:8" x14ac:dyDescent="0.2">
      <c r="A3019" t="s">
        <v>13</v>
      </c>
      <c r="B3019" s="2">
        <v>45519</v>
      </c>
      <c r="C3019">
        <v>52.570461273193359</v>
      </c>
      <c r="D3019">
        <f>_xlfn.XLOOKUP(B3019, Oil_Price!A:A, Oil_Price!B:B, "")</f>
        <v>78.160003662109375</v>
      </c>
      <c r="E3019">
        <f t="shared" si="188"/>
        <v>1.222103020526585E-2</v>
      </c>
      <c r="F3019">
        <f t="shared" si="189"/>
        <v>1.5328660089873828E-2</v>
      </c>
      <c r="G3019">
        <f t="shared" si="190"/>
        <v>0.63470840454102273</v>
      </c>
      <c r="H3019">
        <f t="shared" si="191"/>
        <v>1.1800003051757812</v>
      </c>
    </row>
    <row r="3020" spans="1:8" x14ac:dyDescent="0.2">
      <c r="A3020" t="s">
        <v>13</v>
      </c>
      <c r="B3020" s="2">
        <v>45520</v>
      </c>
      <c r="C3020">
        <v>52.036941528320312</v>
      </c>
      <c r="D3020">
        <f>_xlfn.XLOOKUP(B3020, Oil_Price!A:A, Oil_Price!B:B, "")</f>
        <v>76.650001525878906</v>
      </c>
      <c r="E3020">
        <f t="shared" si="188"/>
        <v>-1.0148660140159325E-2</v>
      </c>
      <c r="F3020">
        <f t="shared" si="189"/>
        <v>-1.9319371359785283E-2</v>
      </c>
      <c r="G3020">
        <f t="shared" si="190"/>
        <v>-0.53351974487304688</v>
      </c>
      <c r="H3020">
        <f t="shared" si="191"/>
        <v>-1.5100021362304688</v>
      </c>
    </row>
    <row r="3021" spans="1:8" x14ac:dyDescent="0.2">
      <c r="A3021" t="s">
        <v>13</v>
      </c>
      <c r="B3021" s="2">
        <v>45523</v>
      </c>
      <c r="C3021">
        <v>51.880565643310547</v>
      </c>
      <c r="D3021">
        <f>_xlfn.XLOOKUP(B3021, Oil_Price!A:A, Oil_Price!B:B, "")</f>
        <v>74.370002746582031</v>
      </c>
      <c r="E3021">
        <f t="shared" si="188"/>
        <v>-3.005093697227775E-3</v>
      </c>
      <c r="F3021">
        <f t="shared" si="189"/>
        <v>-2.974558035105964E-2</v>
      </c>
      <c r="G3021">
        <f t="shared" si="190"/>
        <v>-0.15637588500976562</v>
      </c>
      <c r="H3021">
        <f t="shared" si="191"/>
        <v>-2.279998779296875</v>
      </c>
    </row>
    <row r="3022" spans="1:8" x14ac:dyDescent="0.2">
      <c r="A3022" t="s">
        <v>13</v>
      </c>
      <c r="B3022" s="2">
        <v>45524</v>
      </c>
      <c r="C3022">
        <v>50.491558074951172</v>
      </c>
      <c r="D3022">
        <f>_xlfn.XLOOKUP(B3022, Oil_Price!A:A, Oil_Price!B:B, "")</f>
        <v>74.040000915527344</v>
      </c>
      <c r="E3022">
        <f t="shared" si="188"/>
        <v>-2.6773177029508214E-2</v>
      </c>
      <c r="F3022">
        <f t="shared" si="189"/>
        <v>-4.437297550992144E-3</v>
      </c>
      <c r="G3022">
        <f t="shared" si="190"/>
        <v>-1.389007568359375</v>
      </c>
      <c r="H3022">
        <f t="shared" si="191"/>
        <v>-0.3300018310546875</v>
      </c>
    </row>
    <row r="3023" spans="1:8" x14ac:dyDescent="0.2">
      <c r="A3023" t="s">
        <v>13</v>
      </c>
      <c r="B3023" s="2">
        <v>45525</v>
      </c>
      <c r="C3023">
        <v>50.344383239746087</v>
      </c>
      <c r="D3023">
        <f>_xlfn.XLOOKUP(B3023, Oil_Price!A:A, Oil_Price!B:B, "")</f>
        <v>71.930000305175781</v>
      </c>
      <c r="E3023">
        <f t="shared" si="188"/>
        <v>-2.9148404370214626E-3</v>
      </c>
      <c r="F3023">
        <f t="shared" si="189"/>
        <v>-2.8498117021350043E-2</v>
      </c>
      <c r="G3023">
        <f t="shared" si="190"/>
        <v>-0.14717483520508523</v>
      </c>
      <c r="H3023">
        <f t="shared" si="191"/>
        <v>-2.1100006103515625</v>
      </c>
    </row>
    <row r="3024" spans="1:8" x14ac:dyDescent="0.2">
      <c r="A3024" t="s">
        <v>13</v>
      </c>
      <c r="B3024" s="2">
        <v>45526</v>
      </c>
      <c r="C3024">
        <v>50.519161224365227</v>
      </c>
      <c r="D3024">
        <f>_xlfn.XLOOKUP(B3024, Oil_Price!A:A, Oil_Price!B:B, "")</f>
        <v>73.010002136230469</v>
      </c>
      <c r="E3024">
        <f t="shared" si="188"/>
        <v>3.4716481436832102E-3</v>
      </c>
      <c r="F3024">
        <f t="shared" si="189"/>
        <v>1.5014622917733745E-2</v>
      </c>
      <c r="G3024">
        <f t="shared" si="190"/>
        <v>0.17477798461914062</v>
      </c>
      <c r="H3024">
        <f t="shared" si="191"/>
        <v>1.0800018310546875</v>
      </c>
    </row>
    <row r="3025" spans="1:8" x14ac:dyDescent="0.2">
      <c r="A3025" t="s">
        <v>13</v>
      </c>
      <c r="B3025" s="2">
        <v>45527</v>
      </c>
      <c r="C3025">
        <v>50.758323669433587</v>
      </c>
      <c r="D3025">
        <f>_xlfn.XLOOKUP(B3025, Oil_Price!A:A, Oil_Price!B:B, "")</f>
        <v>74.830001831054688</v>
      </c>
      <c r="E3025">
        <f t="shared" si="188"/>
        <v>4.7340937432866978E-3</v>
      </c>
      <c r="F3025">
        <f t="shared" si="189"/>
        <v>2.4928087132886995E-2</v>
      </c>
      <c r="G3025">
        <f t="shared" si="190"/>
        <v>0.23916244506835938</v>
      </c>
      <c r="H3025">
        <f t="shared" si="191"/>
        <v>1.8199996948242188</v>
      </c>
    </row>
    <row r="3026" spans="1:8" x14ac:dyDescent="0.2">
      <c r="A3026" t="s">
        <v>13</v>
      </c>
      <c r="B3026" s="2">
        <v>45530</v>
      </c>
      <c r="C3026">
        <v>51.751773834228523</v>
      </c>
      <c r="D3026">
        <f>_xlfn.XLOOKUP(B3026, Oil_Price!A:A, Oil_Price!B:B, "")</f>
        <v>77.419998168945312</v>
      </c>
      <c r="E3026">
        <f t="shared" si="188"/>
        <v>1.9572162612477823E-2</v>
      </c>
      <c r="F3026">
        <f t="shared" si="189"/>
        <v>3.4611736930571187E-2</v>
      </c>
      <c r="G3026">
        <f t="shared" si="190"/>
        <v>0.99345016479493609</v>
      </c>
      <c r="H3026">
        <f t="shared" si="191"/>
        <v>2.589996337890625</v>
      </c>
    </row>
    <row r="3027" spans="1:8" x14ac:dyDescent="0.2">
      <c r="A3027" t="s">
        <v>13</v>
      </c>
      <c r="B3027" s="2">
        <v>45531</v>
      </c>
      <c r="C3027">
        <v>50.500762939453118</v>
      </c>
      <c r="D3027">
        <f>_xlfn.XLOOKUP(B3027, Oil_Price!A:A, Oil_Price!B:B, "")</f>
        <v>75.529998779296875</v>
      </c>
      <c r="E3027">
        <f t="shared" si="188"/>
        <v>-2.4173294982750691E-2</v>
      </c>
      <c r="F3027">
        <f t="shared" si="189"/>
        <v>-2.4412289257926559E-2</v>
      </c>
      <c r="G3027">
        <f t="shared" si="190"/>
        <v>-1.2510108947754048</v>
      </c>
      <c r="H3027">
        <f t="shared" si="191"/>
        <v>-1.8899993896484375</v>
      </c>
    </row>
    <row r="3028" spans="1:8" x14ac:dyDescent="0.2">
      <c r="A3028" t="s">
        <v>13</v>
      </c>
      <c r="B3028" s="2">
        <v>45532</v>
      </c>
      <c r="C3028">
        <v>50.362785339355469</v>
      </c>
      <c r="D3028">
        <f>_xlfn.XLOOKUP(B3028, Oil_Price!A:A, Oil_Price!B:B, "")</f>
        <v>74.519996643066406</v>
      </c>
      <c r="E3028">
        <f t="shared" si="188"/>
        <v>-2.7321884277882028E-3</v>
      </c>
      <c r="F3028">
        <f t="shared" si="189"/>
        <v>-1.3372198498000176E-2</v>
      </c>
      <c r="G3028">
        <f t="shared" si="190"/>
        <v>-0.13797760009764914</v>
      </c>
      <c r="H3028">
        <f t="shared" si="191"/>
        <v>-1.0100021362304688</v>
      </c>
    </row>
    <row r="3029" spans="1:8" x14ac:dyDescent="0.2">
      <c r="A3029" t="s">
        <v>13</v>
      </c>
      <c r="B3029" s="2">
        <v>45533</v>
      </c>
      <c r="C3029">
        <v>50.841110229492188</v>
      </c>
      <c r="D3029">
        <f>_xlfn.XLOOKUP(B3029, Oil_Price!A:A, Oil_Price!B:B, "")</f>
        <v>75.910003662109375</v>
      </c>
      <c r="E3029">
        <f t="shared" si="188"/>
        <v>9.4975861027872255E-3</v>
      </c>
      <c r="F3029">
        <f t="shared" si="189"/>
        <v>1.8652805712012867E-2</v>
      </c>
      <c r="G3029">
        <f t="shared" si="190"/>
        <v>0.47832489013671875</v>
      </c>
      <c r="H3029">
        <f t="shared" si="191"/>
        <v>1.3900070190429688</v>
      </c>
    </row>
    <row r="3030" spans="1:8" x14ac:dyDescent="0.2">
      <c r="A3030" t="s">
        <v>13</v>
      </c>
      <c r="B3030" s="2">
        <v>45534</v>
      </c>
      <c r="C3030">
        <v>50.279991149902337</v>
      </c>
      <c r="D3030">
        <f>_xlfn.XLOOKUP(B3030, Oil_Price!A:A, Oil_Price!B:B, "")</f>
        <v>73.550003051757812</v>
      </c>
      <c r="E3030">
        <f t="shared" si="188"/>
        <v>-1.1036719636078164E-2</v>
      </c>
      <c r="F3030">
        <f t="shared" si="189"/>
        <v>-3.1089454571184026E-2</v>
      </c>
      <c r="G3030">
        <f t="shared" si="190"/>
        <v>-0.56111907958985086</v>
      </c>
      <c r="H3030">
        <f t="shared" si="191"/>
        <v>-2.3600006103515625</v>
      </c>
    </row>
    <row r="3031" spans="1:8" x14ac:dyDescent="0.2">
      <c r="A3031" t="s">
        <v>13</v>
      </c>
      <c r="B3031" s="2">
        <v>45538</v>
      </c>
      <c r="C3031">
        <v>49.516502380371087</v>
      </c>
      <c r="D3031">
        <f>_xlfn.XLOOKUP(B3031, Oil_Price!A:A, Oil_Price!B:B, "")</f>
        <v>70.339996337890625</v>
      </c>
      <c r="E3031">
        <f t="shared" si="188"/>
        <v>-1.5184743514672099E-2</v>
      </c>
      <c r="F3031">
        <f t="shared" si="189"/>
        <v>-4.3643869213822822E-2</v>
      </c>
      <c r="G3031">
        <f t="shared" si="190"/>
        <v>-0.76348876953125</v>
      </c>
      <c r="H3031">
        <f t="shared" si="191"/>
        <v>-3.2100067138671875</v>
      </c>
    </row>
    <row r="3032" spans="1:8" x14ac:dyDescent="0.2">
      <c r="A3032" t="s">
        <v>13</v>
      </c>
      <c r="B3032" s="2">
        <v>45539</v>
      </c>
      <c r="C3032">
        <v>48.768436431884773</v>
      </c>
      <c r="D3032">
        <f>_xlfn.XLOOKUP(B3032, Oil_Price!A:A, Oil_Price!B:B, "")</f>
        <v>69.199996948242188</v>
      </c>
      <c r="E3032">
        <f t="shared" si="188"/>
        <v>-1.510740687498267E-2</v>
      </c>
      <c r="F3032">
        <f t="shared" si="189"/>
        <v>-1.6206986764290526E-2</v>
      </c>
      <c r="G3032">
        <f t="shared" si="190"/>
        <v>-0.74806594848631391</v>
      </c>
      <c r="H3032">
        <f t="shared" si="191"/>
        <v>-1.1399993896484375</v>
      </c>
    </row>
    <row r="3033" spans="1:8" x14ac:dyDescent="0.2">
      <c r="A3033" t="s">
        <v>13</v>
      </c>
      <c r="B3033" s="2">
        <v>45540</v>
      </c>
      <c r="C3033">
        <v>47.709053039550781</v>
      </c>
      <c r="D3033">
        <f>_xlfn.XLOOKUP(B3033, Oil_Price!A:A, Oil_Price!B:B, "")</f>
        <v>69.150001525878906</v>
      </c>
      <c r="E3033">
        <f t="shared" si="188"/>
        <v>-2.1722726210704743E-2</v>
      </c>
      <c r="F3033">
        <f t="shared" si="189"/>
        <v>-7.2247723364316169E-4</v>
      </c>
      <c r="G3033">
        <f t="shared" si="190"/>
        <v>-1.0593833923339915</v>
      </c>
      <c r="H3033">
        <f t="shared" si="191"/>
        <v>-4.999542236328125E-2</v>
      </c>
    </row>
    <row r="3034" spans="1:8" x14ac:dyDescent="0.2">
      <c r="A3034" t="s">
        <v>13</v>
      </c>
      <c r="B3034" s="2">
        <v>45541</v>
      </c>
      <c r="C3034">
        <v>47.058563232421882</v>
      </c>
      <c r="D3034">
        <f>_xlfn.XLOOKUP(B3034, Oil_Price!A:A, Oil_Price!B:B, "")</f>
        <v>67.669998168945312</v>
      </c>
      <c r="E3034">
        <f t="shared" si="188"/>
        <v>-1.3634515164022296E-2</v>
      </c>
      <c r="F3034">
        <f t="shared" si="189"/>
        <v>-2.1402795723434842E-2</v>
      </c>
      <c r="G3034">
        <f t="shared" si="190"/>
        <v>-0.65048980712889914</v>
      </c>
      <c r="H3034">
        <f t="shared" si="191"/>
        <v>-1.4800033569335938</v>
      </c>
    </row>
    <row r="3035" spans="1:8" x14ac:dyDescent="0.2">
      <c r="A3035" t="s">
        <v>13</v>
      </c>
      <c r="B3035" s="2">
        <v>45544</v>
      </c>
      <c r="C3035">
        <v>47.123615264892578</v>
      </c>
      <c r="D3035">
        <f>_xlfn.XLOOKUP(B3035, Oil_Price!A:A, Oil_Price!B:B, "")</f>
        <v>68.709999084472656</v>
      </c>
      <c r="E3035">
        <f t="shared" si="188"/>
        <v>1.3823633362838668E-3</v>
      </c>
      <c r="F3035">
        <f t="shared" si="189"/>
        <v>1.5368714994359411E-2</v>
      </c>
      <c r="G3035">
        <f t="shared" si="190"/>
        <v>6.505203247069602E-2</v>
      </c>
      <c r="H3035">
        <f t="shared" si="191"/>
        <v>1.0400009155273438</v>
      </c>
    </row>
    <row r="3036" spans="1:8" x14ac:dyDescent="0.2">
      <c r="A3036" t="s">
        <v>13</v>
      </c>
      <c r="B3036" s="2">
        <v>45545</v>
      </c>
      <c r="C3036">
        <v>45.627471923828118</v>
      </c>
      <c r="D3036">
        <f>_xlfn.XLOOKUP(B3036, Oil_Price!A:A, Oil_Price!B:B, "")</f>
        <v>65.75</v>
      </c>
      <c r="E3036">
        <f t="shared" si="188"/>
        <v>-3.174933274228426E-2</v>
      </c>
      <c r="F3036">
        <f t="shared" si="189"/>
        <v>-4.3079597204383722E-2</v>
      </c>
      <c r="G3036">
        <f t="shared" si="190"/>
        <v>-1.4961433410644602</v>
      </c>
      <c r="H3036">
        <f t="shared" si="191"/>
        <v>-2.9599990844726562</v>
      </c>
    </row>
    <row r="3037" spans="1:8" x14ac:dyDescent="0.2">
      <c r="A3037" t="s">
        <v>13</v>
      </c>
      <c r="B3037" s="2">
        <v>45546</v>
      </c>
      <c r="C3037">
        <v>45.497371673583977</v>
      </c>
      <c r="D3037">
        <f>_xlfn.XLOOKUP(B3037, Oil_Price!A:A, Oil_Price!B:B, "")</f>
        <v>67.30999755859375</v>
      </c>
      <c r="E3037">
        <f t="shared" si="188"/>
        <v>-2.8513578499666588E-3</v>
      </c>
      <c r="F3037">
        <f t="shared" si="189"/>
        <v>2.3726198609790874E-2</v>
      </c>
      <c r="G3037">
        <f t="shared" si="190"/>
        <v>-0.13010025024414062</v>
      </c>
      <c r="H3037">
        <f t="shared" si="191"/>
        <v>1.55999755859375</v>
      </c>
    </row>
    <row r="3038" spans="1:8" x14ac:dyDescent="0.2">
      <c r="A3038" t="s">
        <v>13</v>
      </c>
      <c r="B3038" s="2">
        <v>45547</v>
      </c>
      <c r="C3038">
        <v>45.8226318359375</v>
      </c>
      <c r="D3038">
        <f>_xlfn.XLOOKUP(B3038, Oil_Price!A:A, Oil_Price!B:B, "")</f>
        <v>68.970001220703125</v>
      </c>
      <c r="E3038">
        <f t="shared" si="188"/>
        <v>7.1489879610423862E-3</v>
      </c>
      <c r="F3038">
        <f t="shared" si="189"/>
        <v>2.4662066889310642E-2</v>
      </c>
      <c r="G3038">
        <f t="shared" si="190"/>
        <v>0.32526016235352273</v>
      </c>
      <c r="H3038">
        <f t="shared" si="191"/>
        <v>1.660003662109375</v>
      </c>
    </row>
    <row r="3039" spans="1:8" x14ac:dyDescent="0.2">
      <c r="A3039" t="s">
        <v>13</v>
      </c>
      <c r="B3039" s="2">
        <v>45548</v>
      </c>
      <c r="C3039">
        <v>46.027061462402337</v>
      </c>
      <c r="D3039">
        <f>_xlfn.XLOOKUP(B3039, Oil_Price!A:A, Oil_Price!B:B, "")</f>
        <v>68.650001525878906</v>
      </c>
      <c r="E3039">
        <f t="shared" si="188"/>
        <v>4.4613244214512316E-3</v>
      </c>
      <c r="F3039">
        <f t="shared" si="189"/>
        <v>-4.6396939127233564E-3</v>
      </c>
      <c r="G3039">
        <f t="shared" si="190"/>
        <v>0.20442962646483664</v>
      </c>
      <c r="H3039">
        <f t="shared" si="191"/>
        <v>-0.31999969482421875</v>
      </c>
    </row>
    <row r="3040" spans="1:8" x14ac:dyDescent="0.2">
      <c r="A3040" t="s">
        <v>13</v>
      </c>
      <c r="B3040" s="2">
        <v>45551</v>
      </c>
      <c r="C3040">
        <v>46.389488220214837</v>
      </c>
      <c r="D3040">
        <f>_xlfn.XLOOKUP(B3040, Oil_Price!A:A, Oil_Price!B:B, "")</f>
        <v>70.089996337890625</v>
      </c>
      <c r="E3040">
        <f t="shared" si="188"/>
        <v>7.8742102210577116E-3</v>
      </c>
      <c r="F3040">
        <f t="shared" si="189"/>
        <v>2.097588900225859E-2</v>
      </c>
      <c r="G3040">
        <f t="shared" si="190"/>
        <v>0.3624267578125</v>
      </c>
      <c r="H3040">
        <f t="shared" si="191"/>
        <v>1.4399948120117188</v>
      </c>
    </row>
    <row r="3041" spans="1:8" x14ac:dyDescent="0.2">
      <c r="A3041" t="s">
        <v>13</v>
      </c>
      <c r="B3041" s="2">
        <v>45552</v>
      </c>
      <c r="C3041">
        <v>47.0771484375</v>
      </c>
      <c r="D3041">
        <f>_xlfn.XLOOKUP(B3041, Oil_Price!A:A, Oil_Price!B:B, "")</f>
        <v>71.19000244140625</v>
      </c>
      <c r="E3041">
        <f t="shared" si="188"/>
        <v>1.4823621550226681E-2</v>
      </c>
      <c r="F3041">
        <f t="shared" si="189"/>
        <v>1.5694195477093529E-2</v>
      </c>
      <c r="G3041">
        <f t="shared" si="190"/>
        <v>0.68766021728516336</v>
      </c>
      <c r="H3041">
        <f t="shared" si="191"/>
        <v>1.100006103515625</v>
      </c>
    </row>
    <row r="3042" spans="1:8" x14ac:dyDescent="0.2">
      <c r="A3042" t="s">
        <v>13</v>
      </c>
      <c r="B3042" s="2">
        <v>45553</v>
      </c>
      <c r="C3042">
        <v>46.798362731933587</v>
      </c>
      <c r="D3042">
        <f>_xlfn.XLOOKUP(B3042, Oil_Price!A:A, Oil_Price!B:B, "")</f>
        <v>70.910003662109375</v>
      </c>
      <c r="E3042">
        <f t="shared" si="188"/>
        <v>-5.9218902337836261E-3</v>
      </c>
      <c r="F3042">
        <f t="shared" si="189"/>
        <v>-3.9331193945010921E-3</v>
      </c>
      <c r="G3042">
        <f t="shared" si="190"/>
        <v>-0.27878570556641336</v>
      </c>
      <c r="H3042">
        <f t="shared" si="191"/>
        <v>-0.279998779296875</v>
      </c>
    </row>
    <row r="3043" spans="1:8" x14ac:dyDescent="0.2">
      <c r="A3043" t="s">
        <v>13</v>
      </c>
      <c r="B3043" s="2">
        <v>45554</v>
      </c>
      <c r="C3043">
        <v>47.513908386230469</v>
      </c>
      <c r="D3043">
        <f>_xlfn.XLOOKUP(B3043, Oil_Price!A:A, Oil_Price!B:B, "")</f>
        <v>71.949996948242188</v>
      </c>
      <c r="E3043">
        <f t="shared" si="188"/>
        <v>1.5289971967515404E-2</v>
      </c>
      <c r="F3043">
        <f t="shared" si="189"/>
        <v>1.4666383195923186E-2</v>
      </c>
      <c r="G3043">
        <f t="shared" si="190"/>
        <v>0.71554565429688211</v>
      </c>
      <c r="H3043">
        <f t="shared" si="191"/>
        <v>1.0399932861328125</v>
      </c>
    </row>
    <row r="3044" spans="1:8" x14ac:dyDescent="0.2">
      <c r="A3044" t="s">
        <v>13</v>
      </c>
      <c r="B3044" s="2">
        <v>45555</v>
      </c>
      <c r="C3044">
        <v>46.900596618652337</v>
      </c>
      <c r="D3044">
        <f>_xlfn.XLOOKUP(B3044, Oil_Price!A:A, Oil_Price!B:B, "")</f>
        <v>71.919998168945312</v>
      </c>
      <c r="E3044">
        <f t="shared" si="188"/>
        <v>-1.2908047104705658E-2</v>
      </c>
      <c r="F3044">
        <f t="shared" si="189"/>
        <v>-4.1693927128940485E-4</v>
      </c>
      <c r="G3044">
        <f t="shared" si="190"/>
        <v>-0.61331176757813211</v>
      </c>
      <c r="H3044">
        <f t="shared" si="191"/>
        <v>-2.9998779296875E-2</v>
      </c>
    </row>
    <row r="3045" spans="1:8" x14ac:dyDescent="0.2">
      <c r="A3045" t="s">
        <v>13</v>
      </c>
      <c r="B3045" s="2">
        <v>45558</v>
      </c>
      <c r="C3045">
        <v>47.504615783691413</v>
      </c>
      <c r="D3045">
        <f>_xlfn.XLOOKUP(B3045, Oil_Price!A:A, Oil_Price!B:B, "")</f>
        <v>70.370002746582031</v>
      </c>
      <c r="E3045">
        <f t="shared" si="188"/>
        <v>1.287870962389546E-2</v>
      </c>
      <c r="F3045">
        <f t="shared" si="189"/>
        <v>-2.1551661037618897E-2</v>
      </c>
      <c r="G3045">
        <f t="shared" si="190"/>
        <v>0.60401916503907671</v>
      </c>
      <c r="H3045">
        <f t="shared" si="191"/>
        <v>-1.5499954223632812</v>
      </c>
    </row>
    <row r="3046" spans="1:8" x14ac:dyDescent="0.2">
      <c r="A3046" t="s">
        <v>13</v>
      </c>
      <c r="B3046" s="2">
        <v>45559</v>
      </c>
      <c r="C3046">
        <v>47.699764251708977</v>
      </c>
      <c r="D3046">
        <f>_xlfn.XLOOKUP(B3046, Oil_Price!A:A, Oil_Price!B:B, "")</f>
        <v>71.55999755859375</v>
      </c>
      <c r="E3046">
        <f t="shared" si="188"/>
        <v>4.1079896089709963E-3</v>
      </c>
      <c r="F3046">
        <f t="shared" si="189"/>
        <v>1.6910540934567727E-2</v>
      </c>
      <c r="G3046">
        <f t="shared" si="190"/>
        <v>0.19514846801756391</v>
      </c>
      <c r="H3046">
        <f t="shared" si="191"/>
        <v>1.1899948120117188</v>
      </c>
    </row>
    <row r="3047" spans="1:8" x14ac:dyDescent="0.2">
      <c r="A3047" t="s">
        <v>13</v>
      </c>
      <c r="B3047" s="2">
        <v>45560</v>
      </c>
      <c r="C3047">
        <v>46.900596618652337</v>
      </c>
      <c r="D3047">
        <f>_xlfn.XLOOKUP(B3047, Oil_Price!A:A, Oil_Price!B:B, "")</f>
        <v>69.69000244140625</v>
      </c>
      <c r="E3047">
        <f t="shared" si="188"/>
        <v>-1.6754121232957837E-2</v>
      </c>
      <c r="F3047">
        <f t="shared" si="189"/>
        <v>-2.613184992993239E-2</v>
      </c>
      <c r="G3047">
        <f t="shared" si="190"/>
        <v>-0.79916763305664062</v>
      </c>
      <c r="H3047">
        <f t="shared" si="191"/>
        <v>-1.8699951171875</v>
      </c>
    </row>
    <row r="3048" spans="1:8" x14ac:dyDescent="0.2">
      <c r="A3048" t="s">
        <v>13</v>
      </c>
      <c r="B3048" s="2">
        <v>45561</v>
      </c>
      <c r="C3048">
        <v>45.701816558837891</v>
      </c>
      <c r="D3048">
        <f>_xlfn.XLOOKUP(B3048, Oil_Price!A:A, Oil_Price!B:B, "")</f>
        <v>67.669998168945312</v>
      </c>
      <c r="E3048">
        <f t="shared" si="188"/>
        <v>-2.5560017275722501E-2</v>
      </c>
      <c r="F3048">
        <f t="shared" si="189"/>
        <v>-2.8985567537600686E-2</v>
      </c>
      <c r="G3048">
        <f t="shared" si="190"/>
        <v>-1.198780059814446</v>
      </c>
      <c r="H3048">
        <f t="shared" si="191"/>
        <v>-2.0200042724609375</v>
      </c>
    </row>
    <row r="3049" spans="1:8" x14ac:dyDescent="0.2">
      <c r="A3049" t="s">
        <v>13</v>
      </c>
      <c r="B3049" s="2">
        <v>45562</v>
      </c>
      <c r="C3049">
        <v>46.259387969970703</v>
      </c>
      <c r="D3049">
        <f>_xlfn.XLOOKUP(B3049, Oil_Price!A:A, Oil_Price!B:B, "")</f>
        <v>68.180000305175781</v>
      </c>
      <c r="E3049">
        <f t="shared" si="188"/>
        <v>1.220020237959203E-2</v>
      </c>
      <c r="F3049">
        <f t="shared" si="189"/>
        <v>7.5366063252609297E-3</v>
      </c>
      <c r="G3049">
        <f t="shared" si="190"/>
        <v>0.5575714111328125</v>
      </c>
      <c r="H3049">
        <f t="shared" si="191"/>
        <v>0.51000213623046875</v>
      </c>
    </row>
    <row r="3050" spans="1:8" x14ac:dyDescent="0.2">
      <c r="A3050" t="s">
        <v>13</v>
      </c>
      <c r="B3050" s="2">
        <v>45565</v>
      </c>
      <c r="C3050">
        <v>46.389488220214837</v>
      </c>
      <c r="D3050">
        <f>_xlfn.XLOOKUP(B3050, Oil_Price!A:A, Oil_Price!B:B, "")</f>
        <v>68.169998168945312</v>
      </c>
      <c r="E3050">
        <f t="shared" si="188"/>
        <v>2.8124075123645851E-3</v>
      </c>
      <c r="F3050">
        <f t="shared" si="189"/>
        <v>-1.4670190944116867E-4</v>
      </c>
      <c r="G3050">
        <f t="shared" si="190"/>
        <v>0.13010025024413352</v>
      </c>
      <c r="H3050">
        <f t="shared" si="191"/>
        <v>-1.000213623046875E-2</v>
      </c>
    </row>
    <row r="3051" spans="1:8" x14ac:dyDescent="0.2">
      <c r="A3051" t="s">
        <v>13</v>
      </c>
      <c r="B3051" s="2">
        <v>45566</v>
      </c>
      <c r="C3051">
        <v>48.248035430908203</v>
      </c>
      <c r="D3051">
        <f>_xlfn.XLOOKUP(B3051, Oil_Price!A:A, Oil_Price!B:B, "")</f>
        <v>69.830001831054688</v>
      </c>
      <c r="E3051">
        <f t="shared" si="188"/>
        <v>4.0063973154234538E-2</v>
      </c>
      <c r="F3051">
        <f t="shared" si="189"/>
        <v>2.4350941861482782E-2</v>
      </c>
      <c r="G3051">
        <f t="shared" si="190"/>
        <v>1.8585472106933665</v>
      </c>
      <c r="H3051">
        <f t="shared" si="191"/>
        <v>1.660003662109375</v>
      </c>
    </row>
    <row r="3052" spans="1:8" x14ac:dyDescent="0.2">
      <c r="A3052" t="s">
        <v>13</v>
      </c>
      <c r="B3052" s="2">
        <v>45567</v>
      </c>
      <c r="C3052">
        <v>48.489646911621087</v>
      </c>
      <c r="D3052">
        <f>_xlfn.XLOOKUP(B3052, Oil_Price!A:A, Oil_Price!B:B, "")</f>
        <v>70.099998474121094</v>
      </c>
      <c r="E3052">
        <f t="shared" si="188"/>
        <v>5.007695723878213E-3</v>
      </c>
      <c r="F3052">
        <f t="shared" si="189"/>
        <v>3.8664848344072901E-3</v>
      </c>
      <c r="G3052">
        <f t="shared" si="190"/>
        <v>0.24161148071288352</v>
      </c>
      <c r="H3052">
        <f t="shared" si="191"/>
        <v>0.26999664306640625</v>
      </c>
    </row>
    <row r="3053" spans="1:8" x14ac:dyDescent="0.2">
      <c r="A3053" t="s">
        <v>13</v>
      </c>
      <c r="B3053" s="2">
        <v>45568</v>
      </c>
      <c r="C3053">
        <v>49.790634155273438</v>
      </c>
      <c r="D3053">
        <f>_xlfn.XLOOKUP(B3053, Oil_Price!A:A, Oil_Price!B:B, "")</f>
        <v>73.709999084472656</v>
      </c>
      <c r="E3053">
        <f t="shared" si="188"/>
        <v>2.6830206580459853E-2</v>
      </c>
      <c r="F3053">
        <f t="shared" si="189"/>
        <v>5.1497870027547445E-2</v>
      </c>
      <c r="G3053">
        <f t="shared" si="190"/>
        <v>1.3009872436523509</v>
      </c>
      <c r="H3053">
        <f t="shared" si="191"/>
        <v>3.6100006103515625</v>
      </c>
    </row>
    <row r="3054" spans="1:8" x14ac:dyDescent="0.2">
      <c r="A3054" t="s">
        <v>13</v>
      </c>
      <c r="B3054" s="2">
        <v>45569</v>
      </c>
      <c r="C3054">
        <v>50.394664764404297</v>
      </c>
      <c r="D3054">
        <f>_xlfn.XLOOKUP(B3054, Oil_Price!A:A, Oil_Price!B:B, "")</f>
        <v>74.379997253417969</v>
      </c>
      <c r="E3054">
        <f t="shared" si="188"/>
        <v>1.213141024167665E-2</v>
      </c>
      <c r="F3054">
        <f t="shared" si="189"/>
        <v>9.0896510279085147E-3</v>
      </c>
      <c r="G3054">
        <f t="shared" si="190"/>
        <v>0.60403060913085938</v>
      </c>
      <c r="H3054">
        <f t="shared" si="191"/>
        <v>0.6699981689453125</v>
      </c>
    </row>
    <row r="3055" spans="1:8" x14ac:dyDescent="0.2">
      <c r="A3055" t="s">
        <v>13</v>
      </c>
      <c r="B3055" s="2">
        <v>45572</v>
      </c>
      <c r="C3055">
        <v>51.268184661865227</v>
      </c>
      <c r="D3055">
        <f>_xlfn.XLOOKUP(B3055, Oil_Price!A:A, Oil_Price!B:B, "")</f>
        <v>77.139999389648438</v>
      </c>
      <c r="E3055">
        <f t="shared" si="188"/>
        <v>1.7333578892619828E-2</v>
      </c>
      <c r="F3055">
        <f t="shared" si="189"/>
        <v>3.7106779216822823E-2</v>
      </c>
      <c r="G3055">
        <f t="shared" si="190"/>
        <v>0.87351989746093039</v>
      </c>
      <c r="H3055">
        <f t="shared" si="191"/>
        <v>2.7600021362304688</v>
      </c>
    </row>
    <row r="3056" spans="1:8" x14ac:dyDescent="0.2">
      <c r="A3056" t="s">
        <v>13</v>
      </c>
      <c r="B3056" s="2">
        <v>45573</v>
      </c>
      <c r="C3056">
        <v>49.7999267578125</v>
      </c>
      <c r="D3056">
        <f>_xlfn.XLOOKUP(B3056, Oil_Price!A:A, Oil_Price!B:B, "")</f>
        <v>73.569999694824219</v>
      </c>
      <c r="E3056">
        <f t="shared" si="188"/>
        <v>-2.8638773027297382E-2</v>
      </c>
      <c r="F3056">
        <f t="shared" si="189"/>
        <v>-4.6279488243077219E-2</v>
      </c>
      <c r="G3056">
        <f t="shared" si="190"/>
        <v>-1.4682579040527273</v>
      </c>
      <c r="H3056">
        <f t="shared" si="191"/>
        <v>-3.5699996948242188</v>
      </c>
    </row>
    <row r="3057" spans="1:8" x14ac:dyDescent="0.2">
      <c r="A3057" t="s">
        <v>13</v>
      </c>
      <c r="B3057" s="2">
        <v>45574</v>
      </c>
      <c r="C3057">
        <v>50.376079559326172</v>
      </c>
      <c r="D3057">
        <f>_xlfn.XLOOKUP(B3057, Oil_Price!A:A, Oil_Price!B:B, "")</f>
        <v>73.239997863769531</v>
      </c>
      <c r="E3057">
        <f t="shared" si="188"/>
        <v>1.1569350379080353E-2</v>
      </c>
      <c r="F3057">
        <f t="shared" si="189"/>
        <v>-4.485548897968851E-3</v>
      </c>
      <c r="G3057">
        <f t="shared" si="190"/>
        <v>0.57615280151367188</v>
      </c>
      <c r="H3057">
        <f t="shared" si="191"/>
        <v>-0.3300018310546875</v>
      </c>
    </row>
    <row r="3058" spans="1:8" x14ac:dyDescent="0.2">
      <c r="A3058" t="s">
        <v>13</v>
      </c>
      <c r="B3058" s="2">
        <v>45575</v>
      </c>
      <c r="C3058">
        <v>51.695659637451172</v>
      </c>
      <c r="D3058">
        <f>_xlfn.XLOOKUP(B3058, Oil_Price!A:A, Oil_Price!B:B, "")</f>
        <v>75.849998474121094</v>
      </c>
      <c r="E3058">
        <f t="shared" si="188"/>
        <v>2.6194576665517926E-2</v>
      </c>
      <c r="F3058">
        <f t="shared" si="189"/>
        <v>3.5636273709432773E-2</v>
      </c>
      <c r="G3058">
        <f t="shared" si="190"/>
        <v>1.319580078125</v>
      </c>
      <c r="H3058">
        <f t="shared" si="191"/>
        <v>2.6100006103515625</v>
      </c>
    </row>
    <row r="3059" spans="1:8" x14ac:dyDescent="0.2">
      <c r="A3059" t="s">
        <v>13</v>
      </c>
      <c r="B3059" s="2">
        <v>45576</v>
      </c>
      <c r="C3059">
        <v>51.686363220214837</v>
      </c>
      <c r="D3059">
        <f>_xlfn.XLOOKUP(B3059, Oil_Price!A:A, Oil_Price!B:B, "")</f>
        <v>75.55999755859375</v>
      </c>
      <c r="E3059">
        <f t="shared" si="188"/>
        <v>-1.7982974395785436E-4</v>
      </c>
      <c r="F3059">
        <f t="shared" si="189"/>
        <v>-3.8233476778023641E-3</v>
      </c>
      <c r="G3059">
        <f t="shared" si="190"/>
        <v>-9.2964172363352304E-3</v>
      </c>
      <c r="H3059">
        <f t="shared" si="191"/>
        <v>-0.29000091552734375</v>
      </c>
    </row>
    <row r="3060" spans="1:8" x14ac:dyDescent="0.2">
      <c r="A3060" t="s">
        <v>13</v>
      </c>
      <c r="B3060" s="2">
        <v>45580</v>
      </c>
      <c r="C3060">
        <v>49.047214508056641</v>
      </c>
      <c r="D3060">
        <f>_xlfn.XLOOKUP(B3060, Oil_Price!A:A, Oil_Price!B:B, "")</f>
        <v>70.580001831054688</v>
      </c>
      <c r="E3060">
        <f t="shared" si="188"/>
        <v>-5.1060832059586843E-2</v>
      </c>
      <c r="F3060">
        <f t="shared" si="189"/>
        <v>-6.5907833356893319E-2</v>
      </c>
      <c r="G3060">
        <f t="shared" si="190"/>
        <v>-2.639148712158196</v>
      </c>
      <c r="H3060">
        <f t="shared" si="191"/>
        <v>-4.9799957275390625</v>
      </c>
    </row>
    <row r="3061" spans="1:8" x14ac:dyDescent="0.2">
      <c r="A3061" t="s">
        <v>13</v>
      </c>
      <c r="B3061" s="2">
        <v>45581</v>
      </c>
      <c r="C3061">
        <v>49.391048431396477</v>
      </c>
      <c r="D3061">
        <f>_xlfn.XLOOKUP(B3061, Oil_Price!A:A, Oil_Price!B:B, "")</f>
        <v>70.389999389648438</v>
      </c>
      <c r="E3061">
        <f t="shared" si="188"/>
        <v>7.0102640239306036E-3</v>
      </c>
      <c r="F3061">
        <f t="shared" si="189"/>
        <v>-2.6920152518705421E-3</v>
      </c>
      <c r="G3061">
        <f t="shared" si="190"/>
        <v>0.34383392333983664</v>
      </c>
      <c r="H3061">
        <f t="shared" si="191"/>
        <v>-0.19000244140625</v>
      </c>
    </row>
    <row r="3062" spans="1:8" x14ac:dyDescent="0.2">
      <c r="A3062" t="s">
        <v>13</v>
      </c>
      <c r="B3062" s="2">
        <v>45582</v>
      </c>
      <c r="C3062">
        <v>49.985786437988281</v>
      </c>
      <c r="D3062">
        <f>_xlfn.XLOOKUP(B3062, Oil_Price!A:A, Oil_Price!B:B, "")</f>
        <v>70.669998168945312</v>
      </c>
      <c r="E3062">
        <f t="shared" si="188"/>
        <v>1.2041412877029475E-2</v>
      </c>
      <c r="F3062">
        <f t="shared" si="189"/>
        <v>3.9778204535409001E-3</v>
      </c>
      <c r="G3062">
        <f t="shared" si="190"/>
        <v>0.59473800659180398</v>
      </c>
      <c r="H3062">
        <f t="shared" si="191"/>
        <v>0.279998779296875</v>
      </c>
    </row>
    <row r="3063" spans="1:8" x14ac:dyDescent="0.2">
      <c r="A3063" t="s">
        <v>13</v>
      </c>
      <c r="B3063" s="2">
        <v>45583</v>
      </c>
      <c r="C3063">
        <v>50.180931091308587</v>
      </c>
      <c r="D3063">
        <f>_xlfn.XLOOKUP(B3063, Oil_Price!A:A, Oil_Price!B:B, "")</f>
        <v>69.220001220703125</v>
      </c>
      <c r="E3063">
        <f t="shared" si="188"/>
        <v>3.9040028621416074E-3</v>
      </c>
      <c r="F3063">
        <f t="shared" si="189"/>
        <v>-2.0517857447453044E-2</v>
      </c>
      <c r="G3063">
        <f t="shared" si="190"/>
        <v>0.19514465332030539</v>
      </c>
      <c r="H3063">
        <f t="shared" si="191"/>
        <v>-1.4499969482421875</v>
      </c>
    </row>
    <row r="3064" spans="1:8" x14ac:dyDescent="0.2">
      <c r="A3064" t="s">
        <v>13</v>
      </c>
      <c r="B3064" s="2">
        <v>45586</v>
      </c>
      <c r="C3064">
        <v>50.106590270996087</v>
      </c>
      <c r="D3064">
        <f>_xlfn.XLOOKUP(B3064, Oil_Price!A:A, Oil_Price!B:B, "")</f>
        <v>70.55999755859375</v>
      </c>
      <c r="E3064">
        <f t="shared" si="188"/>
        <v>-1.4814555787582017E-3</v>
      </c>
      <c r="F3064">
        <f t="shared" si="189"/>
        <v>1.9358513641427721E-2</v>
      </c>
      <c r="G3064">
        <f t="shared" si="190"/>
        <v>-7.43408203125E-2</v>
      </c>
      <c r="H3064">
        <f t="shared" si="191"/>
        <v>1.339996337890625</v>
      </c>
    </row>
    <row r="3065" spans="1:8" x14ac:dyDescent="0.2">
      <c r="A3065" t="s">
        <v>13</v>
      </c>
      <c r="B3065" s="2">
        <v>45587</v>
      </c>
      <c r="C3065">
        <v>50.283149719238281</v>
      </c>
      <c r="D3065">
        <f>_xlfn.XLOOKUP(B3065, Oil_Price!A:A, Oil_Price!B:B, "")</f>
        <v>72.089996337890625</v>
      </c>
      <c r="E3065">
        <f t="shared" si="188"/>
        <v>3.523677170753226E-3</v>
      </c>
      <c r="F3065">
        <f t="shared" si="189"/>
        <v>2.1683656919437223E-2</v>
      </c>
      <c r="G3065">
        <f t="shared" si="190"/>
        <v>0.17655944824219461</v>
      </c>
      <c r="H3065">
        <f t="shared" si="191"/>
        <v>1.529998779296875</v>
      </c>
    </row>
    <row r="3066" spans="1:8" x14ac:dyDescent="0.2">
      <c r="A3066" t="s">
        <v>13</v>
      </c>
      <c r="B3066" s="2">
        <v>45588</v>
      </c>
      <c r="C3066">
        <v>49.604785919189453</v>
      </c>
      <c r="D3066">
        <f>_xlfn.XLOOKUP(B3066, Oil_Price!A:A, Oil_Price!B:B, "")</f>
        <v>70.769996643066406</v>
      </c>
      <c r="E3066">
        <f t="shared" si="188"/>
        <v>-1.3490877238926956E-2</v>
      </c>
      <c r="F3066">
        <f t="shared" si="189"/>
        <v>-1.8310441973631016E-2</v>
      </c>
      <c r="G3066">
        <f t="shared" si="190"/>
        <v>-0.67836380004882812</v>
      </c>
      <c r="H3066">
        <f t="shared" si="191"/>
        <v>-1.3199996948242188</v>
      </c>
    </row>
    <row r="3067" spans="1:8" x14ac:dyDescent="0.2">
      <c r="A3067" t="s">
        <v>13</v>
      </c>
      <c r="B3067" s="2">
        <v>45589</v>
      </c>
      <c r="C3067">
        <v>49.595493316650391</v>
      </c>
      <c r="D3067">
        <f>_xlfn.XLOOKUP(B3067, Oil_Price!A:A, Oil_Price!B:B, "")</f>
        <v>70.19000244140625</v>
      </c>
      <c r="E3067">
        <f t="shared" si="188"/>
        <v>-1.8733278184490031E-4</v>
      </c>
      <c r="F3067">
        <f t="shared" si="189"/>
        <v>-8.1954815482809598E-3</v>
      </c>
      <c r="G3067">
        <f t="shared" si="190"/>
        <v>-9.2926025390625E-3</v>
      </c>
      <c r="H3067">
        <f t="shared" si="191"/>
        <v>-0.57999420166015625</v>
      </c>
    </row>
    <row r="3068" spans="1:8" x14ac:dyDescent="0.2">
      <c r="A3068" t="s">
        <v>13</v>
      </c>
      <c r="B3068" s="2">
        <v>45590</v>
      </c>
      <c r="C3068">
        <v>50.329620361328118</v>
      </c>
      <c r="D3068">
        <f>_xlfn.XLOOKUP(B3068, Oil_Price!A:A, Oil_Price!B:B, "")</f>
        <v>71.779998779296875</v>
      </c>
      <c r="E3068">
        <f t="shared" si="188"/>
        <v>1.4802293425948508E-2</v>
      </c>
      <c r="F3068">
        <f t="shared" si="189"/>
        <v>2.2652746581935716E-2</v>
      </c>
      <c r="G3068">
        <f t="shared" si="190"/>
        <v>0.73412704467772727</v>
      </c>
      <c r="H3068">
        <f t="shared" si="191"/>
        <v>1.589996337890625</v>
      </c>
    </row>
    <row r="3069" spans="1:8" x14ac:dyDescent="0.2">
      <c r="A3069" t="s">
        <v>13</v>
      </c>
      <c r="B3069" s="2">
        <v>45593</v>
      </c>
      <c r="C3069">
        <v>49.6512451171875</v>
      </c>
      <c r="D3069">
        <f>_xlfn.XLOOKUP(B3069, Oil_Price!A:A, Oil_Price!B:B, "")</f>
        <v>67.379997253417969</v>
      </c>
      <c r="E3069">
        <f t="shared" si="188"/>
        <v>-1.34786481453745E-2</v>
      </c>
      <c r="F3069">
        <f t="shared" si="189"/>
        <v>-6.1298434114044252E-2</v>
      </c>
      <c r="G3069">
        <f t="shared" si="190"/>
        <v>-0.67837524414061789</v>
      </c>
      <c r="H3069">
        <f t="shared" si="191"/>
        <v>-4.4000015258789062</v>
      </c>
    </row>
    <row r="3070" spans="1:8" x14ac:dyDescent="0.2">
      <c r="A3070" t="s">
        <v>13</v>
      </c>
      <c r="B3070" s="2">
        <v>45594</v>
      </c>
      <c r="C3070">
        <v>49.223777770996087</v>
      </c>
      <c r="D3070">
        <f>_xlfn.XLOOKUP(B3070, Oil_Price!A:A, Oil_Price!B:B, "")</f>
        <v>67.209999084472656</v>
      </c>
      <c r="E3070">
        <f t="shared" si="188"/>
        <v>-8.6093983178568735E-3</v>
      </c>
      <c r="F3070">
        <f t="shared" si="189"/>
        <v>-2.5229767865074977E-3</v>
      </c>
      <c r="G3070">
        <f t="shared" si="190"/>
        <v>-0.42746734619141336</v>
      </c>
      <c r="H3070">
        <f t="shared" si="191"/>
        <v>-0.1699981689453125</v>
      </c>
    </row>
    <row r="3071" spans="1:8" x14ac:dyDescent="0.2">
      <c r="A3071" t="s">
        <v>13</v>
      </c>
      <c r="B3071" s="2">
        <v>45595</v>
      </c>
      <c r="C3071">
        <v>49.2052001953125</v>
      </c>
      <c r="D3071">
        <f>_xlfn.XLOOKUP(B3071, Oil_Price!A:A, Oil_Price!B:B, "")</f>
        <v>68.610000610351562</v>
      </c>
      <c r="E3071">
        <f t="shared" si="188"/>
        <v>-3.7741060367237864E-4</v>
      </c>
      <c r="F3071">
        <f t="shared" si="189"/>
        <v>2.0830256583091442E-2</v>
      </c>
      <c r="G3071">
        <f t="shared" si="190"/>
        <v>-1.8577575683586645E-2</v>
      </c>
      <c r="H3071">
        <f t="shared" si="191"/>
        <v>1.4000015258789062</v>
      </c>
    </row>
    <row r="3072" spans="1:8" x14ac:dyDescent="0.2">
      <c r="A3072" t="s">
        <v>13</v>
      </c>
      <c r="B3072" s="2">
        <v>45596</v>
      </c>
      <c r="C3072">
        <v>48.842781066894531</v>
      </c>
      <c r="D3072">
        <f>_xlfn.XLOOKUP(B3072, Oil_Price!A:A, Oil_Price!B:B, "")</f>
        <v>69.260002136230469</v>
      </c>
      <c r="E3072">
        <f t="shared" si="188"/>
        <v>-7.36546395461052E-3</v>
      </c>
      <c r="F3072">
        <f t="shared" si="189"/>
        <v>9.47385978860984E-3</v>
      </c>
      <c r="G3072">
        <f t="shared" si="190"/>
        <v>-0.36241912841796875</v>
      </c>
      <c r="H3072">
        <f t="shared" si="191"/>
        <v>0.65000152587890625</v>
      </c>
    </row>
    <row r="3073" spans="1:8" x14ac:dyDescent="0.2">
      <c r="A3073" t="s">
        <v>13</v>
      </c>
      <c r="B3073" s="2">
        <v>45597</v>
      </c>
      <c r="C3073">
        <v>48.749847412109382</v>
      </c>
      <c r="D3073">
        <f>_xlfn.XLOOKUP(B3073, Oil_Price!A:A, Oil_Price!B:B, "")</f>
        <v>69.489997863769531</v>
      </c>
      <c r="E3073">
        <f t="shared" si="188"/>
        <v>-1.9027101396594972E-3</v>
      </c>
      <c r="F3073">
        <f t="shared" si="189"/>
        <v>3.3207583084775834E-3</v>
      </c>
      <c r="G3073">
        <f t="shared" si="190"/>
        <v>-9.2933654785149145E-2</v>
      </c>
      <c r="H3073">
        <f t="shared" si="191"/>
        <v>0.2299957275390625</v>
      </c>
    </row>
    <row r="3074" spans="1:8" x14ac:dyDescent="0.2">
      <c r="A3074" t="s">
        <v>13</v>
      </c>
      <c r="B3074" s="2">
        <v>45600</v>
      </c>
      <c r="C3074">
        <v>49.335296630859382</v>
      </c>
      <c r="D3074">
        <f>_xlfn.XLOOKUP(B3074, Oil_Price!A:A, Oil_Price!B:B, "")</f>
        <v>71.470001220703125</v>
      </c>
      <c r="E3074">
        <f t="shared" si="188"/>
        <v>1.2009252332645772E-2</v>
      </c>
      <c r="F3074">
        <f t="shared" si="189"/>
        <v>2.8493357573780003E-2</v>
      </c>
      <c r="G3074">
        <f t="shared" si="190"/>
        <v>0.58544921875</v>
      </c>
      <c r="H3074">
        <f t="shared" si="191"/>
        <v>1.9800033569335938</v>
      </c>
    </row>
    <row r="3075" spans="1:8" x14ac:dyDescent="0.2">
      <c r="A3075" t="s">
        <v>13</v>
      </c>
      <c r="B3075" s="2">
        <v>45601</v>
      </c>
      <c r="C3075">
        <v>49.418930053710938</v>
      </c>
      <c r="D3075">
        <f>_xlfn.XLOOKUP(B3075, Oil_Price!A:A, Oil_Price!B:B, "")</f>
        <v>71.989997863769531</v>
      </c>
      <c r="E3075">
        <f t="shared" ref="E3075:E3138" si="192">IFERROR(IF(AND(A3075=A3074, C3075&lt;&gt;"", C3074&lt;&gt;""), (C3075-C3074)/C3074, ""), "")</f>
        <v>1.6952046214969432E-3</v>
      </c>
      <c r="F3075">
        <f t="shared" ref="F3075:F3138" si="193">IFERROR(IF(AND(A3075=A3074, D3075&lt;&gt;"", D3074&lt;&gt;""), (D3075-D3074)/D3074, ""), "")</f>
        <v>7.2757329534755321E-3</v>
      </c>
      <c r="G3075">
        <f t="shared" ref="G3075:G3138" si="194">IFERROR(IF(AND(A3075=A3074, C3075&lt;&gt;"", C3074&lt;&gt;""), C3075-C3074, ""), "")</f>
        <v>8.3633422851555395E-2</v>
      </c>
      <c r="H3075">
        <f t="shared" ref="H3075:H3138" si="195">IFERROR(IF(AND(A3075=A3074, D3075&lt;&gt;"", D3074&lt;&gt;""), D3075-D3074, ""), "")</f>
        <v>0.51999664306640625</v>
      </c>
    </row>
    <row r="3076" spans="1:8" x14ac:dyDescent="0.2">
      <c r="A3076" t="s">
        <v>13</v>
      </c>
      <c r="B3076" s="2">
        <v>45602</v>
      </c>
      <c r="C3076">
        <v>50.794258117675781</v>
      </c>
      <c r="D3076">
        <f>_xlfn.XLOOKUP(B3076, Oil_Price!A:A, Oil_Price!B:B, "")</f>
        <v>71.69000244140625</v>
      </c>
      <c r="E3076">
        <f t="shared" si="192"/>
        <v>2.7829984632813158E-2</v>
      </c>
      <c r="F3076">
        <f t="shared" si="193"/>
        <v>-4.1671819872946573E-3</v>
      </c>
      <c r="G3076">
        <f t="shared" si="194"/>
        <v>1.3753280639648438</v>
      </c>
      <c r="H3076">
        <f t="shared" si="195"/>
        <v>-0.29999542236328125</v>
      </c>
    </row>
    <row r="3077" spans="1:8" x14ac:dyDescent="0.2">
      <c r="A3077" t="s">
        <v>13</v>
      </c>
      <c r="B3077" s="2">
        <v>45603</v>
      </c>
      <c r="C3077">
        <v>51.007987976074219</v>
      </c>
      <c r="D3077">
        <f>_xlfn.XLOOKUP(B3077, Oil_Price!A:A, Oil_Price!B:B, "")</f>
        <v>72.360000610351562</v>
      </c>
      <c r="E3077">
        <f t="shared" si="192"/>
        <v>4.2077562763745162E-3</v>
      </c>
      <c r="F3077">
        <f t="shared" si="193"/>
        <v>9.3457685329682641E-3</v>
      </c>
      <c r="G3077">
        <f t="shared" si="194"/>
        <v>0.2137298583984375</v>
      </c>
      <c r="H3077">
        <f t="shared" si="195"/>
        <v>0.6699981689453125</v>
      </c>
    </row>
    <row r="3078" spans="1:8" x14ac:dyDescent="0.2">
      <c r="A3078" t="s">
        <v>13</v>
      </c>
      <c r="B3078" s="2">
        <v>45604</v>
      </c>
      <c r="C3078">
        <v>50.626983642578118</v>
      </c>
      <c r="D3078">
        <f>_xlfn.XLOOKUP(B3078, Oil_Price!A:A, Oil_Price!B:B, "")</f>
        <v>70.379997253417969</v>
      </c>
      <c r="E3078">
        <f t="shared" si="192"/>
        <v>-7.4695032800512449E-3</v>
      </c>
      <c r="F3078">
        <f t="shared" si="193"/>
        <v>-2.7363230240912154E-2</v>
      </c>
      <c r="G3078">
        <f t="shared" si="194"/>
        <v>-0.38100433349610086</v>
      </c>
      <c r="H3078">
        <f t="shared" si="195"/>
        <v>-1.9800033569335938</v>
      </c>
    </row>
    <row r="3079" spans="1:8" x14ac:dyDescent="0.2">
      <c r="A3079" t="s">
        <v>13</v>
      </c>
      <c r="B3079" s="2">
        <v>45607</v>
      </c>
      <c r="C3079">
        <v>50.245983123779297</v>
      </c>
      <c r="D3079">
        <f>_xlfn.XLOOKUP(B3079, Oil_Price!A:A, Oil_Price!B:B, "")</f>
        <v>68.040000915527344</v>
      </c>
      <c r="E3079">
        <f t="shared" si="192"/>
        <v>-7.5256412961248074E-3</v>
      </c>
      <c r="F3079">
        <f t="shared" si="193"/>
        <v>-3.3248031105556547E-2</v>
      </c>
      <c r="G3079">
        <f t="shared" si="194"/>
        <v>-0.38100051879882102</v>
      </c>
      <c r="H3079">
        <f t="shared" si="195"/>
        <v>-2.339996337890625</v>
      </c>
    </row>
    <row r="3080" spans="1:8" x14ac:dyDescent="0.2">
      <c r="A3080" t="s">
        <v>13</v>
      </c>
      <c r="B3080" s="2">
        <v>45608</v>
      </c>
      <c r="C3080">
        <v>49.400341033935547</v>
      </c>
      <c r="D3080">
        <f>_xlfn.XLOOKUP(B3080, Oil_Price!A:A, Oil_Price!B:B, "")</f>
        <v>68.120002746582031</v>
      </c>
      <c r="E3080">
        <f t="shared" si="192"/>
        <v>-1.6830043662605605E-2</v>
      </c>
      <c r="F3080">
        <f t="shared" si="193"/>
        <v>1.175805849179969E-3</v>
      </c>
      <c r="G3080">
        <f t="shared" si="194"/>
        <v>-0.84564208984375</v>
      </c>
      <c r="H3080">
        <f t="shared" si="195"/>
        <v>8.00018310546875E-2</v>
      </c>
    </row>
    <row r="3081" spans="1:8" x14ac:dyDescent="0.2">
      <c r="A3081" t="s">
        <v>13</v>
      </c>
      <c r="B3081" s="2">
        <v>45609</v>
      </c>
      <c r="C3081">
        <v>51.481918334960938</v>
      </c>
      <c r="D3081">
        <f>_xlfn.XLOOKUP(B3081, Oil_Price!A:A, Oil_Price!B:B, "")</f>
        <v>68.430000305175781</v>
      </c>
      <c r="E3081">
        <f t="shared" si="192"/>
        <v>4.2136901435466848E-2</v>
      </c>
      <c r="F3081">
        <f t="shared" si="193"/>
        <v>4.5507566954598273E-3</v>
      </c>
      <c r="G3081">
        <f t="shared" si="194"/>
        <v>2.0815773010253906</v>
      </c>
      <c r="H3081">
        <f t="shared" si="195"/>
        <v>0.30999755859375</v>
      </c>
    </row>
    <row r="3082" spans="1:8" x14ac:dyDescent="0.2">
      <c r="A3082" t="s">
        <v>13</v>
      </c>
      <c r="B3082" s="2">
        <v>45610</v>
      </c>
      <c r="C3082">
        <v>52.820075988769531</v>
      </c>
      <c r="D3082">
        <f>_xlfn.XLOOKUP(B3082, Oil_Price!A:A, Oil_Price!B:B, "")</f>
        <v>68.699996948242188</v>
      </c>
      <c r="E3082">
        <f t="shared" si="192"/>
        <v>2.5992769832352228E-2</v>
      </c>
      <c r="F3082">
        <f t="shared" si="193"/>
        <v>3.9455888040670481E-3</v>
      </c>
      <c r="G3082">
        <f t="shared" si="194"/>
        <v>1.3381576538085938</v>
      </c>
      <c r="H3082">
        <f t="shared" si="195"/>
        <v>0.26999664306640625</v>
      </c>
    </row>
    <row r="3083" spans="1:8" x14ac:dyDescent="0.2">
      <c r="A3083" t="s">
        <v>13</v>
      </c>
      <c r="B3083" s="2">
        <v>45611</v>
      </c>
      <c r="C3083">
        <v>52.968765258789062</v>
      </c>
      <c r="D3083">
        <f>_xlfn.XLOOKUP(B3083, Oil_Price!A:A, Oil_Price!B:B, "")</f>
        <v>67.019996643066406</v>
      </c>
      <c r="E3083">
        <f t="shared" si="192"/>
        <v>2.8150143148439463E-3</v>
      </c>
      <c r="F3083">
        <f t="shared" si="193"/>
        <v>-2.4454154000057304E-2</v>
      </c>
      <c r="G3083">
        <f t="shared" si="194"/>
        <v>0.14868927001953125</v>
      </c>
      <c r="H3083">
        <f t="shared" si="195"/>
        <v>-1.6800003051757812</v>
      </c>
    </row>
    <row r="3084" spans="1:8" x14ac:dyDescent="0.2">
      <c r="A3084" t="s">
        <v>13</v>
      </c>
      <c r="B3084" s="2">
        <v>45614</v>
      </c>
      <c r="C3084">
        <v>53.154621124267578</v>
      </c>
      <c r="D3084">
        <f>_xlfn.XLOOKUP(B3084, Oil_Price!A:A, Oil_Price!B:B, "")</f>
        <v>69.160003662109375</v>
      </c>
      <c r="E3084">
        <f t="shared" si="192"/>
        <v>3.5087822902890248E-3</v>
      </c>
      <c r="F3084">
        <f t="shared" si="193"/>
        <v>3.1930873265186357E-2</v>
      </c>
      <c r="G3084">
        <f t="shared" si="194"/>
        <v>0.18585586547851562</v>
      </c>
      <c r="H3084">
        <f t="shared" si="195"/>
        <v>2.1400070190429688</v>
      </c>
    </row>
    <row r="3085" spans="1:8" x14ac:dyDescent="0.2">
      <c r="A3085" t="s">
        <v>13</v>
      </c>
      <c r="B3085" s="2">
        <v>45615</v>
      </c>
      <c r="C3085">
        <v>53.163909912109382</v>
      </c>
      <c r="D3085">
        <f>_xlfn.XLOOKUP(B3085, Oil_Price!A:A, Oil_Price!B:B, "")</f>
        <v>69.389999389648438</v>
      </c>
      <c r="E3085">
        <f t="shared" si="192"/>
        <v>1.7475033487847049E-4</v>
      </c>
      <c r="F3085">
        <f t="shared" si="193"/>
        <v>3.3255597941078486E-3</v>
      </c>
      <c r="G3085">
        <f t="shared" si="194"/>
        <v>9.2887878418039804E-3</v>
      </c>
      <c r="H3085">
        <f t="shared" si="195"/>
        <v>0.2299957275390625</v>
      </c>
    </row>
    <row r="3086" spans="1:8" x14ac:dyDescent="0.2">
      <c r="A3086" t="s">
        <v>13</v>
      </c>
      <c r="B3086" s="2">
        <v>45616</v>
      </c>
      <c r="C3086">
        <v>53.061683654785163</v>
      </c>
      <c r="D3086">
        <f>_xlfn.XLOOKUP(B3086, Oil_Price!A:A, Oil_Price!B:B, "")</f>
        <v>68.870002746582031</v>
      </c>
      <c r="E3086">
        <f t="shared" si="192"/>
        <v>-1.922850623538022E-3</v>
      </c>
      <c r="F3086">
        <f t="shared" si="193"/>
        <v>-7.4938268862988211E-3</v>
      </c>
      <c r="G3086">
        <f t="shared" si="194"/>
        <v>-0.10222625732421875</v>
      </c>
      <c r="H3086">
        <f t="shared" si="195"/>
        <v>-0.51999664306640625</v>
      </c>
    </row>
    <row r="3087" spans="1:8" x14ac:dyDescent="0.2">
      <c r="A3087" t="s">
        <v>13</v>
      </c>
      <c r="B3087" s="2">
        <v>45617</v>
      </c>
      <c r="C3087">
        <v>53.433403015136719</v>
      </c>
      <c r="D3087">
        <f>_xlfn.XLOOKUP(B3087, Oil_Price!A:A, Oil_Price!B:B, "")</f>
        <v>70.099998474121094</v>
      </c>
      <c r="E3087">
        <f t="shared" si="192"/>
        <v>7.0054196314223681E-3</v>
      </c>
      <c r="F3087">
        <f t="shared" si="193"/>
        <v>1.7859672985131487E-2</v>
      </c>
      <c r="G3087">
        <f t="shared" si="194"/>
        <v>0.37171936035155539</v>
      </c>
      <c r="H3087">
        <f t="shared" si="195"/>
        <v>1.2299957275390625</v>
      </c>
    </row>
    <row r="3088" spans="1:8" x14ac:dyDescent="0.2">
      <c r="A3088" t="s">
        <v>13</v>
      </c>
      <c r="B3088" s="2">
        <v>45618</v>
      </c>
      <c r="C3088">
        <v>53.963092803955078</v>
      </c>
      <c r="D3088">
        <f>_xlfn.XLOOKUP(B3088, Oil_Price!A:A, Oil_Price!B:B, "")</f>
        <v>71.239997863769531</v>
      </c>
      <c r="E3088">
        <f t="shared" si="192"/>
        <v>9.9130835568961954E-3</v>
      </c>
      <c r="F3088">
        <f t="shared" si="193"/>
        <v>1.6262473815449405E-2</v>
      </c>
      <c r="G3088">
        <f t="shared" si="194"/>
        <v>0.52968978881835938</v>
      </c>
      <c r="H3088">
        <f t="shared" si="195"/>
        <v>1.1399993896484375</v>
      </c>
    </row>
    <row r="3089" spans="1:8" x14ac:dyDescent="0.2">
      <c r="A3089" t="s">
        <v>13</v>
      </c>
      <c r="B3089" s="2">
        <v>45621</v>
      </c>
      <c r="C3089">
        <v>52.903717041015618</v>
      </c>
      <c r="D3089">
        <f>_xlfn.XLOOKUP(B3089, Oil_Price!A:A, Oil_Price!B:B, "")</f>
        <v>68.94000244140625</v>
      </c>
      <c r="E3089">
        <f t="shared" si="192"/>
        <v>-1.9631487149710147E-2</v>
      </c>
      <c r="F3089">
        <f t="shared" si="193"/>
        <v>-3.2285169726724378E-2</v>
      </c>
      <c r="G3089">
        <f t="shared" si="194"/>
        <v>-1.0593757629394602</v>
      </c>
      <c r="H3089">
        <f t="shared" si="195"/>
        <v>-2.2999954223632812</v>
      </c>
    </row>
    <row r="3090" spans="1:8" x14ac:dyDescent="0.2">
      <c r="A3090" t="s">
        <v>13</v>
      </c>
      <c r="B3090" s="2">
        <v>45622</v>
      </c>
      <c r="C3090">
        <v>51.695659637451172</v>
      </c>
      <c r="D3090">
        <f>_xlfn.XLOOKUP(B3090, Oil_Price!A:A, Oil_Price!B:B, "")</f>
        <v>68.769996643066406</v>
      </c>
      <c r="E3090">
        <f t="shared" si="192"/>
        <v>-2.283501937355089E-2</v>
      </c>
      <c r="F3090">
        <f t="shared" si="193"/>
        <v>-2.4659964073011995E-3</v>
      </c>
      <c r="G3090">
        <f t="shared" si="194"/>
        <v>-1.208057403564446</v>
      </c>
      <c r="H3090">
        <f t="shared" si="195"/>
        <v>-0.17000579833984375</v>
      </c>
    </row>
    <row r="3091" spans="1:8" x14ac:dyDescent="0.2">
      <c r="A3091" t="s">
        <v>13</v>
      </c>
      <c r="B3091" s="2">
        <v>45623</v>
      </c>
      <c r="C3091">
        <v>51.584140777587891</v>
      </c>
      <c r="D3091">
        <f>_xlfn.XLOOKUP(B3091, Oil_Price!A:A, Oil_Price!B:B, "")</f>
        <v>68.720001220703125</v>
      </c>
      <c r="E3091">
        <f t="shared" si="192"/>
        <v>-2.1572190130734084E-3</v>
      </c>
      <c r="F3091">
        <f t="shared" si="193"/>
        <v>-7.269946895994496E-4</v>
      </c>
      <c r="G3091">
        <f t="shared" si="194"/>
        <v>-0.11151885986328125</v>
      </c>
      <c r="H3091">
        <f t="shared" si="195"/>
        <v>-4.999542236328125E-2</v>
      </c>
    </row>
    <row r="3092" spans="1:8" x14ac:dyDescent="0.2">
      <c r="A3092" t="s">
        <v>13</v>
      </c>
      <c r="B3092" s="2">
        <v>45624</v>
      </c>
      <c r="C3092">
        <v>51.825752258300781</v>
      </c>
      <c r="D3092" t="str">
        <f>_xlfn.XLOOKUP(B3092, Oil_Price!A:A, Oil_Price!B:B, "")</f>
        <v/>
      </c>
      <c r="E3092">
        <f t="shared" si="192"/>
        <v>4.6838326096121617E-3</v>
      </c>
      <c r="F3092" t="str">
        <f t="shared" si="193"/>
        <v/>
      </c>
      <c r="G3092">
        <f t="shared" si="194"/>
        <v>0.24161148071289062</v>
      </c>
      <c r="H3092" t="str">
        <f t="shared" si="195"/>
        <v/>
      </c>
    </row>
    <row r="3093" spans="1:8" x14ac:dyDescent="0.2">
      <c r="A3093" t="s">
        <v>13</v>
      </c>
      <c r="B3093" s="2">
        <v>45625</v>
      </c>
      <c r="C3093">
        <v>51.769996643066413</v>
      </c>
      <c r="D3093">
        <f>_xlfn.XLOOKUP(B3093, Oil_Price!A:A, Oil_Price!B:B, "")</f>
        <v>68</v>
      </c>
      <c r="E3093">
        <f t="shared" si="192"/>
        <v>-1.0758283827021087E-3</v>
      </c>
      <c r="F3093" t="str">
        <f t="shared" si="193"/>
        <v/>
      </c>
      <c r="G3093">
        <f t="shared" si="194"/>
        <v>-5.5755615234367895E-2</v>
      </c>
      <c r="H3093" t="str">
        <f t="shared" si="195"/>
        <v/>
      </c>
    </row>
    <row r="3094" spans="1:8" x14ac:dyDescent="0.2">
      <c r="A3094" t="s">
        <v>13</v>
      </c>
      <c r="B3094" s="2">
        <v>45628</v>
      </c>
      <c r="C3094">
        <v>51.221721649169922</v>
      </c>
      <c r="D3094">
        <f>_xlfn.XLOOKUP(B3094, Oil_Price!A:A, Oil_Price!B:B, "")</f>
        <v>68.099998474121094</v>
      </c>
      <c r="E3094">
        <f t="shared" si="192"/>
        <v>-1.0590593576364897E-2</v>
      </c>
      <c r="F3094">
        <f t="shared" si="193"/>
        <v>1.4705657958984375E-3</v>
      </c>
      <c r="G3094">
        <f t="shared" si="194"/>
        <v>-0.54827499389649148</v>
      </c>
      <c r="H3094">
        <f t="shared" si="195"/>
        <v>9.999847412109375E-2</v>
      </c>
    </row>
    <row r="3095" spans="1:8" x14ac:dyDescent="0.2">
      <c r="A3095" t="s">
        <v>13</v>
      </c>
      <c r="B3095" s="2">
        <v>45629</v>
      </c>
      <c r="C3095">
        <v>51.50341796875</v>
      </c>
      <c r="D3095">
        <f>_xlfn.XLOOKUP(B3095, Oil_Price!A:A, Oil_Price!B:B, "")</f>
        <v>69.94000244140625</v>
      </c>
      <c r="E3095">
        <f t="shared" si="192"/>
        <v>5.4995480532553159E-3</v>
      </c>
      <c r="F3095">
        <f t="shared" si="193"/>
        <v>2.7019148436315785E-2</v>
      </c>
      <c r="G3095">
        <f t="shared" si="194"/>
        <v>0.28169631958007812</v>
      </c>
      <c r="H3095">
        <f t="shared" si="195"/>
        <v>1.8400039672851562</v>
      </c>
    </row>
    <row r="3096" spans="1:8" x14ac:dyDescent="0.2">
      <c r="A3096" t="s">
        <v>13</v>
      </c>
      <c r="B3096" s="2">
        <v>45630</v>
      </c>
      <c r="C3096">
        <v>50.817958831787109</v>
      </c>
      <c r="D3096">
        <f>_xlfn.XLOOKUP(B3096, Oil_Price!A:A, Oil_Price!B:B, "")</f>
        <v>68.540000915527344</v>
      </c>
      <c r="E3096">
        <f t="shared" si="192"/>
        <v>-1.3309002858388874E-2</v>
      </c>
      <c r="F3096">
        <f t="shared" si="193"/>
        <v>-2.0017178681853605E-2</v>
      </c>
      <c r="G3096">
        <f t="shared" si="194"/>
        <v>-0.68545913696289062</v>
      </c>
      <c r="H3096">
        <f t="shared" si="195"/>
        <v>-1.4000015258789062</v>
      </c>
    </row>
    <row r="3097" spans="1:8" x14ac:dyDescent="0.2">
      <c r="A3097" t="s">
        <v>13</v>
      </c>
      <c r="B3097" s="2">
        <v>45631</v>
      </c>
      <c r="C3097">
        <v>51.597316741943359</v>
      </c>
      <c r="D3097">
        <f>_xlfn.XLOOKUP(B3097, Oil_Price!A:A, Oil_Price!B:B, "")</f>
        <v>68.300003051757812</v>
      </c>
      <c r="E3097">
        <f t="shared" si="192"/>
        <v>1.5336269462061793E-2</v>
      </c>
      <c r="F3097">
        <f t="shared" si="193"/>
        <v>-3.5015736878281994E-3</v>
      </c>
      <c r="G3097">
        <f t="shared" si="194"/>
        <v>0.77935791015625</v>
      </c>
      <c r="H3097">
        <f t="shared" si="195"/>
        <v>-0.23999786376953125</v>
      </c>
    </row>
    <row r="3098" spans="1:8" x14ac:dyDescent="0.2">
      <c r="A3098" t="s">
        <v>13</v>
      </c>
      <c r="B3098" s="2">
        <v>45632</v>
      </c>
      <c r="C3098">
        <v>50.996364593505859</v>
      </c>
      <c r="D3098">
        <f>_xlfn.XLOOKUP(B3098, Oil_Price!A:A, Oil_Price!B:B, "")</f>
        <v>67.199996948242188</v>
      </c>
      <c r="E3098">
        <f t="shared" si="192"/>
        <v>-1.1646965121133657E-2</v>
      </c>
      <c r="F3098">
        <f t="shared" si="193"/>
        <v>-1.6105505920432233E-2</v>
      </c>
      <c r="G3098">
        <f t="shared" si="194"/>
        <v>-0.6009521484375</v>
      </c>
      <c r="H3098">
        <f t="shared" si="195"/>
        <v>-1.100006103515625</v>
      </c>
    </row>
    <row r="3099" spans="1:8" x14ac:dyDescent="0.2">
      <c r="A3099" t="s">
        <v>13</v>
      </c>
      <c r="B3099" s="2">
        <v>45635</v>
      </c>
      <c r="C3099">
        <v>50.846126556396477</v>
      </c>
      <c r="D3099">
        <f>_xlfn.XLOOKUP(B3099, Oil_Price!A:A, Oil_Price!B:B, "")</f>
        <v>68.370002746582031</v>
      </c>
      <c r="E3099">
        <f t="shared" si="192"/>
        <v>-2.9460538669165096E-3</v>
      </c>
      <c r="F3099">
        <f t="shared" si="193"/>
        <v>1.7410801361211203E-2</v>
      </c>
      <c r="G3099">
        <f t="shared" si="194"/>
        <v>-0.15023803710938211</v>
      </c>
      <c r="H3099">
        <f t="shared" si="195"/>
        <v>1.1700057983398438</v>
      </c>
    </row>
    <row r="3100" spans="1:8" x14ac:dyDescent="0.2">
      <c r="A3100" t="s">
        <v>13</v>
      </c>
      <c r="B3100" s="2">
        <v>45636</v>
      </c>
      <c r="C3100">
        <v>50.395408630371087</v>
      </c>
      <c r="D3100">
        <f>_xlfn.XLOOKUP(B3100, Oil_Price!A:A, Oil_Price!B:B, "")</f>
        <v>68.589996337890625</v>
      </c>
      <c r="E3100">
        <f t="shared" si="192"/>
        <v>-8.8643512603752122E-3</v>
      </c>
      <c r="F3100">
        <f t="shared" si="193"/>
        <v>3.2176917137770882E-3</v>
      </c>
      <c r="G3100">
        <f t="shared" si="194"/>
        <v>-0.45071792602539062</v>
      </c>
      <c r="H3100">
        <f t="shared" si="195"/>
        <v>0.21999359130859375</v>
      </c>
    </row>
    <row r="3101" spans="1:8" x14ac:dyDescent="0.2">
      <c r="A3101" t="s">
        <v>13</v>
      </c>
      <c r="B3101" s="2">
        <v>45637</v>
      </c>
      <c r="C3101">
        <v>50.761615753173828</v>
      </c>
      <c r="D3101">
        <f>_xlfn.XLOOKUP(B3101, Oil_Price!A:A, Oil_Price!B:B, "")</f>
        <v>70.290000915527344</v>
      </c>
      <c r="E3101">
        <f t="shared" si="192"/>
        <v>7.2666763253913698E-3</v>
      </c>
      <c r="F3101">
        <f t="shared" si="193"/>
        <v>2.4785022137369599E-2</v>
      </c>
      <c r="G3101">
        <f t="shared" si="194"/>
        <v>0.36620712280274148</v>
      </c>
      <c r="H3101">
        <f t="shared" si="195"/>
        <v>1.7000045776367188</v>
      </c>
    </row>
    <row r="3102" spans="1:8" x14ac:dyDescent="0.2">
      <c r="A3102" t="s">
        <v>13</v>
      </c>
      <c r="B3102" s="2">
        <v>45638</v>
      </c>
      <c r="C3102">
        <v>49.691169738769531</v>
      </c>
      <c r="D3102">
        <f>_xlfn.XLOOKUP(B3102, Oil_Price!A:A, Oil_Price!B:B, "")</f>
        <v>70.019996643066406</v>
      </c>
      <c r="E3102">
        <f t="shared" si="192"/>
        <v>-2.1087705710734161E-2</v>
      </c>
      <c r="F3102">
        <f t="shared" si="193"/>
        <v>-3.8412899266486206E-3</v>
      </c>
      <c r="G3102">
        <f t="shared" si="194"/>
        <v>-1.0704460144042969</v>
      </c>
      <c r="H3102">
        <f t="shared" si="195"/>
        <v>-0.2700042724609375</v>
      </c>
    </row>
    <row r="3103" spans="1:8" x14ac:dyDescent="0.2">
      <c r="A3103" t="s">
        <v>13</v>
      </c>
      <c r="B3103" s="2">
        <v>45639</v>
      </c>
      <c r="C3103">
        <v>49.174728393554688</v>
      </c>
      <c r="D3103">
        <f>_xlfn.XLOOKUP(B3103, Oil_Price!A:A, Oil_Price!B:B, "")</f>
        <v>71.290000915527344</v>
      </c>
      <c r="E3103">
        <f t="shared" si="192"/>
        <v>-1.0393020488948386E-2</v>
      </c>
      <c r="F3103">
        <f t="shared" si="193"/>
        <v>1.8137736837305279E-2</v>
      </c>
      <c r="G3103">
        <f t="shared" si="194"/>
        <v>-0.51644134521484375</v>
      </c>
      <c r="H3103">
        <f t="shared" si="195"/>
        <v>1.2700042724609375</v>
      </c>
    </row>
    <row r="3104" spans="1:8" x14ac:dyDescent="0.2">
      <c r="A3104" t="s">
        <v>13</v>
      </c>
      <c r="B3104" s="2">
        <v>45642</v>
      </c>
      <c r="C3104">
        <v>48.498661041259773</v>
      </c>
      <c r="D3104">
        <f>_xlfn.XLOOKUP(B3104, Oil_Price!A:A, Oil_Price!B:B, "")</f>
        <v>70.709999084472656</v>
      </c>
      <c r="E3104">
        <f t="shared" si="192"/>
        <v>-1.3748268152784076E-2</v>
      </c>
      <c r="F3104">
        <f t="shared" si="193"/>
        <v>-8.1358089999457421E-3</v>
      </c>
      <c r="G3104">
        <f t="shared" si="194"/>
        <v>-0.67606735229491477</v>
      </c>
      <c r="H3104">
        <f t="shared" si="195"/>
        <v>-0.5800018310546875</v>
      </c>
    </row>
    <row r="3105" spans="1:8" x14ac:dyDescent="0.2">
      <c r="A3105" t="s">
        <v>13</v>
      </c>
      <c r="B3105" s="2">
        <v>45643</v>
      </c>
      <c r="C3105">
        <v>48.216964721679688</v>
      </c>
      <c r="D3105">
        <f>_xlfn.XLOOKUP(B3105, Oil_Price!A:A, Oil_Price!B:B, "")</f>
        <v>70.080001831054688</v>
      </c>
      <c r="E3105">
        <f t="shared" si="192"/>
        <v>-5.8083318906564201E-3</v>
      </c>
      <c r="F3105">
        <f t="shared" si="193"/>
        <v>-8.9095921591704711E-3</v>
      </c>
      <c r="G3105">
        <f t="shared" si="194"/>
        <v>-0.28169631958008523</v>
      </c>
      <c r="H3105">
        <f t="shared" si="195"/>
        <v>-0.62999725341796875</v>
      </c>
    </row>
    <row r="3106" spans="1:8" x14ac:dyDescent="0.2">
      <c r="A3106" t="s">
        <v>13</v>
      </c>
      <c r="B3106" s="2">
        <v>45644</v>
      </c>
      <c r="C3106">
        <v>47.249805450439453</v>
      </c>
      <c r="D3106">
        <f>_xlfn.XLOOKUP(B3106, Oil_Price!A:A, Oil_Price!B:B, "")</f>
        <v>70.580001831054688</v>
      </c>
      <c r="E3106">
        <f t="shared" si="192"/>
        <v>-2.0058485158137147E-2</v>
      </c>
      <c r="F3106">
        <f t="shared" si="193"/>
        <v>7.1347030099310586E-3</v>
      </c>
      <c r="G3106">
        <f t="shared" si="194"/>
        <v>-0.96715927124023438</v>
      </c>
      <c r="H3106">
        <f t="shared" si="195"/>
        <v>0.5</v>
      </c>
    </row>
    <row r="3107" spans="1:8" x14ac:dyDescent="0.2">
      <c r="A3107" t="s">
        <v>13</v>
      </c>
      <c r="B3107" s="2">
        <v>45645</v>
      </c>
      <c r="C3107">
        <v>46.770927429199219</v>
      </c>
      <c r="D3107">
        <f>_xlfn.XLOOKUP(B3107, Oil_Price!A:A, Oil_Price!B:B, "")</f>
        <v>69.910003662109375</v>
      </c>
      <c r="E3107">
        <f t="shared" si="192"/>
        <v>-1.0135026306987271E-2</v>
      </c>
      <c r="F3107">
        <f t="shared" si="193"/>
        <v>-9.4927479677468386E-3</v>
      </c>
      <c r="G3107">
        <f t="shared" si="194"/>
        <v>-0.47887802124023438</v>
      </c>
      <c r="H3107">
        <f t="shared" si="195"/>
        <v>-0.6699981689453125</v>
      </c>
    </row>
    <row r="3108" spans="1:8" x14ac:dyDescent="0.2">
      <c r="A3108" t="s">
        <v>13</v>
      </c>
      <c r="B3108" s="2">
        <v>45646</v>
      </c>
      <c r="C3108">
        <v>46.573738098144531</v>
      </c>
      <c r="D3108">
        <f>_xlfn.XLOOKUP(B3108, Oil_Price!A:A, Oil_Price!B:B, "")</f>
        <v>69.459999084472656</v>
      </c>
      <c r="E3108">
        <f t="shared" si="192"/>
        <v>-4.2160663021529408E-3</v>
      </c>
      <c r="F3108">
        <f t="shared" si="193"/>
        <v>-6.4369125170081684E-3</v>
      </c>
      <c r="G3108">
        <f t="shared" si="194"/>
        <v>-0.1971893310546875</v>
      </c>
      <c r="H3108">
        <f t="shared" si="195"/>
        <v>-0.45000457763671875</v>
      </c>
    </row>
    <row r="3109" spans="1:8" x14ac:dyDescent="0.2">
      <c r="A3109" t="s">
        <v>13</v>
      </c>
      <c r="B3109" s="2">
        <v>45649</v>
      </c>
      <c r="C3109">
        <v>47.296764373779297</v>
      </c>
      <c r="D3109">
        <f>_xlfn.XLOOKUP(B3109, Oil_Price!A:A, Oil_Price!B:B, "")</f>
        <v>69.239997863769531</v>
      </c>
      <c r="E3109">
        <f t="shared" si="192"/>
        <v>1.5524334209788725E-2</v>
      </c>
      <c r="F3109">
        <f t="shared" si="193"/>
        <v>-3.1673081428575038E-3</v>
      </c>
      <c r="G3109">
        <f t="shared" si="194"/>
        <v>0.72302627563476562</v>
      </c>
      <c r="H3109">
        <f t="shared" si="195"/>
        <v>-0.220001220703125</v>
      </c>
    </row>
    <row r="3110" spans="1:8" x14ac:dyDescent="0.2">
      <c r="A3110" t="s">
        <v>13</v>
      </c>
      <c r="B3110" s="2">
        <v>45650</v>
      </c>
      <c r="C3110">
        <v>47.522121429443359</v>
      </c>
      <c r="D3110">
        <f>_xlfn.XLOOKUP(B3110, Oil_Price!A:A, Oil_Price!B:B, "")</f>
        <v>70.099998474121094</v>
      </c>
      <c r="E3110">
        <f t="shared" si="192"/>
        <v>4.7647457209355629E-3</v>
      </c>
      <c r="F3110">
        <f t="shared" si="193"/>
        <v>1.2420575344956298E-2</v>
      </c>
      <c r="G3110">
        <f t="shared" si="194"/>
        <v>0.2253570556640625</v>
      </c>
      <c r="H3110">
        <f t="shared" si="195"/>
        <v>0.8600006103515625</v>
      </c>
    </row>
    <row r="3111" spans="1:8" x14ac:dyDescent="0.2">
      <c r="A3111" t="s">
        <v>13</v>
      </c>
      <c r="B3111" s="2">
        <v>45653</v>
      </c>
      <c r="C3111">
        <v>47.756866455078118</v>
      </c>
      <c r="D3111">
        <f>_xlfn.XLOOKUP(B3111, Oil_Price!A:A, Oil_Price!B:B, "")</f>
        <v>70.599998474121094</v>
      </c>
      <c r="E3111">
        <f t="shared" si="192"/>
        <v>4.9397000507076932E-3</v>
      </c>
      <c r="F3111">
        <f t="shared" si="193"/>
        <v>7.1326677729470368E-3</v>
      </c>
      <c r="G3111">
        <f t="shared" si="194"/>
        <v>0.23474502563475852</v>
      </c>
      <c r="H3111">
        <f t="shared" si="195"/>
        <v>0.5</v>
      </c>
    </row>
    <row r="3112" spans="1:8" x14ac:dyDescent="0.2">
      <c r="A3112" t="s">
        <v>13</v>
      </c>
      <c r="B3112" s="2">
        <v>45656</v>
      </c>
      <c r="C3112">
        <v>47.616012573242188</v>
      </c>
      <c r="D3112">
        <f>_xlfn.XLOOKUP(B3112, Oil_Price!A:A, Oil_Price!B:B, "")</f>
        <v>70.989997863769531</v>
      </c>
      <c r="E3112">
        <f t="shared" si="192"/>
        <v>-2.9493953915176322E-3</v>
      </c>
      <c r="F3112">
        <f t="shared" si="193"/>
        <v>5.5240707942988757E-3</v>
      </c>
      <c r="G3112">
        <f t="shared" si="194"/>
        <v>-0.14085388183593039</v>
      </c>
      <c r="H3112">
        <f t="shared" si="195"/>
        <v>0.3899993896484375</v>
      </c>
    </row>
    <row r="3113" spans="1:8" x14ac:dyDescent="0.2">
      <c r="A3113" t="s">
        <v>13</v>
      </c>
      <c r="B3113" s="2">
        <v>45657</v>
      </c>
      <c r="C3113">
        <v>48.179405212402337</v>
      </c>
      <c r="D3113">
        <f>_xlfn.XLOOKUP(B3113, Oil_Price!A:A, Oil_Price!B:B, "")</f>
        <v>71.720001220703125</v>
      </c>
      <c r="E3113">
        <f t="shared" si="192"/>
        <v>1.1831999546235579E-2</v>
      </c>
      <c r="F3113">
        <f t="shared" si="193"/>
        <v>1.0283186067063658E-2</v>
      </c>
      <c r="G3113">
        <f t="shared" si="194"/>
        <v>0.56339263916014914</v>
      </c>
      <c r="H3113">
        <f t="shared" si="195"/>
        <v>0.73000335693359375</v>
      </c>
    </row>
    <row r="3114" spans="1:8" x14ac:dyDescent="0.2">
      <c r="A3114" t="s">
        <v>13</v>
      </c>
      <c r="B3114" s="2">
        <v>45659</v>
      </c>
      <c r="C3114">
        <v>48.752182006835938</v>
      </c>
      <c r="D3114">
        <f>_xlfn.XLOOKUP(B3114, Oil_Price!A:A, Oil_Price!B:B, "")</f>
        <v>73.129997253417969</v>
      </c>
      <c r="E3114">
        <f t="shared" si="192"/>
        <v>1.1888415639596911E-2</v>
      </c>
      <c r="F3114">
        <f t="shared" si="193"/>
        <v>1.9659732413777845E-2</v>
      </c>
      <c r="G3114">
        <f t="shared" si="194"/>
        <v>0.57277679443360086</v>
      </c>
      <c r="H3114">
        <f t="shared" si="195"/>
        <v>1.4099960327148438</v>
      </c>
    </row>
    <row r="3115" spans="1:8" x14ac:dyDescent="0.2">
      <c r="A3115" t="s">
        <v>13</v>
      </c>
      <c r="B3115" s="2">
        <v>45660</v>
      </c>
      <c r="C3115">
        <v>49.428256988525391</v>
      </c>
      <c r="D3115">
        <f>_xlfn.XLOOKUP(B3115, Oil_Price!A:A, Oil_Price!B:B, "")</f>
        <v>73.959999084472656</v>
      </c>
      <c r="E3115">
        <f t="shared" si="192"/>
        <v>1.3867584051820597E-2</v>
      </c>
      <c r="F3115">
        <f t="shared" si="193"/>
        <v>1.1349676770511498E-2</v>
      </c>
      <c r="G3115">
        <f t="shared" si="194"/>
        <v>0.67607498168945312</v>
      </c>
      <c r="H3115">
        <f t="shared" si="195"/>
        <v>0.8300018310546875</v>
      </c>
    </row>
    <row r="3116" spans="1:8" x14ac:dyDescent="0.2">
      <c r="A3116" t="s">
        <v>13</v>
      </c>
      <c r="B3116" s="2">
        <v>45663</v>
      </c>
      <c r="C3116">
        <v>49.719348907470703</v>
      </c>
      <c r="D3116">
        <f>_xlfn.XLOOKUP(B3116, Oil_Price!A:A, Oil_Price!B:B, "")</f>
        <v>73.55999755859375</v>
      </c>
      <c r="E3116">
        <f t="shared" si="192"/>
        <v>5.889180332878996E-3</v>
      </c>
      <c r="F3116">
        <f t="shared" si="193"/>
        <v>-5.408349524478071E-3</v>
      </c>
      <c r="G3116">
        <f t="shared" si="194"/>
        <v>0.2910919189453125</v>
      </c>
      <c r="H3116">
        <f t="shared" si="195"/>
        <v>-0.40000152587890625</v>
      </c>
    </row>
    <row r="3117" spans="1:8" x14ac:dyDescent="0.2">
      <c r="A3117" t="s">
        <v>13</v>
      </c>
      <c r="B3117" s="2">
        <v>45664</v>
      </c>
      <c r="C3117">
        <v>51.68182373046875</v>
      </c>
      <c r="D3117">
        <f>_xlfn.XLOOKUP(B3117, Oil_Price!A:A, Oil_Price!B:B, "")</f>
        <v>74.25</v>
      </c>
      <c r="E3117">
        <f t="shared" si="192"/>
        <v>3.9471048316627705E-2</v>
      </c>
      <c r="F3117">
        <f t="shared" si="193"/>
        <v>9.3801313799206278E-3</v>
      </c>
      <c r="G3117">
        <f t="shared" si="194"/>
        <v>1.9624748229980469</v>
      </c>
      <c r="H3117">
        <f t="shared" si="195"/>
        <v>0.69000244140625</v>
      </c>
    </row>
    <row r="3118" spans="1:8" x14ac:dyDescent="0.2">
      <c r="A3118" t="s">
        <v>13</v>
      </c>
      <c r="B3118" s="2">
        <v>45665</v>
      </c>
      <c r="C3118">
        <v>51.728775024414062</v>
      </c>
      <c r="D3118">
        <f>_xlfn.XLOOKUP(B3118, Oil_Price!A:A, Oil_Price!B:B, "")</f>
        <v>73.319999694824219</v>
      </c>
      <c r="E3118">
        <f t="shared" si="192"/>
        <v>9.0846821099373491E-4</v>
      </c>
      <c r="F3118">
        <f t="shared" si="193"/>
        <v>-1.2525256635364057E-2</v>
      </c>
      <c r="G3118">
        <f t="shared" si="194"/>
        <v>4.69512939453125E-2</v>
      </c>
      <c r="H3118">
        <f t="shared" si="195"/>
        <v>-0.93000030517578125</v>
      </c>
    </row>
    <row r="3119" spans="1:8" x14ac:dyDescent="0.2">
      <c r="A3119" t="s">
        <v>13</v>
      </c>
      <c r="B3119" s="2">
        <v>45666</v>
      </c>
      <c r="C3119">
        <v>51.813285827636719</v>
      </c>
      <c r="D3119">
        <f>_xlfn.XLOOKUP(B3119, Oil_Price!A:A, Oil_Price!B:B, "")</f>
        <v>73.919998168945312</v>
      </c>
      <c r="E3119">
        <f t="shared" si="192"/>
        <v>1.633729064389603E-3</v>
      </c>
      <c r="F3119">
        <f t="shared" si="193"/>
        <v>8.1832852784838282E-3</v>
      </c>
      <c r="G3119">
        <f t="shared" si="194"/>
        <v>8.451080322265625E-2</v>
      </c>
      <c r="H3119">
        <f t="shared" si="195"/>
        <v>0.59999847412109375</v>
      </c>
    </row>
    <row r="3120" spans="1:8" x14ac:dyDescent="0.2">
      <c r="A3120" t="s">
        <v>13</v>
      </c>
      <c r="B3120" s="2">
        <v>45667</v>
      </c>
      <c r="C3120">
        <v>53.334442138671882</v>
      </c>
      <c r="D3120">
        <f>_xlfn.XLOOKUP(B3120, Oil_Price!A:A, Oil_Price!B:B, "")</f>
        <v>76.569999694824219</v>
      </c>
      <c r="E3120">
        <f t="shared" si="192"/>
        <v>2.9358422009665191E-2</v>
      </c>
      <c r="F3120">
        <f t="shared" si="193"/>
        <v>3.5849588629889927E-2</v>
      </c>
      <c r="G3120">
        <f t="shared" si="194"/>
        <v>1.5211563110351634</v>
      </c>
      <c r="H3120">
        <f t="shared" si="195"/>
        <v>2.6500015258789062</v>
      </c>
    </row>
    <row r="3121" spans="1:8" x14ac:dyDescent="0.2">
      <c r="A3121" t="s">
        <v>13</v>
      </c>
      <c r="B3121" s="2">
        <v>45670</v>
      </c>
      <c r="C3121">
        <v>53.268711090087891</v>
      </c>
      <c r="D3121">
        <f>_xlfn.XLOOKUP(B3121, Oil_Price!A:A, Oil_Price!B:B, "")</f>
        <v>78.819999694824219</v>
      </c>
      <c r="E3121">
        <f t="shared" si="192"/>
        <v>-1.2324315385747896E-3</v>
      </c>
      <c r="F3121">
        <f t="shared" si="193"/>
        <v>2.9384876700634097E-2</v>
      </c>
      <c r="G3121">
        <f t="shared" si="194"/>
        <v>-6.573104858399148E-2</v>
      </c>
      <c r="H3121">
        <f t="shared" si="195"/>
        <v>2.25</v>
      </c>
    </row>
    <row r="3122" spans="1:8" x14ac:dyDescent="0.2">
      <c r="A3122" t="s">
        <v>13</v>
      </c>
      <c r="B3122" s="2">
        <v>45671</v>
      </c>
      <c r="C3122">
        <v>53.625530242919922</v>
      </c>
      <c r="D3122">
        <f>_xlfn.XLOOKUP(B3122, Oil_Price!A:A, Oil_Price!B:B, "")</f>
        <v>77.5</v>
      </c>
      <c r="E3122">
        <f t="shared" si="192"/>
        <v>6.6984754376463087E-3</v>
      </c>
      <c r="F3122">
        <f t="shared" si="193"/>
        <v>-1.6747014716252246E-2</v>
      </c>
      <c r="G3122">
        <f t="shared" si="194"/>
        <v>0.35681915283203125</v>
      </c>
      <c r="H3122">
        <f t="shared" si="195"/>
        <v>-1.3199996948242188</v>
      </c>
    </row>
    <row r="3123" spans="1:8" x14ac:dyDescent="0.2">
      <c r="A3123" t="s">
        <v>13</v>
      </c>
      <c r="B3123" s="2">
        <v>45672</v>
      </c>
      <c r="C3123">
        <v>53.991729736328118</v>
      </c>
      <c r="D3123">
        <f>_xlfn.XLOOKUP(B3123, Oil_Price!A:A, Oil_Price!B:B, "")</f>
        <v>80.040000915527344</v>
      </c>
      <c r="E3123">
        <f t="shared" si="192"/>
        <v>6.8288274586626512E-3</v>
      </c>
      <c r="F3123">
        <f t="shared" si="193"/>
        <v>3.2774205361643147E-2</v>
      </c>
      <c r="G3123">
        <f t="shared" si="194"/>
        <v>0.36619949340819602</v>
      </c>
      <c r="H3123">
        <f t="shared" si="195"/>
        <v>2.5400009155273438</v>
      </c>
    </row>
    <row r="3124" spans="1:8" x14ac:dyDescent="0.2">
      <c r="A3124" t="s">
        <v>13</v>
      </c>
      <c r="B3124" s="2">
        <v>45673</v>
      </c>
      <c r="C3124">
        <v>52.808609008789062</v>
      </c>
      <c r="D3124">
        <f>_xlfn.XLOOKUP(B3124, Oil_Price!A:A, Oil_Price!B:B, "")</f>
        <v>78.680000305175781</v>
      </c>
      <c r="E3124">
        <f t="shared" si="192"/>
        <v>-2.1912999144811568E-2</v>
      </c>
      <c r="F3124">
        <f t="shared" si="193"/>
        <v>-1.699151167910256E-2</v>
      </c>
      <c r="G3124">
        <f t="shared" si="194"/>
        <v>-1.1831207275390554</v>
      </c>
      <c r="H3124">
        <f t="shared" si="195"/>
        <v>-1.3600006103515625</v>
      </c>
    </row>
    <row r="3125" spans="1:8" x14ac:dyDescent="0.2">
      <c r="A3125" t="s">
        <v>13</v>
      </c>
      <c r="B3125" s="2">
        <v>45674</v>
      </c>
      <c r="C3125">
        <v>52.987014770507812</v>
      </c>
      <c r="D3125">
        <f>_xlfn.XLOOKUP(B3125, Oil_Price!A:A, Oil_Price!B:B, "")</f>
        <v>77.879997253417969</v>
      </c>
      <c r="E3125">
        <f t="shared" si="192"/>
        <v>3.3783461649038609E-3</v>
      </c>
      <c r="F3125">
        <f t="shared" si="193"/>
        <v>-1.0167806922405237E-2</v>
      </c>
      <c r="G3125">
        <f t="shared" si="194"/>
        <v>0.17840576171875</v>
      </c>
      <c r="H3125">
        <f t="shared" si="195"/>
        <v>-0.8000030517578125</v>
      </c>
    </row>
    <row r="3126" spans="1:8" x14ac:dyDescent="0.2">
      <c r="A3126" t="s">
        <v>13</v>
      </c>
      <c r="B3126" s="2">
        <v>45677</v>
      </c>
      <c r="C3126">
        <v>53.6630859375</v>
      </c>
      <c r="D3126" t="str">
        <f>_xlfn.XLOOKUP(B3126, Oil_Price!A:A, Oil_Price!B:B, "")</f>
        <v/>
      </c>
      <c r="E3126">
        <f t="shared" si="192"/>
        <v>1.275918581034091E-2</v>
      </c>
      <c r="F3126" t="str">
        <f t="shared" si="193"/>
        <v/>
      </c>
      <c r="G3126">
        <f t="shared" si="194"/>
        <v>0.6760711669921875</v>
      </c>
      <c r="H3126" t="str">
        <f t="shared" si="195"/>
        <v/>
      </c>
    </row>
    <row r="3127" spans="1:8" x14ac:dyDescent="0.2">
      <c r="A3127" t="s">
        <v>13</v>
      </c>
      <c r="B3127" s="2">
        <v>45678</v>
      </c>
      <c r="C3127">
        <v>53.616130828857422</v>
      </c>
      <c r="D3127">
        <f>_xlfn.XLOOKUP(B3127, Oil_Price!A:A, Oil_Price!B:B, "")</f>
        <v>75.889999389648438</v>
      </c>
      <c r="E3127">
        <f t="shared" si="192"/>
        <v>-8.7499829393459627E-4</v>
      </c>
      <c r="F3127" t="str">
        <f t="shared" si="193"/>
        <v/>
      </c>
      <c r="G3127">
        <f t="shared" si="194"/>
        <v>-4.6955108642578125E-2</v>
      </c>
      <c r="H3127" t="str">
        <f t="shared" si="195"/>
        <v/>
      </c>
    </row>
    <row r="3128" spans="1:8" x14ac:dyDescent="0.2">
      <c r="A3128" t="s">
        <v>13</v>
      </c>
      <c r="B3128" s="2">
        <v>45679</v>
      </c>
      <c r="C3128">
        <v>52.996402740478523</v>
      </c>
      <c r="D3128">
        <f>_xlfn.XLOOKUP(B3128, Oil_Price!A:A, Oil_Price!B:B, "")</f>
        <v>75.44000244140625</v>
      </c>
      <c r="E3128">
        <f t="shared" si="192"/>
        <v>-1.155861265627447E-2</v>
      </c>
      <c r="F3128">
        <f t="shared" si="193"/>
        <v>-5.9295948328017519E-3</v>
      </c>
      <c r="G3128">
        <f t="shared" si="194"/>
        <v>-0.61972808837889914</v>
      </c>
      <c r="H3128">
        <f t="shared" si="195"/>
        <v>-0.4499969482421875</v>
      </c>
    </row>
    <row r="3129" spans="1:8" x14ac:dyDescent="0.2">
      <c r="A3129" t="s">
        <v>13</v>
      </c>
      <c r="B3129" s="2">
        <v>45680</v>
      </c>
      <c r="C3129">
        <v>53.202980041503913</v>
      </c>
      <c r="D3129">
        <f>_xlfn.XLOOKUP(B3129, Oil_Price!A:A, Oil_Price!B:B, "")</f>
        <v>74.620002746582031</v>
      </c>
      <c r="E3129">
        <f t="shared" si="192"/>
        <v>3.8979494898359842E-3</v>
      </c>
      <c r="F3129">
        <f t="shared" si="193"/>
        <v>-1.0869560820350014E-2</v>
      </c>
      <c r="G3129">
        <f t="shared" si="194"/>
        <v>0.20657730102539062</v>
      </c>
      <c r="H3129">
        <f t="shared" si="195"/>
        <v>-0.81999969482421875</v>
      </c>
    </row>
    <row r="3130" spans="1:8" x14ac:dyDescent="0.2">
      <c r="A3130" t="s">
        <v>13</v>
      </c>
      <c r="B3130" s="2">
        <v>45681</v>
      </c>
      <c r="C3130">
        <v>52.470573425292969</v>
      </c>
      <c r="D3130">
        <f>_xlfn.XLOOKUP(B3130, Oil_Price!A:A, Oil_Price!B:B, "")</f>
        <v>74.660003662109375</v>
      </c>
      <c r="E3130">
        <f t="shared" si="192"/>
        <v>-1.3766270529199503E-2</v>
      </c>
      <c r="F3130">
        <f t="shared" si="193"/>
        <v>5.3606156600116174E-4</v>
      </c>
      <c r="G3130">
        <f t="shared" si="194"/>
        <v>-0.73240661621094461</v>
      </c>
      <c r="H3130">
        <f t="shared" si="195"/>
        <v>4.000091552734375E-2</v>
      </c>
    </row>
    <row r="3131" spans="1:8" x14ac:dyDescent="0.2">
      <c r="A3131" t="s">
        <v>13</v>
      </c>
      <c r="B3131" s="2">
        <v>45684</v>
      </c>
      <c r="C3131">
        <v>52.329723358154297</v>
      </c>
      <c r="D3131">
        <f>_xlfn.XLOOKUP(B3131, Oil_Price!A:A, Oil_Price!B:B, "")</f>
        <v>73.169998168945312</v>
      </c>
      <c r="E3131">
        <f t="shared" si="192"/>
        <v>-2.6843630237663148E-3</v>
      </c>
      <c r="F3131">
        <f t="shared" si="193"/>
        <v>-1.995721162709042E-2</v>
      </c>
      <c r="G3131">
        <f t="shared" si="194"/>
        <v>-0.14085006713867188</v>
      </c>
      <c r="H3131">
        <f t="shared" si="195"/>
        <v>-1.4900054931640625</v>
      </c>
    </row>
    <row r="3132" spans="1:8" x14ac:dyDescent="0.2">
      <c r="A3132" t="s">
        <v>13</v>
      </c>
      <c r="B3132" s="2">
        <v>45685</v>
      </c>
      <c r="C3132">
        <v>51.709999084472663</v>
      </c>
      <c r="D3132">
        <f>_xlfn.XLOOKUP(B3132, Oil_Price!A:A, Oil_Price!B:B, "")</f>
        <v>73.769996643066406</v>
      </c>
      <c r="E3132">
        <f t="shared" si="192"/>
        <v>-1.1842682015345773E-2</v>
      </c>
      <c r="F3132">
        <f t="shared" si="193"/>
        <v>8.2000613521368663E-3</v>
      </c>
      <c r="G3132">
        <f t="shared" si="194"/>
        <v>-0.61972427368163352</v>
      </c>
      <c r="H3132">
        <f t="shared" si="195"/>
        <v>0.59999847412109375</v>
      </c>
    </row>
    <row r="3133" spans="1:8" x14ac:dyDescent="0.2">
      <c r="A3133" t="s">
        <v>13</v>
      </c>
      <c r="B3133" s="2">
        <v>45686</v>
      </c>
      <c r="C3133">
        <v>52.28277587890625</v>
      </c>
      <c r="D3133">
        <f>_xlfn.XLOOKUP(B3133, Oil_Price!A:A, Oil_Price!B:B, "")</f>
        <v>72.620002746582031</v>
      </c>
      <c r="E3133">
        <f t="shared" si="192"/>
        <v>1.107671252319899E-2</v>
      </c>
      <c r="F3133">
        <f t="shared" si="193"/>
        <v>-1.558891078779061E-2</v>
      </c>
      <c r="G3133">
        <f t="shared" si="194"/>
        <v>0.57277679443358664</v>
      </c>
      <c r="H3133">
        <f t="shared" si="195"/>
        <v>-1.149993896484375</v>
      </c>
    </row>
    <row r="3134" spans="1:8" x14ac:dyDescent="0.2">
      <c r="A3134" t="s">
        <v>13</v>
      </c>
      <c r="B3134" s="2">
        <v>45687</v>
      </c>
      <c r="C3134">
        <v>52.51751708984375</v>
      </c>
      <c r="D3134">
        <f>_xlfn.XLOOKUP(B3134, Oil_Price!A:A, Oil_Price!B:B, "")</f>
        <v>72.730003356933594</v>
      </c>
      <c r="E3134">
        <f t="shared" si="192"/>
        <v>4.4898383261285013E-3</v>
      </c>
      <c r="F3134">
        <f t="shared" si="193"/>
        <v>1.5147425804351109E-3</v>
      </c>
      <c r="G3134">
        <f t="shared" si="194"/>
        <v>0.2347412109375</v>
      </c>
      <c r="H3134">
        <f t="shared" si="195"/>
        <v>0.1100006103515625</v>
      </c>
    </row>
    <row r="3135" spans="1:8" x14ac:dyDescent="0.2">
      <c r="A3135" t="s">
        <v>13</v>
      </c>
      <c r="B3135" s="2">
        <v>45688</v>
      </c>
      <c r="C3135">
        <v>51.202938079833977</v>
      </c>
      <c r="D3135">
        <f>_xlfn.XLOOKUP(B3135, Oil_Price!A:A, Oil_Price!B:B, "")</f>
        <v>72.529998779296875</v>
      </c>
      <c r="E3135">
        <f t="shared" si="192"/>
        <v>-2.503124829303852E-2</v>
      </c>
      <c r="F3135">
        <f t="shared" si="193"/>
        <v>-2.7499596920842386E-3</v>
      </c>
      <c r="G3135">
        <f t="shared" si="194"/>
        <v>-1.3145790100097727</v>
      </c>
      <c r="H3135">
        <f t="shared" si="195"/>
        <v>-0.20000457763671875</v>
      </c>
    </row>
    <row r="3136" spans="1:8" x14ac:dyDescent="0.2">
      <c r="A3136" t="s">
        <v>13</v>
      </c>
      <c r="B3136" s="2">
        <v>45691</v>
      </c>
      <c r="C3136">
        <v>51.390739440917969</v>
      </c>
      <c r="D3136">
        <f>_xlfn.XLOOKUP(B3136, Oil_Price!A:A, Oil_Price!B:B, "")</f>
        <v>73.160003662109375</v>
      </c>
      <c r="E3136">
        <f t="shared" si="192"/>
        <v>3.667784860141768E-3</v>
      </c>
      <c r="F3136">
        <f t="shared" si="193"/>
        <v>8.6861284077717378E-3</v>
      </c>
      <c r="G3136">
        <f t="shared" si="194"/>
        <v>0.18780136108399148</v>
      </c>
      <c r="H3136">
        <f t="shared" si="195"/>
        <v>0.6300048828125</v>
      </c>
    </row>
    <row r="3137" spans="1:8" x14ac:dyDescent="0.2">
      <c r="A3137" t="s">
        <v>13</v>
      </c>
      <c r="B3137" s="2">
        <v>45692</v>
      </c>
      <c r="C3137">
        <v>51.315624237060547</v>
      </c>
      <c r="D3137">
        <f>_xlfn.XLOOKUP(B3137, Oil_Price!A:A, Oil_Price!B:B, "")</f>
        <v>72.699996948242188</v>
      </c>
      <c r="E3137">
        <f t="shared" si="192"/>
        <v>-1.4616486292005789E-3</v>
      </c>
      <c r="F3137">
        <f t="shared" si="193"/>
        <v>-6.2876803012713849E-3</v>
      </c>
      <c r="G3137">
        <f t="shared" si="194"/>
        <v>-7.5115203857421875E-2</v>
      </c>
      <c r="H3137">
        <f t="shared" si="195"/>
        <v>-0.4600067138671875</v>
      </c>
    </row>
    <row r="3138" spans="1:8" x14ac:dyDescent="0.2">
      <c r="A3138" t="s">
        <v>13</v>
      </c>
      <c r="B3138" s="2">
        <v>45693</v>
      </c>
      <c r="C3138">
        <v>52.057415008544922</v>
      </c>
      <c r="D3138">
        <f>_xlfn.XLOOKUP(B3138, Oil_Price!A:A, Oil_Price!B:B, "")</f>
        <v>71.029998779296875</v>
      </c>
      <c r="E3138">
        <f t="shared" si="192"/>
        <v>1.4455456452357601E-2</v>
      </c>
      <c r="F3138">
        <f t="shared" si="193"/>
        <v>-2.2971089945632954E-2</v>
      </c>
      <c r="G3138">
        <f t="shared" si="194"/>
        <v>0.741790771484375</v>
      </c>
      <c r="H3138">
        <f t="shared" si="195"/>
        <v>-1.6699981689453125</v>
      </c>
    </row>
    <row r="3139" spans="1:8" x14ac:dyDescent="0.2">
      <c r="A3139" t="s">
        <v>13</v>
      </c>
      <c r="B3139" s="2">
        <v>45694</v>
      </c>
      <c r="C3139">
        <v>51.634880065917969</v>
      </c>
      <c r="D3139">
        <f>_xlfn.XLOOKUP(B3139, Oil_Price!A:A, Oil_Price!B:B, "")</f>
        <v>70.610000610351562</v>
      </c>
      <c r="E3139">
        <f t="shared" ref="E3139:E3202" si="196">IFERROR(IF(AND(A3139=A3138, C3139&lt;&gt;"", C3138&lt;&gt;""), (C3139-C3138)/C3138, ""), "")</f>
        <v>-8.1167100317523725E-3</v>
      </c>
      <c r="F3139">
        <f t="shared" ref="F3139:F3202" si="197">IFERROR(IF(AND(A3139=A3138, D3139&lt;&gt;"", D3138&lt;&gt;""), (D3139-D3138)/D3138, ""), "")</f>
        <v>-5.9129688323707168E-3</v>
      </c>
      <c r="G3139">
        <f t="shared" ref="G3139:G3202" si="198">IFERROR(IF(AND(A3139=A3138, C3139&lt;&gt;"", C3138&lt;&gt;""), C3139-C3138, ""), "")</f>
        <v>-0.42253494262695312</v>
      </c>
      <c r="H3139">
        <f t="shared" ref="H3139:H3202" si="199">IFERROR(IF(AND(A3139=A3138, D3139&lt;&gt;"", D3138&lt;&gt;""), D3139-D3138, ""), "")</f>
        <v>-0.4199981689453125</v>
      </c>
    </row>
    <row r="3140" spans="1:8" x14ac:dyDescent="0.2">
      <c r="A3140" t="s">
        <v>13</v>
      </c>
      <c r="B3140" s="2">
        <v>45695</v>
      </c>
      <c r="C3140">
        <v>51.963520050048828</v>
      </c>
      <c r="D3140">
        <f>_xlfn.XLOOKUP(B3140, Oil_Price!A:A, Oil_Price!B:B, "")</f>
        <v>71</v>
      </c>
      <c r="E3140">
        <f t="shared" si="196"/>
        <v>6.3646895995751705E-3</v>
      </c>
      <c r="F3140">
        <f t="shared" si="197"/>
        <v>5.5232882917049973E-3</v>
      </c>
      <c r="G3140">
        <f t="shared" si="198"/>
        <v>0.32863998413085938</v>
      </c>
      <c r="H3140">
        <f t="shared" si="199"/>
        <v>0.3899993896484375</v>
      </c>
    </row>
    <row r="3141" spans="1:8" x14ac:dyDescent="0.2">
      <c r="A3141" t="s">
        <v>13</v>
      </c>
      <c r="B3141" s="2">
        <v>45698</v>
      </c>
      <c r="C3141">
        <v>53.118473052978523</v>
      </c>
      <c r="D3141">
        <f>_xlfn.XLOOKUP(B3141, Oil_Price!A:A, Oil_Price!B:B, "")</f>
        <v>72.319999694824219</v>
      </c>
      <c r="E3141">
        <f t="shared" si="196"/>
        <v>2.2226227203570852E-2</v>
      </c>
      <c r="F3141">
        <f t="shared" si="197"/>
        <v>1.8591544997524207E-2</v>
      </c>
      <c r="G3141">
        <f t="shared" si="198"/>
        <v>1.1549530029296946</v>
      </c>
      <c r="H3141">
        <f t="shared" si="199"/>
        <v>1.3199996948242188</v>
      </c>
    </row>
    <row r="3142" spans="1:8" x14ac:dyDescent="0.2">
      <c r="A3142" t="s">
        <v>13</v>
      </c>
      <c r="B3142" s="2">
        <v>45699</v>
      </c>
      <c r="C3142">
        <v>54.5081787109375</v>
      </c>
      <c r="D3142">
        <f>_xlfn.XLOOKUP(B3142, Oil_Price!A:A, Oil_Price!B:B, "")</f>
        <v>73.319999694824219</v>
      </c>
      <c r="E3142">
        <f t="shared" si="196"/>
        <v>2.6162379640938344E-2</v>
      </c>
      <c r="F3142">
        <f t="shared" si="197"/>
        <v>1.382743368666756E-2</v>
      </c>
      <c r="G3142">
        <f t="shared" si="198"/>
        <v>1.3897056579589773</v>
      </c>
      <c r="H3142">
        <f t="shared" si="199"/>
        <v>1</v>
      </c>
    </row>
    <row r="3143" spans="1:8" x14ac:dyDescent="0.2">
      <c r="A3143" t="s">
        <v>13</v>
      </c>
      <c r="B3143" s="2">
        <v>45700</v>
      </c>
      <c r="C3143">
        <v>53.127864837646477</v>
      </c>
      <c r="D3143">
        <f>_xlfn.XLOOKUP(B3143, Oil_Price!A:A, Oil_Price!B:B, "")</f>
        <v>71.370002746582031</v>
      </c>
      <c r="E3143">
        <f t="shared" si="196"/>
        <v>-2.532305987714192E-2</v>
      </c>
      <c r="F3143">
        <f t="shared" si="197"/>
        <v>-2.6595703169101908E-2</v>
      </c>
      <c r="G3143">
        <f t="shared" si="198"/>
        <v>-1.3803138732910227</v>
      </c>
      <c r="H3143">
        <f t="shared" si="199"/>
        <v>-1.9499969482421875</v>
      </c>
    </row>
    <row r="3144" spans="1:8" x14ac:dyDescent="0.2">
      <c r="A3144" t="s">
        <v>13</v>
      </c>
      <c r="B3144" s="2">
        <v>45701</v>
      </c>
      <c r="C3144">
        <v>53.221763610839837</v>
      </c>
      <c r="D3144">
        <f>_xlfn.XLOOKUP(B3144, Oil_Price!A:A, Oil_Price!B:B, "")</f>
        <v>71.290000915527344</v>
      </c>
      <c r="E3144">
        <f t="shared" si="196"/>
        <v>1.7674110088990924E-3</v>
      </c>
      <c r="F3144">
        <f t="shared" si="197"/>
        <v>-1.120944766371315E-3</v>
      </c>
      <c r="G3144">
        <f t="shared" si="198"/>
        <v>9.3898773193359375E-2</v>
      </c>
      <c r="H3144">
        <f t="shared" si="199"/>
        <v>-8.00018310546875E-2</v>
      </c>
    </row>
    <row r="3145" spans="1:8" x14ac:dyDescent="0.2">
      <c r="A3145" t="s">
        <v>13</v>
      </c>
      <c r="B3145" s="2">
        <v>45702</v>
      </c>
      <c r="C3145">
        <v>52.630199432373047</v>
      </c>
      <c r="D3145">
        <f>_xlfn.XLOOKUP(B3145, Oil_Price!A:A, Oil_Price!B:B, "")</f>
        <v>70.739997863769531</v>
      </c>
      <c r="E3145">
        <f t="shared" si="196"/>
        <v>-1.1115080341800325E-2</v>
      </c>
      <c r="F3145">
        <f t="shared" si="197"/>
        <v>-7.7150097446277198E-3</v>
      </c>
      <c r="G3145">
        <f t="shared" si="198"/>
        <v>-0.59156417846678977</v>
      </c>
      <c r="H3145">
        <f t="shared" si="199"/>
        <v>-0.5500030517578125</v>
      </c>
    </row>
    <row r="3146" spans="1:8" x14ac:dyDescent="0.2">
      <c r="A3146" t="s">
        <v>13</v>
      </c>
      <c r="B3146" s="2">
        <v>45706</v>
      </c>
      <c r="C3146">
        <v>53.043354034423828</v>
      </c>
      <c r="D3146">
        <f>_xlfn.XLOOKUP(B3146, Oil_Price!A:A, Oil_Price!B:B, "")</f>
        <v>71.849998474121094</v>
      </c>
      <c r="E3146">
        <f t="shared" si="196"/>
        <v>7.8501431973797189E-3</v>
      </c>
      <c r="F3146">
        <f t="shared" si="197"/>
        <v>1.5691272884813933E-2</v>
      </c>
      <c r="G3146">
        <f t="shared" si="198"/>
        <v>0.41315460205078125</v>
      </c>
      <c r="H3146">
        <f t="shared" si="199"/>
        <v>1.1100006103515625</v>
      </c>
    </row>
    <row r="3147" spans="1:8" x14ac:dyDescent="0.2">
      <c r="A3147" t="s">
        <v>13</v>
      </c>
      <c r="B3147" s="2">
        <v>45707</v>
      </c>
      <c r="C3147">
        <v>53.278099060058587</v>
      </c>
      <c r="D3147">
        <f>_xlfn.XLOOKUP(B3147, Oil_Price!A:A, Oil_Price!B:B, "")</f>
        <v>72.25</v>
      </c>
      <c r="E3147">
        <f t="shared" si="196"/>
        <v>4.4255313395607449E-3</v>
      </c>
      <c r="F3147">
        <f t="shared" si="197"/>
        <v>5.5671751478600052E-3</v>
      </c>
      <c r="G3147">
        <f t="shared" si="198"/>
        <v>0.23474502563475852</v>
      </c>
      <c r="H3147">
        <f t="shared" si="199"/>
        <v>0.40000152587890625</v>
      </c>
    </row>
    <row r="3148" spans="1:8" x14ac:dyDescent="0.2">
      <c r="A3148" t="s">
        <v>13</v>
      </c>
      <c r="B3148" s="2">
        <v>45708</v>
      </c>
      <c r="C3148">
        <v>53.475288391113281</v>
      </c>
      <c r="D3148">
        <f>_xlfn.XLOOKUP(B3148, Oil_Price!A:A, Oil_Price!B:B, "")</f>
        <v>72.569999694824219</v>
      </c>
      <c r="E3148">
        <f t="shared" si="196"/>
        <v>3.7011330083757264E-3</v>
      </c>
      <c r="F3148">
        <f t="shared" si="197"/>
        <v>4.4290615200583911E-3</v>
      </c>
      <c r="G3148">
        <f t="shared" si="198"/>
        <v>0.19718933105469461</v>
      </c>
      <c r="H3148">
        <f t="shared" si="199"/>
        <v>0.31999969482421875</v>
      </c>
    </row>
    <row r="3149" spans="1:8" x14ac:dyDescent="0.2">
      <c r="A3149" t="s">
        <v>13</v>
      </c>
      <c r="B3149" s="2">
        <v>45709</v>
      </c>
      <c r="C3149">
        <v>52.76165771484375</v>
      </c>
      <c r="D3149">
        <f>_xlfn.XLOOKUP(B3149, Oil_Price!A:A, Oil_Price!B:B, "")</f>
        <v>70.400001525878906</v>
      </c>
      <c r="E3149">
        <f t="shared" si="196"/>
        <v>-1.3345055215973832E-2</v>
      </c>
      <c r="F3149">
        <f t="shared" si="197"/>
        <v>-2.9902138322595025E-2</v>
      </c>
      <c r="G3149">
        <f t="shared" si="198"/>
        <v>-0.71363067626953125</v>
      </c>
      <c r="H3149">
        <f t="shared" si="199"/>
        <v>-2.1699981689453125</v>
      </c>
    </row>
    <row r="3150" spans="1:8" x14ac:dyDescent="0.2">
      <c r="A3150" t="s">
        <v>13</v>
      </c>
      <c r="B3150" s="2">
        <v>45712</v>
      </c>
      <c r="C3150">
        <v>52.386066436767578</v>
      </c>
      <c r="D3150">
        <f>_xlfn.XLOOKUP(B3150, Oil_Price!A:A, Oil_Price!B:B, "")</f>
        <v>70.699996948242188</v>
      </c>
      <c r="E3150">
        <f t="shared" si="196"/>
        <v>-7.118640587566386E-3</v>
      </c>
      <c r="F3150">
        <f t="shared" si="197"/>
        <v>4.2612985207536322E-3</v>
      </c>
      <c r="G3150">
        <f t="shared" si="198"/>
        <v>-0.37559127807617188</v>
      </c>
      <c r="H3150">
        <f t="shared" si="199"/>
        <v>0.29999542236328125</v>
      </c>
    </row>
    <row r="3151" spans="1:8" x14ac:dyDescent="0.2">
      <c r="A3151" t="s">
        <v>13</v>
      </c>
      <c r="B3151" s="2">
        <v>45713</v>
      </c>
      <c r="C3151">
        <v>51.925960540771477</v>
      </c>
      <c r="D3151">
        <f>_xlfn.XLOOKUP(B3151, Oil_Price!A:A, Oil_Price!B:B, "")</f>
        <v>68.930000305175781</v>
      </c>
      <c r="E3151">
        <f t="shared" si="196"/>
        <v>-8.782982332744339E-3</v>
      </c>
      <c r="F3151">
        <f t="shared" si="197"/>
        <v>-2.5035314278191261E-2</v>
      </c>
      <c r="G3151">
        <f t="shared" si="198"/>
        <v>-0.46010589599610086</v>
      </c>
      <c r="H3151">
        <f t="shared" si="199"/>
        <v>-1.7699966430664062</v>
      </c>
    </row>
    <row r="3152" spans="1:8" x14ac:dyDescent="0.2">
      <c r="A3152" t="s">
        <v>13</v>
      </c>
      <c r="B3152" s="2">
        <v>45714</v>
      </c>
      <c r="C3152">
        <v>51.484642028808587</v>
      </c>
      <c r="D3152">
        <f>_xlfn.XLOOKUP(B3152, Oil_Price!A:A, Oil_Price!B:B, "")</f>
        <v>68.620002746582031</v>
      </c>
      <c r="E3152">
        <f t="shared" si="196"/>
        <v>-8.4989956346859293E-3</v>
      </c>
      <c r="F3152">
        <f t="shared" si="197"/>
        <v>-4.4972806792585064E-3</v>
      </c>
      <c r="G3152">
        <f t="shared" si="198"/>
        <v>-0.44131851196289062</v>
      </c>
      <c r="H3152">
        <f t="shared" si="199"/>
        <v>-0.30999755859375</v>
      </c>
    </row>
    <row r="3153" spans="1:8" x14ac:dyDescent="0.2">
      <c r="A3153" t="s">
        <v>13</v>
      </c>
      <c r="B3153" s="2">
        <v>45715</v>
      </c>
      <c r="C3153">
        <v>51.841453552246087</v>
      </c>
      <c r="D3153">
        <f>_xlfn.XLOOKUP(B3153, Oil_Price!A:A, Oil_Price!B:B, "")</f>
        <v>70.349998474121094</v>
      </c>
      <c r="E3153">
        <f t="shared" si="196"/>
        <v>6.9304458451482217E-3</v>
      </c>
      <c r="F3153">
        <f t="shared" si="197"/>
        <v>2.5211245384644549E-2</v>
      </c>
      <c r="G3153">
        <f t="shared" si="198"/>
        <v>0.3568115234375</v>
      </c>
      <c r="H3153">
        <f t="shared" si="199"/>
        <v>1.7299957275390625</v>
      </c>
    </row>
    <row r="3154" spans="1:8" x14ac:dyDescent="0.2">
      <c r="A3154" t="s">
        <v>13</v>
      </c>
      <c r="B3154" s="2">
        <v>45716</v>
      </c>
      <c r="C3154">
        <v>51.9822998046875</v>
      </c>
      <c r="D3154">
        <f>_xlfn.XLOOKUP(B3154, Oil_Price!A:A, Oil_Price!B:B, "")</f>
        <v>69.760002136230469</v>
      </c>
      <c r="E3154">
        <f t="shared" si="196"/>
        <v>2.7168654192820381E-3</v>
      </c>
      <c r="F3154">
        <f t="shared" si="197"/>
        <v>-8.3865863637176997E-3</v>
      </c>
      <c r="G3154">
        <f t="shared" si="198"/>
        <v>0.14084625244141336</v>
      </c>
      <c r="H3154">
        <f t="shared" si="199"/>
        <v>-0.589996337890625</v>
      </c>
    </row>
    <row r="3155" spans="1:8" x14ac:dyDescent="0.2">
      <c r="A3155" t="s">
        <v>13</v>
      </c>
      <c r="B3155" s="2">
        <v>45719</v>
      </c>
      <c r="C3155">
        <v>49.324966430664062</v>
      </c>
      <c r="D3155">
        <f>_xlfn.XLOOKUP(B3155, Oil_Price!A:A, Oil_Price!B:B, "")</f>
        <v>68.370002746582031</v>
      </c>
      <c r="E3155">
        <f t="shared" si="196"/>
        <v>-5.1119965526877531E-2</v>
      </c>
      <c r="F3155">
        <f t="shared" si="197"/>
        <v>-1.9925449356122213E-2</v>
      </c>
      <c r="G3155">
        <f t="shared" si="198"/>
        <v>-2.6573333740234375</v>
      </c>
      <c r="H3155">
        <f t="shared" si="199"/>
        <v>-1.3899993896484375</v>
      </c>
    </row>
    <row r="3156" spans="1:8" x14ac:dyDescent="0.2">
      <c r="A3156" t="s">
        <v>13</v>
      </c>
      <c r="B3156" s="2">
        <v>45720</v>
      </c>
      <c r="C3156">
        <v>48.242782592773438</v>
      </c>
      <c r="D3156">
        <f>_xlfn.XLOOKUP(B3156, Oil_Price!A:A, Oil_Price!B:B, "")</f>
        <v>68.260002136230469</v>
      </c>
      <c r="E3156">
        <f t="shared" si="196"/>
        <v>-2.1939879866149471E-2</v>
      </c>
      <c r="F3156">
        <f t="shared" si="197"/>
        <v>-1.6089016517856097E-3</v>
      </c>
      <c r="G3156">
        <f t="shared" si="198"/>
        <v>-1.082183837890625</v>
      </c>
      <c r="H3156">
        <f t="shared" si="199"/>
        <v>-0.1100006103515625</v>
      </c>
    </row>
    <row r="3157" spans="1:8" x14ac:dyDescent="0.2">
      <c r="A3157" t="s">
        <v>13</v>
      </c>
      <c r="B3157" s="2">
        <v>45721</v>
      </c>
      <c r="C3157">
        <v>46.742912292480469</v>
      </c>
      <c r="D3157">
        <f>_xlfn.XLOOKUP(B3157, Oil_Price!A:A, Oil_Price!B:B, "")</f>
        <v>66.30999755859375</v>
      </c>
      <c r="E3157">
        <f t="shared" si="196"/>
        <v>-3.1090045384688132E-2</v>
      </c>
      <c r="F3157">
        <f t="shared" si="197"/>
        <v>-2.8567309062560251E-2</v>
      </c>
      <c r="G3157">
        <f t="shared" si="198"/>
        <v>-1.4998703002929688</v>
      </c>
      <c r="H3157">
        <f t="shared" si="199"/>
        <v>-1.9500045776367188</v>
      </c>
    </row>
    <row r="3158" spans="1:8" x14ac:dyDescent="0.2">
      <c r="A3158" t="s">
        <v>13</v>
      </c>
      <c r="B3158" s="2">
        <v>45722</v>
      </c>
      <c r="C3158">
        <v>47.217555999755859</v>
      </c>
      <c r="D3158">
        <f>_xlfn.XLOOKUP(B3158, Oil_Price!A:A, Oil_Price!B:B, "")</f>
        <v>66.360000610351562</v>
      </c>
      <c r="E3158">
        <f t="shared" si="196"/>
        <v>1.0154346060113728E-2</v>
      </c>
      <c r="F3158">
        <f t="shared" si="197"/>
        <v>7.5408013269233072E-4</v>
      </c>
      <c r="G3158">
        <f t="shared" si="198"/>
        <v>0.47464370727539062</v>
      </c>
      <c r="H3158">
        <f t="shared" si="199"/>
        <v>5.00030517578125E-2</v>
      </c>
    </row>
    <row r="3159" spans="1:8" x14ac:dyDescent="0.2">
      <c r="A3159" t="s">
        <v>13</v>
      </c>
      <c r="B3159" s="2">
        <v>45723</v>
      </c>
      <c r="C3159">
        <v>48.783870697021477</v>
      </c>
      <c r="D3159">
        <f>_xlfn.XLOOKUP(B3159, Oil_Price!A:A, Oil_Price!B:B, "")</f>
        <v>67.040000915527344</v>
      </c>
      <c r="E3159">
        <f t="shared" si="196"/>
        <v>3.3172295009799249E-2</v>
      </c>
      <c r="F3159">
        <f t="shared" si="197"/>
        <v>1.0247141333957542E-2</v>
      </c>
      <c r="G3159">
        <f t="shared" si="198"/>
        <v>1.5663146972656179</v>
      </c>
      <c r="H3159">
        <f t="shared" si="199"/>
        <v>0.68000030517578125</v>
      </c>
    </row>
    <row r="3160" spans="1:8" x14ac:dyDescent="0.2">
      <c r="A3160" t="s">
        <v>13</v>
      </c>
      <c r="B3160" s="2">
        <v>45726</v>
      </c>
      <c r="C3160">
        <v>48.926273345947273</v>
      </c>
      <c r="D3160">
        <f>_xlfn.XLOOKUP(B3160, Oil_Price!A:A, Oil_Price!B:B, "")</f>
        <v>66.029998779296875</v>
      </c>
      <c r="E3160">
        <f t="shared" si="196"/>
        <v>2.9190518688073253E-3</v>
      </c>
      <c r="F3160">
        <f t="shared" si="197"/>
        <v>-1.50656641175036E-2</v>
      </c>
      <c r="G3160">
        <f t="shared" si="198"/>
        <v>0.14240264892579546</v>
      </c>
      <c r="H3160">
        <f t="shared" si="199"/>
        <v>-1.0100021362304688</v>
      </c>
    </row>
    <row r="3161" spans="1:8" x14ac:dyDescent="0.2">
      <c r="A3161" t="s">
        <v>13</v>
      </c>
      <c r="B3161" s="2">
        <v>45727</v>
      </c>
      <c r="C3161">
        <v>48.442127227783203</v>
      </c>
      <c r="D3161">
        <f>_xlfn.XLOOKUP(B3161, Oil_Price!A:A, Oil_Price!B:B, "")</f>
        <v>66.25</v>
      </c>
      <c r="E3161">
        <f t="shared" si="196"/>
        <v>-9.8954219288433301E-3</v>
      </c>
      <c r="F3161">
        <f t="shared" si="197"/>
        <v>3.3318374189051847E-3</v>
      </c>
      <c r="G3161">
        <f t="shared" si="198"/>
        <v>-0.48414611816406961</v>
      </c>
      <c r="H3161">
        <f t="shared" si="199"/>
        <v>0.220001220703125</v>
      </c>
    </row>
    <row r="3162" spans="1:8" x14ac:dyDescent="0.2">
      <c r="A3162" t="s">
        <v>13</v>
      </c>
      <c r="B3162" s="2">
        <v>45728</v>
      </c>
      <c r="C3162">
        <v>48.793373107910163</v>
      </c>
      <c r="D3162">
        <f>_xlfn.XLOOKUP(B3162, Oil_Price!A:A, Oil_Price!B:B, "")</f>
        <v>67.680000305175781</v>
      </c>
      <c r="E3162">
        <f t="shared" si="196"/>
        <v>7.2508351764847519E-3</v>
      </c>
      <c r="F3162">
        <f t="shared" si="197"/>
        <v>2.1584910266804244E-2</v>
      </c>
      <c r="G3162">
        <f t="shared" si="198"/>
        <v>0.35124588012696023</v>
      </c>
      <c r="H3162">
        <f t="shared" si="199"/>
        <v>1.4300003051757812</v>
      </c>
    </row>
    <row r="3163" spans="1:8" x14ac:dyDescent="0.2">
      <c r="A3163" t="s">
        <v>13</v>
      </c>
      <c r="B3163" s="2">
        <v>45729</v>
      </c>
      <c r="C3163">
        <v>49.097137451171882</v>
      </c>
      <c r="D3163">
        <f>_xlfn.XLOOKUP(B3163, Oil_Price!A:A, Oil_Price!B:B, "")</f>
        <v>66.550003051757812</v>
      </c>
      <c r="E3163">
        <f t="shared" si="196"/>
        <v>6.2255245725668807E-3</v>
      </c>
      <c r="F3163">
        <f t="shared" si="197"/>
        <v>-1.6696176836919326E-2</v>
      </c>
      <c r="G3163">
        <f t="shared" si="198"/>
        <v>0.30376434326171875</v>
      </c>
      <c r="H3163">
        <f t="shared" si="199"/>
        <v>-1.1299972534179688</v>
      </c>
    </row>
    <row r="3164" spans="1:8" x14ac:dyDescent="0.2">
      <c r="A3164" t="s">
        <v>13</v>
      </c>
      <c r="B3164" s="2">
        <v>45730</v>
      </c>
      <c r="C3164">
        <v>49.979976654052727</v>
      </c>
      <c r="D3164">
        <f>_xlfn.XLOOKUP(B3164, Oil_Price!A:A, Oil_Price!B:B, "")</f>
        <v>67.180000305175781</v>
      </c>
      <c r="E3164">
        <f t="shared" si="196"/>
        <v>1.798148015775557E-2</v>
      </c>
      <c r="F3164">
        <f t="shared" si="197"/>
        <v>9.4665247863024455E-3</v>
      </c>
      <c r="G3164">
        <f t="shared" si="198"/>
        <v>0.88283920288084516</v>
      </c>
      <c r="H3164">
        <f t="shared" si="199"/>
        <v>0.62999725341796875</v>
      </c>
    </row>
    <row r="3165" spans="1:8" x14ac:dyDescent="0.2">
      <c r="A3165" t="s">
        <v>13</v>
      </c>
      <c r="B3165" s="2">
        <v>45733</v>
      </c>
      <c r="C3165">
        <v>51.052665710449219</v>
      </c>
      <c r="D3165">
        <f>_xlfn.XLOOKUP(B3165, Oil_Price!A:A, Oil_Price!B:B, "")</f>
        <v>67.580001831054688</v>
      </c>
      <c r="E3165">
        <f t="shared" si="196"/>
        <v>2.1462376099559668E-2</v>
      </c>
      <c r="F3165">
        <f t="shared" si="197"/>
        <v>5.9541757079761238E-3</v>
      </c>
      <c r="G3165">
        <f t="shared" si="198"/>
        <v>1.0726890563964915</v>
      </c>
      <c r="H3165">
        <f t="shared" si="199"/>
        <v>0.40000152587890625</v>
      </c>
    </row>
    <row r="3166" spans="1:8" x14ac:dyDescent="0.2">
      <c r="A3166" t="s">
        <v>13</v>
      </c>
      <c r="B3166" s="2">
        <v>45734</v>
      </c>
      <c r="C3166">
        <v>51.033687591552727</v>
      </c>
      <c r="D3166">
        <f>_xlfn.XLOOKUP(B3166, Oil_Price!A:A, Oil_Price!B:B, "")</f>
        <v>66.900001525878906</v>
      </c>
      <c r="E3166">
        <f t="shared" si="196"/>
        <v>-3.7173610099280533E-4</v>
      </c>
      <c r="F3166">
        <f t="shared" si="197"/>
        <v>-1.0062152807804516E-2</v>
      </c>
      <c r="G3166">
        <f t="shared" si="198"/>
        <v>-1.897811889649148E-2</v>
      </c>
      <c r="H3166">
        <f t="shared" si="199"/>
        <v>-0.68000030517578125</v>
      </c>
    </row>
    <row r="3167" spans="1:8" x14ac:dyDescent="0.2">
      <c r="A3167" t="s">
        <v>13</v>
      </c>
      <c r="B3167" s="2">
        <v>45735</v>
      </c>
      <c r="C3167">
        <v>50.967239379882812</v>
      </c>
      <c r="D3167">
        <f>_xlfn.XLOOKUP(B3167, Oil_Price!A:A, Oil_Price!B:B, "")</f>
        <v>67.160003662109375</v>
      </c>
      <c r="E3167">
        <f t="shared" si="196"/>
        <v>-1.3020460563565764E-3</v>
      </c>
      <c r="F3167">
        <f t="shared" si="197"/>
        <v>3.8864294514237372E-3</v>
      </c>
      <c r="G3167">
        <f t="shared" si="198"/>
        <v>-6.644821166991477E-2</v>
      </c>
      <c r="H3167">
        <f t="shared" si="199"/>
        <v>0.26000213623046875</v>
      </c>
    </row>
    <row r="3168" spans="1:8" x14ac:dyDescent="0.2">
      <c r="A3168" t="s">
        <v>13</v>
      </c>
      <c r="B3168" s="2">
        <v>45736</v>
      </c>
      <c r="C3168">
        <v>51.261516571044922</v>
      </c>
      <c r="D3168">
        <f>_xlfn.XLOOKUP(B3168, Oil_Price!A:A, Oil_Price!B:B, "")</f>
        <v>68.260002136230469</v>
      </c>
      <c r="E3168">
        <f t="shared" si="196"/>
        <v>5.7738499228636459E-3</v>
      </c>
      <c r="F3168">
        <f t="shared" si="197"/>
        <v>1.6378773289759299E-2</v>
      </c>
      <c r="G3168">
        <f t="shared" si="198"/>
        <v>0.29427719116210938</v>
      </c>
      <c r="H3168">
        <f t="shared" si="199"/>
        <v>1.0999984741210938</v>
      </c>
    </row>
    <row r="3169" spans="1:8" x14ac:dyDescent="0.2">
      <c r="A3169" t="s">
        <v>13</v>
      </c>
      <c r="B3169" s="2">
        <v>45737</v>
      </c>
      <c r="C3169">
        <v>50.995712280273438</v>
      </c>
      <c r="D3169">
        <f>_xlfn.XLOOKUP(B3169, Oil_Price!A:A, Oil_Price!B:B, "")</f>
        <v>68.279998779296875</v>
      </c>
      <c r="E3169">
        <f t="shared" si="196"/>
        <v>-5.1852599874429774E-3</v>
      </c>
      <c r="F3169">
        <f t="shared" si="197"/>
        <v>2.9294817522123397E-4</v>
      </c>
      <c r="G3169">
        <f t="shared" si="198"/>
        <v>-0.26580429077148438</v>
      </c>
      <c r="H3169">
        <f t="shared" si="199"/>
        <v>1.999664306640625E-2</v>
      </c>
    </row>
    <row r="3170" spans="1:8" x14ac:dyDescent="0.2">
      <c r="A3170" t="s">
        <v>13</v>
      </c>
      <c r="B3170" s="2">
        <v>45740</v>
      </c>
      <c r="C3170">
        <v>52.267765045166023</v>
      </c>
      <c r="D3170">
        <f>_xlfn.XLOOKUP(B3170, Oil_Price!A:A, Oil_Price!B:B, "")</f>
        <v>69.110000610351562</v>
      </c>
      <c r="E3170">
        <f t="shared" si="196"/>
        <v>2.4944308217548922E-2</v>
      </c>
      <c r="F3170">
        <f t="shared" si="197"/>
        <v>1.2155855973833903E-2</v>
      </c>
      <c r="G3170">
        <f t="shared" si="198"/>
        <v>1.2720527648925852</v>
      </c>
      <c r="H3170">
        <f t="shared" si="199"/>
        <v>0.8300018310546875</v>
      </c>
    </row>
    <row r="3171" spans="1:8" x14ac:dyDescent="0.2">
      <c r="A3171" t="s">
        <v>13</v>
      </c>
      <c r="B3171" s="2">
        <v>45741</v>
      </c>
      <c r="C3171">
        <v>52.182327270507812</v>
      </c>
      <c r="D3171">
        <f>_xlfn.XLOOKUP(B3171, Oil_Price!A:A, Oil_Price!B:B, "")</f>
        <v>69</v>
      </c>
      <c r="E3171">
        <f t="shared" si="196"/>
        <v>-1.6346169495554494E-3</v>
      </c>
      <c r="F3171">
        <f t="shared" si="197"/>
        <v>-1.5916742783979399E-3</v>
      </c>
      <c r="G3171">
        <f t="shared" si="198"/>
        <v>-8.543777465821023E-2</v>
      </c>
      <c r="H3171">
        <f t="shared" si="199"/>
        <v>-0.1100006103515625</v>
      </c>
    </row>
    <row r="3172" spans="1:8" x14ac:dyDescent="0.2">
      <c r="A3172" t="s">
        <v>13</v>
      </c>
      <c r="B3172" s="2">
        <v>45742</v>
      </c>
      <c r="C3172">
        <v>52.704433441162109</v>
      </c>
      <c r="D3172">
        <f>_xlfn.XLOOKUP(B3172, Oil_Price!A:A, Oil_Price!B:B, "")</f>
        <v>69.650001525878906</v>
      </c>
      <c r="E3172">
        <f t="shared" si="196"/>
        <v>1.0005421336379886E-2</v>
      </c>
      <c r="F3172">
        <f t="shared" si="197"/>
        <v>9.4203119692595101E-3</v>
      </c>
      <c r="G3172">
        <f t="shared" si="198"/>
        <v>0.52210617065429688</v>
      </c>
      <c r="H3172">
        <f t="shared" si="199"/>
        <v>0.65000152587890625</v>
      </c>
    </row>
    <row r="3173" spans="1:8" x14ac:dyDescent="0.2">
      <c r="A3173" t="s">
        <v>13</v>
      </c>
      <c r="B3173" s="2">
        <v>45743</v>
      </c>
      <c r="C3173">
        <v>52.486099243164062</v>
      </c>
      <c r="D3173">
        <f>_xlfn.XLOOKUP(B3173, Oil_Price!A:A, Oil_Price!B:B, "")</f>
        <v>69.919998168945312</v>
      </c>
      <c r="E3173">
        <f t="shared" si="196"/>
        <v>-4.1426154071419743E-3</v>
      </c>
      <c r="F3173">
        <f t="shared" si="197"/>
        <v>3.8764772024604661E-3</v>
      </c>
      <c r="G3173">
        <f t="shared" si="198"/>
        <v>-0.21833419799804688</v>
      </c>
      <c r="H3173">
        <f t="shared" si="199"/>
        <v>0.26999664306640625</v>
      </c>
    </row>
    <row r="3174" spans="1:8" x14ac:dyDescent="0.2">
      <c r="A3174" t="s">
        <v>13</v>
      </c>
      <c r="B3174" s="2">
        <v>45744</v>
      </c>
      <c r="C3174">
        <v>52.134860992431641</v>
      </c>
      <c r="D3174">
        <f>_xlfn.XLOOKUP(B3174, Oil_Price!A:A, Oil_Price!B:B, "")</f>
        <v>69.360000610351562</v>
      </c>
      <c r="E3174">
        <f t="shared" si="196"/>
        <v>-6.6920242844712473E-3</v>
      </c>
      <c r="F3174">
        <f t="shared" si="197"/>
        <v>-8.0091186106819815E-3</v>
      </c>
      <c r="G3174">
        <f t="shared" si="198"/>
        <v>-0.35123825073242188</v>
      </c>
      <c r="H3174">
        <f t="shared" si="199"/>
        <v>-0.55999755859375</v>
      </c>
    </row>
    <row r="3175" spans="1:8" x14ac:dyDescent="0.2">
      <c r="A3175" t="s">
        <v>13</v>
      </c>
      <c r="B3175" s="2">
        <v>45747</v>
      </c>
      <c r="C3175">
        <v>52.894290924072273</v>
      </c>
      <c r="D3175">
        <f>_xlfn.XLOOKUP(B3175, Oil_Price!A:A, Oil_Price!B:B, "")</f>
        <v>71.480003356933594</v>
      </c>
      <c r="E3175">
        <f t="shared" si="196"/>
        <v>1.4566643454767774E-2</v>
      </c>
      <c r="F3175">
        <f t="shared" si="197"/>
        <v>3.0565206573334915E-2</v>
      </c>
      <c r="G3175">
        <f t="shared" si="198"/>
        <v>0.75942993164063211</v>
      </c>
      <c r="H3175">
        <f t="shared" si="199"/>
        <v>2.1200027465820312</v>
      </c>
    </row>
    <row r="3176" spans="1:8" x14ac:dyDescent="0.2">
      <c r="A3176" t="s">
        <v>13</v>
      </c>
      <c r="B3176" s="2">
        <v>45748</v>
      </c>
      <c r="C3176">
        <v>53.055667877197273</v>
      </c>
      <c r="D3176">
        <f>_xlfn.XLOOKUP(B3176, Oil_Price!A:A, Oil_Price!B:B, "")</f>
        <v>71.199996948242188</v>
      </c>
      <c r="E3176">
        <f t="shared" si="196"/>
        <v>3.0509332917734058E-3</v>
      </c>
      <c r="F3176">
        <f t="shared" si="197"/>
        <v>-3.9172691038247623E-3</v>
      </c>
      <c r="G3176">
        <f t="shared" si="198"/>
        <v>0.161376953125</v>
      </c>
      <c r="H3176">
        <f t="shared" si="199"/>
        <v>-0.28000640869140625</v>
      </c>
    </row>
    <row r="3177" spans="1:8" x14ac:dyDescent="0.2">
      <c r="A3177" t="s">
        <v>13</v>
      </c>
      <c r="B3177" s="2">
        <v>45749</v>
      </c>
      <c r="C3177">
        <v>53.236038208007812</v>
      </c>
      <c r="D3177">
        <f>_xlfn.XLOOKUP(B3177, Oil_Price!A:A, Oil_Price!B:B, "")</f>
        <v>71.709999084472656</v>
      </c>
      <c r="E3177">
        <f t="shared" si="196"/>
        <v>3.3996430169916099E-3</v>
      </c>
      <c r="F3177">
        <f t="shared" si="197"/>
        <v>7.1629516585682926E-3</v>
      </c>
      <c r="G3177">
        <f t="shared" si="198"/>
        <v>0.18037033081053977</v>
      </c>
      <c r="H3177">
        <f t="shared" si="199"/>
        <v>0.51000213623046875</v>
      </c>
    </row>
    <row r="3178" spans="1:8" x14ac:dyDescent="0.2">
      <c r="A3178" t="s">
        <v>13</v>
      </c>
      <c r="B3178" s="2">
        <v>45750</v>
      </c>
      <c r="C3178">
        <v>49.201568603515618</v>
      </c>
      <c r="D3178">
        <f>_xlfn.XLOOKUP(B3178, Oil_Price!A:A, Oil_Price!B:B, "")</f>
        <v>66.949996948242188</v>
      </c>
      <c r="E3178">
        <f t="shared" si="196"/>
        <v>-7.5784557609798353E-2</v>
      </c>
      <c r="F3178">
        <f t="shared" si="197"/>
        <v>-6.6378499470112956E-2</v>
      </c>
      <c r="G3178">
        <f t="shared" si="198"/>
        <v>-4.0344696044921946</v>
      </c>
      <c r="H3178">
        <f t="shared" si="199"/>
        <v>-4.7600021362304688</v>
      </c>
    </row>
    <row r="3179" spans="1:8" x14ac:dyDescent="0.2">
      <c r="A3179" t="s">
        <v>13</v>
      </c>
      <c r="B3179" s="2">
        <v>45751</v>
      </c>
      <c r="C3179">
        <v>44.863315582275391</v>
      </c>
      <c r="D3179">
        <f>_xlfn.XLOOKUP(B3179, Oil_Price!A:A, Oil_Price!B:B, "")</f>
        <v>61.990001678466797</v>
      </c>
      <c r="E3179">
        <f t="shared" si="196"/>
        <v>-8.8173063265512316E-2</v>
      </c>
      <c r="F3179">
        <f t="shared" si="197"/>
        <v>-7.4085070886707766E-2</v>
      </c>
      <c r="G3179">
        <f t="shared" si="198"/>
        <v>-4.3382530212402273</v>
      </c>
      <c r="H3179">
        <f t="shared" si="199"/>
        <v>-4.9599952697753906</v>
      </c>
    </row>
    <row r="3180" spans="1:8" x14ac:dyDescent="0.2">
      <c r="A3180" t="s">
        <v>13</v>
      </c>
      <c r="B3180" s="2">
        <v>45754</v>
      </c>
      <c r="C3180">
        <v>44.749404907226562</v>
      </c>
      <c r="D3180">
        <f>_xlfn.XLOOKUP(B3180, Oil_Price!A:A, Oil_Price!B:B, "")</f>
        <v>60.700000762939453</v>
      </c>
      <c r="E3180">
        <f t="shared" si="196"/>
        <v>-2.5390605569471547E-3</v>
      </c>
      <c r="F3180">
        <f t="shared" si="197"/>
        <v>-2.0809822239050622E-2</v>
      </c>
      <c r="G3180">
        <f t="shared" si="198"/>
        <v>-0.11391067504882812</v>
      </c>
      <c r="H3180">
        <f t="shared" si="199"/>
        <v>-1.2900009155273438</v>
      </c>
    </row>
    <row r="3181" spans="1:8" x14ac:dyDescent="0.2">
      <c r="A3181" t="s">
        <v>13</v>
      </c>
      <c r="B3181" s="2">
        <v>45755</v>
      </c>
      <c r="C3181">
        <v>42.660972595214837</v>
      </c>
      <c r="D3181">
        <f>_xlfn.XLOOKUP(B3181, Oil_Price!A:A, Oil_Price!B:B, "")</f>
        <v>59.580001831054688</v>
      </c>
      <c r="E3181">
        <f t="shared" si="196"/>
        <v>-4.6669499099293403E-2</v>
      </c>
      <c r="F3181">
        <f t="shared" si="197"/>
        <v>-1.8451382500946918E-2</v>
      </c>
      <c r="G3181">
        <f t="shared" si="198"/>
        <v>-2.0884323120117259</v>
      </c>
      <c r="H3181">
        <f t="shared" si="199"/>
        <v>-1.1199989318847656</v>
      </c>
    </row>
    <row r="3182" spans="1:8" x14ac:dyDescent="0.2">
      <c r="A3182" t="s">
        <v>13</v>
      </c>
      <c r="B3182" s="2">
        <v>45756</v>
      </c>
      <c r="C3182">
        <v>45.869564056396477</v>
      </c>
      <c r="D3182">
        <f>_xlfn.XLOOKUP(B3182, Oil_Price!A:A, Oil_Price!B:B, "")</f>
        <v>62.349998474121087</v>
      </c>
      <c r="E3182">
        <f t="shared" si="196"/>
        <v>7.5211399693722397E-2</v>
      </c>
      <c r="F3182">
        <f t="shared" si="197"/>
        <v>4.6492053674671137E-2</v>
      </c>
      <c r="G3182">
        <f t="shared" si="198"/>
        <v>3.2085914611816406</v>
      </c>
      <c r="H3182">
        <f t="shared" si="199"/>
        <v>2.7699966430663991</v>
      </c>
    </row>
    <row r="3183" spans="1:8" x14ac:dyDescent="0.2">
      <c r="A3183" t="s">
        <v>13</v>
      </c>
      <c r="B3183" s="2">
        <v>45757</v>
      </c>
      <c r="C3183">
        <v>42.774890899658203</v>
      </c>
      <c r="D3183">
        <f>_xlfn.XLOOKUP(B3183, Oil_Price!A:A, Oil_Price!B:B, "")</f>
        <v>60.069999694824219</v>
      </c>
      <c r="E3183">
        <f t="shared" si="196"/>
        <v>-6.7466809864017541E-2</v>
      </c>
      <c r="F3183">
        <f t="shared" si="197"/>
        <v>-3.6567743946989854E-2</v>
      </c>
      <c r="G3183">
        <f t="shared" si="198"/>
        <v>-3.0946731567382741</v>
      </c>
      <c r="H3183">
        <f t="shared" si="199"/>
        <v>-2.2799987792968679</v>
      </c>
    </row>
    <row r="3184" spans="1:8" x14ac:dyDescent="0.2">
      <c r="A3184" t="s">
        <v>13</v>
      </c>
      <c r="B3184" s="2">
        <v>45758</v>
      </c>
      <c r="C3184">
        <v>44.113380432128913</v>
      </c>
      <c r="D3184">
        <f>_xlfn.XLOOKUP(B3184, Oil_Price!A:A, Oil_Price!B:B, "")</f>
        <v>61.5</v>
      </c>
      <c r="E3184">
        <f t="shared" si="196"/>
        <v>3.1291477413947201E-2</v>
      </c>
      <c r="F3184">
        <f t="shared" si="197"/>
        <v>2.3805565381066478E-2</v>
      </c>
      <c r="G3184">
        <f t="shared" si="198"/>
        <v>1.3384895324707102</v>
      </c>
      <c r="H3184">
        <f t="shared" si="199"/>
        <v>1.4300003051757812</v>
      </c>
    </row>
    <row r="3185" spans="1:8" x14ac:dyDescent="0.2">
      <c r="A3185" t="s">
        <v>13</v>
      </c>
      <c r="B3185" s="2">
        <v>45761</v>
      </c>
      <c r="C3185">
        <v>44.103885650634773</v>
      </c>
      <c r="D3185">
        <f>_xlfn.XLOOKUP(B3185, Oil_Price!A:A, Oil_Price!B:B, "")</f>
        <v>61.529998779296882</v>
      </c>
      <c r="E3185">
        <f t="shared" si="196"/>
        <v>-2.1523586270494316E-4</v>
      </c>
      <c r="F3185">
        <f t="shared" si="197"/>
        <v>4.8778502921759521E-4</v>
      </c>
      <c r="G3185">
        <f t="shared" si="198"/>
        <v>-9.494781494140625E-3</v>
      </c>
      <c r="H3185">
        <f t="shared" si="199"/>
        <v>2.9998779296882105E-2</v>
      </c>
    </row>
    <row r="3186" spans="1:8" x14ac:dyDescent="0.2">
      <c r="A3186" t="s">
        <v>13</v>
      </c>
      <c r="B3186" s="2">
        <v>45762</v>
      </c>
      <c r="C3186">
        <v>44.141857147216797</v>
      </c>
      <c r="D3186">
        <f>_xlfn.XLOOKUP(B3186, Oil_Price!A:A, Oil_Price!B:B, "")</f>
        <v>61.330001831054688</v>
      </c>
      <c r="E3186">
        <f t="shared" si="196"/>
        <v>8.6095580971736071E-4</v>
      </c>
      <c r="F3186">
        <f t="shared" si="197"/>
        <v>-3.250397403054849E-3</v>
      </c>
      <c r="G3186">
        <f t="shared" si="198"/>
        <v>3.7971496582024145E-2</v>
      </c>
      <c r="H3186">
        <f t="shared" si="199"/>
        <v>-0.19999694824219461</v>
      </c>
    </row>
    <row r="3187" spans="1:8" x14ac:dyDescent="0.2">
      <c r="A3187" t="s">
        <v>13</v>
      </c>
      <c r="B3187" s="2">
        <v>45763</v>
      </c>
      <c r="C3187">
        <v>44.483604431152337</v>
      </c>
      <c r="D3187">
        <f>_xlfn.XLOOKUP(B3187, Oil_Price!A:A, Oil_Price!B:B, "")</f>
        <v>62.470001220703118</v>
      </c>
      <c r="E3187">
        <f t="shared" si="196"/>
        <v>7.742023241020057E-3</v>
      </c>
      <c r="F3187">
        <f t="shared" si="197"/>
        <v>1.8587956230439687E-2</v>
      </c>
      <c r="G3187">
        <f t="shared" si="198"/>
        <v>0.34174728393553977</v>
      </c>
      <c r="H3187">
        <f t="shared" si="199"/>
        <v>1.1399993896484304</v>
      </c>
    </row>
    <row r="3188" spans="1:8" x14ac:dyDescent="0.2">
      <c r="A3188" t="s">
        <v>13</v>
      </c>
      <c r="B3188" s="2">
        <v>45764</v>
      </c>
      <c r="C3188">
        <v>45.375934600830078</v>
      </c>
      <c r="D3188">
        <f>_xlfn.XLOOKUP(B3188, Oil_Price!A:A, Oil_Price!B:B, "")</f>
        <v>64.680000305175781</v>
      </c>
      <c r="E3188">
        <f t="shared" si="196"/>
        <v>2.0059754174345489E-2</v>
      </c>
      <c r="F3188">
        <f t="shared" si="197"/>
        <v>3.5376965604096228E-2</v>
      </c>
      <c r="G3188">
        <f t="shared" si="198"/>
        <v>0.89233016967774148</v>
      </c>
      <c r="H3188">
        <f t="shared" si="199"/>
        <v>2.2099990844726634</v>
      </c>
    </row>
    <row r="3189" spans="1:8" x14ac:dyDescent="0.2">
      <c r="A3189" t="s">
        <v>13</v>
      </c>
      <c r="B3189" s="2">
        <v>45768</v>
      </c>
      <c r="C3189">
        <v>45.385429382324219</v>
      </c>
      <c r="D3189">
        <f>_xlfn.XLOOKUP(B3189, Oil_Price!A:A, Oil_Price!B:B, "")</f>
        <v>63.080001831054688</v>
      </c>
      <c r="E3189">
        <f t="shared" si="196"/>
        <v>2.0924707287388707E-4</v>
      </c>
      <c r="F3189">
        <f t="shared" si="197"/>
        <v>-2.4737143886393267E-2</v>
      </c>
      <c r="G3189">
        <f t="shared" si="198"/>
        <v>9.494781494140625E-3</v>
      </c>
      <c r="H3189">
        <f t="shared" si="199"/>
        <v>-1.5999984741210938</v>
      </c>
    </row>
    <row r="3190" spans="1:8" x14ac:dyDescent="0.2">
      <c r="A3190" t="s">
        <v>13</v>
      </c>
      <c r="B3190" s="2">
        <v>45769</v>
      </c>
      <c r="C3190">
        <v>46.477104187011719</v>
      </c>
      <c r="D3190">
        <f>_xlfn.XLOOKUP(B3190, Oil_Price!A:A, Oil_Price!B:B, "")</f>
        <v>64.30999755859375</v>
      </c>
      <c r="E3190">
        <f t="shared" si="196"/>
        <v>2.4053420217561343E-2</v>
      </c>
      <c r="F3190">
        <f t="shared" si="197"/>
        <v>1.9498980530046967E-2</v>
      </c>
      <c r="G3190">
        <f t="shared" si="198"/>
        <v>1.0916748046875</v>
      </c>
      <c r="H3190">
        <f t="shared" si="199"/>
        <v>1.2299957275390625</v>
      </c>
    </row>
    <row r="3191" spans="1:8" x14ac:dyDescent="0.2">
      <c r="A3191" t="s">
        <v>13</v>
      </c>
      <c r="B3191" s="2">
        <v>45770</v>
      </c>
      <c r="C3191">
        <v>46.239784240722663</v>
      </c>
      <c r="D3191">
        <f>_xlfn.XLOOKUP(B3191, Oil_Price!A:A, Oil_Price!B:B, "")</f>
        <v>62.270000457763672</v>
      </c>
      <c r="E3191">
        <f t="shared" si="196"/>
        <v>-5.1061689500736095E-3</v>
      </c>
      <c r="F3191">
        <f t="shared" si="197"/>
        <v>-3.1721305835401531E-2</v>
      </c>
      <c r="G3191">
        <f t="shared" si="198"/>
        <v>-0.23731994628905539</v>
      </c>
      <c r="H3191">
        <f t="shared" si="199"/>
        <v>-2.0399971008300781</v>
      </c>
    </row>
    <row r="3192" spans="1:8" x14ac:dyDescent="0.2">
      <c r="A3192" t="s">
        <v>13</v>
      </c>
      <c r="B3192" s="2">
        <v>45771</v>
      </c>
      <c r="C3192">
        <v>46.818851470947273</v>
      </c>
      <c r="D3192">
        <f>_xlfn.XLOOKUP(B3192, Oil_Price!A:A, Oil_Price!B:B, "")</f>
        <v>62.790000915527337</v>
      </c>
      <c r="E3192">
        <f t="shared" si="196"/>
        <v>1.2523138672317458E-2</v>
      </c>
      <c r="F3192">
        <f t="shared" si="197"/>
        <v>8.3507379788180548E-3</v>
      </c>
      <c r="G3192">
        <f t="shared" si="198"/>
        <v>0.57906723022460938</v>
      </c>
      <c r="H3192">
        <f t="shared" si="199"/>
        <v>0.52000045776366477</v>
      </c>
    </row>
    <row r="3193" spans="1:8" x14ac:dyDescent="0.2">
      <c r="A3193" t="s">
        <v>13</v>
      </c>
      <c r="B3193" s="2">
        <v>45772</v>
      </c>
      <c r="C3193">
        <v>46.837841033935547</v>
      </c>
      <c r="D3193">
        <f>_xlfn.XLOOKUP(B3193, Oil_Price!A:A, Oil_Price!B:B, "")</f>
        <v>63.020000457763672</v>
      </c>
      <c r="E3193">
        <f t="shared" si="196"/>
        <v>4.055965149007944E-4</v>
      </c>
      <c r="F3193">
        <f t="shared" si="197"/>
        <v>3.6629963192030893E-3</v>
      </c>
      <c r="G3193">
        <f t="shared" si="198"/>
        <v>1.8989562988274145E-2</v>
      </c>
      <c r="H3193">
        <f t="shared" si="199"/>
        <v>0.22999954223633523</v>
      </c>
    </row>
    <row r="3194" spans="1:8" x14ac:dyDescent="0.2">
      <c r="A3194" t="s">
        <v>13</v>
      </c>
      <c r="B3194" s="2">
        <v>45775</v>
      </c>
      <c r="C3194">
        <v>46.847332000732422</v>
      </c>
      <c r="D3194">
        <f>_xlfn.XLOOKUP(B3194, Oil_Price!A:A, Oil_Price!B:B, "")</f>
        <v>62.049999237060547</v>
      </c>
      <c r="E3194">
        <f t="shared" si="196"/>
        <v>2.0263459176093288E-4</v>
      </c>
      <c r="F3194">
        <f t="shared" si="197"/>
        <v>-1.5391958325249852E-2</v>
      </c>
      <c r="G3194">
        <f t="shared" si="198"/>
        <v>9.490966796875E-3</v>
      </c>
      <c r="H3194">
        <f t="shared" si="199"/>
        <v>-0.970001220703125</v>
      </c>
    </row>
    <row r="3195" spans="1:8" x14ac:dyDescent="0.2">
      <c r="A3195" t="s">
        <v>13</v>
      </c>
      <c r="B3195" s="2">
        <v>45776</v>
      </c>
      <c r="C3195">
        <v>46.932769775390618</v>
      </c>
      <c r="D3195">
        <f>_xlfn.XLOOKUP(B3195, Oil_Price!A:A, Oil_Price!B:B, "")</f>
        <v>60.419998168945312</v>
      </c>
      <c r="E3195">
        <f t="shared" si="196"/>
        <v>1.8237489950731936E-3</v>
      </c>
      <c r="F3195">
        <f t="shared" si="197"/>
        <v>-2.6269155328880085E-2</v>
      </c>
      <c r="G3195">
        <f t="shared" si="198"/>
        <v>8.543777465819602E-2</v>
      </c>
      <c r="H3195">
        <f t="shared" si="199"/>
        <v>-1.6300010681152344</v>
      </c>
    </row>
    <row r="3196" spans="1:8" x14ac:dyDescent="0.2">
      <c r="A3196" t="s">
        <v>13</v>
      </c>
      <c r="B3196" s="2">
        <v>45777</v>
      </c>
      <c r="C3196">
        <v>46.220798492431641</v>
      </c>
      <c r="D3196">
        <f>_xlfn.XLOOKUP(B3196, Oil_Price!A:A, Oil_Price!B:B, "")</f>
        <v>58.209999084472663</v>
      </c>
      <c r="E3196">
        <f t="shared" si="196"/>
        <v>-1.5170024832676767E-2</v>
      </c>
      <c r="F3196">
        <f t="shared" si="197"/>
        <v>-3.6577278243092454E-2</v>
      </c>
      <c r="G3196">
        <f t="shared" si="198"/>
        <v>-0.71197128295897727</v>
      </c>
      <c r="H3196">
        <f t="shared" si="199"/>
        <v>-2.2099990844726491</v>
      </c>
    </row>
    <row r="3197" spans="1:8" x14ac:dyDescent="0.2">
      <c r="A3197" t="s">
        <v>13</v>
      </c>
      <c r="B3197" s="2">
        <v>45778</v>
      </c>
      <c r="C3197">
        <v>46.913776397705078</v>
      </c>
      <c r="D3197">
        <f>_xlfn.XLOOKUP(B3197, Oil_Price!A:A, Oil_Price!B:B, "")</f>
        <v>59.240001678466797</v>
      </c>
      <c r="E3197">
        <f t="shared" si="196"/>
        <v>1.4992772255695846E-2</v>
      </c>
      <c r="F3197">
        <f t="shared" si="197"/>
        <v>1.7694599041299136E-2</v>
      </c>
      <c r="G3197">
        <f t="shared" si="198"/>
        <v>0.6929779052734375</v>
      </c>
      <c r="H3197">
        <f t="shared" si="199"/>
        <v>1.0300025939941335</v>
      </c>
    </row>
    <row r="3198" spans="1:8" x14ac:dyDescent="0.2">
      <c r="A3198" t="s">
        <v>13</v>
      </c>
      <c r="B3198" s="2">
        <v>45779</v>
      </c>
      <c r="C3198">
        <v>47.217555999755859</v>
      </c>
      <c r="D3198">
        <f>_xlfn.XLOOKUP(B3198, Oil_Price!A:A, Oil_Price!B:B, "")</f>
        <v>58.290000915527337</v>
      </c>
      <c r="E3198">
        <f t="shared" si="196"/>
        <v>6.4752749698837181E-3</v>
      </c>
      <c r="F3198">
        <f t="shared" si="197"/>
        <v>-1.6036474274523475E-2</v>
      </c>
      <c r="G3198">
        <f t="shared" si="198"/>
        <v>0.30377960205078125</v>
      </c>
      <c r="H3198">
        <f t="shared" si="199"/>
        <v>-0.95000076293946023</v>
      </c>
    </row>
    <row r="3199" spans="1:8" x14ac:dyDescent="0.2">
      <c r="A3199" t="s">
        <v>13</v>
      </c>
      <c r="B3199" s="2">
        <v>45782</v>
      </c>
      <c r="C3199">
        <v>45.755649566650391</v>
      </c>
      <c r="D3199">
        <f>_xlfn.XLOOKUP(B3199, Oil_Price!A:A, Oil_Price!B:B, "")</f>
        <v>57.130001068115227</v>
      </c>
      <c r="E3199">
        <f t="shared" si="196"/>
        <v>-3.0961077975171513E-2</v>
      </c>
      <c r="F3199">
        <f t="shared" si="197"/>
        <v>-1.990049458213523E-2</v>
      </c>
      <c r="G3199">
        <f t="shared" si="198"/>
        <v>-1.4619064331054688</v>
      </c>
      <c r="H3199">
        <f t="shared" si="199"/>
        <v>-1.1599998474121094</v>
      </c>
    </row>
    <row r="3200" spans="1:8" x14ac:dyDescent="0.2">
      <c r="A3200" t="s">
        <v>13</v>
      </c>
      <c r="B3200" s="2">
        <v>45783</v>
      </c>
      <c r="C3200">
        <v>45.907539367675781</v>
      </c>
      <c r="D3200">
        <f>_xlfn.XLOOKUP(B3200, Oil_Price!A:A, Oil_Price!B:B, "")</f>
        <v>59.090000152587891</v>
      </c>
      <c r="E3200">
        <f t="shared" si="196"/>
        <v>3.3195857225049104E-3</v>
      </c>
      <c r="F3200">
        <f t="shared" si="197"/>
        <v>3.430770257006973E-2</v>
      </c>
      <c r="G3200">
        <f t="shared" si="198"/>
        <v>0.15188980102539062</v>
      </c>
      <c r="H3200">
        <f t="shared" si="199"/>
        <v>1.9599990844726634</v>
      </c>
    </row>
    <row r="3201" spans="1:8" x14ac:dyDescent="0.2">
      <c r="A3201" t="s">
        <v>13</v>
      </c>
      <c r="B3201" s="2">
        <v>45784</v>
      </c>
      <c r="C3201">
        <v>44.607013702392578</v>
      </c>
      <c r="D3201">
        <f>_xlfn.XLOOKUP(B3201, Oil_Price!A:A, Oil_Price!B:B, "")</f>
        <v>58.069999694824219</v>
      </c>
      <c r="E3201">
        <f t="shared" si="196"/>
        <v>-2.8329239231648377E-2</v>
      </c>
      <c r="F3201">
        <f t="shared" si="197"/>
        <v>-1.7261811730068174E-2</v>
      </c>
      <c r="G3201">
        <f t="shared" si="198"/>
        <v>-1.3005256652832031</v>
      </c>
      <c r="H3201">
        <f t="shared" si="199"/>
        <v>-1.0200004577636719</v>
      </c>
    </row>
    <row r="3202" spans="1:8" x14ac:dyDescent="0.2">
      <c r="A3202" t="s">
        <v>13</v>
      </c>
      <c r="B3202" s="2">
        <v>45785</v>
      </c>
      <c r="C3202">
        <v>45.271511077880859</v>
      </c>
      <c r="D3202">
        <f>_xlfn.XLOOKUP(B3202, Oil_Price!A:A, Oil_Price!B:B, "")</f>
        <v>59.909999847412109</v>
      </c>
      <c r="E3202">
        <f t="shared" si="196"/>
        <v>1.48967016694202E-2</v>
      </c>
      <c r="F3202">
        <f t="shared" si="197"/>
        <v>3.1685899126186662E-2</v>
      </c>
      <c r="G3202">
        <f t="shared" si="198"/>
        <v>0.66449737548828125</v>
      </c>
      <c r="H3202">
        <f t="shared" si="199"/>
        <v>1.8400001525878906</v>
      </c>
    </row>
    <row r="3203" spans="1:8" x14ac:dyDescent="0.2">
      <c r="A3203" t="s">
        <v>13</v>
      </c>
      <c r="B3203" s="2">
        <v>45786</v>
      </c>
      <c r="C3203">
        <v>46.249275207519531</v>
      </c>
      <c r="D3203">
        <f>_xlfn.XLOOKUP(B3203, Oil_Price!A:A, Oil_Price!B:B, "")</f>
        <v>61.020000457763672</v>
      </c>
      <c r="E3203">
        <f t="shared" ref="E3203:E3266" si="200">IFERROR(IF(AND(A3203=A3202, C3203&lt;&gt;"", C3202&lt;&gt;""), (C3203-C3202)/C3202, ""), "")</f>
        <v>2.1597779847830088E-2</v>
      </c>
      <c r="F3203">
        <f t="shared" ref="F3203:F3266" si="201">IFERROR(IF(AND(A3203=A3202, D3203&lt;&gt;"", D3202&lt;&gt;""), (D3203-D3202)/D3202, ""), "")</f>
        <v>1.852780192252847E-2</v>
      </c>
      <c r="G3203">
        <f t="shared" ref="G3203:G3266" si="202">IFERROR(IF(AND(A3203=A3202, C3203&lt;&gt;"", C3202&lt;&gt;""), C3203-C3202, ""), "")</f>
        <v>0.97776412963867188</v>
      </c>
      <c r="H3203">
        <f t="shared" ref="H3203:H3266" si="203">IFERROR(IF(AND(A3203=A3202, D3203&lt;&gt;"", D3202&lt;&gt;""), D3203-D3202, ""), "")</f>
        <v>1.1100006103515625</v>
      </c>
    </row>
    <row r="3204" spans="1:8" x14ac:dyDescent="0.2">
      <c r="A3204" t="s">
        <v>13</v>
      </c>
      <c r="B3204" s="2">
        <v>45789</v>
      </c>
      <c r="C3204">
        <v>47.625747680664062</v>
      </c>
      <c r="D3204">
        <f>_xlfn.XLOOKUP(B3204, Oil_Price!A:A, Oil_Price!B:B, "")</f>
        <v>61.950000762939453</v>
      </c>
      <c r="E3204">
        <f t="shared" si="200"/>
        <v>2.9762033393352177E-2</v>
      </c>
      <c r="F3204">
        <f t="shared" si="201"/>
        <v>1.5240909508342291E-2</v>
      </c>
      <c r="G3204">
        <f t="shared" si="202"/>
        <v>1.3764724731445312</v>
      </c>
      <c r="H3204">
        <f t="shared" si="203"/>
        <v>0.93000030517578125</v>
      </c>
    </row>
    <row r="3205" spans="1:8" x14ac:dyDescent="0.2">
      <c r="A3205" t="s">
        <v>13</v>
      </c>
      <c r="B3205" s="2">
        <v>45790</v>
      </c>
      <c r="C3205">
        <v>48.185825347900391</v>
      </c>
      <c r="D3205">
        <f>_xlfn.XLOOKUP(B3205, Oil_Price!A:A, Oil_Price!B:B, "")</f>
        <v>63.669998168945312</v>
      </c>
      <c r="E3205">
        <f t="shared" si="200"/>
        <v>1.1759976368071136E-2</v>
      </c>
      <c r="F3205">
        <f t="shared" si="201"/>
        <v>2.7764283855099142E-2</v>
      </c>
      <c r="G3205">
        <f t="shared" si="202"/>
        <v>0.56007766723632812</v>
      </c>
      <c r="H3205">
        <f t="shared" si="203"/>
        <v>1.7199974060058594</v>
      </c>
    </row>
    <row r="3206" spans="1:8" x14ac:dyDescent="0.2">
      <c r="A3206" t="s">
        <v>13</v>
      </c>
      <c r="B3206" s="2">
        <v>45791</v>
      </c>
      <c r="C3206">
        <v>48.223800659179688</v>
      </c>
      <c r="D3206">
        <f>_xlfn.XLOOKUP(B3206, Oil_Price!A:A, Oil_Price!B:B, "")</f>
        <v>63.150001525878913</v>
      </c>
      <c r="E3206">
        <f t="shared" si="200"/>
        <v>7.8810129338070117E-4</v>
      </c>
      <c r="F3206">
        <f t="shared" si="201"/>
        <v>-8.1670591804732396E-3</v>
      </c>
      <c r="G3206">
        <f t="shared" si="202"/>
        <v>3.7975311279296875E-2</v>
      </c>
      <c r="H3206">
        <f t="shared" si="203"/>
        <v>-0.51999664306639914</v>
      </c>
    </row>
    <row r="3207" spans="1:8" x14ac:dyDescent="0.2">
      <c r="A3207" t="s">
        <v>13</v>
      </c>
      <c r="B3207" s="2">
        <v>45792</v>
      </c>
      <c r="C3207">
        <v>47.69219970703125</v>
      </c>
      <c r="D3207">
        <f>_xlfn.XLOOKUP(B3207, Oil_Price!A:A, Oil_Price!B:B, "")</f>
        <v>61.619998931884773</v>
      </c>
      <c r="E3207">
        <f t="shared" si="200"/>
        <v>-1.1023622047244094E-2</v>
      </c>
      <c r="F3207">
        <f t="shared" si="201"/>
        <v>-2.4228068994854173E-2</v>
      </c>
      <c r="G3207">
        <f t="shared" si="202"/>
        <v>-0.5316009521484375</v>
      </c>
      <c r="H3207">
        <f t="shared" si="203"/>
        <v>-1.5300025939941406</v>
      </c>
    </row>
    <row r="3208" spans="1:8" x14ac:dyDescent="0.2">
      <c r="A3208" t="s">
        <v>13</v>
      </c>
      <c r="B3208" s="2">
        <v>45793</v>
      </c>
      <c r="C3208">
        <v>47.331466674804688</v>
      </c>
      <c r="D3208">
        <f>_xlfn.XLOOKUP(B3208, Oil_Price!A:A, Oil_Price!B:B, "")</f>
        <v>62.490001678466797</v>
      </c>
      <c r="E3208">
        <f t="shared" si="200"/>
        <v>-7.5637742532848554E-3</v>
      </c>
      <c r="F3208">
        <f t="shared" si="201"/>
        <v>1.4118837417438647E-2</v>
      </c>
      <c r="G3208">
        <f t="shared" si="202"/>
        <v>-0.3607330322265625</v>
      </c>
      <c r="H3208">
        <f t="shared" si="203"/>
        <v>0.87000274658202414</v>
      </c>
    </row>
    <row r="3209" spans="1:8" x14ac:dyDescent="0.2">
      <c r="A3209" t="s">
        <v>13</v>
      </c>
      <c r="B3209" s="2">
        <v>45797</v>
      </c>
      <c r="C3209">
        <v>46.543556213378913</v>
      </c>
      <c r="D3209">
        <f>_xlfn.XLOOKUP(B3209, Oil_Price!A:A, Oil_Price!B:B, "")</f>
        <v>62.560001373291023</v>
      </c>
      <c r="E3209">
        <f t="shared" si="200"/>
        <v>-1.6646652148753119E-2</v>
      </c>
      <c r="F3209">
        <f t="shared" si="201"/>
        <v>1.1201743149952066E-3</v>
      </c>
      <c r="G3209">
        <f t="shared" si="202"/>
        <v>-0.78791046142577414</v>
      </c>
      <c r="H3209">
        <f t="shared" si="203"/>
        <v>6.9999694824225855E-2</v>
      </c>
    </row>
    <row r="3210" spans="1:8" x14ac:dyDescent="0.2">
      <c r="A3210" t="s">
        <v>13</v>
      </c>
      <c r="B3210" s="2">
        <v>45798</v>
      </c>
      <c r="C3210">
        <v>46.268264770507812</v>
      </c>
      <c r="D3210">
        <f>_xlfn.XLOOKUP(B3210, Oil_Price!A:A, Oil_Price!B:B, "")</f>
        <v>61.569999694824219</v>
      </c>
      <c r="E3210">
        <f t="shared" si="200"/>
        <v>-5.9147058211243544E-3</v>
      </c>
      <c r="F3210">
        <f t="shared" si="201"/>
        <v>-1.5824834666475392E-2</v>
      </c>
      <c r="G3210">
        <f t="shared" si="202"/>
        <v>-0.27529144287110086</v>
      </c>
      <c r="H3210">
        <f t="shared" si="203"/>
        <v>-0.99000167846680398</v>
      </c>
    </row>
    <row r="3211" spans="1:8" x14ac:dyDescent="0.2">
      <c r="A3211" t="s">
        <v>13</v>
      </c>
      <c r="B3211" s="2">
        <v>45799</v>
      </c>
      <c r="C3211">
        <v>46.562541961669922</v>
      </c>
      <c r="D3211">
        <f>_xlfn.XLOOKUP(B3211, Oil_Price!A:A, Oil_Price!B:B, "")</f>
        <v>61.200000762939453</v>
      </c>
      <c r="E3211">
        <f t="shared" si="200"/>
        <v>6.3602383322939465E-3</v>
      </c>
      <c r="F3211">
        <f t="shared" si="201"/>
        <v>-6.009402853966052E-3</v>
      </c>
      <c r="G3211">
        <f t="shared" si="202"/>
        <v>0.29427719116210938</v>
      </c>
      <c r="H3211">
        <f t="shared" si="203"/>
        <v>-0.36999893188476562</v>
      </c>
    </row>
    <row r="3212" spans="1:8" x14ac:dyDescent="0.2">
      <c r="A3212" t="s">
        <v>13</v>
      </c>
      <c r="B3212" s="2">
        <v>45800</v>
      </c>
      <c r="C3212">
        <v>46.562541961669922</v>
      </c>
      <c r="D3212">
        <f>_xlfn.XLOOKUP(B3212, Oil_Price!A:A, Oil_Price!B:B, "")</f>
        <v>61.529998779296882</v>
      </c>
      <c r="E3212">
        <f t="shared" si="200"/>
        <v>0</v>
      </c>
      <c r="F3212">
        <f t="shared" si="201"/>
        <v>5.3921243830647803E-3</v>
      </c>
      <c r="G3212">
        <f t="shared" si="202"/>
        <v>0</v>
      </c>
      <c r="H3212">
        <f t="shared" si="203"/>
        <v>0.32999801635742898</v>
      </c>
    </row>
    <row r="3213" spans="1:8" x14ac:dyDescent="0.2">
      <c r="A3213" t="s">
        <v>13</v>
      </c>
      <c r="B3213" s="2">
        <v>45803</v>
      </c>
      <c r="C3213">
        <v>46.780879974365227</v>
      </c>
      <c r="D3213" t="str">
        <f>_xlfn.XLOOKUP(B3213, Oil_Price!A:A, Oil_Price!B:B, "")</f>
        <v/>
      </c>
      <c r="E3213">
        <f t="shared" si="200"/>
        <v>4.6891343018824073E-3</v>
      </c>
      <c r="F3213" t="str">
        <f t="shared" si="201"/>
        <v/>
      </c>
      <c r="G3213">
        <f t="shared" si="202"/>
        <v>0.21833801269530539</v>
      </c>
      <c r="H3213" t="str">
        <f t="shared" si="203"/>
        <v/>
      </c>
    </row>
    <row r="3214" spans="1:8" x14ac:dyDescent="0.2">
      <c r="A3214" t="s">
        <v>13</v>
      </c>
      <c r="B3214" s="2">
        <v>45804</v>
      </c>
      <c r="C3214">
        <v>46.866310119628913</v>
      </c>
      <c r="D3214">
        <f>_xlfn.XLOOKUP(B3214, Oil_Price!A:A, Oil_Price!B:B, "")</f>
        <v>60.889999389648438</v>
      </c>
      <c r="E3214">
        <f t="shared" si="200"/>
        <v>1.82617653431273E-3</v>
      </c>
      <c r="F3214" t="str">
        <f t="shared" si="201"/>
        <v/>
      </c>
      <c r="G3214">
        <f t="shared" si="202"/>
        <v>8.5430145263686086E-2</v>
      </c>
      <c r="H3214" t="str">
        <f t="shared" si="203"/>
        <v/>
      </c>
    </row>
    <row r="3215" spans="1:8" x14ac:dyDescent="0.2">
      <c r="A3215" t="s">
        <v>13</v>
      </c>
      <c r="B3215" s="2">
        <v>45805</v>
      </c>
      <c r="C3215">
        <v>46.401165008544922</v>
      </c>
      <c r="D3215">
        <f>_xlfn.XLOOKUP(B3215, Oil_Price!A:A, Oil_Price!B:B, "")</f>
        <v>61.840000152587891</v>
      </c>
      <c r="E3215">
        <f t="shared" si="200"/>
        <v>-9.9249356285289417E-3</v>
      </c>
      <c r="F3215">
        <f t="shared" si="201"/>
        <v>1.5601917760914895E-2</v>
      </c>
      <c r="G3215">
        <f t="shared" si="202"/>
        <v>-0.46514511108399148</v>
      </c>
      <c r="H3215">
        <f t="shared" si="203"/>
        <v>0.95000076293945312</v>
      </c>
    </row>
    <row r="3216" spans="1:8" x14ac:dyDescent="0.2">
      <c r="A3216" t="s">
        <v>13</v>
      </c>
      <c r="B3216" s="2">
        <v>45806</v>
      </c>
      <c r="C3216">
        <v>46.875808715820312</v>
      </c>
      <c r="D3216">
        <f>_xlfn.XLOOKUP(B3216, Oil_Price!A:A, Oil_Price!B:B, "")</f>
        <v>60.939998626708977</v>
      </c>
      <c r="E3216">
        <f t="shared" si="200"/>
        <v>1.0229133410507765E-2</v>
      </c>
      <c r="F3216">
        <f t="shared" si="201"/>
        <v>-1.4553711572739218E-2</v>
      </c>
      <c r="G3216">
        <f t="shared" si="202"/>
        <v>0.47464370727539062</v>
      </c>
      <c r="H3216">
        <f t="shared" si="203"/>
        <v>-0.90000152587891336</v>
      </c>
    </row>
    <row r="3217" spans="1:8" x14ac:dyDescent="0.2">
      <c r="A3217" t="s">
        <v>13</v>
      </c>
      <c r="B3217" s="2">
        <v>45807</v>
      </c>
      <c r="C3217">
        <v>46.315731048583977</v>
      </c>
      <c r="D3217">
        <f>_xlfn.XLOOKUP(B3217, Oil_Price!A:A, Oil_Price!B:B, "")</f>
        <v>60.790000915527337</v>
      </c>
      <c r="E3217">
        <f t="shared" si="200"/>
        <v>-1.1948117431567901E-2</v>
      </c>
      <c r="F3217">
        <f t="shared" si="201"/>
        <v>-2.4613999764007076E-3</v>
      </c>
      <c r="G3217">
        <f t="shared" si="202"/>
        <v>-0.56007766723633523</v>
      </c>
      <c r="H3217">
        <f t="shared" si="203"/>
        <v>-0.14999771118164062</v>
      </c>
    </row>
    <row r="3218" spans="1:8" x14ac:dyDescent="0.2">
      <c r="A3218" t="s">
        <v>13</v>
      </c>
      <c r="B3218" s="2">
        <v>45810</v>
      </c>
      <c r="C3218">
        <v>47.663719177246087</v>
      </c>
      <c r="D3218">
        <f>_xlfn.XLOOKUP(B3218, Oil_Price!A:A, Oil_Price!B:B, "")</f>
        <v>62.520000457763672</v>
      </c>
      <c r="E3218">
        <f t="shared" si="200"/>
        <v>2.9104325855250034E-2</v>
      </c>
      <c r="F3218">
        <f t="shared" si="201"/>
        <v>2.8458620104979283E-2</v>
      </c>
      <c r="G3218">
        <f t="shared" si="202"/>
        <v>1.3479881286621094</v>
      </c>
      <c r="H3218">
        <f t="shared" si="203"/>
        <v>1.7299995422363352</v>
      </c>
    </row>
    <row r="3219" spans="1:8" x14ac:dyDescent="0.2">
      <c r="A3219" t="s">
        <v>13</v>
      </c>
      <c r="B3219" s="2">
        <v>45811</v>
      </c>
      <c r="C3219">
        <v>48.081409454345703</v>
      </c>
      <c r="D3219">
        <f>_xlfn.XLOOKUP(B3219, Oil_Price!A:A, Oil_Price!B:B, "")</f>
        <v>63.409999847412109</v>
      </c>
      <c r="E3219">
        <f t="shared" si="200"/>
        <v>8.763274966990307E-3</v>
      </c>
      <c r="F3219">
        <f t="shared" si="201"/>
        <v>1.4235434790978449E-2</v>
      </c>
      <c r="G3219">
        <f t="shared" si="202"/>
        <v>0.41769027709961648</v>
      </c>
      <c r="H3219">
        <f t="shared" si="203"/>
        <v>0.8899993896484375</v>
      </c>
    </row>
    <row r="3220" spans="1:8" x14ac:dyDescent="0.2">
      <c r="A3220" t="s">
        <v>13</v>
      </c>
      <c r="B3220" s="2">
        <v>45812</v>
      </c>
      <c r="C3220">
        <v>47.726169586181641</v>
      </c>
      <c r="D3220">
        <f>_xlfn.XLOOKUP(B3220, Oil_Price!A:A, Oil_Price!B:B, "")</f>
        <v>62.849998474121087</v>
      </c>
      <c r="E3220">
        <f t="shared" si="200"/>
        <v>-7.3882998064224827E-3</v>
      </c>
      <c r="F3220">
        <f t="shared" si="201"/>
        <v>-8.8314362819522617E-3</v>
      </c>
      <c r="G3220">
        <f t="shared" si="202"/>
        <v>-0.3552398681640625</v>
      </c>
      <c r="H3220">
        <f t="shared" si="203"/>
        <v>-0.56000137329102273</v>
      </c>
    </row>
    <row r="3221" spans="1:8" x14ac:dyDescent="0.2">
      <c r="A3221" t="s">
        <v>13</v>
      </c>
      <c r="B3221" s="2">
        <v>45813</v>
      </c>
      <c r="C3221">
        <v>48.062202453613281</v>
      </c>
      <c r="D3221">
        <f>_xlfn.XLOOKUP(B3221, Oil_Price!A:A, Oil_Price!B:B, "")</f>
        <v>63.369998931884773</v>
      </c>
      <c r="E3221">
        <f t="shared" si="200"/>
        <v>7.0408513891911757E-3</v>
      </c>
      <c r="F3221">
        <f t="shared" si="201"/>
        <v>8.2736749465125246E-3</v>
      </c>
      <c r="G3221">
        <f t="shared" si="202"/>
        <v>0.33603286743164062</v>
      </c>
      <c r="H3221">
        <f t="shared" si="203"/>
        <v>0.52000045776368609</v>
      </c>
    </row>
    <row r="3222" spans="1:8" x14ac:dyDescent="0.2">
      <c r="A3222" t="s">
        <v>13</v>
      </c>
      <c r="B3222" s="2">
        <v>45814</v>
      </c>
      <c r="C3222">
        <v>48.350231170654297</v>
      </c>
      <c r="D3222">
        <f>_xlfn.XLOOKUP(B3222, Oil_Price!A:A, Oil_Price!B:B, "")</f>
        <v>64.580001831054688</v>
      </c>
      <c r="E3222">
        <f t="shared" si="200"/>
        <v>5.9928322535573236E-3</v>
      </c>
      <c r="F3222">
        <f t="shared" si="201"/>
        <v>1.909425468778253E-2</v>
      </c>
      <c r="G3222">
        <f t="shared" si="202"/>
        <v>0.28802871704101562</v>
      </c>
      <c r="H3222">
        <f t="shared" si="203"/>
        <v>1.2100028991699148</v>
      </c>
    </row>
    <row r="3223" spans="1:8" x14ac:dyDescent="0.2">
      <c r="A3223" t="s">
        <v>13</v>
      </c>
      <c r="B3223" s="2">
        <v>45817</v>
      </c>
      <c r="C3223">
        <v>48.599853515625</v>
      </c>
      <c r="D3223">
        <f>_xlfn.XLOOKUP(B3223, Oil_Price!A:A, Oil_Price!B:B, "")</f>
        <v>65.290000915527344</v>
      </c>
      <c r="E3223">
        <f t="shared" si="200"/>
        <v>5.1627952737113075E-3</v>
      </c>
      <c r="F3223">
        <f t="shared" si="201"/>
        <v>1.0994101336975154E-2</v>
      </c>
      <c r="G3223">
        <f t="shared" si="202"/>
        <v>0.24962234497070312</v>
      </c>
      <c r="H3223">
        <f t="shared" si="203"/>
        <v>0.70999908447265625</v>
      </c>
    </row>
    <row r="3224" spans="1:8" x14ac:dyDescent="0.2">
      <c r="A3224" t="s">
        <v>13</v>
      </c>
      <c r="B3224" s="2">
        <v>45818</v>
      </c>
      <c r="C3224">
        <v>49.396732330322273</v>
      </c>
      <c r="D3224">
        <f>_xlfn.XLOOKUP(B3224, Oil_Price!A:A, Oil_Price!B:B, "")</f>
        <v>64.980003356933594</v>
      </c>
      <c r="E3224">
        <f t="shared" si="200"/>
        <v>1.6396732851078941E-2</v>
      </c>
      <c r="F3224">
        <f t="shared" si="201"/>
        <v>-4.7480097143026076E-3</v>
      </c>
      <c r="G3224">
        <f t="shared" si="202"/>
        <v>0.79687881469727273</v>
      </c>
      <c r="H3224">
        <f t="shared" si="203"/>
        <v>-0.30999755859375</v>
      </c>
    </row>
    <row r="3225" spans="1:8" x14ac:dyDescent="0.2">
      <c r="A3225" t="s">
        <v>13</v>
      </c>
      <c r="B3225" s="2">
        <v>45819</v>
      </c>
      <c r="C3225">
        <v>50.971279144287109</v>
      </c>
      <c r="D3225">
        <f>_xlfn.XLOOKUP(B3225, Oil_Price!A:A, Oil_Price!B:B, "")</f>
        <v>68.150001525878906</v>
      </c>
      <c r="E3225">
        <f t="shared" si="200"/>
        <v>3.1875525762223307E-2</v>
      </c>
      <c r="F3225">
        <f t="shared" si="201"/>
        <v>4.8784210606031962E-2</v>
      </c>
      <c r="G3225">
        <f t="shared" si="202"/>
        <v>1.5745468139648366</v>
      </c>
      <c r="H3225">
        <f t="shared" si="203"/>
        <v>3.1699981689453125</v>
      </c>
    </row>
    <row r="3226" spans="1:8" x14ac:dyDescent="0.2">
      <c r="A3226" t="s">
        <v>13</v>
      </c>
      <c r="B3226" s="2">
        <v>45820</v>
      </c>
      <c r="C3226">
        <v>51.048084259033203</v>
      </c>
      <c r="D3226">
        <f>_xlfn.XLOOKUP(B3226, Oil_Price!A:A, Oil_Price!B:B, "")</f>
        <v>68.040000915527344</v>
      </c>
      <c r="E3226">
        <f t="shared" si="200"/>
        <v>1.506831220159836E-3</v>
      </c>
      <c r="F3226">
        <f t="shared" si="201"/>
        <v>-1.6140954935971862E-3</v>
      </c>
      <c r="G3226">
        <f t="shared" si="202"/>
        <v>7.680511474609375E-2</v>
      </c>
      <c r="H3226">
        <f t="shared" si="203"/>
        <v>-0.1100006103515625</v>
      </c>
    </row>
    <row r="3227" spans="1:8" x14ac:dyDescent="0.2">
      <c r="A3227" t="s">
        <v>13</v>
      </c>
      <c r="B3227" s="2">
        <v>45821</v>
      </c>
      <c r="C3227">
        <v>53.448318481445312</v>
      </c>
      <c r="D3227">
        <f>_xlfn.XLOOKUP(B3227, Oil_Price!A:A, Oil_Price!B:B, "")</f>
        <v>72.980003356933594</v>
      </c>
      <c r="E3227">
        <f t="shared" si="200"/>
        <v>4.7019085187068044E-2</v>
      </c>
      <c r="F3227">
        <f t="shared" si="201"/>
        <v>7.2604385287109788E-2</v>
      </c>
      <c r="G3227">
        <f t="shared" si="202"/>
        <v>2.4002342224121094</v>
      </c>
      <c r="H3227">
        <f t="shared" si="203"/>
        <v>4.94000244140625</v>
      </c>
    </row>
    <row r="3228" spans="1:8" x14ac:dyDescent="0.2">
      <c r="A3228" t="s">
        <v>13</v>
      </c>
      <c r="B3228" s="2">
        <v>45824</v>
      </c>
      <c r="C3228">
        <v>53.006671905517578</v>
      </c>
      <c r="D3228">
        <f>_xlfn.XLOOKUP(B3228, Oil_Price!A:A, Oil_Price!B:B, "")</f>
        <v>71.769996643066406</v>
      </c>
      <c r="E3228">
        <f t="shared" si="200"/>
        <v>-8.2630583800508677E-3</v>
      </c>
      <c r="F3228">
        <f t="shared" si="201"/>
        <v>-1.6579976133314724E-2</v>
      </c>
      <c r="G3228">
        <f t="shared" si="202"/>
        <v>-0.44164657592773438</v>
      </c>
      <c r="H3228">
        <f t="shared" si="203"/>
        <v>-1.2100067138671875</v>
      </c>
    </row>
    <row r="3229" spans="1:8" x14ac:dyDescent="0.2">
      <c r="A3229" t="s">
        <v>13</v>
      </c>
      <c r="B3229" s="2">
        <v>45825</v>
      </c>
      <c r="C3229">
        <v>53.755546569824219</v>
      </c>
      <c r="D3229">
        <f>_xlfn.XLOOKUP(B3229, Oil_Price!A:A, Oil_Price!B:B, "")</f>
        <v>74.839996337890625</v>
      </c>
      <c r="E3229">
        <f t="shared" si="200"/>
        <v>1.4127932152418131E-2</v>
      </c>
      <c r="F3229">
        <f t="shared" si="201"/>
        <v>4.2775530701112369E-2</v>
      </c>
      <c r="G3229">
        <f t="shared" si="202"/>
        <v>0.74887466430664062</v>
      </c>
      <c r="H3229">
        <f t="shared" si="203"/>
        <v>3.0699996948242188</v>
      </c>
    </row>
    <row r="3230" spans="1:8" x14ac:dyDescent="0.2">
      <c r="A3230" t="s">
        <v>13</v>
      </c>
      <c r="B3230" s="2">
        <v>45826</v>
      </c>
      <c r="C3230">
        <v>52.670646667480469</v>
      </c>
      <c r="D3230">
        <f>_xlfn.XLOOKUP(B3230, Oil_Price!A:A, Oil_Price!B:B, "")</f>
        <v>75.139999389648438</v>
      </c>
      <c r="E3230">
        <f t="shared" si="200"/>
        <v>-2.0182101598289034E-2</v>
      </c>
      <c r="F3230">
        <f t="shared" si="201"/>
        <v>4.0085925499427693E-3</v>
      </c>
      <c r="G3230">
        <f t="shared" si="202"/>
        <v>-1.08489990234375</v>
      </c>
      <c r="H3230">
        <f t="shared" si="203"/>
        <v>0.3000030517578125</v>
      </c>
    </row>
    <row r="3231" spans="1:8" x14ac:dyDescent="0.2">
      <c r="A3231" t="s">
        <v>13</v>
      </c>
      <c r="B3231" s="2">
        <v>45827</v>
      </c>
      <c r="C3231">
        <v>52.939468383789062</v>
      </c>
      <c r="D3231" t="str">
        <f>_xlfn.XLOOKUP(B3231, Oil_Price!A:A, Oil_Price!B:B, "")</f>
        <v/>
      </c>
      <c r="E3231">
        <f t="shared" si="200"/>
        <v>5.1038241091990941E-3</v>
      </c>
      <c r="F3231" t="str">
        <f t="shared" si="201"/>
        <v/>
      </c>
      <c r="G3231">
        <f t="shared" si="202"/>
        <v>0.26882171630859375</v>
      </c>
      <c r="H3231" t="str">
        <f t="shared" si="203"/>
        <v/>
      </c>
    </row>
    <row r="3232" spans="1:8" x14ac:dyDescent="0.2">
      <c r="A3232" t="s">
        <v>13</v>
      </c>
      <c r="B3232" s="2">
        <v>45828</v>
      </c>
      <c r="C3232">
        <v>52.997074127197273</v>
      </c>
      <c r="D3232">
        <f>_xlfn.XLOOKUP(B3232, Oil_Price!A:A, Oil_Price!B:B, "")</f>
        <v>74.930000305175781</v>
      </c>
      <c r="E3232">
        <f t="shared" si="200"/>
        <v>1.0881435943140309E-3</v>
      </c>
      <c r="F3232" t="str">
        <f t="shared" si="201"/>
        <v/>
      </c>
      <c r="G3232">
        <f t="shared" si="202"/>
        <v>5.760574340821023E-2</v>
      </c>
      <c r="H3232" t="str">
        <f t="shared" si="203"/>
        <v/>
      </c>
    </row>
    <row r="3233" spans="1:8" x14ac:dyDescent="0.2">
      <c r="A3233" t="s">
        <v>13</v>
      </c>
      <c r="B3233" s="2">
        <v>45831</v>
      </c>
      <c r="C3233">
        <v>51.384120941162109</v>
      </c>
      <c r="D3233">
        <f>_xlfn.XLOOKUP(B3233, Oil_Price!A:A, Oil_Price!B:B, "")</f>
        <v>68.510002136230469</v>
      </c>
      <c r="E3233">
        <f t="shared" si="200"/>
        <v>-3.0434759137154346E-2</v>
      </c>
      <c r="F3233">
        <f t="shared" si="201"/>
        <v>-8.5679943184276908E-2</v>
      </c>
      <c r="G3233">
        <f t="shared" si="202"/>
        <v>-1.6129531860351634</v>
      </c>
      <c r="H3233">
        <f t="shared" si="203"/>
        <v>-6.4199981689453125</v>
      </c>
    </row>
    <row r="3234" spans="1:8" x14ac:dyDescent="0.2">
      <c r="A3234" t="s">
        <v>13</v>
      </c>
      <c r="B3234" s="2">
        <v>45832</v>
      </c>
      <c r="C3234">
        <v>50.462432861328118</v>
      </c>
      <c r="D3234">
        <f>_xlfn.XLOOKUP(B3234, Oil_Price!A:A, Oil_Price!B:B, "")</f>
        <v>64.370002746582031</v>
      </c>
      <c r="E3234">
        <f t="shared" si="200"/>
        <v>-1.7937216068936539E-2</v>
      </c>
      <c r="F3234">
        <f t="shared" si="201"/>
        <v>-6.0429123639729999E-2</v>
      </c>
      <c r="G3234">
        <f t="shared" si="202"/>
        <v>-0.92168807983399148</v>
      </c>
      <c r="H3234">
        <f t="shared" si="203"/>
        <v>-4.1399993896484375</v>
      </c>
    </row>
    <row r="3235" spans="1:8" x14ac:dyDescent="0.2">
      <c r="A3235" t="s">
        <v>13</v>
      </c>
      <c r="B3235" s="2">
        <v>45833</v>
      </c>
      <c r="C3235">
        <v>50.011188507080078</v>
      </c>
      <c r="D3235">
        <f>_xlfn.XLOOKUP(B3235, Oil_Price!A:A, Oil_Price!B:B, "")</f>
        <v>64.919998168945312</v>
      </c>
      <c r="E3235">
        <f t="shared" si="200"/>
        <v>-8.9421838912933354E-3</v>
      </c>
      <c r="F3235">
        <f t="shared" si="201"/>
        <v>8.5442814804367138E-3</v>
      </c>
      <c r="G3235">
        <f t="shared" si="202"/>
        <v>-0.45124435424803977</v>
      </c>
      <c r="H3235">
        <f t="shared" si="203"/>
        <v>0.54999542236328125</v>
      </c>
    </row>
    <row r="3236" spans="1:8" x14ac:dyDescent="0.2">
      <c r="A3236" t="s">
        <v>13</v>
      </c>
      <c r="B3236" s="2">
        <v>45834</v>
      </c>
      <c r="C3236">
        <v>49.694355010986328</v>
      </c>
      <c r="D3236">
        <f>_xlfn.XLOOKUP(B3236, Oil_Price!A:A, Oil_Price!B:B, "")</f>
        <v>65.239997863769531</v>
      </c>
      <c r="E3236">
        <f t="shared" si="200"/>
        <v>-6.3352522815748706E-3</v>
      </c>
      <c r="F3236">
        <f t="shared" si="201"/>
        <v>4.9291389995339161E-3</v>
      </c>
      <c r="G3236">
        <f t="shared" si="202"/>
        <v>-0.31683349609375</v>
      </c>
      <c r="H3236">
        <f t="shared" si="203"/>
        <v>0.31999969482421875</v>
      </c>
    </row>
    <row r="3237" spans="1:8" x14ac:dyDescent="0.2">
      <c r="A3237" t="s">
        <v>13</v>
      </c>
      <c r="B3237" s="2">
        <v>45835</v>
      </c>
      <c r="C3237">
        <v>49.406330108642578</v>
      </c>
      <c r="D3237">
        <f>_xlfn.XLOOKUP(B3237, Oil_Price!A:A, Oil_Price!B:B, "")</f>
        <v>65.519996643066406</v>
      </c>
      <c r="E3237">
        <f t="shared" si="200"/>
        <v>-5.7959279737119845E-3</v>
      </c>
      <c r="F3237">
        <f t="shared" si="201"/>
        <v>4.2918269231331458E-3</v>
      </c>
      <c r="G3237">
        <f t="shared" si="202"/>
        <v>-0.28802490234375</v>
      </c>
      <c r="H3237">
        <f t="shared" si="203"/>
        <v>0.279998779296875</v>
      </c>
    </row>
    <row r="3238" spans="1:8" x14ac:dyDescent="0.2">
      <c r="A3238" t="s">
        <v>13</v>
      </c>
      <c r="B3238" s="2">
        <v>45838</v>
      </c>
      <c r="C3238">
        <v>48.974288940429688</v>
      </c>
      <c r="D3238">
        <f>_xlfn.XLOOKUP(B3238, Oil_Price!A:A, Oil_Price!B:B, "")</f>
        <v>65.110000610351562</v>
      </c>
      <c r="E3238">
        <f t="shared" si="200"/>
        <v>-8.744652097471094E-3</v>
      </c>
      <c r="F3238">
        <f t="shared" si="201"/>
        <v>-6.257571027489227E-3</v>
      </c>
      <c r="G3238">
        <f t="shared" si="202"/>
        <v>-0.43204116821289062</v>
      </c>
      <c r="H3238">
        <f t="shared" si="203"/>
        <v>-0.40999603271484375</v>
      </c>
    </row>
    <row r="3239" spans="1:8" x14ac:dyDescent="0.2">
      <c r="A3239" t="s">
        <v>13</v>
      </c>
      <c r="B3239" s="2">
        <v>45840</v>
      </c>
      <c r="C3239">
        <v>49.924781799316413</v>
      </c>
      <c r="D3239">
        <f>_xlfn.XLOOKUP(B3239, Oil_Price!A:A, Oil_Price!B:B, "")</f>
        <v>67.449996948242188</v>
      </c>
      <c r="E3239">
        <f t="shared" si="200"/>
        <v>1.9407997123610438E-2</v>
      </c>
      <c r="F3239">
        <f t="shared" si="201"/>
        <v>3.5939123267625939E-2</v>
      </c>
      <c r="G3239">
        <f t="shared" si="202"/>
        <v>0.95049285888672586</v>
      </c>
      <c r="H3239">
        <f t="shared" si="203"/>
        <v>2.339996337890625</v>
      </c>
    </row>
    <row r="3240" spans="1:8" x14ac:dyDescent="0.2">
      <c r="A3240" t="s">
        <v>13</v>
      </c>
      <c r="B3240" s="2">
        <v>45841</v>
      </c>
      <c r="C3240">
        <v>50.087993621826172</v>
      </c>
      <c r="D3240">
        <f>_xlfn.XLOOKUP(B3240, Oil_Price!A:A, Oil_Price!B:B, "")</f>
        <v>67</v>
      </c>
      <c r="E3240">
        <f t="shared" si="200"/>
        <v>3.2691544485026324E-3</v>
      </c>
      <c r="F3240">
        <f t="shared" si="201"/>
        <v>-6.6715636560738915E-3</v>
      </c>
      <c r="G3240">
        <f t="shared" si="202"/>
        <v>0.16321182250975852</v>
      </c>
      <c r="H3240">
        <f t="shared" si="203"/>
        <v>-0.4499969482421875</v>
      </c>
    </row>
    <row r="3241" spans="1:8" x14ac:dyDescent="0.2">
      <c r="A3241" t="s">
        <v>13</v>
      </c>
      <c r="B3241" s="2">
        <v>45842</v>
      </c>
      <c r="C3241">
        <v>49.703960418701172</v>
      </c>
      <c r="D3241">
        <f>_xlfn.XLOOKUP(B3241, Oil_Price!A:A, Oil_Price!B:B, "")</f>
        <v>66.5</v>
      </c>
      <c r="E3241">
        <f t="shared" si="200"/>
        <v>-7.6671708199079272E-3</v>
      </c>
      <c r="F3241">
        <f t="shared" si="201"/>
        <v>-7.462686567164179E-3</v>
      </c>
      <c r="G3241">
        <f t="shared" si="202"/>
        <v>-0.384033203125</v>
      </c>
      <c r="H3241">
        <f t="shared" si="203"/>
        <v>-0.5</v>
      </c>
    </row>
    <row r="3242" spans="1:8" x14ac:dyDescent="0.2">
      <c r="A3242" t="s">
        <v>13</v>
      </c>
      <c r="B3242" s="2">
        <v>45845</v>
      </c>
      <c r="C3242">
        <v>49.617549896240227</v>
      </c>
      <c r="D3242">
        <f>_xlfn.XLOOKUP(B3242, Oil_Price!A:A, Oil_Price!B:B, "")</f>
        <v>67.930000305175781</v>
      </c>
      <c r="E3242">
        <f t="shared" si="200"/>
        <v>-1.7385037677688266E-3</v>
      </c>
      <c r="F3242">
        <f t="shared" si="201"/>
        <v>2.1503763987605732E-2</v>
      </c>
      <c r="G3242">
        <f t="shared" si="202"/>
        <v>-8.6410522460944605E-2</v>
      </c>
      <c r="H3242">
        <f t="shared" si="203"/>
        <v>1.4300003051757812</v>
      </c>
    </row>
    <row r="3243" spans="1:8" x14ac:dyDescent="0.2">
      <c r="A3243" t="s">
        <v>13</v>
      </c>
      <c r="B3243" s="2">
        <v>45846</v>
      </c>
      <c r="C3243">
        <v>51.000083923339837</v>
      </c>
      <c r="D3243">
        <f>_xlfn.XLOOKUP(B3243, Oil_Price!A:A, Oil_Price!B:B, "")</f>
        <v>68.330001831054688</v>
      </c>
      <c r="E3243">
        <f t="shared" si="200"/>
        <v>2.7863810889307353E-2</v>
      </c>
      <c r="F3243">
        <f t="shared" si="201"/>
        <v>5.8884369804489602E-3</v>
      </c>
      <c r="G3243">
        <f t="shared" si="202"/>
        <v>1.3825340270996094</v>
      </c>
      <c r="H3243">
        <f t="shared" si="203"/>
        <v>0.40000152587890625</v>
      </c>
    </row>
    <row r="3244" spans="1:8" x14ac:dyDescent="0.2">
      <c r="A3244" t="s">
        <v>13</v>
      </c>
      <c r="B3244" s="2">
        <v>45847</v>
      </c>
      <c r="C3244">
        <v>51.566532135009773</v>
      </c>
      <c r="D3244">
        <f>_xlfn.XLOOKUP(B3244, Oil_Price!A:A, Oil_Price!B:B, "")</f>
        <v>68.379997253417969</v>
      </c>
      <c r="E3244">
        <f t="shared" si="200"/>
        <v>1.1106809402929334E-2</v>
      </c>
      <c r="F3244">
        <f t="shared" si="201"/>
        <v>7.3167599917375208E-4</v>
      </c>
      <c r="G3244">
        <f t="shared" si="202"/>
        <v>0.56644821166993609</v>
      </c>
      <c r="H3244">
        <f t="shared" si="203"/>
        <v>4.999542236328125E-2</v>
      </c>
    </row>
    <row r="3245" spans="1:8" x14ac:dyDescent="0.2">
      <c r="A3245" t="s">
        <v>13</v>
      </c>
      <c r="B3245" s="2">
        <v>45848</v>
      </c>
      <c r="C3245">
        <v>51.691352844238281</v>
      </c>
      <c r="D3245">
        <f>_xlfn.XLOOKUP(B3245, Oil_Price!A:A, Oil_Price!B:B, "")</f>
        <v>66.569999694824219</v>
      </c>
      <c r="E3245">
        <f t="shared" si="200"/>
        <v>2.4205759833084589E-3</v>
      </c>
      <c r="F3245">
        <f t="shared" si="201"/>
        <v>-2.6469693350320768E-2</v>
      </c>
      <c r="G3245">
        <f t="shared" si="202"/>
        <v>0.12482070922850852</v>
      </c>
      <c r="H3245">
        <f t="shared" si="203"/>
        <v>-1.80999755859375</v>
      </c>
    </row>
    <row r="3246" spans="1:8" x14ac:dyDescent="0.2">
      <c r="A3246" t="s">
        <v>13</v>
      </c>
      <c r="B3246" s="2">
        <v>45849</v>
      </c>
      <c r="C3246">
        <v>52.680244445800781</v>
      </c>
      <c r="D3246">
        <f>_xlfn.XLOOKUP(B3246, Oil_Price!A:A, Oil_Price!B:B, "")</f>
        <v>68.449996948242188</v>
      </c>
      <c r="E3246">
        <f t="shared" si="200"/>
        <v>1.9130696860311051E-2</v>
      </c>
      <c r="F3246">
        <f t="shared" si="201"/>
        <v>2.8240908247505032E-2</v>
      </c>
      <c r="G3246">
        <f t="shared" si="202"/>
        <v>0.9888916015625</v>
      </c>
      <c r="H3246">
        <f t="shared" si="203"/>
        <v>1.8799972534179688</v>
      </c>
    </row>
    <row r="3247" spans="1:8" x14ac:dyDescent="0.2">
      <c r="A3247" t="s">
        <v>13</v>
      </c>
      <c r="B3247" s="2">
        <v>45852</v>
      </c>
      <c r="C3247">
        <v>52.392215728759773</v>
      </c>
      <c r="D3247">
        <f>_xlfn.XLOOKUP(B3247, Oil_Price!A:A, Oil_Price!B:B, "")</f>
        <v>66.980003356933594</v>
      </c>
      <c r="E3247">
        <f t="shared" si="200"/>
        <v>-5.4674901392559446E-3</v>
      </c>
      <c r="F3247">
        <f t="shared" si="201"/>
        <v>-2.1475436915214408E-2</v>
      </c>
      <c r="G3247">
        <f t="shared" si="202"/>
        <v>-0.28802871704100852</v>
      </c>
      <c r="H3247">
        <f t="shared" si="203"/>
        <v>-1.4699935913085938</v>
      </c>
    </row>
    <row r="3248" spans="1:8" x14ac:dyDescent="0.2">
      <c r="A3248" t="s">
        <v>13</v>
      </c>
      <c r="B3248" s="2">
        <v>45853</v>
      </c>
      <c r="C3248">
        <v>51.940967559814453</v>
      </c>
      <c r="D3248">
        <f>_xlfn.XLOOKUP(B3248, Oil_Price!A:A, Oil_Price!B:B, "")</f>
        <v>66.519996643066406</v>
      </c>
      <c r="E3248">
        <f t="shared" si="200"/>
        <v>-8.6128857630584036E-3</v>
      </c>
      <c r="F3248">
        <f t="shared" si="201"/>
        <v>-6.8678216006623832E-3</v>
      </c>
      <c r="G3248">
        <f t="shared" si="202"/>
        <v>-0.45124816894531961</v>
      </c>
      <c r="H3248">
        <f t="shared" si="203"/>
        <v>-0.4600067138671875</v>
      </c>
    </row>
    <row r="3249" spans="1:8" x14ac:dyDescent="0.2">
      <c r="A3249" t="s">
        <v>13</v>
      </c>
      <c r="B3249" s="2">
        <v>45854</v>
      </c>
      <c r="C3249">
        <v>51.422523498535163</v>
      </c>
      <c r="D3249">
        <f>_xlfn.XLOOKUP(B3249, Oil_Price!A:A, Oil_Price!B:B, "")</f>
        <v>66.379997253417969</v>
      </c>
      <c r="E3249">
        <f t="shared" si="200"/>
        <v>-9.981409389077267E-3</v>
      </c>
      <c r="F3249">
        <f t="shared" si="201"/>
        <v>-2.1046211171604156E-3</v>
      </c>
      <c r="G3249">
        <f t="shared" si="202"/>
        <v>-0.51844406127928977</v>
      </c>
      <c r="H3249">
        <f t="shared" si="203"/>
        <v>-0.1399993896484375</v>
      </c>
    </row>
    <row r="3250" spans="1:8" x14ac:dyDescent="0.2">
      <c r="A3250" t="s">
        <v>13</v>
      </c>
      <c r="B3250" s="2">
        <v>45855</v>
      </c>
      <c r="C3250">
        <v>51.566532135009773</v>
      </c>
      <c r="D3250">
        <f>_xlfn.XLOOKUP(B3250, Oil_Price!A:A, Oil_Price!B:B, "")</f>
        <v>67.540000915527344</v>
      </c>
      <c r="E3250">
        <f t="shared" si="200"/>
        <v>2.8004972661194202E-3</v>
      </c>
      <c r="F3250">
        <f t="shared" si="201"/>
        <v>1.7475199007328149E-2</v>
      </c>
      <c r="G3250">
        <f t="shared" si="202"/>
        <v>0.14400863647460938</v>
      </c>
      <c r="H3250">
        <f t="shared" si="203"/>
        <v>1.160003662109375</v>
      </c>
    </row>
    <row r="3251" spans="1:8" x14ac:dyDescent="0.2">
      <c r="A3251" t="s">
        <v>13</v>
      </c>
      <c r="B3251" s="2">
        <v>45856</v>
      </c>
      <c r="C3251">
        <v>51.182502746582031</v>
      </c>
      <c r="D3251">
        <f>_xlfn.XLOOKUP(B3251, Oil_Price!A:A, Oil_Price!B:B, "")</f>
        <v>67.339996337890625</v>
      </c>
      <c r="E3251">
        <f t="shared" si="200"/>
        <v>-7.4472603164837331E-3</v>
      </c>
      <c r="F3251">
        <f t="shared" si="201"/>
        <v>-2.9612759094697909E-3</v>
      </c>
      <c r="G3251">
        <f t="shared" si="202"/>
        <v>-0.38402938842774148</v>
      </c>
      <c r="H3251">
        <f t="shared" si="203"/>
        <v>-0.20000457763671875</v>
      </c>
    </row>
    <row r="3252" spans="1:8" x14ac:dyDescent="0.2">
      <c r="A3252" t="s">
        <v>13</v>
      </c>
      <c r="B3252" s="2">
        <v>45859</v>
      </c>
      <c r="C3252">
        <v>50.865673065185547</v>
      </c>
      <c r="D3252">
        <f>_xlfn.XLOOKUP(B3252, Oil_Price!A:A, Oil_Price!B:B, "")</f>
        <v>67.199996948242188</v>
      </c>
      <c r="E3252">
        <f t="shared" si="200"/>
        <v>-6.1901951720725939E-3</v>
      </c>
      <c r="F3252">
        <f t="shared" si="201"/>
        <v>-2.0789931283329037E-3</v>
      </c>
      <c r="G3252">
        <f t="shared" si="202"/>
        <v>-0.31682968139648438</v>
      </c>
      <c r="H3252">
        <f t="shared" si="203"/>
        <v>-0.1399993896484375</v>
      </c>
    </row>
    <row r="3253" spans="1:8" x14ac:dyDescent="0.2">
      <c r="A3253" t="s">
        <v>13</v>
      </c>
      <c r="B3253" s="2">
        <v>45860</v>
      </c>
      <c r="C3253">
        <v>51.076892852783203</v>
      </c>
      <c r="D3253">
        <f>_xlfn.XLOOKUP(B3253, Oil_Price!A:A, Oil_Price!B:B, "")</f>
        <v>66.209999084472656</v>
      </c>
      <c r="E3253">
        <f t="shared" si="200"/>
        <v>4.1525015765931806E-3</v>
      </c>
      <c r="F3253">
        <f t="shared" si="201"/>
        <v>-1.4732111737029291E-2</v>
      </c>
      <c r="G3253">
        <f t="shared" si="202"/>
        <v>0.21121978759765625</v>
      </c>
      <c r="H3253">
        <f t="shared" si="203"/>
        <v>-0.98999786376953125</v>
      </c>
    </row>
    <row r="3254" spans="1:8" x14ac:dyDescent="0.2">
      <c r="A3254" t="s">
        <v>13</v>
      </c>
      <c r="B3254" s="2">
        <v>45861</v>
      </c>
      <c r="C3254">
        <v>51.806560516357422</v>
      </c>
      <c r="D3254">
        <f>_xlfn.XLOOKUP(B3254, Oil_Price!A:A, Oil_Price!B:B, "")</f>
        <v>65.25</v>
      </c>
      <c r="E3254">
        <f t="shared" si="200"/>
        <v>1.4285670541418981E-2</v>
      </c>
      <c r="F3254">
        <f t="shared" si="201"/>
        <v>-1.4499306717220481E-2</v>
      </c>
      <c r="G3254">
        <f t="shared" si="202"/>
        <v>0.72966766357421875</v>
      </c>
      <c r="H3254">
        <f t="shared" si="203"/>
        <v>-0.95999908447265625</v>
      </c>
    </row>
    <row r="3255" spans="1:8" x14ac:dyDescent="0.2">
      <c r="A3255" t="s">
        <v>13</v>
      </c>
      <c r="B3255" s="2">
        <v>45862</v>
      </c>
      <c r="C3255">
        <v>51.998577117919922</v>
      </c>
      <c r="D3255">
        <f>_xlfn.XLOOKUP(B3255, Oil_Price!A:A, Oil_Price!B:B, "")</f>
        <v>66.029998779296875</v>
      </c>
      <c r="E3255">
        <f t="shared" si="200"/>
        <v>3.706414779299479E-3</v>
      </c>
      <c r="F3255">
        <f t="shared" si="201"/>
        <v>1.1954004280411877E-2</v>
      </c>
      <c r="G3255">
        <f t="shared" si="202"/>
        <v>0.1920166015625</v>
      </c>
      <c r="H3255">
        <f t="shared" si="203"/>
        <v>0.779998779296875</v>
      </c>
    </row>
    <row r="3256" spans="1:8" x14ac:dyDescent="0.2">
      <c r="A3256" t="s">
        <v>13</v>
      </c>
      <c r="B3256" s="2">
        <v>45863</v>
      </c>
      <c r="C3256">
        <v>51.710548400878913</v>
      </c>
      <c r="D3256">
        <f>_xlfn.XLOOKUP(B3256, Oil_Price!A:A, Oil_Price!B:B, "")</f>
        <v>65.160003662109375</v>
      </c>
      <c r="E3256">
        <f t="shared" si="200"/>
        <v>-5.5391653580795213E-3</v>
      </c>
      <c r="F3256">
        <f t="shared" si="201"/>
        <v>-1.3175755463746568E-2</v>
      </c>
      <c r="G3256">
        <f t="shared" si="202"/>
        <v>-0.28802871704100852</v>
      </c>
      <c r="H3256">
        <f t="shared" si="203"/>
        <v>-0.8699951171875</v>
      </c>
    </row>
    <row r="3257" spans="1:8" x14ac:dyDescent="0.2">
      <c r="A3257" t="s">
        <v>13</v>
      </c>
      <c r="B3257" s="2">
        <v>45866</v>
      </c>
      <c r="C3257">
        <v>52.718647003173828</v>
      </c>
      <c r="D3257">
        <f>_xlfn.XLOOKUP(B3257, Oil_Price!A:A, Oil_Price!B:B, "")</f>
        <v>66.709999084472656</v>
      </c>
      <c r="E3257">
        <f t="shared" si="200"/>
        <v>1.9495028257673252E-2</v>
      </c>
      <c r="F3257">
        <f t="shared" si="201"/>
        <v>2.3787528165296983E-2</v>
      </c>
      <c r="G3257">
        <f t="shared" si="202"/>
        <v>1.0080986022949148</v>
      </c>
      <c r="H3257">
        <f t="shared" si="203"/>
        <v>1.5499954223632812</v>
      </c>
    </row>
    <row r="3258" spans="1:8" x14ac:dyDescent="0.2">
      <c r="A3258" t="s">
        <v>13</v>
      </c>
      <c r="B3258" s="2">
        <v>45867</v>
      </c>
      <c r="C3258">
        <v>52.997074127197273</v>
      </c>
      <c r="D3258">
        <f>_xlfn.XLOOKUP(B3258, Oil_Price!A:A, Oil_Price!B:B, "")</f>
        <v>69.209999084472656</v>
      </c>
      <c r="E3258">
        <f t="shared" si="200"/>
        <v>5.2813784087949456E-3</v>
      </c>
      <c r="F3258">
        <f t="shared" si="201"/>
        <v>3.7475641347773564E-2</v>
      </c>
      <c r="G3258">
        <f t="shared" si="202"/>
        <v>0.27842712402344461</v>
      </c>
      <c r="H3258">
        <f t="shared" si="203"/>
        <v>2.5</v>
      </c>
    </row>
    <row r="3259" spans="1:8" x14ac:dyDescent="0.2">
      <c r="A3259" t="s">
        <v>13</v>
      </c>
      <c r="B3259" s="2">
        <v>45868</v>
      </c>
      <c r="C3259">
        <v>52.747451782226562</v>
      </c>
      <c r="D3259">
        <f>_xlfn.XLOOKUP(B3259, Oil_Price!A:A, Oil_Price!B:B, "")</f>
        <v>70</v>
      </c>
      <c r="E3259">
        <f t="shared" si="200"/>
        <v>-4.7101155881095697E-3</v>
      </c>
      <c r="F3259">
        <f t="shared" si="201"/>
        <v>1.1414548850999498E-2</v>
      </c>
      <c r="G3259">
        <f t="shared" si="202"/>
        <v>-0.24962234497071023</v>
      </c>
      <c r="H3259">
        <f t="shared" si="203"/>
        <v>0.79000091552734375</v>
      </c>
    </row>
    <row r="3260" spans="1:8" x14ac:dyDescent="0.2">
      <c r="A3260" t="s">
        <v>13</v>
      </c>
      <c r="B3260" s="2">
        <v>45869</v>
      </c>
      <c r="C3260">
        <v>52.469024658203118</v>
      </c>
      <c r="D3260">
        <f>_xlfn.XLOOKUP(B3260, Oil_Price!A:A, Oil_Price!B:B, "")</f>
        <v>69.260002136230469</v>
      </c>
      <c r="E3260">
        <f t="shared" si="200"/>
        <v>-5.2784943085584582E-3</v>
      </c>
      <c r="F3260">
        <f t="shared" si="201"/>
        <v>-1.0571398053850446E-2</v>
      </c>
      <c r="G3260">
        <f t="shared" si="202"/>
        <v>-0.27842712402344461</v>
      </c>
      <c r="H3260">
        <f t="shared" si="203"/>
        <v>-0.73999786376953125</v>
      </c>
    </row>
    <row r="3261" spans="1:8" x14ac:dyDescent="0.2">
      <c r="A3261" t="s">
        <v>13</v>
      </c>
      <c r="B3261" s="2">
        <v>45870</v>
      </c>
      <c r="C3261">
        <v>51.710548400878913</v>
      </c>
      <c r="D3261">
        <f>_xlfn.XLOOKUP(B3261, Oil_Price!A:A, Oil_Price!B:B, "")</f>
        <v>67.330001831054688</v>
      </c>
      <c r="E3261">
        <f t="shared" si="200"/>
        <v>-1.4455695760786794E-2</v>
      </c>
      <c r="F3261">
        <f t="shared" si="201"/>
        <v>-2.78660156749574E-2</v>
      </c>
      <c r="G3261">
        <f t="shared" si="202"/>
        <v>-0.75847625732420454</v>
      </c>
      <c r="H3261">
        <f t="shared" si="203"/>
        <v>-1.9300003051757812</v>
      </c>
    </row>
    <row r="3262" spans="1:8" x14ac:dyDescent="0.2">
      <c r="A3262" t="s">
        <v>13</v>
      </c>
      <c r="B3262" s="2">
        <v>45874</v>
      </c>
      <c r="C3262">
        <v>51.892971038818359</v>
      </c>
      <c r="D3262">
        <f>_xlfn.XLOOKUP(B3262, Oil_Price!A:A, Oil_Price!B:B, "")</f>
        <v>65.160003662109375</v>
      </c>
      <c r="E3262">
        <f t="shared" si="200"/>
        <v>3.5277645196341687E-3</v>
      </c>
      <c r="F3262">
        <f t="shared" si="201"/>
        <v>-3.2229290211372635E-2</v>
      </c>
      <c r="G3262">
        <f t="shared" si="202"/>
        <v>0.18242263793944602</v>
      </c>
      <c r="H3262">
        <f t="shared" si="203"/>
        <v>-2.1699981689453125</v>
      </c>
    </row>
    <row r="3263" spans="1:8" x14ac:dyDescent="0.2">
      <c r="A3263" t="s">
        <v>13</v>
      </c>
      <c r="B3263" s="2">
        <v>45875</v>
      </c>
      <c r="C3263">
        <v>51.758556365966797</v>
      </c>
      <c r="D3263">
        <f>_xlfn.XLOOKUP(B3263, Oil_Price!A:A, Oil_Price!B:B, "")</f>
        <v>64.349998474121094</v>
      </c>
      <c r="E3263">
        <f t="shared" si="200"/>
        <v>-2.5902288915200878E-3</v>
      </c>
      <c r="F3263">
        <f t="shared" si="201"/>
        <v>-1.2431018147092283E-2</v>
      </c>
      <c r="G3263">
        <f t="shared" si="202"/>
        <v>-0.1344146728515625</v>
      </c>
      <c r="H3263">
        <f t="shared" si="203"/>
        <v>-0.81000518798828125</v>
      </c>
    </row>
    <row r="3264" spans="1:8" x14ac:dyDescent="0.2">
      <c r="A3264" t="s">
        <v>13</v>
      </c>
      <c r="B3264" s="2">
        <v>45876</v>
      </c>
      <c r="C3264">
        <v>51.480125427246087</v>
      </c>
      <c r="D3264">
        <f>_xlfn.XLOOKUP(B3264, Oil_Price!A:A, Oil_Price!B:B, "")</f>
        <v>63.880001068115227</v>
      </c>
      <c r="E3264">
        <f t="shared" si="200"/>
        <v>-5.3794185593589909E-3</v>
      </c>
      <c r="F3264">
        <f t="shared" si="201"/>
        <v>-7.3037671662864135E-3</v>
      </c>
      <c r="G3264">
        <f t="shared" si="202"/>
        <v>-0.27843093872071023</v>
      </c>
      <c r="H3264">
        <f t="shared" si="203"/>
        <v>-0.46999740600586648</v>
      </c>
    </row>
    <row r="3265" spans="1:8" x14ac:dyDescent="0.2">
      <c r="A3265" t="s">
        <v>13</v>
      </c>
      <c r="B3265" s="2">
        <v>45877</v>
      </c>
      <c r="C3265">
        <v>51.787353515625</v>
      </c>
      <c r="D3265">
        <f>_xlfn.XLOOKUP(B3265, Oil_Price!A:A, Oil_Price!B:B, "")</f>
        <v>63.880001068115227</v>
      </c>
      <c r="E3265">
        <f t="shared" si="200"/>
        <v>5.9678970443283247E-3</v>
      </c>
      <c r="F3265">
        <f t="shared" si="201"/>
        <v>0</v>
      </c>
      <c r="G3265">
        <f t="shared" si="202"/>
        <v>0.30722808837891336</v>
      </c>
      <c r="H3265">
        <f t="shared" si="203"/>
        <v>0</v>
      </c>
    </row>
    <row r="3266" spans="1:8" x14ac:dyDescent="0.2">
      <c r="A3266" t="s">
        <v>13</v>
      </c>
      <c r="B3266" s="2">
        <v>45880</v>
      </c>
      <c r="C3266">
        <v>51.316917419433587</v>
      </c>
      <c r="D3266">
        <f>_xlfn.XLOOKUP(B3266, Oil_Price!A:A, Oil_Price!B:B, "")</f>
        <v>63.959999084472663</v>
      </c>
      <c r="E3266">
        <f t="shared" si="200"/>
        <v>-9.0839956911386854E-3</v>
      </c>
      <c r="F3266">
        <f t="shared" si="201"/>
        <v>1.2523170792081582E-3</v>
      </c>
      <c r="G3266">
        <f t="shared" si="202"/>
        <v>-0.47043609619141336</v>
      </c>
      <c r="H3266">
        <f t="shared" si="203"/>
        <v>7.9998016357436086E-2</v>
      </c>
    </row>
    <row r="3267" spans="1:8" x14ac:dyDescent="0.2">
      <c r="A3267" t="s">
        <v>13</v>
      </c>
      <c r="B3267" s="2">
        <v>45881</v>
      </c>
      <c r="C3267">
        <v>51.364917755126953</v>
      </c>
      <c r="D3267">
        <f>_xlfn.XLOOKUP(B3267, Oil_Price!A:A, Oil_Price!B:B, "")</f>
        <v>63.169998168945312</v>
      </c>
      <c r="E3267">
        <f t="shared" ref="E3267:E3330" si="204">IFERROR(IF(AND(A3267=A3266, C3267&lt;&gt;"", C3266&lt;&gt;""), (C3267-C3266)/C3266, ""), "")</f>
        <v>9.3537059720560835E-4</v>
      </c>
      <c r="F3267">
        <f t="shared" ref="F3267:F3330" si="205">IFERROR(IF(AND(A3267=A3266, D3267&lt;&gt;"", D3266&lt;&gt;""), (D3267-D3266)/D3266, ""), "")</f>
        <v>-1.2351484159403882E-2</v>
      </c>
      <c r="G3267">
        <f t="shared" ref="G3267:G3330" si="206">IFERROR(IF(AND(A3267=A3266, C3267&lt;&gt;"", C3266&lt;&gt;""), C3267-C3266, ""), "")</f>
        <v>4.800033569336648E-2</v>
      </c>
      <c r="H3267">
        <f t="shared" ref="H3267:H3330" si="207">IFERROR(IF(AND(A3267=A3266, D3267&lt;&gt;"", D3266&lt;&gt;""), D3267-D3266, ""), "")</f>
        <v>-0.79000091552735086</v>
      </c>
    </row>
    <row r="3268" spans="1:8" x14ac:dyDescent="0.2">
      <c r="A3268" t="s">
        <v>13</v>
      </c>
      <c r="B3268" s="2">
        <v>45882</v>
      </c>
      <c r="C3268">
        <v>51.432125091552727</v>
      </c>
      <c r="D3268">
        <f>_xlfn.XLOOKUP(B3268, Oil_Price!A:A, Oil_Price!B:B, "")</f>
        <v>62.650001525878913</v>
      </c>
      <c r="E3268">
        <f t="shared" si="204"/>
        <v>1.3084287751841265E-3</v>
      </c>
      <c r="F3268">
        <f t="shared" si="205"/>
        <v>-8.231702677522509E-3</v>
      </c>
      <c r="G3268">
        <f t="shared" si="206"/>
        <v>6.7207336425774145E-2</v>
      </c>
      <c r="H3268">
        <f t="shared" si="207"/>
        <v>-0.51999664306639914</v>
      </c>
    </row>
    <row r="3269" spans="1:8" x14ac:dyDescent="0.2">
      <c r="A3269" t="s">
        <v>13</v>
      </c>
      <c r="B3269" s="2">
        <v>45883</v>
      </c>
      <c r="C3269">
        <v>51.710548400878913</v>
      </c>
      <c r="D3269">
        <f>_xlfn.XLOOKUP(B3269, Oil_Price!A:A, Oil_Price!B:B, "")</f>
        <v>63.959999084472663</v>
      </c>
      <c r="E3269">
        <f t="shared" si="204"/>
        <v>5.4134125088273798E-3</v>
      </c>
      <c r="F3269">
        <f t="shared" si="205"/>
        <v>2.0909776962297882E-2</v>
      </c>
      <c r="G3269">
        <f t="shared" si="206"/>
        <v>0.27842330932618609</v>
      </c>
      <c r="H3269">
        <f t="shared" si="207"/>
        <v>1.30999755859375</v>
      </c>
    </row>
    <row r="3270" spans="1:8" x14ac:dyDescent="0.2">
      <c r="A3270" t="s">
        <v>13</v>
      </c>
      <c r="B3270" s="2">
        <v>45884</v>
      </c>
      <c r="C3270">
        <v>51.566532135009773</v>
      </c>
      <c r="D3270">
        <f>_xlfn.XLOOKUP(B3270, Oil_Price!A:A, Oil_Price!B:B, "")</f>
        <v>62.799999237060547</v>
      </c>
      <c r="E3270">
        <f t="shared" si="204"/>
        <v>-2.7850461912079204E-3</v>
      </c>
      <c r="F3270">
        <f t="shared" si="205"/>
        <v>-1.8136333083433789E-2</v>
      </c>
      <c r="G3270">
        <f t="shared" si="206"/>
        <v>-0.14401626586914062</v>
      </c>
      <c r="H3270">
        <f t="shared" si="207"/>
        <v>-1.1599998474121165</v>
      </c>
    </row>
    <row r="3271" spans="1:8" x14ac:dyDescent="0.2">
      <c r="A3271" t="s">
        <v>13</v>
      </c>
      <c r="B3271" s="2">
        <v>45887</v>
      </c>
      <c r="C3271">
        <v>51.144096374511719</v>
      </c>
      <c r="D3271">
        <f>_xlfn.XLOOKUP(B3271, Oil_Price!A:A, Oil_Price!B:B, "")</f>
        <v>63.419998168945312</v>
      </c>
      <c r="E3271">
        <f t="shared" si="204"/>
        <v>-8.1920529267325327E-3</v>
      </c>
      <c r="F3271">
        <f t="shared" si="205"/>
        <v>9.8725945767031455E-3</v>
      </c>
      <c r="G3271">
        <f t="shared" si="206"/>
        <v>-0.42243576049805398</v>
      </c>
      <c r="H3271">
        <f t="shared" si="207"/>
        <v>0.61999893188476562</v>
      </c>
    </row>
    <row r="3272" spans="1:8" x14ac:dyDescent="0.2">
      <c r="A3272" t="s">
        <v>13</v>
      </c>
      <c r="B3272" s="2">
        <v>45888</v>
      </c>
      <c r="C3272">
        <v>51.086490631103523</v>
      </c>
      <c r="D3272">
        <f>_xlfn.XLOOKUP(B3272, Oil_Price!A:A, Oil_Price!B:B, "")</f>
        <v>62.349998474121087</v>
      </c>
      <c r="E3272">
        <f t="shared" si="204"/>
        <v>-1.1263419923654089E-3</v>
      </c>
      <c r="F3272">
        <f t="shared" si="205"/>
        <v>-1.6871644997116533E-2</v>
      </c>
      <c r="G3272">
        <f t="shared" si="206"/>
        <v>-5.760574340819602E-2</v>
      </c>
      <c r="H3272">
        <f t="shared" si="207"/>
        <v>-1.0699996948242259</v>
      </c>
    </row>
    <row r="3273" spans="1:8" x14ac:dyDescent="0.2">
      <c r="A3273" t="s">
        <v>13</v>
      </c>
      <c r="B3273" s="2">
        <v>45889</v>
      </c>
      <c r="C3273">
        <v>51.4033203125</v>
      </c>
      <c r="D3273">
        <f>_xlfn.XLOOKUP(B3273, Oil_Price!A:A, Oil_Price!B:B, "")</f>
        <v>63.209999084472663</v>
      </c>
      <c r="E3273">
        <f t="shared" si="204"/>
        <v>6.2018290448703972E-3</v>
      </c>
      <c r="F3273">
        <f t="shared" si="205"/>
        <v>1.3793113574951048E-2</v>
      </c>
      <c r="G3273">
        <f t="shared" si="206"/>
        <v>0.31682968139647727</v>
      </c>
      <c r="H3273">
        <f t="shared" si="207"/>
        <v>0.86000061035157671</v>
      </c>
    </row>
    <row r="3274" spans="1:8" x14ac:dyDescent="0.2">
      <c r="A3274" t="s">
        <v>13</v>
      </c>
      <c r="B3274" s="2">
        <v>45890</v>
      </c>
      <c r="C3274">
        <v>52.123394012451172</v>
      </c>
      <c r="D3274">
        <f>_xlfn.XLOOKUP(B3274, Oil_Price!A:A, Oil_Price!B:B, "")</f>
        <v>63.520000457763672</v>
      </c>
      <c r="E3274">
        <f t="shared" si="204"/>
        <v>1.4008311050211828E-2</v>
      </c>
      <c r="F3274">
        <f t="shared" si="205"/>
        <v>4.904309093197873E-3</v>
      </c>
      <c r="G3274">
        <f t="shared" si="206"/>
        <v>0.72007369995117188</v>
      </c>
      <c r="H3274">
        <f t="shared" si="207"/>
        <v>0.31000137329100852</v>
      </c>
    </row>
    <row r="3275" spans="1:8" x14ac:dyDescent="0.2">
      <c r="A3275" t="s">
        <v>13</v>
      </c>
      <c r="B3275" s="2">
        <v>45891</v>
      </c>
      <c r="C3275">
        <v>53.073879241943359</v>
      </c>
      <c r="D3275">
        <f>_xlfn.XLOOKUP(B3275, Oil_Price!A:A, Oil_Price!B:B, "")</f>
        <v>63.659999847412109</v>
      </c>
      <c r="E3275">
        <f t="shared" si="204"/>
        <v>1.8235290458352284E-2</v>
      </c>
      <c r="F3275">
        <f t="shared" si="205"/>
        <v>2.2040206020075086E-3</v>
      </c>
      <c r="G3275">
        <f t="shared" si="206"/>
        <v>0.9504852294921875</v>
      </c>
      <c r="H3275">
        <f t="shared" si="207"/>
        <v>0.1399993896484375</v>
      </c>
    </row>
    <row r="3276" spans="1:8" x14ac:dyDescent="0.2">
      <c r="A3276" t="s">
        <v>13</v>
      </c>
      <c r="B3276" s="2">
        <v>45894</v>
      </c>
      <c r="C3276">
        <v>53.72674560546875</v>
      </c>
      <c r="D3276">
        <f>_xlfn.XLOOKUP(B3276, Oil_Price!A:A, Oil_Price!B:B, "")</f>
        <v>64.800003051757812</v>
      </c>
      <c r="E3276">
        <f t="shared" si="204"/>
        <v>1.2301086200034946E-2</v>
      </c>
      <c r="F3276">
        <f t="shared" si="205"/>
        <v>1.7907684685488517E-2</v>
      </c>
      <c r="G3276">
        <f t="shared" si="206"/>
        <v>0.65286636352539062</v>
      </c>
      <c r="H3276">
        <f t="shared" si="207"/>
        <v>1.1400032043457031</v>
      </c>
    </row>
    <row r="3277" spans="1:8" x14ac:dyDescent="0.2">
      <c r="A3277" t="s">
        <v>13</v>
      </c>
      <c r="B3277" s="2">
        <v>45895</v>
      </c>
      <c r="C3277">
        <v>53.285106658935547</v>
      </c>
      <c r="D3277">
        <f>_xlfn.XLOOKUP(B3277, Oil_Price!A:A, Oil_Price!B:B, "")</f>
        <v>63.25</v>
      </c>
      <c r="E3277">
        <f t="shared" si="204"/>
        <v>-8.2200948811656568E-3</v>
      </c>
      <c r="F3277">
        <f t="shared" si="205"/>
        <v>-2.3919799054944117E-2</v>
      </c>
      <c r="G3277">
        <f t="shared" si="206"/>
        <v>-0.44163894653320312</v>
      </c>
      <c r="H3277">
        <f t="shared" si="207"/>
        <v>-1.5500030517578125</v>
      </c>
    </row>
    <row r="3278" spans="1:8" x14ac:dyDescent="0.2">
      <c r="A3278" t="s">
        <v>13</v>
      </c>
      <c r="B3278" s="2">
        <v>45896</v>
      </c>
      <c r="C3278">
        <v>54.302803039550781</v>
      </c>
      <c r="D3278">
        <f>_xlfn.XLOOKUP(B3278, Oil_Price!A:A, Oil_Price!B:B, "")</f>
        <v>64.150001525878906</v>
      </c>
      <c r="E3278">
        <f t="shared" si="204"/>
        <v>1.9099077480115613E-2</v>
      </c>
      <c r="F3278">
        <f t="shared" si="205"/>
        <v>1.4229273136425396E-2</v>
      </c>
      <c r="G3278">
        <f t="shared" si="206"/>
        <v>1.0176963806152344</v>
      </c>
      <c r="H3278">
        <f t="shared" si="207"/>
        <v>0.90000152587890625</v>
      </c>
    </row>
    <row r="3279" spans="1:8" x14ac:dyDescent="0.2">
      <c r="A3279" t="s">
        <v>13</v>
      </c>
      <c r="B3279" s="2">
        <v>45897</v>
      </c>
      <c r="C3279">
        <v>54.936458587646477</v>
      </c>
      <c r="D3279">
        <f>_xlfn.XLOOKUP(B3279, Oil_Price!A:A, Oil_Price!B:B, "")</f>
        <v>64.599998474121094</v>
      </c>
      <c r="E3279">
        <f t="shared" si="204"/>
        <v>1.1668928906564562E-2</v>
      </c>
      <c r="F3279">
        <f t="shared" si="205"/>
        <v>7.0147613022371194E-3</v>
      </c>
      <c r="G3279">
        <f t="shared" si="206"/>
        <v>0.63365554809569602</v>
      </c>
      <c r="H3279">
        <f t="shared" si="207"/>
        <v>0.4499969482421875</v>
      </c>
    </row>
    <row r="3280" spans="1:8" x14ac:dyDescent="0.2">
      <c r="A3280" t="s">
        <v>13</v>
      </c>
      <c r="B3280" s="2">
        <v>45898</v>
      </c>
      <c r="C3280">
        <v>54.504421234130859</v>
      </c>
      <c r="D3280">
        <f>_xlfn.XLOOKUP(B3280, Oil_Price!A:A, Oil_Price!B:B, "")</f>
        <v>64.010002136230469</v>
      </c>
      <c r="E3280">
        <f t="shared" si="204"/>
        <v>-7.8643102344563912E-3</v>
      </c>
      <c r="F3280">
        <f t="shared" si="205"/>
        <v>-9.1330704617118355E-3</v>
      </c>
      <c r="G3280">
        <f t="shared" si="206"/>
        <v>-0.43203735351561789</v>
      </c>
      <c r="H3280">
        <f t="shared" si="207"/>
        <v>-0.589996337890625</v>
      </c>
    </row>
    <row r="3281" spans="1:8" x14ac:dyDescent="0.2">
      <c r="A3281" t="s">
        <v>13</v>
      </c>
      <c r="B3281" s="2">
        <v>45902</v>
      </c>
      <c r="C3281">
        <v>54.667633056640618</v>
      </c>
      <c r="D3281">
        <f>_xlfn.XLOOKUP(B3281, Oil_Price!A:A, Oil_Price!B:B, "")</f>
        <v>65.589996337890625</v>
      </c>
      <c r="E3281">
        <f t="shared" si="204"/>
        <v>2.9944694176030386E-3</v>
      </c>
      <c r="F3281">
        <f t="shared" si="205"/>
        <v>2.4683551772073126E-2</v>
      </c>
      <c r="G3281">
        <f t="shared" si="206"/>
        <v>0.16321182250975852</v>
      </c>
      <c r="H3281">
        <f t="shared" si="207"/>
        <v>1.5799942016601562</v>
      </c>
    </row>
    <row r="3282" spans="1:8" x14ac:dyDescent="0.2">
      <c r="A3282" t="s">
        <v>13</v>
      </c>
      <c r="B3282" s="2">
        <v>45903</v>
      </c>
      <c r="C3282">
        <v>53.880355834960938</v>
      </c>
      <c r="D3282">
        <f>_xlfn.XLOOKUP(B3282, Oil_Price!A:A, Oil_Price!B:B, "")</f>
        <v>63.970001220703118</v>
      </c>
      <c r="E3282">
        <f t="shared" si="204"/>
        <v>-1.4401158009968894E-2</v>
      </c>
      <c r="F3282">
        <f t="shared" si="205"/>
        <v>-2.469881396001319E-2</v>
      </c>
      <c r="G3282">
        <f t="shared" si="206"/>
        <v>-0.78727722167968039</v>
      </c>
      <c r="H3282">
        <f t="shared" si="207"/>
        <v>-1.6199951171875071</v>
      </c>
    </row>
    <row r="3283" spans="1:8" x14ac:dyDescent="0.2">
      <c r="A3283" t="s">
        <v>13</v>
      </c>
      <c r="B3283" s="2">
        <v>45904</v>
      </c>
      <c r="C3283">
        <v>53.919158935546882</v>
      </c>
      <c r="D3283">
        <f>_xlfn.XLOOKUP(B3283, Oil_Price!A:A, Oil_Price!B:B, "")</f>
        <v>63.479999542236328</v>
      </c>
      <c r="E3283">
        <f t="shared" si="204"/>
        <v>7.201715724521391E-4</v>
      </c>
      <c r="F3283">
        <f t="shared" si="205"/>
        <v>-7.6598666424318694E-3</v>
      </c>
      <c r="G3283">
        <f t="shared" si="206"/>
        <v>3.8803100585944605E-2</v>
      </c>
      <c r="H3283">
        <f t="shared" si="207"/>
        <v>-0.49000167846678977</v>
      </c>
    </row>
    <row r="3284" spans="1:8" x14ac:dyDescent="0.2">
      <c r="A3284" t="s">
        <v>13</v>
      </c>
      <c r="B3284" s="2">
        <v>45905</v>
      </c>
      <c r="C3284">
        <v>53.734870910644531</v>
      </c>
      <c r="D3284">
        <f>_xlfn.XLOOKUP(B3284, Oil_Price!A:A, Oil_Price!B:B, "")</f>
        <v>61.869998931884773</v>
      </c>
      <c r="E3284">
        <f t="shared" si="204"/>
        <v>-3.4178579291758325E-3</v>
      </c>
      <c r="F3284">
        <f t="shared" si="205"/>
        <v>-2.5362328638335038E-2</v>
      </c>
      <c r="G3284">
        <f t="shared" si="206"/>
        <v>-0.18428802490235086</v>
      </c>
      <c r="H3284">
        <f t="shared" si="207"/>
        <v>-1.6100006103515554</v>
      </c>
    </row>
    <row r="3285" spans="1:8" x14ac:dyDescent="0.2">
      <c r="A3285" t="s">
        <v>13</v>
      </c>
      <c r="B3285" s="2">
        <v>45908</v>
      </c>
      <c r="C3285">
        <v>53.909461975097663</v>
      </c>
      <c r="D3285">
        <f>_xlfn.XLOOKUP(B3285, Oil_Price!A:A, Oil_Price!B:B, "")</f>
        <v>62.259998321533203</v>
      </c>
      <c r="E3285">
        <f t="shared" si="204"/>
        <v>3.2491203848513711E-3</v>
      </c>
      <c r="F3285">
        <f t="shared" si="205"/>
        <v>6.3035299237324503E-3</v>
      </c>
      <c r="G3285">
        <f t="shared" si="206"/>
        <v>0.17459106445313211</v>
      </c>
      <c r="H3285">
        <f t="shared" si="207"/>
        <v>0.38999938964843039</v>
      </c>
    </row>
    <row r="3286" spans="1:8" x14ac:dyDescent="0.2">
      <c r="A3286" t="s">
        <v>13</v>
      </c>
      <c r="B3286" s="2">
        <v>45909</v>
      </c>
      <c r="C3286">
        <v>55.073387145996087</v>
      </c>
      <c r="D3286">
        <f>_xlfn.XLOOKUP(B3286, Oil_Price!A:A, Oil_Price!B:B, "")</f>
        <v>62.630001068115227</v>
      </c>
      <c r="E3286">
        <f t="shared" si="204"/>
        <v>2.1590368893610438E-2</v>
      </c>
      <c r="F3286">
        <f t="shared" si="205"/>
        <v>5.9428647053794605E-3</v>
      </c>
      <c r="G3286">
        <f t="shared" si="206"/>
        <v>1.1639251708984233</v>
      </c>
      <c r="H3286">
        <f t="shared" si="207"/>
        <v>0.37000274658202414</v>
      </c>
    </row>
    <row r="3287" spans="1:8" x14ac:dyDescent="0.2">
      <c r="A3287" t="s">
        <v>13</v>
      </c>
      <c r="B3287" s="2">
        <v>45910</v>
      </c>
      <c r="C3287">
        <v>56.790184020996087</v>
      </c>
      <c r="D3287">
        <f>_xlfn.XLOOKUP(B3287, Oil_Price!A:A, Oil_Price!B:B, "")</f>
        <v>63.669998168945312</v>
      </c>
      <c r="E3287">
        <f t="shared" si="204"/>
        <v>3.1172894277391717E-2</v>
      </c>
      <c r="F3287">
        <f t="shared" si="205"/>
        <v>1.6605414068235503E-2</v>
      </c>
      <c r="G3287">
        <f t="shared" si="206"/>
        <v>1.716796875</v>
      </c>
      <c r="H3287">
        <f t="shared" si="207"/>
        <v>1.0399971008300852</v>
      </c>
    </row>
    <row r="3288" spans="1:8" x14ac:dyDescent="0.2">
      <c r="A3288" t="s">
        <v>13</v>
      </c>
      <c r="B3288" s="2">
        <v>45911</v>
      </c>
      <c r="C3288">
        <v>56.353717803955078</v>
      </c>
      <c r="D3288">
        <f>_xlfn.XLOOKUP(B3288, Oil_Price!A:A, Oil_Price!B:B, "")</f>
        <v>62.369998931884773</v>
      </c>
      <c r="E3288">
        <f t="shared" si="204"/>
        <v>-7.6855925819793282E-3</v>
      </c>
      <c r="F3288">
        <f t="shared" si="205"/>
        <v>-2.0417767778334997E-2</v>
      </c>
      <c r="G3288">
        <f t="shared" si="206"/>
        <v>-0.43646621704100852</v>
      </c>
      <c r="H3288">
        <f t="shared" si="207"/>
        <v>-1.2999992370605398</v>
      </c>
    </row>
    <row r="3289" spans="1:8" x14ac:dyDescent="0.2">
      <c r="A3289" t="s">
        <v>13</v>
      </c>
      <c r="B3289" s="2">
        <v>45912</v>
      </c>
      <c r="C3289">
        <v>56.014236450195312</v>
      </c>
      <c r="D3289">
        <f>_xlfn.XLOOKUP(B3289, Oil_Price!A:A, Oil_Price!B:B, "")</f>
        <v>62.689998626708977</v>
      </c>
      <c r="E3289">
        <f t="shared" si="204"/>
        <v>-6.0241163669229958E-3</v>
      </c>
      <c r="F3289">
        <f t="shared" si="205"/>
        <v>5.130666992213373E-3</v>
      </c>
      <c r="G3289">
        <f t="shared" si="206"/>
        <v>-0.33948135375976562</v>
      </c>
      <c r="H3289">
        <f t="shared" si="207"/>
        <v>0.31999969482420454</v>
      </c>
    </row>
    <row r="3290" spans="1:8" x14ac:dyDescent="0.2">
      <c r="A3290" t="s">
        <v>13</v>
      </c>
      <c r="B3290" s="2">
        <v>45915</v>
      </c>
      <c r="C3290">
        <v>56.382816314697273</v>
      </c>
      <c r="D3290">
        <f>_xlfn.XLOOKUP(B3290, Oil_Price!A:A, Oil_Price!B:B, "")</f>
        <v>63.299999237060547</v>
      </c>
      <c r="E3290">
        <f t="shared" si="204"/>
        <v>6.5801104836924907E-3</v>
      </c>
      <c r="F3290">
        <f t="shared" si="205"/>
        <v>9.7304294738280589E-3</v>
      </c>
      <c r="G3290">
        <f t="shared" si="206"/>
        <v>0.36857986450196023</v>
      </c>
      <c r="H3290">
        <f t="shared" si="207"/>
        <v>0.61000061035156961</v>
      </c>
    </row>
    <row r="3291" spans="1:8" x14ac:dyDescent="0.2">
      <c r="A3291" t="s">
        <v>13</v>
      </c>
      <c r="B3291" s="2">
        <v>45916</v>
      </c>
      <c r="C3291">
        <v>57.372154235839837</v>
      </c>
      <c r="D3291">
        <f>_xlfn.XLOOKUP(B3291, Oil_Price!A:A, Oil_Price!B:B, "")</f>
        <v>64.519996643066406</v>
      </c>
      <c r="E3291">
        <f t="shared" si="204"/>
        <v>1.7546798578145409E-2</v>
      </c>
      <c r="F3291">
        <f t="shared" si="205"/>
        <v>1.9273260990682314E-2</v>
      </c>
      <c r="G3291">
        <f t="shared" si="206"/>
        <v>0.98933792114256391</v>
      </c>
      <c r="H3291">
        <f t="shared" si="207"/>
        <v>1.2199974060058594</v>
      </c>
    </row>
    <row r="3292" spans="1:8" x14ac:dyDescent="0.2">
      <c r="A3292" t="s">
        <v>13</v>
      </c>
      <c r="B3292" s="2">
        <v>45917</v>
      </c>
      <c r="C3292">
        <v>57.246059417724609</v>
      </c>
      <c r="D3292">
        <f>_xlfn.XLOOKUP(B3292, Oil_Price!A:A, Oil_Price!B:B, "")</f>
        <v>64.050003051757812</v>
      </c>
      <c r="E3292">
        <f t="shared" si="204"/>
        <v>-2.1978400461814462E-3</v>
      </c>
      <c r="F3292">
        <f t="shared" si="205"/>
        <v>-7.2844639764732735E-3</v>
      </c>
      <c r="G3292">
        <f t="shared" si="206"/>
        <v>-0.12609481811522727</v>
      </c>
      <c r="H3292">
        <f t="shared" si="207"/>
        <v>-0.46999359130859375</v>
      </c>
    </row>
    <row r="3293" spans="1:8" x14ac:dyDescent="0.2">
      <c r="A3293" t="s">
        <v>13</v>
      </c>
      <c r="B3293" s="2">
        <v>45918</v>
      </c>
      <c r="C3293">
        <v>57.149066925048828</v>
      </c>
      <c r="D3293">
        <f>_xlfn.XLOOKUP(B3293, Oil_Price!A:A, Oil_Price!B:B, "")</f>
        <v>63.569999694824219</v>
      </c>
      <c r="E3293">
        <f t="shared" si="204"/>
        <v>-1.6943086329842694E-3</v>
      </c>
      <c r="F3293">
        <f t="shared" si="205"/>
        <v>-7.4941972531322211E-3</v>
      </c>
      <c r="G3293">
        <f t="shared" si="206"/>
        <v>-9.699249267578125E-2</v>
      </c>
      <c r="H3293">
        <f t="shared" si="207"/>
        <v>-0.48000335693359375</v>
      </c>
    </row>
    <row r="3294" spans="1:8" x14ac:dyDescent="0.2">
      <c r="A3294" t="s">
        <v>13</v>
      </c>
      <c r="B3294" s="2">
        <v>45919</v>
      </c>
      <c r="C3294">
        <v>55.558361053466797</v>
      </c>
      <c r="D3294">
        <f>_xlfn.XLOOKUP(B3294, Oil_Price!A:A, Oil_Price!B:B, "")</f>
        <v>62.680000305175781</v>
      </c>
      <c r="E3294">
        <f t="shared" si="204"/>
        <v>-2.783432796318874E-2</v>
      </c>
      <c r="F3294">
        <f t="shared" si="205"/>
        <v>-1.4000305079770198E-2</v>
      </c>
      <c r="G3294">
        <f t="shared" si="206"/>
        <v>-1.5907058715820312</v>
      </c>
      <c r="H3294">
        <f t="shared" si="207"/>
        <v>-0.8899993896484375</v>
      </c>
    </row>
    <row r="3295" spans="1:8" x14ac:dyDescent="0.2">
      <c r="A3295" t="s">
        <v>13</v>
      </c>
      <c r="B3295" s="2">
        <v>45922</v>
      </c>
      <c r="C3295">
        <v>56.004535675048828</v>
      </c>
      <c r="D3295">
        <f>_xlfn.XLOOKUP(B3295, Oil_Price!A:A, Oil_Price!B:B, "")</f>
        <v>62.639999389648438</v>
      </c>
      <c r="E3295">
        <f t="shared" si="204"/>
        <v>8.0307376445581877E-3</v>
      </c>
      <c r="F3295">
        <f t="shared" si="205"/>
        <v>-6.381766964356681E-4</v>
      </c>
      <c r="G3295">
        <f t="shared" si="206"/>
        <v>0.44617462158203125</v>
      </c>
      <c r="H3295">
        <f t="shared" si="207"/>
        <v>-4.000091552734375E-2</v>
      </c>
    </row>
    <row r="3296" spans="1:8" x14ac:dyDescent="0.2">
      <c r="A3296" t="s">
        <v>13</v>
      </c>
      <c r="B3296" s="2">
        <v>45923</v>
      </c>
      <c r="C3296">
        <v>56.790184020996087</v>
      </c>
      <c r="D3296">
        <f>_xlfn.XLOOKUP(B3296, Oil_Price!A:A, Oil_Price!B:B, "")</f>
        <v>63.409999847412109</v>
      </c>
      <c r="E3296">
        <f t="shared" si="204"/>
        <v>1.4028298538278588E-2</v>
      </c>
      <c r="F3296">
        <f t="shared" si="205"/>
        <v>1.229247230629632E-2</v>
      </c>
      <c r="G3296">
        <f t="shared" si="206"/>
        <v>0.78564834594725852</v>
      </c>
      <c r="H3296">
        <f t="shared" si="207"/>
        <v>0.77000045776367188</v>
      </c>
    </row>
    <row r="3297" spans="1:8" x14ac:dyDescent="0.2">
      <c r="A3297" t="s">
        <v>13</v>
      </c>
      <c r="B3297" s="2">
        <v>45924</v>
      </c>
      <c r="C3297">
        <v>57.216964721679688</v>
      </c>
      <c r="D3297">
        <f>_xlfn.XLOOKUP(B3297, Oil_Price!A:A, Oil_Price!B:B, "")</f>
        <v>64.989997863769531</v>
      </c>
      <c r="E3297">
        <f t="shared" si="204"/>
        <v>7.5150434540908403E-3</v>
      </c>
      <c r="F3297">
        <f t="shared" si="205"/>
        <v>2.4917174265249659E-2</v>
      </c>
      <c r="G3297">
        <f t="shared" si="206"/>
        <v>0.42678070068360086</v>
      </c>
      <c r="H3297">
        <f t="shared" si="207"/>
        <v>1.5799980163574219</v>
      </c>
    </row>
    <row r="3298" spans="1:8" x14ac:dyDescent="0.2">
      <c r="A3298" t="s">
        <v>13</v>
      </c>
      <c r="B3298" s="2">
        <v>45925</v>
      </c>
      <c r="C3298">
        <v>57.779529571533203</v>
      </c>
      <c r="D3298">
        <f>_xlfn.XLOOKUP(B3298, Oil_Price!A:A, Oil_Price!B:B, "")</f>
        <v>64.980003356933594</v>
      </c>
      <c r="E3298">
        <f t="shared" si="204"/>
        <v>9.8321337489676031E-3</v>
      </c>
      <c r="F3298">
        <f t="shared" si="205"/>
        <v>-1.537853079621228E-4</v>
      </c>
      <c r="G3298">
        <f t="shared" si="206"/>
        <v>0.56256484985351562</v>
      </c>
      <c r="H3298">
        <f t="shared" si="207"/>
        <v>-9.9945068359375E-3</v>
      </c>
    </row>
    <row r="3299" spans="1:8" x14ac:dyDescent="0.2">
      <c r="A3299" t="s">
        <v>13</v>
      </c>
      <c r="B3299" s="2">
        <v>45926</v>
      </c>
      <c r="C3299">
        <v>57.604938507080078</v>
      </c>
      <c r="D3299">
        <f>_xlfn.XLOOKUP(B3299, Oil_Price!A:A, Oil_Price!B:B, "")</f>
        <v>65.720001220703125</v>
      </c>
      <c r="E3299">
        <f t="shared" si="204"/>
        <v>-3.0216768074751246E-3</v>
      </c>
      <c r="F3299">
        <f t="shared" si="205"/>
        <v>1.1388085957840612E-2</v>
      </c>
      <c r="G3299">
        <f t="shared" si="206"/>
        <v>-0.174591064453125</v>
      </c>
      <c r="H3299">
        <f t="shared" si="207"/>
        <v>0.73999786376953125</v>
      </c>
    </row>
    <row r="3300" spans="1:8" x14ac:dyDescent="0.2">
      <c r="A3300" t="s">
        <v>13</v>
      </c>
      <c r="B3300" s="2">
        <v>45929</v>
      </c>
      <c r="C3300">
        <v>56.712593078613281</v>
      </c>
      <c r="D3300">
        <f>_xlfn.XLOOKUP(B3300, Oil_Price!A:A, Oil_Price!B:B, "")</f>
        <v>63.450000762939453</v>
      </c>
      <c r="E3300">
        <f t="shared" si="204"/>
        <v>-1.5490779985072303E-2</v>
      </c>
      <c r="F3300">
        <f t="shared" si="205"/>
        <v>-3.4540481065124751E-2</v>
      </c>
      <c r="G3300">
        <f t="shared" si="206"/>
        <v>-0.89234542846679688</v>
      </c>
      <c r="H3300">
        <f t="shared" si="207"/>
        <v>-2.2700004577636719</v>
      </c>
    </row>
    <row r="3301" spans="1:8" x14ac:dyDescent="0.2">
      <c r="A3301" t="s">
        <v>13</v>
      </c>
      <c r="B3301" s="2">
        <v>45930</v>
      </c>
      <c r="C3301">
        <v>56.489513397216797</v>
      </c>
      <c r="D3301">
        <f>_xlfn.XLOOKUP(B3301, Oil_Price!A:A, Oil_Price!B:B, "")</f>
        <v>62.369998931884773</v>
      </c>
      <c r="E3301">
        <f t="shared" si="204"/>
        <v>-3.9335122816066279E-3</v>
      </c>
      <c r="F3301">
        <f t="shared" si="205"/>
        <v>-1.7021305249305833E-2</v>
      </c>
      <c r="G3301">
        <f t="shared" si="206"/>
        <v>-0.22307968139648438</v>
      </c>
      <c r="H3301">
        <f t="shared" si="207"/>
        <v>-1.0800018310546804</v>
      </c>
    </row>
    <row r="3302" spans="1:8" x14ac:dyDescent="0.2">
      <c r="A3302" t="s">
        <v>13</v>
      </c>
      <c r="B3302" s="2">
        <v>45931</v>
      </c>
      <c r="C3302">
        <v>55.829952239990227</v>
      </c>
      <c r="D3302">
        <f>_xlfn.XLOOKUP(B3302, Oil_Price!A:A, Oil_Price!B:B, "")</f>
        <v>61.779998779296882</v>
      </c>
      <c r="E3302">
        <f t="shared" si="204"/>
        <v>-1.1675815873801912E-2</v>
      </c>
      <c r="F3302">
        <f t="shared" si="205"/>
        <v>-9.4596787348391453E-3</v>
      </c>
      <c r="G3302">
        <f t="shared" si="206"/>
        <v>-0.65956115722656961</v>
      </c>
      <c r="H3302">
        <f t="shared" si="207"/>
        <v>-0.59000015258789062</v>
      </c>
    </row>
    <row r="3303" spans="1:8" x14ac:dyDescent="0.2">
      <c r="A3303" t="s">
        <v>13</v>
      </c>
      <c r="B3303" s="2">
        <v>45932</v>
      </c>
      <c r="C3303">
        <v>55.684452056884773</v>
      </c>
      <c r="D3303">
        <f>_xlfn.XLOOKUP(B3303, Oil_Price!A:A, Oil_Price!B:B, "")</f>
        <v>60.479999542236328</v>
      </c>
      <c r="E3303">
        <f t="shared" si="204"/>
        <v>-2.6061312479725668E-3</v>
      </c>
      <c r="F3303">
        <f t="shared" si="205"/>
        <v>-2.104239661293417E-2</v>
      </c>
      <c r="G3303">
        <f t="shared" si="206"/>
        <v>-0.14550018310545454</v>
      </c>
      <c r="H3303">
        <f t="shared" si="207"/>
        <v>-1.299999237060554</v>
      </c>
    </row>
    <row r="3304" spans="1:8" x14ac:dyDescent="0.2">
      <c r="A3304" t="s">
        <v>13</v>
      </c>
      <c r="B3304" s="2">
        <v>45933</v>
      </c>
      <c r="C3304">
        <v>55.965740203857422</v>
      </c>
      <c r="D3304">
        <f>_xlfn.XLOOKUP(B3304, Oil_Price!A:A, Oil_Price!B:B, "")</f>
        <v>60.880001068115227</v>
      </c>
      <c r="E3304">
        <f t="shared" si="204"/>
        <v>5.0514665509377304E-3</v>
      </c>
      <c r="F3304">
        <f t="shared" si="205"/>
        <v>6.613781893294448E-3</v>
      </c>
      <c r="G3304">
        <f t="shared" si="206"/>
        <v>0.28128814697264914</v>
      </c>
      <c r="H3304">
        <f t="shared" si="207"/>
        <v>0.40000152587889914</v>
      </c>
    </row>
    <row r="3305" spans="1:8" x14ac:dyDescent="0.2">
      <c r="A3305" t="s">
        <v>13</v>
      </c>
      <c r="B3305" s="2">
        <v>45936</v>
      </c>
      <c r="C3305">
        <v>56.208225250244141</v>
      </c>
      <c r="D3305">
        <f>_xlfn.XLOOKUP(B3305, Oil_Price!A:A, Oil_Price!B:B, "")</f>
        <v>61.689998626708977</v>
      </c>
      <c r="E3305">
        <f t="shared" si="204"/>
        <v>4.3327408072055757E-3</v>
      </c>
      <c r="F3305">
        <f t="shared" si="205"/>
        <v>1.3304821688282972E-2</v>
      </c>
      <c r="G3305">
        <f t="shared" si="206"/>
        <v>0.24248504638671875</v>
      </c>
      <c r="H3305">
        <f t="shared" si="207"/>
        <v>0.80999755859375</v>
      </c>
    </row>
    <row r="3306" spans="1:8" x14ac:dyDescent="0.2">
      <c r="A3306" t="s">
        <v>13</v>
      </c>
      <c r="B3306" s="2">
        <v>45937</v>
      </c>
      <c r="C3306">
        <v>55.994838714599609</v>
      </c>
      <c r="D3306">
        <f>_xlfn.XLOOKUP(B3306, Oil_Price!A:A, Oil_Price!B:B, "")</f>
        <v>61.729999542236328</v>
      </c>
      <c r="E3306">
        <f t="shared" si="204"/>
        <v>-3.7963578229790202E-3</v>
      </c>
      <c r="F3306">
        <f t="shared" si="205"/>
        <v>6.4841816206545144E-4</v>
      </c>
      <c r="G3306">
        <f t="shared" si="206"/>
        <v>-0.21338653564453125</v>
      </c>
      <c r="H3306">
        <f t="shared" si="207"/>
        <v>4.0000915527350855E-2</v>
      </c>
    </row>
    <row r="3307" spans="1:8" x14ac:dyDescent="0.2">
      <c r="A3307" t="s">
        <v>13</v>
      </c>
      <c r="B3307" s="2">
        <v>45938</v>
      </c>
      <c r="C3307">
        <v>55.286777496337891</v>
      </c>
      <c r="D3307">
        <f>_xlfn.XLOOKUP(B3307, Oil_Price!A:A, Oil_Price!B:B, "")</f>
        <v>62.549999237060547</v>
      </c>
      <c r="E3307">
        <f t="shared" si="204"/>
        <v>-1.2645115773449045E-2</v>
      </c>
      <c r="F3307">
        <f t="shared" si="205"/>
        <v>1.3283649779766581E-2</v>
      </c>
      <c r="G3307">
        <f t="shared" si="206"/>
        <v>-0.70806121826171875</v>
      </c>
      <c r="H3307">
        <f t="shared" si="207"/>
        <v>0.81999969482421875</v>
      </c>
    </row>
    <row r="3308" spans="1:8" x14ac:dyDescent="0.2">
      <c r="A3308" t="s">
        <v>13</v>
      </c>
      <c r="B3308" s="2">
        <v>45939</v>
      </c>
      <c r="C3308">
        <v>54.947299957275391</v>
      </c>
      <c r="D3308">
        <f>_xlfn.XLOOKUP(B3308, Oil_Price!A:A, Oil_Price!B:B, "")</f>
        <v>61.509998321533203</v>
      </c>
      <c r="E3308">
        <f t="shared" si="204"/>
        <v>-6.1403025178124451E-3</v>
      </c>
      <c r="F3308">
        <f t="shared" si="205"/>
        <v>-1.6626713480615819E-2</v>
      </c>
      <c r="G3308">
        <f t="shared" si="206"/>
        <v>-0.3394775390625</v>
      </c>
      <c r="H3308">
        <f t="shared" si="207"/>
        <v>-1.0400009155273438</v>
      </c>
    </row>
    <row r="3309" spans="1:8" x14ac:dyDescent="0.2">
      <c r="A3309" t="s">
        <v>13</v>
      </c>
      <c r="B3309" s="2">
        <v>45940</v>
      </c>
      <c r="C3309">
        <v>53.618476867675781</v>
      </c>
      <c r="D3309">
        <f>_xlfn.XLOOKUP(B3309, Oil_Price!A:A, Oil_Price!B:B, "")</f>
        <v>58.900001525878913</v>
      </c>
      <c r="E3309">
        <f t="shared" si="204"/>
        <v>-2.4183592107944227E-2</v>
      </c>
      <c r="F3309">
        <f t="shared" si="205"/>
        <v>-4.2432073920909072E-2</v>
      </c>
      <c r="G3309">
        <f t="shared" si="206"/>
        <v>-1.3288230895996094</v>
      </c>
      <c r="H3309">
        <f t="shared" si="207"/>
        <v>-2.6099967956542898</v>
      </c>
    </row>
    <row r="3310" spans="1:8" x14ac:dyDescent="0.2">
      <c r="A3310" t="s">
        <v>13</v>
      </c>
      <c r="B3310" s="2">
        <v>45944</v>
      </c>
      <c r="C3310">
        <v>53.647579193115227</v>
      </c>
      <c r="D3310">
        <f>_xlfn.XLOOKUP(B3310, Oil_Price!A:A, Oil_Price!B:B, "")</f>
        <v>58.700000762939453</v>
      </c>
      <c r="E3310">
        <f t="shared" si="204"/>
        <v>5.4276673153672754E-4</v>
      </c>
      <c r="F3310">
        <f t="shared" si="205"/>
        <v>-3.3955986037043791E-3</v>
      </c>
      <c r="G3310">
        <f t="shared" si="206"/>
        <v>2.910232543944602E-2</v>
      </c>
      <c r="H3310">
        <f t="shared" si="207"/>
        <v>-0.20000076293946023</v>
      </c>
    </row>
    <row r="3311" spans="1:8" x14ac:dyDescent="0.2">
      <c r="A3311" t="s">
        <v>13</v>
      </c>
      <c r="B3311" s="2">
        <v>45945</v>
      </c>
      <c r="C3311">
        <v>53.298393249511719</v>
      </c>
      <c r="D3311">
        <f>_xlfn.XLOOKUP(B3311, Oil_Price!A:A, Oil_Price!B:B, "")</f>
        <v>58.270000457763672</v>
      </c>
      <c r="E3311">
        <f t="shared" si="204"/>
        <v>-6.5088853748002991E-3</v>
      </c>
      <c r="F3311">
        <f t="shared" si="205"/>
        <v>-7.3253884086363448E-3</v>
      </c>
      <c r="G3311">
        <f t="shared" si="206"/>
        <v>-0.34918594360350852</v>
      </c>
      <c r="H3311">
        <f t="shared" si="207"/>
        <v>-0.43000030517578125</v>
      </c>
    </row>
    <row r="3312" spans="1:8" x14ac:dyDescent="0.2">
      <c r="A3312" t="s">
        <v>13</v>
      </c>
      <c r="B3312" s="2">
        <v>45946</v>
      </c>
      <c r="C3312">
        <v>52.570938110351562</v>
      </c>
      <c r="D3312">
        <f>_xlfn.XLOOKUP(B3312, Oil_Price!A:A, Oil_Price!B:B, "")</f>
        <v>57.459999084472663</v>
      </c>
      <c r="E3312">
        <f t="shared" si="204"/>
        <v>-1.3648725501998518E-2</v>
      </c>
      <c r="F3312">
        <f t="shared" si="205"/>
        <v>-1.3900830048527777E-2</v>
      </c>
      <c r="G3312">
        <f t="shared" si="206"/>
        <v>-0.72745513916015625</v>
      </c>
      <c r="H3312">
        <f t="shared" si="207"/>
        <v>-0.81000137329100852</v>
      </c>
    </row>
    <row r="3313" spans="1:8" x14ac:dyDescent="0.2">
      <c r="A3313" t="s">
        <v>13</v>
      </c>
      <c r="B3313" s="2">
        <v>45947</v>
      </c>
      <c r="C3313">
        <v>52.415744781494141</v>
      </c>
      <c r="D3313">
        <f>_xlfn.XLOOKUP(B3313, Oil_Price!A:A, Oil_Price!B:B, "")</f>
        <v>57.540000915527337</v>
      </c>
      <c r="E3313">
        <f t="shared" si="204"/>
        <v>-2.9520745574609271E-3</v>
      </c>
      <c r="F3313">
        <f t="shared" si="205"/>
        <v>1.392304774266731E-3</v>
      </c>
      <c r="G3313">
        <f t="shared" si="206"/>
        <v>-0.15519332885742188</v>
      </c>
      <c r="H3313">
        <f t="shared" si="207"/>
        <v>8.0001831054673289E-2</v>
      </c>
    </row>
    <row r="3314" spans="1:8" x14ac:dyDescent="0.2">
      <c r="A3314" t="s">
        <v>13</v>
      </c>
      <c r="B3314" s="2">
        <v>45950</v>
      </c>
      <c r="C3314">
        <v>52.124763488769531</v>
      </c>
      <c r="D3314">
        <f>_xlfn.XLOOKUP(B3314, Oil_Price!A:A, Oil_Price!B:B, "")</f>
        <v>57.520000457763672</v>
      </c>
      <c r="E3314">
        <f t="shared" si="204"/>
        <v>-5.5514100569900322E-3</v>
      </c>
      <c r="F3314">
        <f t="shared" si="205"/>
        <v>-3.4759223923243955E-4</v>
      </c>
      <c r="G3314">
        <f t="shared" si="206"/>
        <v>-0.29098129272460938</v>
      </c>
      <c r="H3314">
        <f t="shared" si="207"/>
        <v>-2.000045776366477E-2</v>
      </c>
    </row>
    <row r="3315" spans="1:8" x14ac:dyDescent="0.2">
      <c r="A3315" t="s">
        <v>13</v>
      </c>
      <c r="B3315" s="2">
        <v>45951</v>
      </c>
      <c r="C3315">
        <v>51.901668548583977</v>
      </c>
      <c r="D3315">
        <f>_xlfn.XLOOKUP(B3315, Oil_Price!A:A, Oil_Price!B:B, "")</f>
        <v>57.819999694824219</v>
      </c>
      <c r="E3315">
        <f t="shared" si="204"/>
        <v>-4.2800182725744283E-3</v>
      </c>
      <c r="F3315">
        <f t="shared" si="205"/>
        <v>5.2155638851364948E-3</v>
      </c>
      <c r="G3315">
        <f t="shared" si="206"/>
        <v>-0.22309494018555398</v>
      </c>
      <c r="H3315">
        <f t="shared" si="207"/>
        <v>0.29999923706054688</v>
      </c>
    </row>
    <row r="3316" spans="1:8" x14ac:dyDescent="0.2">
      <c r="A3316" t="s">
        <v>13</v>
      </c>
      <c r="B3316" s="2">
        <v>45952</v>
      </c>
      <c r="C3316">
        <v>53.026809692382812</v>
      </c>
      <c r="D3316">
        <f>_xlfn.XLOOKUP(B3316, Oil_Price!A:A, Oil_Price!B:B, "")</f>
        <v>58.5</v>
      </c>
      <c r="E3316">
        <f t="shared" si="204"/>
        <v>2.1678323168851807E-2</v>
      </c>
      <c r="F3316">
        <f t="shared" si="205"/>
        <v>1.1760641798077556E-2</v>
      </c>
      <c r="G3316">
        <f t="shared" si="206"/>
        <v>1.1251411437988352</v>
      </c>
      <c r="H3316">
        <f t="shared" si="207"/>
        <v>0.68000030517578125</v>
      </c>
    </row>
    <row r="3317" spans="1:8" x14ac:dyDescent="0.2">
      <c r="A3317" t="s">
        <v>13</v>
      </c>
      <c r="B3317" s="2">
        <v>45953</v>
      </c>
      <c r="C3317">
        <v>53.754264831542969</v>
      </c>
      <c r="D3317">
        <f>_xlfn.XLOOKUP(B3317, Oil_Price!A:A, Oil_Price!B:B, "")</f>
        <v>61.790000915527337</v>
      </c>
      <c r="E3317">
        <f t="shared" si="204"/>
        <v>1.3718629187391102E-2</v>
      </c>
      <c r="F3317">
        <f t="shared" si="205"/>
        <v>5.6239331889356182E-2</v>
      </c>
      <c r="G3317">
        <f t="shared" si="206"/>
        <v>0.72745513916015625</v>
      </c>
      <c r="H3317">
        <f t="shared" si="207"/>
        <v>3.2900009155273366</v>
      </c>
    </row>
    <row r="3318" spans="1:8" x14ac:dyDescent="0.2">
      <c r="A3318" t="s">
        <v>13</v>
      </c>
      <c r="B3318" s="2">
        <v>45954</v>
      </c>
      <c r="C3318">
        <v>54.054950714111328</v>
      </c>
      <c r="D3318">
        <f>_xlfn.XLOOKUP(B3318, Oil_Price!A:A, Oil_Price!B:B, "")</f>
        <v>61.5</v>
      </c>
      <c r="E3318">
        <f t="shared" si="204"/>
        <v>5.5937121177391134E-3</v>
      </c>
      <c r="F3318">
        <f t="shared" si="205"/>
        <v>-4.6933308177773744E-3</v>
      </c>
      <c r="G3318">
        <f t="shared" si="206"/>
        <v>0.30068588256835938</v>
      </c>
      <c r="H3318">
        <f t="shared" si="207"/>
        <v>-0.29000091552733664</v>
      </c>
    </row>
    <row r="3319" spans="1:8" x14ac:dyDescent="0.2">
      <c r="A3319" t="s">
        <v>13</v>
      </c>
      <c r="B3319" s="2">
        <v>45957</v>
      </c>
      <c r="C3319">
        <v>54.384727478027337</v>
      </c>
      <c r="D3319">
        <f>_xlfn.XLOOKUP(B3319, Oil_Price!A:A, Oil_Price!B:B, "")</f>
        <v>61.310001373291023</v>
      </c>
      <c r="E3319">
        <f t="shared" si="204"/>
        <v>6.1007689316034943E-3</v>
      </c>
      <c r="F3319">
        <f t="shared" si="205"/>
        <v>-3.0894085643736143E-3</v>
      </c>
      <c r="G3319">
        <f t="shared" si="206"/>
        <v>0.32977676391600852</v>
      </c>
      <c r="H3319">
        <f t="shared" si="207"/>
        <v>-0.18999862670897727</v>
      </c>
    </row>
    <row r="3320" spans="1:8" x14ac:dyDescent="0.2">
      <c r="A3320" t="s">
        <v>13</v>
      </c>
      <c r="B3320" s="2">
        <v>45958</v>
      </c>
      <c r="C3320">
        <v>53.589374542236328</v>
      </c>
      <c r="D3320">
        <f>_xlfn.XLOOKUP(B3320, Oil_Price!A:A, Oil_Price!B:B, "")</f>
        <v>60.150001525878913</v>
      </c>
      <c r="E3320">
        <f t="shared" si="204"/>
        <v>-1.4624564150153169E-2</v>
      </c>
      <c r="F3320">
        <f t="shared" si="205"/>
        <v>-1.892023848359347E-2</v>
      </c>
      <c r="G3320">
        <f t="shared" si="206"/>
        <v>-0.79535293579100852</v>
      </c>
      <c r="H3320">
        <f t="shared" si="207"/>
        <v>-1.1599998474121094</v>
      </c>
    </row>
    <row r="3321" spans="1:8" x14ac:dyDescent="0.2">
      <c r="A3321" t="s">
        <v>13</v>
      </c>
      <c r="B3321" s="2">
        <v>45959</v>
      </c>
      <c r="C3321">
        <v>54.113147735595703</v>
      </c>
      <c r="D3321">
        <f>_xlfn.XLOOKUP(B3321, Oil_Price!A:A, Oil_Price!B:B, "")</f>
        <v>60.479999542236328</v>
      </c>
      <c r="E3321">
        <f t="shared" si="204"/>
        <v>9.7738254613620179E-3</v>
      </c>
      <c r="F3321">
        <f t="shared" si="205"/>
        <v>5.4862511718380682E-3</v>
      </c>
      <c r="G3321">
        <f t="shared" si="206"/>
        <v>0.523773193359375</v>
      </c>
      <c r="H3321">
        <f t="shared" si="207"/>
        <v>0.32999801635741477</v>
      </c>
    </row>
    <row r="3322" spans="1:8" x14ac:dyDescent="0.2">
      <c r="A3322" t="s">
        <v>13</v>
      </c>
      <c r="B3322" s="2">
        <v>45960</v>
      </c>
      <c r="C3322">
        <v>53.890060424804688</v>
      </c>
      <c r="D3322">
        <f>_xlfn.XLOOKUP(B3322, Oil_Price!A:A, Oil_Price!B:B, "")</f>
        <v>60.569999694824219</v>
      </c>
      <c r="E3322">
        <f t="shared" si="204"/>
        <v>-4.122608277771069E-3</v>
      </c>
      <c r="F3322">
        <f t="shared" si="205"/>
        <v>1.4880977723063446E-3</v>
      </c>
      <c r="G3322">
        <f t="shared" si="206"/>
        <v>-0.22308731079101562</v>
      </c>
      <c r="H3322">
        <f t="shared" si="207"/>
        <v>9.0000152587890625E-2</v>
      </c>
    </row>
    <row r="3323" spans="1:8" x14ac:dyDescent="0.2">
      <c r="A3323" t="s">
        <v>13</v>
      </c>
      <c r="B3323" s="2">
        <v>45961</v>
      </c>
      <c r="C3323">
        <v>54.171344757080078</v>
      </c>
      <c r="D3323">
        <f>_xlfn.XLOOKUP(B3323, Oil_Price!A:A, Oil_Price!B:B, "")</f>
        <v>60.979999542236328</v>
      </c>
      <c r="E3323">
        <f t="shared" si="204"/>
        <v>5.2195957855322829E-3</v>
      </c>
      <c r="F3323">
        <f t="shared" si="205"/>
        <v>6.7690250863109112E-3</v>
      </c>
      <c r="G3323">
        <f t="shared" si="206"/>
        <v>0.28128433227539062</v>
      </c>
      <c r="H3323">
        <f t="shared" si="207"/>
        <v>0.40999984741210938</v>
      </c>
    </row>
    <row r="3324" spans="1:8" x14ac:dyDescent="0.2">
      <c r="A3324" t="s">
        <v>13</v>
      </c>
      <c r="B3324" s="2">
        <v>45964</v>
      </c>
      <c r="C3324">
        <v>54.006454467773438</v>
      </c>
      <c r="D3324">
        <f>_xlfn.XLOOKUP(B3324, Oil_Price!A:A, Oil_Price!B:B, "")</f>
        <v>61.049999237060547</v>
      </c>
      <c r="E3324">
        <f t="shared" si="204"/>
        <v>-3.0438655352946508E-3</v>
      </c>
      <c r="F3324">
        <f t="shared" si="205"/>
        <v>1.1479123540454465E-3</v>
      </c>
      <c r="G3324">
        <f t="shared" si="206"/>
        <v>-0.16489028930664062</v>
      </c>
      <c r="H3324">
        <f t="shared" si="207"/>
        <v>6.999969482421875E-2</v>
      </c>
    </row>
    <row r="3325" spans="1:8" x14ac:dyDescent="0.2">
      <c r="A3325" t="s">
        <v>13</v>
      </c>
      <c r="B3325" s="2">
        <v>45965</v>
      </c>
      <c r="C3325">
        <v>53.977359771728523</v>
      </c>
      <c r="D3325">
        <f>_xlfn.XLOOKUP(B3325, Oil_Price!A:A, Oil_Price!B:B, "")</f>
        <v>60.560001373291023</v>
      </c>
      <c r="E3325">
        <f t="shared" si="204"/>
        <v>-5.387262750654381E-4</v>
      </c>
      <c r="F3325">
        <f t="shared" si="205"/>
        <v>-8.0261731350206103E-3</v>
      </c>
      <c r="G3325">
        <f t="shared" si="206"/>
        <v>-2.909469604491477E-2</v>
      </c>
      <c r="H3325">
        <f t="shared" si="207"/>
        <v>-0.48999786376952414</v>
      </c>
    </row>
    <row r="3326" spans="1:8" x14ac:dyDescent="0.2">
      <c r="A3326" t="s">
        <v>13</v>
      </c>
      <c r="B3326" s="2">
        <v>45966</v>
      </c>
      <c r="C3326">
        <v>56.421611785888672</v>
      </c>
      <c r="D3326">
        <f>_xlfn.XLOOKUP(B3326, Oil_Price!A:A, Oil_Price!B:B, "")</f>
        <v>59.599998474121087</v>
      </c>
      <c r="E3326">
        <f t="shared" si="204"/>
        <v>4.5282911659572572E-2</v>
      </c>
      <c r="F3326">
        <f t="shared" si="205"/>
        <v>-1.5852095069359251E-2</v>
      </c>
      <c r="G3326">
        <f t="shared" si="206"/>
        <v>2.4442520141601491</v>
      </c>
      <c r="H3326">
        <f t="shared" si="207"/>
        <v>-0.96000289916993609</v>
      </c>
    </row>
    <row r="3327" spans="1:8" x14ac:dyDescent="0.2">
      <c r="A3327" t="s">
        <v>13</v>
      </c>
      <c r="B3327" s="2">
        <v>45967</v>
      </c>
      <c r="C3327">
        <v>57.488548278808587</v>
      </c>
      <c r="D3327">
        <f>_xlfn.XLOOKUP(B3327, Oil_Price!A:A, Oil_Price!B:B, "")</f>
        <v>59.430000305175781</v>
      </c>
      <c r="E3327">
        <f t="shared" si="204"/>
        <v>1.8910067599074879E-2</v>
      </c>
      <c r="F3327">
        <f t="shared" si="205"/>
        <v>-2.8523183439194263E-3</v>
      </c>
      <c r="G3327">
        <f t="shared" si="206"/>
        <v>1.0669364929199148</v>
      </c>
      <c r="H3327">
        <f t="shared" si="207"/>
        <v>-0.16999816894530539</v>
      </c>
    </row>
    <row r="3328" spans="1:8" x14ac:dyDescent="0.2">
      <c r="A3328" t="s">
        <v>13</v>
      </c>
      <c r="B3328" s="2">
        <v>45968</v>
      </c>
      <c r="C3328">
        <v>57.963821411132812</v>
      </c>
      <c r="D3328">
        <f>_xlfn.XLOOKUP(B3328, Oil_Price!A:A, Oil_Price!B:B, "")</f>
        <v>59.75</v>
      </c>
      <c r="E3328">
        <f t="shared" si="204"/>
        <v>8.2672662043793664E-3</v>
      </c>
      <c r="F3328">
        <f t="shared" si="205"/>
        <v>5.3844807871614607E-3</v>
      </c>
      <c r="G3328">
        <f t="shared" si="206"/>
        <v>0.47527313232422586</v>
      </c>
      <c r="H3328">
        <f t="shared" si="207"/>
        <v>0.31999969482421875</v>
      </c>
    </row>
    <row r="3329" spans="1:8" x14ac:dyDescent="0.2">
      <c r="A3329" t="s">
        <v>13</v>
      </c>
      <c r="B3329" s="2">
        <v>45971</v>
      </c>
      <c r="C3329">
        <v>58.57489013671875</v>
      </c>
      <c r="D3329">
        <f>_xlfn.XLOOKUP(B3329, Oil_Price!A:A, Oil_Price!B:B, "")</f>
        <v>60.130001068115227</v>
      </c>
      <c r="E3329">
        <f t="shared" si="204"/>
        <v>1.0542243604880279E-2</v>
      </c>
      <c r="F3329">
        <f t="shared" si="205"/>
        <v>6.359850512388741E-3</v>
      </c>
      <c r="G3329">
        <f t="shared" si="206"/>
        <v>0.6110687255859375</v>
      </c>
      <c r="H3329">
        <f t="shared" si="207"/>
        <v>0.38000106811522727</v>
      </c>
    </row>
    <row r="3330" spans="1:8" x14ac:dyDescent="0.2">
      <c r="A3330" t="s">
        <v>13</v>
      </c>
      <c r="B3330" s="2">
        <v>45972</v>
      </c>
      <c r="C3330">
        <v>59.864910125732422</v>
      </c>
      <c r="D3330">
        <f>_xlfn.XLOOKUP(B3330, Oil_Price!A:A, Oil_Price!B:B, "")</f>
        <v>61.040000915527337</v>
      </c>
      <c r="E3330">
        <f t="shared" si="204"/>
        <v>2.2023429937344415E-2</v>
      </c>
      <c r="F3330">
        <f t="shared" si="205"/>
        <v>1.5133873794235628E-2</v>
      </c>
      <c r="G3330">
        <f t="shared" si="206"/>
        <v>1.2900199890136719</v>
      </c>
      <c r="H3330">
        <f t="shared" si="207"/>
        <v>0.90999984741210938</v>
      </c>
    </row>
    <row r="3331" spans="1:8" x14ac:dyDescent="0.2">
      <c r="A3331" t="s">
        <v>13</v>
      </c>
      <c r="B3331" s="2">
        <v>45973</v>
      </c>
      <c r="C3331">
        <v>60.05889892578125</v>
      </c>
      <c r="D3331">
        <f>_xlfn.XLOOKUP(B3331, Oil_Price!A:A, Oil_Price!B:B, "")</f>
        <v>58.490001678466797</v>
      </c>
      <c r="E3331">
        <f t="shared" ref="E3331:E3394" si="208">IFERROR(IF(AND(A3331=A3330, C3331&lt;&gt;"", C3330&lt;&gt;""), (C3331-C3330)/C3330, ""), "")</f>
        <v>3.2404425170170547E-3</v>
      </c>
      <c r="F3331">
        <f t="shared" ref="F3331:F3394" si="209">IFERROR(IF(AND(A3331=A3330, D3331&lt;&gt;"", D3330&lt;&gt;""), (D3331-D3330)/D3330, ""), "")</f>
        <v>-4.1775871540196387E-2</v>
      </c>
      <c r="G3331">
        <f t="shared" ref="G3331:G3394" si="210">IFERROR(IF(AND(A3331=A3330, C3331&lt;&gt;"", C3330&lt;&gt;""), C3331-C3330, ""), "")</f>
        <v>0.19398880004882812</v>
      </c>
      <c r="H3331">
        <f t="shared" ref="H3331:H3394" si="211">IFERROR(IF(AND(A3331=A3330, D3331&lt;&gt;"", D3330&lt;&gt;""), D3331-D3330, ""), "")</f>
        <v>-2.5499992370605398</v>
      </c>
    </row>
    <row r="3332" spans="1:8" x14ac:dyDescent="0.2">
      <c r="A3332" t="s">
        <v>13</v>
      </c>
      <c r="B3332" s="2">
        <v>45974</v>
      </c>
      <c r="C3332">
        <v>59.341140747070312</v>
      </c>
      <c r="D3332">
        <f>_xlfn.XLOOKUP(B3332, Oil_Price!A:A, Oil_Price!B:B, "")</f>
        <v>58.689998626708977</v>
      </c>
      <c r="E3332">
        <f t="shared" si="208"/>
        <v>-1.1950904721012597E-2</v>
      </c>
      <c r="F3332">
        <f t="shared" si="209"/>
        <v>3.419335655717884E-3</v>
      </c>
      <c r="G3332">
        <f t="shared" si="210"/>
        <v>-0.7177581787109375</v>
      </c>
      <c r="H3332">
        <f t="shared" si="211"/>
        <v>0.19999694824218039</v>
      </c>
    </row>
    <row r="3333" spans="1:8" x14ac:dyDescent="0.2">
      <c r="A3333" t="s">
        <v>13</v>
      </c>
      <c r="B3333" s="2">
        <v>45975</v>
      </c>
      <c r="C3333">
        <v>60.301383972167969</v>
      </c>
      <c r="D3333">
        <f>_xlfn.XLOOKUP(B3333, Oil_Price!A:A, Oil_Price!B:B, "")</f>
        <v>60.090000152587891</v>
      </c>
      <c r="E3333">
        <f t="shared" si="208"/>
        <v>1.6181745295232863E-2</v>
      </c>
      <c r="F3333">
        <f t="shared" si="209"/>
        <v>2.3854175475168486E-2</v>
      </c>
      <c r="G3333">
        <f t="shared" si="210"/>
        <v>0.96024322509765625</v>
      </c>
      <c r="H3333">
        <f t="shared" si="211"/>
        <v>1.4000015258789134</v>
      </c>
    </row>
    <row r="3334" spans="1:8" x14ac:dyDescent="0.2">
      <c r="A3334" t="s">
        <v>13</v>
      </c>
      <c r="B3334" s="2">
        <v>45978</v>
      </c>
      <c r="C3334">
        <v>60.572967529296882</v>
      </c>
      <c r="D3334">
        <f>_xlfn.XLOOKUP(B3334, Oil_Price!A:A, Oil_Price!B:B, "")</f>
        <v>59.909999847412109</v>
      </c>
      <c r="E3334">
        <f t="shared" si="208"/>
        <v>4.5037698845230888E-3</v>
      </c>
      <c r="F3334">
        <f t="shared" si="209"/>
        <v>-2.9955118109286473E-3</v>
      </c>
      <c r="G3334">
        <f t="shared" si="210"/>
        <v>0.27158355712891336</v>
      </c>
      <c r="H3334">
        <f t="shared" si="211"/>
        <v>-0.18000030517578125</v>
      </c>
    </row>
    <row r="3335" spans="1:8" x14ac:dyDescent="0.2">
      <c r="A3335" t="s">
        <v>13</v>
      </c>
      <c r="B3335" s="2">
        <v>45979</v>
      </c>
      <c r="C3335">
        <v>61.300430297851562</v>
      </c>
      <c r="D3335">
        <f>_xlfn.XLOOKUP(B3335, Oil_Price!A:A, Oil_Price!B:B, "")</f>
        <v>60.740001678466797</v>
      </c>
      <c r="E3335">
        <f t="shared" si="208"/>
        <v>1.2009693403296344E-2</v>
      </c>
      <c r="F3335">
        <f t="shared" si="209"/>
        <v>1.3854145103800071E-2</v>
      </c>
      <c r="G3335">
        <f t="shared" si="210"/>
        <v>0.72746276855468039</v>
      </c>
      <c r="H3335">
        <f t="shared" si="211"/>
        <v>0.8300018310546875</v>
      </c>
    </row>
    <row r="3336" spans="1:8" x14ac:dyDescent="0.2">
      <c r="A3336" t="s">
        <v>13</v>
      </c>
      <c r="B3336" s="2">
        <v>45980</v>
      </c>
      <c r="C3336">
        <v>61.348926544189453</v>
      </c>
      <c r="D3336">
        <f>_xlfn.XLOOKUP(B3336, Oil_Price!A:A, Oil_Price!B:B, "")</f>
        <v>59.439998626708977</v>
      </c>
      <c r="E3336">
        <f t="shared" si="208"/>
        <v>7.9112407698042381E-4</v>
      </c>
      <c r="F3336">
        <f t="shared" si="209"/>
        <v>-2.1402749684458593E-2</v>
      </c>
      <c r="G3336">
        <f t="shared" si="210"/>
        <v>4.8496246337890625E-2</v>
      </c>
      <c r="H3336">
        <f t="shared" si="211"/>
        <v>-1.3000030517578196</v>
      </c>
    </row>
    <row r="3337" spans="1:8" x14ac:dyDescent="0.2">
      <c r="A3337" t="s">
        <v>13</v>
      </c>
      <c r="B3337" s="2">
        <v>45981</v>
      </c>
      <c r="C3337">
        <v>61.09674072265625</v>
      </c>
      <c r="D3337">
        <f>_xlfn.XLOOKUP(B3337, Oil_Price!A:A, Oil_Price!B:B, "")</f>
        <v>59.139999389648438</v>
      </c>
      <c r="E3337">
        <f t="shared" si="208"/>
        <v>-4.1106802635178042E-3</v>
      </c>
      <c r="F3337">
        <f t="shared" si="209"/>
        <v>-5.0470936068584809E-3</v>
      </c>
      <c r="G3337">
        <f t="shared" si="210"/>
        <v>-0.25218582153320312</v>
      </c>
      <c r="H3337">
        <f t="shared" si="211"/>
        <v>-0.29999923706053977</v>
      </c>
    </row>
    <row r="3338" spans="1:8" x14ac:dyDescent="0.2">
      <c r="A3338" t="s">
        <v>13</v>
      </c>
      <c r="B3338" s="2">
        <v>45982</v>
      </c>
      <c r="C3338">
        <v>60.553573608398438</v>
      </c>
      <c r="D3338">
        <f>_xlfn.XLOOKUP(B3338, Oil_Price!A:A, Oil_Price!B:B, "")</f>
        <v>58.060001373291023</v>
      </c>
      <c r="E3338">
        <f t="shared" si="208"/>
        <v>-8.8902797077748553E-3</v>
      </c>
      <c r="F3338">
        <f t="shared" si="209"/>
        <v>-1.8261718422446453E-2</v>
      </c>
      <c r="G3338">
        <f t="shared" si="210"/>
        <v>-0.5431671142578125</v>
      </c>
      <c r="H3338">
        <f t="shared" si="211"/>
        <v>-1.0799980163574148</v>
      </c>
    </row>
    <row r="3339" spans="1:8" x14ac:dyDescent="0.2">
      <c r="A3339" t="s">
        <v>13</v>
      </c>
      <c r="B3339" s="2">
        <v>45985</v>
      </c>
      <c r="C3339">
        <v>60.572967529296882</v>
      </c>
      <c r="D3339">
        <f>_xlfn.XLOOKUP(B3339, Oil_Price!A:A, Oil_Price!B:B, "")</f>
        <v>58.840000152587891</v>
      </c>
      <c r="E3339">
        <f t="shared" si="208"/>
        <v>3.2027706612107823E-4</v>
      </c>
      <c r="F3339">
        <f t="shared" si="209"/>
        <v>1.3434356886799625E-2</v>
      </c>
      <c r="G3339">
        <f t="shared" si="210"/>
        <v>1.9393920898444605E-2</v>
      </c>
      <c r="H3339">
        <f t="shared" si="211"/>
        <v>0.77999877929686789</v>
      </c>
    </row>
    <row r="3340" spans="1:8" x14ac:dyDescent="0.2">
      <c r="A3340" t="s">
        <v>13</v>
      </c>
      <c r="B3340" s="2">
        <v>45986</v>
      </c>
      <c r="C3340">
        <v>60.640869140625</v>
      </c>
      <c r="D3340">
        <f>_xlfn.XLOOKUP(B3340, Oil_Price!A:A, Oil_Price!B:B, "")</f>
        <v>57.950000762939453</v>
      </c>
      <c r="E3340">
        <f t="shared" si="208"/>
        <v>1.1209886868309106E-3</v>
      </c>
      <c r="F3340">
        <f t="shared" si="209"/>
        <v>-1.5125754373562722E-2</v>
      </c>
      <c r="G3340">
        <f t="shared" si="210"/>
        <v>6.7901611328117895E-2</v>
      </c>
      <c r="H3340">
        <f t="shared" si="211"/>
        <v>-0.8899993896484375</v>
      </c>
    </row>
    <row r="3341" spans="1:8" x14ac:dyDescent="0.2">
      <c r="A3341" t="s">
        <v>13</v>
      </c>
      <c r="B3341" s="2">
        <v>45987</v>
      </c>
      <c r="C3341">
        <v>60.543869018554688</v>
      </c>
      <c r="D3341">
        <f>_xlfn.XLOOKUP(B3341, Oil_Price!A:A, Oil_Price!B:B, "")</f>
        <v>58.650001525878913</v>
      </c>
      <c r="E3341">
        <f t="shared" si="208"/>
        <v>-1.5995833081707833E-3</v>
      </c>
      <c r="F3341">
        <f t="shared" si="209"/>
        <v>1.2079391781253074E-2</v>
      </c>
      <c r="G3341">
        <f t="shared" si="210"/>
        <v>-9.70001220703125E-2</v>
      </c>
      <c r="H3341">
        <f t="shared" si="211"/>
        <v>0.70000076293946023</v>
      </c>
    </row>
    <row r="3342" spans="1:8" x14ac:dyDescent="0.2">
      <c r="A3342" t="s">
        <v>13</v>
      </c>
      <c r="B3342" s="2">
        <v>45988</v>
      </c>
      <c r="C3342">
        <v>60.621467590332031</v>
      </c>
      <c r="D3342" t="str">
        <f>_xlfn.XLOOKUP(B3342, Oil_Price!A:A, Oil_Price!B:B, "")</f>
        <v/>
      </c>
      <c r="E3342">
        <f t="shared" si="208"/>
        <v>1.2816916565666189E-3</v>
      </c>
      <c r="F3342" t="str">
        <f t="shared" si="209"/>
        <v/>
      </c>
      <c r="G3342">
        <f t="shared" si="210"/>
        <v>7.759857177734375E-2</v>
      </c>
      <c r="H3342" t="str">
        <f t="shared" si="211"/>
        <v/>
      </c>
    </row>
    <row r="3343" spans="1:8" x14ac:dyDescent="0.2">
      <c r="A3343" t="s">
        <v>13</v>
      </c>
      <c r="B3343" s="2">
        <v>45989</v>
      </c>
      <c r="C3343">
        <v>60.951248168945312</v>
      </c>
      <c r="D3343">
        <f>_xlfn.XLOOKUP(B3343, Oil_Price!A:A, Oil_Price!B:B, "")</f>
        <v>58.549999237060547</v>
      </c>
      <c r="E3343">
        <f t="shared" si="208"/>
        <v>5.4399966170709298E-3</v>
      </c>
      <c r="F3343" t="str">
        <f t="shared" si="209"/>
        <v/>
      </c>
      <c r="G3343">
        <f t="shared" si="210"/>
        <v>0.32978057861328125</v>
      </c>
      <c r="H3343" t="str">
        <f t="shared" si="211"/>
        <v/>
      </c>
    </row>
    <row r="3344" spans="1:8" x14ac:dyDescent="0.2">
      <c r="A3344" t="s">
        <v>13</v>
      </c>
      <c r="B3344" s="2">
        <v>45992</v>
      </c>
      <c r="C3344">
        <v>60.86395263671875</v>
      </c>
      <c r="D3344">
        <f>_xlfn.XLOOKUP(B3344, Oil_Price!A:A, Oil_Price!B:B, "")</f>
        <v>59.319999694824219</v>
      </c>
      <c r="E3344">
        <f t="shared" si="208"/>
        <v>-1.432218942991878E-3</v>
      </c>
      <c r="F3344">
        <f t="shared" si="209"/>
        <v>1.3151160850507453E-2</v>
      </c>
      <c r="G3344">
        <f t="shared" si="210"/>
        <v>-8.72955322265625E-2</v>
      </c>
      <c r="H3344">
        <f t="shared" si="211"/>
        <v>0.77000045776367188</v>
      </c>
    </row>
    <row r="3345" spans="1:8" x14ac:dyDescent="0.2">
      <c r="A3345" t="s">
        <v>13</v>
      </c>
      <c r="B3345" s="2">
        <v>45993</v>
      </c>
      <c r="C3345">
        <v>59.59332275390625</v>
      </c>
      <c r="D3345">
        <f>_xlfn.XLOOKUP(B3345, Oil_Price!A:A, Oil_Price!B:B, "")</f>
        <v>58.639999389648438</v>
      </c>
      <c r="E3345">
        <f t="shared" si="208"/>
        <v>-2.0876558747286139E-2</v>
      </c>
      <c r="F3345">
        <f t="shared" si="209"/>
        <v>-1.1463255372118833E-2</v>
      </c>
      <c r="G3345">
        <f t="shared" si="210"/>
        <v>-1.2706298828125</v>
      </c>
      <c r="H3345">
        <f t="shared" si="211"/>
        <v>-0.68000030517578125</v>
      </c>
    </row>
    <row r="3346" spans="1:8" x14ac:dyDescent="0.2">
      <c r="A3346" t="s">
        <v>13</v>
      </c>
      <c r="B3346" s="2">
        <v>45994</v>
      </c>
      <c r="C3346">
        <v>61.082183837890618</v>
      </c>
      <c r="D3346">
        <f>_xlfn.XLOOKUP(B3346, Oil_Price!A:A, Oil_Price!B:B, "")</f>
        <v>58.950000762939453</v>
      </c>
      <c r="E3346">
        <f t="shared" si="208"/>
        <v>2.4983689701826121E-2</v>
      </c>
      <c r="F3346">
        <f t="shared" si="209"/>
        <v>5.2865173348848864E-3</v>
      </c>
      <c r="G3346">
        <f t="shared" si="210"/>
        <v>1.4888610839843679</v>
      </c>
      <c r="H3346">
        <f t="shared" si="211"/>
        <v>0.31000137329101562</v>
      </c>
    </row>
    <row r="3347" spans="1:8" x14ac:dyDescent="0.2">
      <c r="A3347" t="s">
        <v>13</v>
      </c>
      <c r="B3347" s="2">
        <v>45995</v>
      </c>
      <c r="C3347">
        <v>61.189929962158203</v>
      </c>
      <c r="D3347">
        <f>_xlfn.XLOOKUP(B3347, Oil_Price!A:A, Oil_Price!B:B, "")</f>
        <v>59.669998168945312</v>
      </c>
      <c r="E3347">
        <f t="shared" si="208"/>
        <v>1.7639533739255071E-3</v>
      </c>
      <c r="F3347">
        <f t="shared" si="209"/>
        <v>1.2213696296650528E-2</v>
      </c>
      <c r="G3347">
        <f t="shared" si="210"/>
        <v>0.10774612426758523</v>
      </c>
      <c r="H3347">
        <f t="shared" si="211"/>
        <v>0.71999740600585938</v>
      </c>
    </row>
    <row r="3348" spans="1:8" x14ac:dyDescent="0.2">
      <c r="A3348" t="s">
        <v>13</v>
      </c>
      <c r="B3348" s="2">
        <v>45996</v>
      </c>
      <c r="C3348">
        <v>59.936149597167969</v>
      </c>
      <c r="D3348">
        <f>_xlfn.XLOOKUP(B3348, Oil_Price!A:A, Oil_Price!B:B, "")</f>
        <v>60.080001831054688</v>
      </c>
      <c r="E3348">
        <f t="shared" si="208"/>
        <v>-2.0489978755746444E-2</v>
      </c>
      <c r="F3348">
        <f t="shared" si="209"/>
        <v>6.8711861017411177E-3</v>
      </c>
      <c r="G3348">
        <f t="shared" si="210"/>
        <v>-1.2537803649902344</v>
      </c>
      <c r="H3348">
        <f t="shared" si="211"/>
        <v>0.410003662109375</v>
      </c>
    </row>
    <row r="3349" spans="1:8" x14ac:dyDescent="0.2">
      <c r="A3349" t="s">
        <v>13</v>
      </c>
      <c r="B3349" s="2">
        <v>45999</v>
      </c>
      <c r="C3349">
        <v>59.779430389404297</v>
      </c>
      <c r="D3349">
        <f>_xlfn.XLOOKUP(B3349, Oil_Price!A:A, Oil_Price!B:B, "")</f>
        <v>58.880001068115227</v>
      </c>
      <c r="E3349">
        <f t="shared" si="208"/>
        <v>-2.6147693640146178E-3</v>
      </c>
      <c r="F3349">
        <f t="shared" si="209"/>
        <v>-1.9973380931543067E-2</v>
      </c>
      <c r="G3349">
        <f t="shared" si="210"/>
        <v>-0.15671920776367188</v>
      </c>
      <c r="H3349">
        <f t="shared" si="211"/>
        <v>-1.2000007629394602</v>
      </c>
    </row>
    <row r="3350" spans="1:8" x14ac:dyDescent="0.2">
      <c r="A3350" t="s">
        <v>13</v>
      </c>
      <c r="B3350" s="2">
        <v>46000</v>
      </c>
      <c r="C3350">
        <v>59.397426605224609</v>
      </c>
      <c r="D3350">
        <f>_xlfn.XLOOKUP(B3350, Oil_Price!A:A, Oil_Price!B:B, "")</f>
        <v>58.25</v>
      </c>
      <c r="E3350">
        <f t="shared" si="208"/>
        <v>-6.3902212130712505E-3</v>
      </c>
      <c r="F3350">
        <f t="shared" si="209"/>
        <v>-1.069974620731429E-2</v>
      </c>
      <c r="G3350">
        <f t="shared" si="210"/>
        <v>-0.3820037841796875</v>
      </c>
      <c r="H3350">
        <f t="shared" si="211"/>
        <v>-0.63000106811522727</v>
      </c>
    </row>
    <row r="3351" spans="1:8" x14ac:dyDescent="0.2">
      <c r="A3351" t="s">
        <v>13</v>
      </c>
      <c r="B3351" s="2">
        <v>46001</v>
      </c>
      <c r="C3351">
        <v>59.701068878173828</v>
      </c>
      <c r="D3351">
        <f>_xlfn.XLOOKUP(B3351, Oil_Price!A:A, Oil_Price!B:B, "")</f>
        <v>58.459999084472663</v>
      </c>
      <c r="E3351">
        <f t="shared" si="208"/>
        <v>5.1120442467537863E-3</v>
      </c>
      <c r="F3351">
        <f t="shared" si="209"/>
        <v>3.6051344973847786E-3</v>
      </c>
      <c r="G3351">
        <f t="shared" si="210"/>
        <v>0.30364227294921875</v>
      </c>
      <c r="H3351">
        <f t="shared" si="211"/>
        <v>0.20999908447266336</v>
      </c>
    </row>
    <row r="3352" spans="1:8" x14ac:dyDescent="0.2">
      <c r="A3352" t="s">
        <v>13</v>
      </c>
      <c r="B3352" s="2">
        <v>46002</v>
      </c>
      <c r="C3352">
        <v>59.730457305908203</v>
      </c>
      <c r="D3352">
        <f>_xlfn.XLOOKUP(B3352, Oil_Price!A:A, Oil_Price!B:B, "")</f>
        <v>57.599998474121087</v>
      </c>
      <c r="E3352">
        <f t="shared" si="208"/>
        <v>4.9225965776835768E-4</v>
      </c>
      <c r="F3352">
        <f t="shared" si="209"/>
        <v>-1.4710924115973826E-2</v>
      </c>
      <c r="G3352">
        <f t="shared" si="210"/>
        <v>2.9388427734375E-2</v>
      </c>
      <c r="H3352">
        <f t="shared" si="211"/>
        <v>-0.86000061035157671</v>
      </c>
    </row>
    <row r="3353" spans="1:8" x14ac:dyDescent="0.2">
      <c r="A3353" t="s">
        <v>13</v>
      </c>
      <c r="B3353" s="2">
        <v>46003</v>
      </c>
      <c r="C3353">
        <v>59.759841918945312</v>
      </c>
      <c r="D3353">
        <f>_xlfn.XLOOKUP(B3353, Oil_Price!A:A, Oil_Price!B:B, "")</f>
        <v>57.439998626708977</v>
      </c>
      <c r="E3353">
        <f t="shared" si="208"/>
        <v>4.9195359222878093E-4</v>
      </c>
      <c r="F3353">
        <f t="shared" si="209"/>
        <v>-2.7777752022683675E-3</v>
      </c>
      <c r="G3353">
        <f t="shared" si="210"/>
        <v>2.9384613037109375E-2</v>
      </c>
      <c r="H3353">
        <f t="shared" si="211"/>
        <v>-0.15999984741210938</v>
      </c>
    </row>
    <row r="3354" spans="1:8" x14ac:dyDescent="0.2">
      <c r="A3354" t="s">
        <v>13</v>
      </c>
      <c r="B3354" s="2">
        <v>46006</v>
      </c>
      <c r="C3354">
        <v>58.839107513427727</v>
      </c>
      <c r="D3354">
        <f>_xlfn.XLOOKUP(B3354, Oil_Price!A:A, Oil_Price!B:B, "")</f>
        <v>56.819999694824219</v>
      </c>
      <c r="E3354">
        <f t="shared" si="208"/>
        <v>-1.5407242990475351E-2</v>
      </c>
      <c r="F3354">
        <f t="shared" si="209"/>
        <v>-1.0793853529036572E-2</v>
      </c>
      <c r="G3354">
        <f t="shared" si="210"/>
        <v>-0.92073440551758523</v>
      </c>
      <c r="H3354">
        <f t="shared" si="211"/>
        <v>-0.61999893188475852</v>
      </c>
    </row>
    <row r="3355" spans="1:8" x14ac:dyDescent="0.2">
      <c r="A3355" t="s">
        <v>13</v>
      </c>
      <c r="B3355" s="2">
        <v>46007</v>
      </c>
      <c r="C3355">
        <v>56.870296478271477</v>
      </c>
      <c r="D3355">
        <f>_xlfn.XLOOKUP(B3355, Oil_Price!A:A, Oil_Price!B:B, "")</f>
        <v>55.270000457763672</v>
      </c>
      <c r="E3355">
        <f t="shared" si="208"/>
        <v>-3.3460926216580457E-2</v>
      </c>
      <c r="F3355">
        <f t="shared" si="209"/>
        <v>-2.7279113787143115E-2</v>
      </c>
      <c r="G3355">
        <f t="shared" si="210"/>
        <v>-1.96881103515625</v>
      </c>
      <c r="H3355">
        <f t="shared" si="211"/>
        <v>-1.5499992370605469</v>
      </c>
    </row>
    <row r="3356" spans="1:8" x14ac:dyDescent="0.2">
      <c r="A3356" t="s">
        <v>13</v>
      </c>
      <c r="B3356" s="2">
        <v>46008</v>
      </c>
      <c r="C3356">
        <v>57.771438598632812</v>
      </c>
      <c r="D3356">
        <f>_xlfn.XLOOKUP(B3356, Oil_Price!A:A, Oil_Price!B:B, "")</f>
        <v>55.939998626708977</v>
      </c>
      <c r="E3356">
        <f t="shared" si="208"/>
        <v>1.5845567478369592E-2</v>
      </c>
      <c r="F3356">
        <f t="shared" si="209"/>
        <v>1.2122275436876571E-2</v>
      </c>
      <c r="G3356">
        <f t="shared" si="210"/>
        <v>0.90114212036133523</v>
      </c>
      <c r="H3356">
        <f t="shared" si="211"/>
        <v>0.66999816894530539</v>
      </c>
    </row>
    <row r="3357" spans="1:8" x14ac:dyDescent="0.2">
      <c r="A3357" t="s">
        <v>13</v>
      </c>
      <c r="B3357" s="2">
        <v>46009</v>
      </c>
      <c r="C3357">
        <v>57.262092590332031</v>
      </c>
      <c r="D3357">
        <f>_xlfn.XLOOKUP(B3357, Oil_Price!A:A, Oil_Price!B:B, "")</f>
        <v>56.150001525878913</v>
      </c>
      <c r="E3357">
        <f t="shared" si="208"/>
        <v>-8.8165713137154794E-3</v>
      </c>
      <c r="F3357">
        <f t="shared" si="209"/>
        <v>3.7540740851872063E-3</v>
      </c>
      <c r="G3357">
        <f t="shared" si="210"/>
        <v>-0.50934600830078125</v>
      </c>
      <c r="H3357">
        <f t="shared" si="211"/>
        <v>0.21000289916993609</v>
      </c>
    </row>
    <row r="3358" spans="1:8" x14ac:dyDescent="0.2">
      <c r="A3358" t="s">
        <v>13</v>
      </c>
      <c r="B3358" s="2">
        <v>46010</v>
      </c>
      <c r="C3358">
        <v>57.771438598632812</v>
      </c>
      <c r="D3358">
        <f>_xlfn.XLOOKUP(B3358, Oil_Price!A:A, Oil_Price!B:B, "")</f>
        <v>56.659999847412109</v>
      </c>
      <c r="E3358">
        <f t="shared" si="208"/>
        <v>8.8949946685458331E-3</v>
      </c>
      <c r="F3358">
        <f t="shared" si="209"/>
        <v>9.0827837519851795E-3</v>
      </c>
      <c r="G3358">
        <f t="shared" si="210"/>
        <v>0.50934600830078125</v>
      </c>
      <c r="H3358">
        <f t="shared" si="211"/>
        <v>0.50999832153319602</v>
      </c>
    </row>
    <row r="3359" spans="1:8" x14ac:dyDescent="0.2">
      <c r="A3359" t="s">
        <v>13</v>
      </c>
      <c r="B3359" s="2">
        <v>46013</v>
      </c>
      <c r="C3359">
        <v>57.849800109863281</v>
      </c>
      <c r="D3359">
        <f>_xlfn.XLOOKUP(B3359, Oil_Price!A:A, Oil_Price!B:B, "")</f>
        <v>58.009998321533203</v>
      </c>
      <c r="E3359">
        <f t="shared" si="208"/>
        <v>1.3564057453179503E-3</v>
      </c>
      <c r="F3359">
        <f t="shared" si="209"/>
        <v>2.3826305643429219E-2</v>
      </c>
      <c r="G3359">
        <f t="shared" si="210"/>
        <v>7.836151123046875E-2</v>
      </c>
      <c r="H3359">
        <f t="shared" si="211"/>
        <v>1.3499984741210938</v>
      </c>
    </row>
    <row r="3360" spans="1:8" x14ac:dyDescent="0.2">
      <c r="A3360" t="s">
        <v>13</v>
      </c>
      <c r="B3360" s="2">
        <v>46014</v>
      </c>
      <c r="C3360">
        <v>57.879188537597663</v>
      </c>
      <c r="D3360">
        <f>_xlfn.XLOOKUP(B3360, Oil_Price!A:A, Oil_Price!B:B, "")</f>
        <v>58.380001068115227</v>
      </c>
      <c r="E3360">
        <f t="shared" si="208"/>
        <v>5.0801260641471831E-4</v>
      </c>
      <c r="F3360">
        <f t="shared" si="209"/>
        <v>6.3782581845840151E-3</v>
      </c>
      <c r="G3360">
        <f t="shared" si="210"/>
        <v>2.9388427734382105E-2</v>
      </c>
      <c r="H3360">
        <f t="shared" si="211"/>
        <v>0.37000274658202414</v>
      </c>
    </row>
    <row r="3361" spans="1:8" x14ac:dyDescent="0.2">
      <c r="A3361" t="s">
        <v>13</v>
      </c>
      <c r="B3361" s="2">
        <v>46015</v>
      </c>
      <c r="C3361">
        <v>57.88897705078125</v>
      </c>
      <c r="D3361">
        <f>_xlfn.XLOOKUP(B3361, Oil_Price!A:A, Oil_Price!B:B, "")</f>
        <v>58.349998474121087</v>
      </c>
      <c r="E3361">
        <f t="shared" si="208"/>
        <v>1.6911973769687764E-4</v>
      </c>
      <c r="F3361">
        <f t="shared" si="209"/>
        <v>-5.1391903811606504E-4</v>
      </c>
      <c r="G3361">
        <f t="shared" si="210"/>
        <v>9.7885131835866446E-3</v>
      </c>
      <c r="H3361">
        <f t="shared" si="211"/>
        <v>-3.0002593994140625E-2</v>
      </c>
    </row>
    <row r="3362" spans="1:8" x14ac:dyDescent="0.2">
      <c r="A3362" t="s">
        <v>13</v>
      </c>
      <c r="B3362" s="2">
        <v>46020</v>
      </c>
      <c r="C3362">
        <v>58.682384490966797</v>
      </c>
      <c r="D3362">
        <f>_xlfn.XLOOKUP(B3362, Oil_Price!A:A, Oil_Price!B:B, "")</f>
        <v>58.080001831054688</v>
      </c>
      <c r="E3362">
        <f t="shared" si="208"/>
        <v>1.3705673871029982E-2</v>
      </c>
      <c r="F3362">
        <f t="shared" si="209"/>
        <v>-4.627191947333912E-3</v>
      </c>
      <c r="G3362">
        <f t="shared" si="210"/>
        <v>0.79340744018554688</v>
      </c>
      <c r="H3362">
        <f t="shared" si="211"/>
        <v>-0.26999664306639914</v>
      </c>
    </row>
    <row r="3363" spans="1:8" x14ac:dyDescent="0.2">
      <c r="A3363" t="s">
        <v>13</v>
      </c>
      <c r="B3363" s="2">
        <v>46021</v>
      </c>
      <c r="C3363">
        <v>59.720661163330078</v>
      </c>
      <c r="D3363">
        <f>_xlfn.XLOOKUP(B3363, Oil_Price!A:A, Oil_Price!B:B, "")</f>
        <v>57.950000762939453</v>
      </c>
      <c r="E3363">
        <f t="shared" si="208"/>
        <v>1.7693157518558354E-2</v>
      </c>
      <c r="F3363">
        <f t="shared" si="209"/>
        <v>-2.238310330867179E-3</v>
      </c>
      <c r="G3363">
        <f t="shared" si="210"/>
        <v>1.0382766723632812</v>
      </c>
      <c r="H3363">
        <f t="shared" si="211"/>
        <v>-0.13000106811523438</v>
      </c>
    </row>
    <row r="3364" spans="1:8" x14ac:dyDescent="0.2">
      <c r="A3364" t="s">
        <v>13</v>
      </c>
      <c r="B3364" s="2">
        <v>46022</v>
      </c>
      <c r="C3364">
        <v>59.671684265136719</v>
      </c>
      <c r="D3364">
        <f>_xlfn.XLOOKUP(B3364, Oil_Price!A:A, Oil_Price!B:B, "")</f>
        <v>57.419998168945312</v>
      </c>
      <c r="E3364">
        <f t="shared" si="208"/>
        <v>-8.200997316391461E-4</v>
      </c>
      <c r="F3364">
        <f t="shared" si="209"/>
        <v>-9.145860000283057E-3</v>
      </c>
      <c r="G3364">
        <f t="shared" si="210"/>
        <v>-4.8976898193359375E-2</v>
      </c>
      <c r="H3364">
        <f t="shared" si="211"/>
        <v>-0.53000259399414062</v>
      </c>
    </row>
    <row r="3365" spans="1:8" x14ac:dyDescent="0.2">
      <c r="A3365" t="s">
        <v>13</v>
      </c>
      <c r="B3365" s="2">
        <v>46024</v>
      </c>
      <c r="C3365">
        <v>61.327056884765618</v>
      </c>
      <c r="D3365">
        <f>_xlfn.XLOOKUP(B3365, Oil_Price!A:A, Oil_Price!B:B, "")</f>
        <v>57.319999694824219</v>
      </c>
      <c r="E3365">
        <f t="shared" si="208"/>
        <v>2.7741342313611438E-2</v>
      </c>
      <c r="F3365">
        <f t="shared" si="209"/>
        <v>-1.7415269472296209E-3</v>
      </c>
      <c r="G3365">
        <f t="shared" si="210"/>
        <v>1.6553726196288991</v>
      </c>
      <c r="H3365">
        <f t="shared" si="211"/>
        <v>-9.999847412109375E-2</v>
      </c>
    </row>
    <row r="3366" spans="1:8" x14ac:dyDescent="0.2">
      <c r="A3366" t="s">
        <v>13</v>
      </c>
      <c r="B3366" s="2">
        <v>46027</v>
      </c>
      <c r="C3366">
        <v>60.318161010742188</v>
      </c>
      <c r="D3366">
        <f>_xlfn.XLOOKUP(B3366, Oil_Price!A:A, Oil_Price!B:B, "")</f>
        <v>58.319999694824219</v>
      </c>
      <c r="E3366">
        <f t="shared" si="208"/>
        <v>-1.6451072744598842E-2</v>
      </c>
      <c r="F3366">
        <f t="shared" si="209"/>
        <v>1.7445917748151983E-2</v>
      </c>
      <c r="G3366">
        <f t="shared" si="210"/>
        <v>-1.0088958740234304</v>
      </c>
      <c r="H3366">
        <f t="shared" si="211"/>
        <v>1</v>
      </c>
    </row>
    <row r="3367" spans="1:8" x14ac:dyDescent="0.2">
      <c r="A3367" t="s">
        <v>13</v>
      </c>
      <c r="B3367" s="2">
        <v>46028</v>
      </c>
      <c r="C3367">
        <v>61.199722290039062</v>
      </c>
      <c r="D3367">
        <f>_xlfn.XLOOKUP(B3367, Oil_Price!A:A, Oil_Price!B:B, "")</f>
        <v>57.130001068115227</v>
      </c>
      <c r="E3367">
        <f t="shared" si="208"/>
        <v>1.4615188270409569E-2</v>
      </c>
      <c r="F3367">
        <f t="shared" si="209"/>
        <v>-2.0404640482441592E-2</v>
      </c>
      <c r="G3367">
        <f t="shared" si="210"/>
        <v>0.881561279296875</v>
      </c>
      <c r="H3367">
        <f t="shared" si="211"/>
        <v>-1.1899986267089915</v>
      </c>
    </row>
    <row r="3368" spans="1:8" x14ac:dyDescent="0.2">
      <c r="A3368" t="s">
        <v>13</v>
      </c>
      <c r="B3368" s="2">
        <v>46029</v>
      </c>
      <c r="C3368">
        <v>61.415214538574219</v>
      </c>
      <c r="D3368">
        <f>_xlfn.XLOOKUP(B3368, Oil_Price!A:A, Oil_Price!B:B, "")</f>
        <v>55.990001678466797</v>
      </c>
      <c r="E3368">
        <f t="shared" si="208"/>
        <v>3.5211311501364448E-3</v>
      </c>
      <c r="F3368">
        <f t="shared" si="209"/>
        <v>-1.995447870356639E-2</v>
      </c>
      <c r="G3368">
        <f t="shared" si="210"/>
        <v>0.21549224853515625</v>
      </c>
      <c r="H3368">
        <f t="shared" si="211"/>
        <v>-1.1399993896484304</v>
      </c>
    </row>
    <row r="3369" spans="1:8" x14ac:dyDescent="0.2">
      <c r="A3369" t="s">
        <v>13</v>
      </c>
      <c r="B3369" s="2">
        <v>46030</v>
      </c>
      <c r="C3369">
        <v>62.032302856445312</v>
      </c>
      <c r="D3369">
        <f>_xlfn.XLOOKUP(B3369, Oil_Price!A:A, Oil_Price!B:B, "")</f>
        <v>57.759998321533203</v>
      </c>
      <c r="E3369">
        <f t="shared" si="208"/>
        <v>1.0047808552122004E-2</v>
      </c>
      <c r="F3369">
        <f t="shared" si="209"/>
        <v>3.1612727094222068E-2</v>
      </c>
      <c r="G3369">
        <f t="shared" si="210"/>
        <v>0.61708831787109375</v>
      </c>
      <c r="H3369">
        <f t="shared" si="211"/>
        <v>1.7699966430664062</v>
      </c>
    </row>
    <row r="3370" spans="1:8" x14ac:dyDescent="0.2">
      <c r="A3370" t="s">
        <v>13</v>
      </c>
      <c r="B3370" s="2">
        <v>46031</v>
      </c>
      <c r="C3370">
        <v>63.668087005615227</v>
      </c>
      <c r="D3370">
        <f>_xlfn.XLOOKUP(B3370, Oil_Price!A:A, Oil_Price!B:B, "")</f>
        <v>59.119998931884773</v>
      </c>
      <c r="E3370">
        <f t="shared" si="208"/>
        <v>2.6369876239407623E-2</v>
      </c>
      <c r="F3370">
        <f t="shared" si="209"/>
        <v>2.3545717622442432E-2</v>
      </c>
      <c r="G3370">
        <f t="shared" si="210"/>
        <v>1.6357841491699148</v>
      </c>
      <c r="H3370">
        <f t="shared" si="211"/>
        <v>1.3600006103515696</v>
      </c>
    </row>
    <row r="3371" spans="1:8" x14ac:dyDescent="0.2">
      <c r="A3371" t="s">
        <v>13</v>
      </c>
      <c r="B3371" s="2">
        <v>46034</v>
      </c>
      <c r="C3371">
        <v>63.3056640625</v>
      </c>
      <c r="D3371">
        <f>_xlfn.XLOOKUP(B3371, Oil_Price!A:A, Oil_Price!B:B, "")</f>
        <v>59.5</v>
      </c>
      <c r="E3371">
        <f t="shared" si="208"/>
        <v>-5.6923799686845198E-3</v>
      </c>
      <c r="F3371">
        <f t="shared" si="209"/>
        <v>6.4276230544768158E-3</v>
      </c>
      <c r="G3371">
        <f t="shared" si="210"/>
        <v>-0.36242294311522727</v>
      </c>
      <c r="H3371">
        <f t="shared" si="211"/>
        <v>0.38000106811522727</v>
      </c>
    </row>
    <row r="3372" spans="1:8" x14ac:dyDescent="0.2">
      <c r="A3372" t="s">
        <v>13</v>
      </c>
      <c r="B3372" s="2">
        <v>46035</v>
      </c>
      <c r="C3372">
        <v>65.323463439941406</v>
      </c>
      <c r="D3372">
        <f>_xlfn.XLOOKUP(B3372, Oil_Price!A:A, Oil_Price!B:B, "")</f>
        <v>61.150001525878913</v>
      </c>
      <c r="E3372">
        <f t="shared" si="208"/>
        <v>3.1873915349016582E-2</v>
      </c>
      <c r="F3372">
        <f t="shared" si="209"/>
        <v>2.7731118081998542E-2</v>
      </c>
      <c r="G3372">
        <f t="shared" si="210"/>
        <v>2.0177993774414062</v>
      </c>
      <c r="H3372">
        <f t="shared" si="211"/>
        <v>1.6500015258789134</v>
      </c>
    </row>
    <row r="3373" spans="1:8" x14ac:dyDescent="0.2">
      <c r="A3373" t="s">
        <v>13</v>
      </c>
      <c r="B3373" s="2">
        <v>46036</v>
      </c>
      <c r="C3373">
        <v>67.497970581054688</v>
      </c>
      <c r="D3373">
        <f>_xlfn.XLOOKUP(B3373, Oil_Price!A:A, Oil_Price!B:B, "")</f>
        <v>62.020000457763672</v>
      </c>
      <c r="E3373">
        <f t="shared" si="208"/>
        <v>3.3288301424993026E-2</v>
      </c>
      <c r="F3373">
        <f t="shared" si="209"/>
        <v>1.4227292071555741E-2</v>
      </c>
      <c r="G3373">
        <f t="shared" si="210"/>
        <v>2.1745071411132812</v>
      </c>
      <c r="H3373">
        <f t="shared" si="211"/>
        <v>0.86999893188475852</v>
      </c>
    </row>
    <row r="3374" spans="1:8" x14ac:dyDescent="0.2">
      <c r="A3374" t="s">
        <v>13</v>
      </c>
      <c r="B3374" s="2">
        <v>46037</v>
      </c>
      <c r="C3374">
        <v>66.655593872070312</v>
      </c>
      <c r="D3374">
        <f>_xlfn.XLOOKUP(B3374, Oil_Price!A:A, Oil_Price!B:B, "")</f>
        <v>59.189998626708977</v>
      </c>
      <c r="E3374">
        <f t="shared" si="208"/>
        <v>-1.2480030165837505E-2</v>
      </c>
      <c r="F3374">
        <f t="shared" si="209"/>
        <v>-4.5630470979792365E-2</v>
      </c>
      <c r="G3374">
        <f t="shared" si="210"/>
        <v>-0.842376708984375</v>
      </c>
      <c r="H3374">
        <f t="shared" si="211"/>
        <v>-2.8300018310546946</v>
      </c>
    </row>
    <row r="3375" spans="1:8" x14ac:dyDescent="0.2">
      <c r="A3375" t="s">
        <v>13</v>
      </c>
      <c r="B3375" s="2">
        <v>46038</v>
      </c>
      <c r="C3375">
        <v>67.693862915039062</v>
      </c>
      <c r="D3375">
        <f>_xlfn.XLOOKUP(B3375, Oil_Price!A:A, Oil_Price!B:B, "")</f>
        <v>59.439998626708977</v>
      </c>
      <c r="E3375">
        <f t="shared" si="208"/>
        <v>1.5576622795702075E-2</v>
      </c>
      <c r="F3375">
        <f t="shared" si="209"/>
        <v>4.2236865315146274E-3</v>
      </c>
      <c r="G3375">
        <f t="shared" si="210"/>
        <v>1.03826904296875</v>
      </c>
      <c r="H3375">
        <f t="shared" si="211"/>
        <v>0.25</v>
      </c>
    </row>
    <row r="3376" spans="1:8" x14ac:dyDescent="0.2">
      <c r="A3376" t="s">
        <v>13</v>
      </c>
      <c r="B3376" s="2">
        <v>46041</v>
      </c>
      <c r="C3376">
        <v>68.017105102539062</v>
      </c>
      <c r="D3376" t="str">
        <f>_xlfn.XLOOKUP(B3376, Oil_Price!A:A, Oil_Price!B:B, "")</f>
        <v/>
      </c>
      <c r="E3376">
        <f t="shared" si="208"/>
        <v>4.7750589725643741E-3</v>
      </c>
      <c r="F3376" t="str">
        <f t="shared" si="209"/>
        <v/>
      </c>
      <c r="G3376">
        <f t="shared" si="210"/>
        <v>0.3232421875</v>
      </c>
      <c r="H3376" t="str">
        <f t="shared" si="211"/>
        <v/>
      </c>
    </row>
    <row r="3377" spans="1:8" x14ac:dyDescent="0.2">
      <c r="A3377" t="s">
        <v>13</v>
      </c>
      <c r="B3377" s="2">
        <v>46042</v>
      </c>
      <c r="C3377">
        <v>66.910255432128906</v>
      </c>
      <c r="D3377">
        <f>_xlfn.XLOOKUP(B3377, Oil_Price!A:A, Oil_Price!B:B, "")</f>
        <v>60.340000152587891</v>
      </c>
      <c r="E3377">
        <f t="shared" si="208"/>
        <v>-1.627310760641058E-2</v>
      </c>
      <c r="F3377" t="str">
        <f t="shared" si="209"/>
        <v/>
      </c>
      <c r="G3377">
        <f t="shared" si="210"/>
        <v>-1.1068496704101562</v>
      </c>
      <c r="H3377" t="str">
        <f t="shared" si="211"/>
        <v/>
      </c>
    </row>
    <row r="3378" spans="1:8" x14ac:dyDescent="0.2">
      <c r="A3378" t="s">
        <v>13</v>
      </c>
      <c r="B3378" s="2">
        <v>46043</v>
      </c>
      <c r="C3378">
        <v>68.399116516113281</v>
      </c>
      <c r="D3378">
        <f>_xlfn.XLOOKUP(B3378, Oil_Price!A:A, Oil_Price!B:B, "")</f>
        <v>60.619998931884773</v>
      </c>
      <c r="E3378">
        <f t="shared" si="208"/>
        <v>2.2251612617061614E-2</v>
      </c>
      <c r="F3378">
        <f t="shared" si="209"/>
        <v>4.6403509875508906E-3</v>
      </c>
      <c r="G3378">
        <f t="shared" si="210"/>
        <v>1.488861083984375</v>
      </c>
      <c r="H3378">
        <f t="shared" si="211"/>
        <v>0.27999877929688211</v>
      </c>
    </row>
    <row r="3379" spans="1:8" x14ac:dyDescent="0.2">
      <c r="A3379" t="s">
        <v>13</v>
      </c>
      <c r="B3379" s="2">
        <v>46044</v>
      </c>
      <c r="C3379">
        <v>67.311859130859375</v>
      </c>
      <c r="D3379">
        <f>_xlfn.XLOOKUP(B3379, Oil_Price!A:A, Oil_Price!B:B, "")</f>
        <v>59.360000610351562</v>
      </c>
      <c r="E3379">
        <f t="shared" si="208"/>
        <v>-1.5895781124567201E-2</v>
      </c>
      <c r="F3379">
        <f t="shared" si="209"/>
        <v>-2.0785192077436333E-2</v>
      </c>
      <c r="G3379">
        <f t="shared" si="210"/>
        <v>-1.0872573852539062</v>
      </c>
      <c r="H3379">
        <f t="shared" si="211"/>
        <v>-1.2599983215332102</v>
      </c>
    </row>
    <row r="3380" spans="1:8" x14ac:dyDescent="0.2">
      <c r="A3380" t="s">
        <v>13</v>
      </c>
      <c r="B3380" s="2">
        <v>46045</v>
      </c>
      <c r="C3380">
        <v>68.183624267578125</v>
      </c>
      <c r="D3380">
        <f>_xlfn.XLOOKUP(B3380, Oil_Price!A:A, Oil_Price!B:B, "")</f>
        <v>61.069999694824219</v>
      </c>
      <c r="E3380">
        <f t="shared" si="208"/>
        <v>1.295113740691625E-2</v>
      </c>
      <c r="F3380">
        <f t="shared" si="209"/>
        <v>2.8807261908525925E-2</v>
      </c>
      <c r="G3380">
        <f t="shared" si="210"/>
        <v>0.87176513671875</v>
      </c>
      <c r="H3380">
        <f t="shared" si="211"/>
        <v>1.7099990844726562</v>
      </c>
    </row>
    <row r="3381" spans="1:8" x14ac:dyDescent="0.2">
      <c r="A3381" t="s">
        <v>13</v>
      </c>
      <c r="B3381" s="2">
        <v>46048</v>
      </c>
      <c r="C3381">
        <v>68.692962646484375</v>
      </c>
      <c r="D3381">
        <f>_xlfn.XLOOKUP(B3381, Oil_Price!A:A, Oil_Price!B:B, "")</f>
        <v>60.630001068115227</v>
      </c>
      <c r="E3381">
        <f t="shared" si="208"/>
        <v>7.470098346597346E-3</v>
      </c>
      <c r="F3381">
        <f t="shared" si="209"/>
        <v>-7.204824445844595E-3</v>
      </c>
      <c r="G3381">
        <f t="shared" si="210"/>
        <v>0.50933837890625</v>
      </c>
      <c r="H3381">
        <f t="shared" si="211"/>
        <v>-0.43999862670899148</v>
      </c>
    </row>
    <row r="3382" spans="1:8" x14ac:dyDescent="0.2">
      <c r="A3382" t="s">
        <v>13</v>
      </c>
      <c r="B3382" s="2">
        <v>46049</v>
      </c>
      <c r="C3382">
        <v>69.133750915527344</v>
      </c>
      <c r="D3382">
        <f>_xlfn.XLOOKUP(B3382, Oil_Price!A:A, Oil_Price!B:B, "")</f>
        <v>62.389999389648438</v>
      </c>
      <c r="E3382">
        <f t="shared" si="208"/>
        <v>6.4167893196193041E-3</v>
      </c>
      <c r="F3382">
        <f t="shared" si="209"/>
        <v>2.9028505534016518E-2</v>
      </c>
      <c r="G3382">
        <f t="shared" si="210"/>
        <v>0.44078826904296875</v>
      </c>
      <c r="H3382">
        <f t="shared" si="211"/>
        <v>1.7599983215332102</v>
      </c>
    </row>
    <row r="3383" spans="1:8" x14ac:dyDescent="0.2">
      <c r="A3383" t="s">
        <v>13</v>
      </c>
      <c r="B3383" s="2">
        <v>46050</v>
      </c>
      <c r="C3383">
        <v>70.328750610351562</v>
      </c>
      <c r="D3383">
        <f>_xlfn.XLOOKUP(B3383, Oil_Price!A:A, Oil_Price!B:B, "")</f>
        <v>63.209999084472663</v>
      </c>
      <c r="E3383">
        <f t="shared" si="208"/>
        <v>1.7285329943754341E-2</v>
      </c>
      <c r="F3383">
        <f t="shared" si="209"/>
        <v>1.314312714932127E-2</v>
      </c>
      <c r="G3383">
        <f t="shared" si="210"/>
        <v>1.1949996948242188</v>
      </c>
      <c r="H3383">
        <f t="shared" si="211"/>
        <v>0.81999969482422586</v>
      </c>
    </row>
    <row r="3384" spans="1:8" x14ac:dyDescent="0.2">
      <c r="A3384" t="s">
        <v>13</v>
      </c>
      <c r="B3384" s="2">
        <v>46051</v>
      </c>
      <c r="C3384">
        <v>70.808700561523438</v>
      </c>
      <c r="D3384">
        <f>_xlfn.XLOOKUP(B3384, Oil_Price!A:A, Oil_Price!B:B, "")</f>
        <v>65.419998168945312</v>
      </c>
      <c r="E3384">
        <f t="shared" si="208"/>
        <v>6.8243776123790836E-3</v>
      </c>
      <c r="F3384">
        <f t="shared" si="209"/>
        <v>3.4962808360734947E-2</v>
      </c>
      <c r="G3384">
        <f t="shared" si="210"/>
        <v>0.479949951171875</v>
      </c>
      <c r="H3384">
        <f t="shared" si="211"/>
        <v>2.2099990844726491</v>
      </c>
    </row>
    <row r="3385" spans="1:8" x14ac:dyDescent="0.2">
      <c r="A3385" t="s">
        <v>13</v>
      </c>
      <c r="B3385" s="2">
        <v>46052</v>
      </c>
      <c r="C3385">
        <v>70.495269775390625</v>
      </c>
      <c r="D3385">
        <f>_xlfn.XLOOKUP(B3385, Oil_Price!A:A, Oil_Price!B:B, "")</f>
        <v>65.209999084472656</v>
      </c>
      <c r="E3385">
        <f t="shared" si="208"/>
        <v>-4.4264445420867798E-3</v>
      </c>
      <c r="F3385">
        <f t="shared" si="209"/>
        <v>-3.2100136097579749E-3</v>
      </c>
      <c r="G3385">
        <f t="shared" si="210"/>
        <v>-0.3134307861328125</v>
      </c>
      <c r="H3385">
        <f t="shared" si="211"/>
        <v>-0.20999908447265625</v>
      </c>
    </row>
    <row r="3386" spans="1:8" x14ac:dyDescent="0.2">
      <c r="A3386" t="s">
        <v>13</v>
      </c>
      <c r="B3386" s="2">
        <v>46055</v>
      </c>
      <c r="C3386">
        <v>70.50506591796875</v>
      </c>
      <c r="D3386">
        <f>_xlfn.XLOOKUP(B3386, Oil_Price!A:A, Oil_Price!B:B, "")</f>
        <v>62.139999389648438</v>
      </c>
      <c r="E3386">
        <f t="shared" si="208"/>
        <v>1.3896170068342317E-4</v>
      </c>
      <c r="F3386">
        <f t="shared" si="209"/>
        <v>-4.7078664896887348E-2</v>
      </c>
      <c r="G3386">
        <f t="shared" si="210"/>
        <v>9.796142578125E-3</v>
      </c>
      <c r="H3386">
        <f t="shared" si="211"/>
        <v>-3.0699996948242188</v>
      </c>
    </row>
    <row r="3387" spans="1:8" x14ac:dyDescent="0.2">
      <c r="A3387" t="s">
        <v>13</v>
      </c>
      <c r="B3387" s="2">
        <v>46056</v>
      </c>
      <c r="C3387">
        <v>71.357231140136719</v>
      </c>
      <c r="D3387">
        <f>_xlfn.XLOOKUP(B3387, Oil_Price!A:A, Oil_Price!B:B, "")</f>
        <v>63.209999084472663</v>
      </c>
      <c r="E3387">
        <f t="shared" si="208"/>
        <v>1.208658145443685E-2</v>
      </c>
      <c r="F3387">
        <f t="shared" si="209"/>
        <v>1.7219177749178916E-2</v>
      </c>
      <c r="G3387">
        <f t="shared" si="210"/>
        <v>0.85216522216796875</v>
      </c>
      <c r="H3387">
        <f t="shared" si="211"/>
        <v>1.0699996948242259</v>
      </c>
    </row>
    <row r="3388" spans="1:8" x14ac:dyDescent="0.2">
      <c r="A3388" t="s">
        <v>13</v>
      </c>
      <c r="B3388" s="2">
        <v>46057</v>
      </c>
      <c r="C3388">
        <v>70.524650573730469</v>
      </c>
      <c r="D3388">
        <f>_xlfn.XLOOKUP(B3388, Oil_Price!A:A, Oil_Price!B:B, "")</f>
        <v>65.139999389648438</v>
      </c>
      <c r="E3388">
        <f t="shared" si="208"/>
        <v>-1.1667781290044248E-2</v>
      </c>
      <c r="F3388">
        <f t="shared" si="209"/>
        <v>3.0533148760159889E-2</v>
      </c>
      <c r="G3388">
        <f t="shared" si="210"/>
        <v>-0.83258056640625</v>
      </c>
      <c r="H3388">
        <f t="shared" si="211"/>
        <v>1.9300003051757741</v>
      </c>
    </row>
    <row r="3389" spans="1:8" x14ac:dyDescent="0.2">
      <c r="A3389" t="s">
        <v>13</v>
      </c>
      <c r="B3389" s="2">
        <v>46058</v>
      </c>
      <c r="C3389">
        <v>71.229896545410156</v>
      </c>
      <c r="D3389">
        <f>_xlfn.XLOOKUP(B3389, Oil_Price!A:A, Oil_Price!B:B, "")</f>
        <v>63.290000915527337</v>
      </c>
      <c r="E3389">
        <f t="shared" si="208"/>
        <v>9.9999924273624485E-3</v>
      </c>
      <c r="F3389">
        <f t="shared" si="209"/>
        <v>-2.8400345278711943E-2</v>
      </c>
      <c r="G3389">
        <f t="shared" si="210"/>
        <v>0.7052459716796875</v>
      </c>
      <c r="H3389">
        <f t="shared" si="211"/>
        <v>-1.8499984741211009</v>
      </c>
    </row>
    <row r="3390" spans="1:8" x14ac:dyDescent="0.2">
      <c r="A3390" t="s">
        <v>13</v>
      </c>
      <c r="B3390" s="2">
        <v>46059</v>
      </c>
      <c r="C3390">
        <v>71.954727172851562</v>
      </c>
      <c r="D3390">
        <f>_xlfn.XLOOKUP(B3390, Oil_Price!A:A, Oil_Price!B:B, "")</f>
        <v>63.549999237060547</v>
      </c>
      <c r="E3390">
        <f t="shared" si="208"/>
        <v>1.0175932615307332E-2</v>
      </c>
      <c r="F3390">
        <f t="shared" si="209"/>
        <v>4.1080473656530348E-3</v>
      </c>
      <c r="G3390">
        <f t="shared" si="210"/>
        <v>0.72483062744140625</v>
      </c>
      <c r="H3390">
        <f t="shared" si="211"/>
        <v>0.25999832153321023</v>
      </c>
    </row>
    <row r="3391" spans="1:8" x14ac:dyDescent="0.2">
      <c r="A3391" t="s">
        <v>13</v>
      </c>
      <c r="B3391" s="2">
        <v>46062</v>
      </c>
      <c r="C3391">
        <v>72.601211547851562</v>
      </c>
      <c r="D3391">
        <f>_xlfn.XLOOKUP(B3391, Oil_Price!A:A, Oil_Price!B:B, "")</f>
        <v>64.360000610351562</v>
      </c>
      <c r="E3391">
        <f t="shared" si="208"/>
        <v>8.9845990722332673E-3</v>
      </c>
      <c r="F3391">
        <f t="shared" si="209"/>
        <v>1.2745891156811311E-2</v>
      </c>
      <c r="G3391">
        <f t="shared" si="210"/>
        <v>0.646484375</v>
      </c>
      <c r="H3391">
        <f t="shared" si="211"/>
        <v>0.81000137329101562</v>
      </c>
    </row>
    <row r="3392" spans="1:8" x14ac:dyDescent="0.2">
      <c r="A3392" t="s">
        <v>13</v>
      </c>
      <c r="B3392" s="2">
        <v>46063</v>
      </c>
      <c r="C3392">
        <v>72.483665466308594</v>
      </c>
      <c r="D3392">
        <f>_xlfn.XLOOKUP(B3392, Oil_Price!A:A, Oil_Price!B:B, "")</f>
        <v>63.959999084472663</v>
      </c>
      <c r="E3392">
        <f t="shared" si="208"/>
        <v>-1.6190650133365056E-3</v>
      </c>
      <c r="F3392">
        <f t="shared" si="209"/>
        <v>-6.2150640473201541E-3</v>
      </c>
      <c r="G3392">
        <f t="shared" si="210"/>
        <v>-0.11754608154296875</v>
      </c>
      <c r="H3392">
        <f t="shared" si="211"/>
        <v>-0.40000152587889914</v>
      </c>
    </row>
    <row r="3393" spans="1:8" x14ac:dyDescent="0.2">
      <c r="A3393" t="s">
        <v>13</v>
      </c>
      <c r="B3393" s="2">
        <v>46064</v>
      </c>
      <c r="C3393">
        <v>74.334938049316406</v>
      </c>
      <c r="D3393">
        <f>_xlfn.XLOOKUP(B3393, Oil_Price!A:A, Oil_Price!B:B, "")</f>
        <v>64.629997253417969</v>
      </c>
      <c r="E3393">
        <f t="shared" si="208"/>
        <v>2.5540548633930626E-2</v>
      </c>
      <c r="F3393">
        <f t="shared" si="209"/>
        <v>1.0475268582484367E-2</v>
      </c>
      <c r="G3393">
        <f t="shared" si="210"/>
        <v>1.8512725830078125</v>
      </c>
      <c r="H3393">
        <f t="shared" si="211"/>
        <v>0.66999816894530539</v>
      </c>
    </row>
    <row r="3394" spans="1:8" x14ac:dyDescent="0.2">
      <c r="A3394" t="s">
        <v>13</v>
      </c>
      <c r="B3394" s="2">
        <v>46065</v>
      </c>
      <c r="C3394">
        <v>73.365226745605469</v>
      </c>
      <c r="D3394">
        <f>_xlfn.XLOOKUP(B3394, Oil_Price!A:A, Oil_Price!B:B, "")</f>
        <v>62.840000152587891</v>
      </c>
      <c r="E3394">
        <f t="shared" si="208"/>
        <v>-1.3045161927324094E-2</v>
      </c>
      <c r="F3394">
        <f t="shared" si="209"/>
        <v>-2.7696072673674976E-2</v>
      </c>
      <c r="G3394">
        <f t="shared" si="210"/>
        <v>-0.9697113037109375</v>
      </c>
      <c r="H3394">
        <f t="shared" si="211"/>
        <v>-1.7899971008300781</v>
      </c>
    </row>
    <row r="3395" spans="1:8" x14ac:dyDescent="0.2">
      <c r="A3395" t="s">
        <v>13</v>
      </c>
      <c r="B3395" s="2">
        <v>46066</v>
      </c>
      <c r="C3395">
        <v>74.68756103515625</v>
      </c>
      <c r="D3395">
        <f>_xlfn.XLOOKUP(B3395, Oil_Price!A:A, Oil_Price!B:B, "")</f>
        <v>62.889999389648438</v>
      </c>
      <c r="E3395">
        <f t="shared" ref="E3395:E3458" si="212">IFERROR(IF(AND(A3395=A3394, C3395&lt;&gt;"", C3394&lt;&gt;""), (C3395-C3394)/C3394, ""), "")</f>
        <v>1.8023992403594504E-2</v>
      </c>
      <c r="F3395">
        <f t="shared" ref="F3395:F3458" si="213">IFERROR(IF(AND(A3395=A3394, D3395&lt;&gt;"", D3394&lt;&gt;""), (D3395-D3394)/D3394, ""), "")</f>
        <v>7.9565940386917388E-4</v>
      </c>
      <c r="G3395">
        <f t="shared" ref="G3395:G3458" si="214">IFERROR(IF(AND(A3395=A3394, C3395&lt;&gt;"", C3394&lt;&gt;""), C3395-C3394, ""), "")</f>
        <v>1.3223342895507812</v>
      </c>
      <c r="H3395">
        <f t="shared" ref="H3395:H3458" si="215">IFERROR(IF(AND(A3395=A3394, D3395&lt;&gt;"", D3394&lt;&gt;""), D3395-D3394, ""), "")</f>
        <v>4.9999237060546875E-2</v>
      </c>
    </row>
    <row r="3396" spans="1:8" x14ac:dyDescent="0.2">
      <c r="A3396" t="s">
        <v>13</v>
      </c>
      <c r="B3396" s="2">
        <v>46070</v>
      </c>
      <c r="C3396">
        <v>73.659072875976562</v>
      </c>
      <c r="D3396">
        <f>_xlfn.XLOOKUP(B3396, Oil_Price!A:A, Oil_Price!B:B, "")</f>
        <v>62.330001831054688</v>
      </c>
      <c r="E3396">
        <f t="shared" si="212"/>
        <v>-1.3770541505506745E-2</v>
      </c>
      <c r="F3396">
        <f t="shared" si="213"/>
        <v>-8.9043975835357454E-3</v>
      </c>
      <c r="G3396">
        <f t="shared" si="214"/>
        <v>-1.0284881591796875</v>
      </c>
      <c r="H3396">
        <f t="shared" si="215"/>
        <v>-0.55999755859375</v>
      </c>
    </row>
    <row r="3397" spans="1:8" x14ac:dyDescent="0.2">
      <c r="A3397" t="s">
        <v>13</v>
      </c>
      <c r="B3397" s="2">
        <v>46071</v>
      </c>
      <c r="C3397">
        <v>74.912857055664062</v>
      </c>
      <c r="D3397">
        <f>_xlfn.XLOOKUP(B3397, Oil_Price!A:A, Oil_Price!B:B, "")</f>
        <v>65.19000244140625</v>
      </c>
      <c r="E3397">
        <f t="shared" si="212"/>
        <v>1.7021449371193671E-2</v>
      </c>
      <c r="F3397">
        <f t="shared" si="213"/>
        <v>4.5884815118465531E-2</v>
      </c>
      <c r="G3397">
        <f t="shared" si="214"/>
        <v>1.2537841796875</v>
      </c>
      <c r="H3397">
        <f t="shared" si="215"/>
        <v>2.8600006103515625</v>
      </c>
    </row>
    <row r="3398" spans="1:8" x14ac:dyDescent="0.2">
      <c r="A3398" t="s">
        <v>13</v>
      </c>
      <c r="B3398" s="2">
        <v>46072</v>
      </c>
      <c r="C3398">
        <v>76.176406860351562</v>
      </c>
      <c r="D3398">
        <f>_xlfn.XLOOKUP(B3398, Oil_Price!A:A, Oil_Price!B:B, "")</f>
        <v>66.430000305175781</v>
      </c>
      <c r="E3398">
        <f t="shared" si="212"/>
        <v>1.6866928513334076E-2</v>
      </c>
      <c r="F3398">
        <f t="shared" si="213"/>
        <v>1.9021288807038472E-2</v>
      </c>
      <c r="G3398">
        <f t="shared" si="214"/>
        <v>1.2635498046875</v>
      </c>
      <c r="H3398">
        <f t="shared" si="215"/>
        <v>1.2399978637695312</v>
      </c>
    </row>
    <row r="3399" spans="1:8" x14ac:dyDescent="0.2">
      <c r="A3399" t="s">
        <v>13</v>
      </c>
      <c r="B3399" s="2">
        <v>46073</v>
      </c>
      <c r="C3399">
        <v>74.667976379394531</v>
      </c>
      <c r="D3399">
        <f>_xlfn.XLOOKUP(B3399, Oil_Price!A:A, Oil_Price!B:B, "")</f>
        <v>66.389999389648438</v>
      </c>
      <c r="E3399">
        <f t="shared" si="212"/>
        <v>-1.980180666334555E-2</v>
      </c>
      <c r="F3399">
        <f t="shared" si="213"/>
        <v>-6.0215136750838081E-4</v>
      </c>
      <c r="G3399">
        <f t="shared" si="214"/>
        <v>-1.5084304809570312</v>
      </c>
      <c r="H3399">
        <f t="shared" si="215"/>
        <v>-4.000091552734375E-2</v>
      </c>
    </row>
    <row r="3400" spans="1:8" x14ac:dyDescent="0.2">
      <c r="A3400" t="s">
        <v>13</v>
      </c>
      <c r="B3400" s="2">
        <v>46076</v>
      </c>
      <c r="C3400">
        <v>75.490753173828125</v>
      </c>
      <c r="D3400">
        <f>_xlfn.XLOOKUP(B3400, Oil_Price!A:A, Oil_Price!B:B, "")</f>
        <v>66.30999755859375</v>
      </c>
      <c r="E3400">
        <f t="shared" si="212"/>
        <v>1.1019138783847479E-2</v>
      </c>
      <c r="F3400">
        <f t="shared" si="213"/>
        <v>-1.2050283444822779E-3</v>
      </c>
      <c r="G3400">
        <f t="shared" si="214"/>
        <v>0.82277679443359375</v>
      </c>
      <c r="H3400">
        <f t="shared" si="215"/>
        <v>-8.00018310546875E-2</v>
      </c>
    </row>
    <row r="3401" spans="1:8" x14ac:dyDescent="0.2">
      <c r="A3401" t="s">
        <v>13</v>
      </c>
      <c r="B3401" s="2">
        <v>46077</v>
      </c>
      <c r="C3401">
        <v>75.128334045410156</v>
      </c>
      <c r="D3401">
        <f>_xlfn.XLOOKUP(B3401, Oil_Price!A:A, Oil_Price!B:B, "")</f>
        <v>65.629997253417969</v>
      </c>
      <c r="E3401">
        <f t="shared" si="212"/>
        <v>-4.800841337262161E-3</v>
      </c>
      <c r="F3401">
        <f t="shared" si="213"/>
        <v>-1.025486849965437E-2</v>
      </c>
      <c r="G3401">
        <f t="shared" si="214"/>
        <v>-0.36241912841796875</v>
      </c>
      <c r="H3401">
        <f t="shared" si="215"/>
        <v>-0.68000030517578125</v>
      </c>
    </row>
    <row r="3402" spans="1:8" x14ac:dyDescent="0.2">
      <c r="A3402" t="s">
        <v>13</v>
      </c>
      <c r="B3402" s="2">
        <v>46078</v>
      </c>
      <c r="C3402">
        <v>74.648384094238281</v>
      </c>
      <c r="D3402">
        <f>_xlfn.XLOOKUP(B3402, Oil_Price!A:A, Oil_Price!B:B, "")</f>
        <v>65.419998168945312</v>
      </c>
      <c r="E3402">
        <f t="shared" si="212"/>
        <v>-6.3884013570935398E-3</v>
      </c>
      <c r="F3402">
        <f t="shared" si="213"/>
        <v>-3.1997423931283135E-3</v>
      </c>
      <c r="G3402">
        <f t="shared" si="214"/>
        <v>-0.479949951171875</v>
      </c>
      <c r="H3402">
        <f t="shared" si="215"/>
        <v>-0.20999908447265625</v>
      </c>
    </row>
    <row r="3403" spans="1:8" x14ac:dyDescent="0.2">
      <c r="A3403" t="s">
        <v>13</v>
      </c>
      <c r="B3403" s="2">
        <v>46079</v>
      </c>
      <c r="C3403">
        <v>74.354537963867188</v>
      </c>
      <c r="D3403">
        <f>_xlfn.XLOOKUP(B3403, Oil_Price!A:A, Oil_Price!B:B, "")</f>
        <v>65.209999084472656</v>
      </c>
      <c r="E3403">
        <f t="shared" si="212"/>
        <v>-3.9364030974888067E-3</v>
      </c>
      <c r="F3403">
        <f t="shared" si="213"/>
        <v>-3.2100136097579749E-3</v>
      </c>
      <c r="G3403">
        <f t="shared" si="214"/>
        <v>-0.29384613037109375</v>
      </c>
      <c r="H3403">
        <f t="shared" si="215"/>
        <v>-0.20999908447265625</v>
      </c>
    </row>
    <row r="3404" spans="1:8" x14ac:dyDescent="0.2">
      <c r="A3404" t="s">
        <v>13</v>
      </c>
      <c r="B3404" s="2">
        <v>46080</v>
      </c>
      <c r="C3404">
        <v>75.471160888671875</v>
      </c>
      <c r="D3404">
        <f>_xlfn.XLOOKUP(B3404, Oil_Price!A:A, Oil_Price!B:B, "")</f>
        <v>67.019996643066406</v>
      </c>
      <c r="E3404">
        <f t="shared" si="212"/>
        <v>1.5017549101674384E-2</v>
      </c>
      <c r="F3404">
        <f t="shared" si="213"/>
        <v>2.7756442018180214E-2</v>
      </c>
      <c r="G3404">
        <f t="shared" si="214"/>
        <v>1.1166229248046875</v>
      </c>
      <c r="H3404">
        <f t="shared" si="215"/>
        <v>1.80999755859375</v>
      </c>
    </row>
    <row r="3405" spans="1:8" x14ac:dyDescent="0.2">
      <c r="A3405" t="s">
        <v>13</v>
      </c>
      <c r="B3405" s="2">
        <v>46083</v>
      </c>
      <c r="C3405">
        <v>77.430191040039062</v>
      </c>
      <c r="D3405">
        <f>_xlfn.XLOOKUP(B3405, Oil_Price!A:A, Oil_Price!B:B, "")</f>
        <v>71.230003356933594</v>
      </c>
      <c r="E3405">
        <f t="shared" si="212"/>
        <v>2.5957334275763546E-2</v>
      </c>
      <c r="F3405">
        <f t="shared" si="213"/>
        <v>6.2817172854972625E-2</v>
      </c>
      <c r="G3405">
        <f t="shared" si="214"/>
        <v>1.9590301513671875</v>
      </c>
      <c r="H3405">
        <f t="shared" si="215"/>
        <v>4.2100067138671875</v>
      </c>
    </row>
    <row r="3406" spans="1:8" x14ac:dyDescent="0.2">
      <c r="A3406" t="s">
        <v>13</v>
      </c>
      <c r="B3406" s="2">
        <v>46084</v>
      </c>
      <c r="C3406">
        <v>76.509445190429688</v>
      </c>
      <c r="D3406">
        <f>_xlfn.XLOOKUP(B3406, Oil_Price!A:A, Oil_Price!B:B, "")</f>
        <v>74.55999755859375</v>
      </c>
      <c r="E3406">
        <f t="shared" si="212"/>
        <v>-1.1891302826997525E-2</v>
      </c>
      <c r="F3406">
        <f t="shared" si="213"/>
        <v>4.6749881296137996E-2</v>
      </c>
      <c r="G3406">
        <f t="shared" si="214"/>
        <v>-0.920745849609375</v>
      </c>
      <c r="H3406">
        <f t="shared" si="215"/>
        <v>3.3299942016601562</v>
      </c>
    </row>
    <row r="3407" spans="1:8" x14ac:dyDescent="0.2">
      <c r="A3407" t="s">
        <v>13</v>
      </c>
      <c r="B3407" s="2">
        <v>46085</v>
      </c>
      <c r="C3407">
        <v>77.200416564941406</v>
      </c>
      <c r="D3407">
        <f>_xlfn.XLOOKUP(B3407, Oil_Price!A:A, Oil_Price!B:B, "")</f>
        <v>74.660003662109375</v>
      </c>
      <c r="E3407">
        <f t="shared" si="212"/>
        <v>9.0311904993156337E-3</v>
      </c>
      <c r="F3407">
        <f t="shared" si="213"/>
        <v>1.3412836211137771E-3</v>
      </c>
      <c r="G3407">
        <f t="shared" si="214"/>
        <v>0.69097137451171875</v>
      </c>
      <c r="H3407">
        <f t="shared" si="215"/>
        <v>0.100006103515625</v>
      </c>
    </row>
    <row r="3408" spans="1:8" x14ac:dyDescent="0.2">
      <c r="A3408" t="s">
        <v>13</v>
      </c>
      <c r="B3408" s="2">
        <v>46086</v>
      </c>
      <c r="C3408">
        <v>77.723564147949219</v>
      </c>
      <c r="D3408">
        <f>_xlfn.XLOOKUP(B3408, Oil_Price!A:A, Oil_Price!B:B, "")</f>
        <v>81.010002136230469</v>
      </c>
      <c r="E3408">
        <f t="shared" si="212"/>
        <v>6.7764865305841703E-3</v>
      </c>
      <c r="F3408">
        <f t="shared" si="213"/>
        <v>8.5052212197302302E-2</v>
      </c>
      <c r="G3408">
        <f t="shared" si="214"/>
        <v>0.5231475830078125</v>
      </c>
      <c r="H3408">
        <f t="shared" si="215"/>
        <v>6.3499984741210938</v>
      </c>
    </row>
    <row r="3409" spans="1:8" x14ac:dyDescent="0.2">
      <c r="A3409" t="s">
        <v>13</v>
      </c>
      <c r="B3409" s="2">
        <v>46087</v>
      </c>
      <c r="C3409">
        <v>76.203445434570312</v>
      </c>
      <c r="D3409">
        <f>_xlfn.XLOOKUP(B3409, Oil_Price!A:A, Oil_Price!B:B, "")</f>
        <v>90.900001525878906</v>
      </c>
      <c r="E3409">
        <f t="shared" si="212"/>
        <v>-1.9558016028257699E-2</v>
      </c>
      <c r="F3409">
        <f t="shared" si="213"/>
        <v>0.12208368261757259</v>
      </c>
      <c r="G3409">
        <f t="shared" si="214"/>
        <v>-1.5201187133789062</v>
      </c>
      <c r="H3409">
        <f t="shared" si="215"/>
        <v>9.8899993896484375</v>
      </c>
    </row>
    <row r="3410" spans="1:8" x14ac:dyDescent="0.2">
      <c r="A3410" t="s">
        <v>13</v>
      </c>
      <c r="B3410" s="2">
        <v>46090</v>
      </c>
      <c r="C3410">
        <v>77.052345275878906</v>
      </c>
      <c r="D3410">
        <f>_xlfn.XLOOKUP(B3410, Oil_Price!A:A, Oil_Price!B:B, "")</f>
        <v>94.769996643066406</v>
      </c>
      <c r="E3410">
        <f t="shared" si="212"/>
        <v>1.1139914166183927E-2</v>
      </c>
      <c r="F3410">
        <f t="shared" si="213"/>
        <v>4.2574202994768114E-2</v>
      </c>
      <c r="G3410">
        <f t="shared" si="214"/>
        <v>0.84889984130859375</v>
      </c>
      <c r="H3410">
        <f t="shared" si="215"/>
        <v>3.8699951171875</v>
      </c>
    </row>
    <row r="3411" spans="1:8" x14ac:dyDescent="0.2">
      <c r="A3411" t="s">
        <v>13</v>
      </c>
      <c r="B3411" s="2">
        <v>46091</v>
      </c>
      <c r="C3411">
        <v>76.7562255859375</v>
      </c>
      <c r="D3411">
        <f>_xlfn.XLOOKUP(B3411, Oil_Price!A:A, Oil_Price!B:B, "")</f>
        <v>83.449996948242188</v>
      </c>
      <c r="E3411">
        <f t="shared" si="212"/>
        <v>-3.8430976874380225E-3</v>
      </c>
      <c r="F3411">
        <f t="shared" si="213"/>
        <v>-0.11944708342091533</v>
      </c>
      <c r="G3411">
        <f t="shared" si="214"/>
        <v>-0.29611968994140625</v>
      </c>
      <c r="H3411">
        <f t="shared" si="215"/>
        <v>-11.319999694824219</v>
      </c>
    </row>
    <row r="3412" spans="1:8" x14ac:dyDescent="0.2">
      <c r="A3412" t="s">
        <v>13</v>
      </c>
      <c r="B3412" s="2">
        <v>46092</v>
      </c>
      <c r="C3412">
        <v>78.078926086425781</v>
      </c>
      <c r="D3412">
        <f>_xlfn.XLOOKUP(B3412, Oil_Price!A:A, Oil_Price!B:B, "")</f>
        <v>87.25</v>
      </c>
      <c r="E3412">
        <f t="shared" si="212"/>
        <v>1.7232484927328331E-2</v>
      </c>
      <c r="F3412">
        <f t="shared" si="213"/>
        <v>4.5536287486201719E-2</v>
      </c>
      <c r="G3412">
        <f t="shared" si="214"/>
        <v>1.3227005004882812</v>
      </c>
      <c r="H3412">
        <f t="shared" si="215"/>
        <v>3.8000030517578125</v>
      </c>
    </row>
    <row r="3413" spans="1:8" x14ac:dyDescent="0.2">
      <c r="A3413" t="s">
        <v>13</v>
      </c>
      <c r="B3413" s="2">
        <v>46093</v>
      </c>
      <c r="C3413">
        <v>80.408462524414062</v>
      </c>
      <c r="D3413">
        <f>_xlfn.XLOOKUP(B3413, Oil_Price!A:A, Oil_Price!B:B, "")</f>
        <v>95.730003356933594</v>
      </c>
      <c r="E3413">
        <f t="shared" si="212"/>
        <v>2.9835661871293041E-2</v>
      </c>
      <c r="F3413">
        <f t="shared" si="213"/>
        <v>9.719201555224749E-2</v>
      </c>
      <c r="G3413">
        <f t="shared" si="214"/>
        <v>2.3295364379882812</v>
      </c>
      <c r="H3413">
        <f t="shared" si="215"/>
        <v>8.4800033569335938</v>
      </c>
    </row>
    <row r="3414" spans="1:8" x14ac:dyDescent="0.2">
      <c r="A3414" t="s">
        <v>13</v>
      </c>
      <c r="B3414" s="2">
        <v>46094</v>
      </c>
      <c r="C3414">
        <v>80.773689270019531</v>
      </c>
      <c r="D3414">
        <f>_xlfn.XLOOKUP(B3414, Oil_Price!A:A, Oil_Price!B:B, "")</f>
        <v>98.709999084472656</v>
      </c>
      <c r="E3414">
        <f t="shared" si="212"/>
        <v>4.5421431294570096E-3</v>
      </c>
      <c r="F3414">
        <f t="shared" si="213"/>
        <v>3.112917186922072E-2</v>
      </c>
      <c r="G3414">
        <f t="shared" si="214"/>
        <v>0.36522674560546875</v>
      </c>
      <c r="H3414">
        <f t="shared" si="215"/>
        <v>2.9799957275390625</v>
      </c>
    </row>
    <row r="3415" spans="1:8" x14ac:dyDescent="0.2">
      <c r="A3415" t="s">
        <v>13</v>
      </c>
      <c r="B3415" s="2">
        <v>46097</v>
      </c>
      <c r="C3415">
        <v>81.859489440917969</v>
      </c>
      <c r="D3415">
        <f>_xlfn.XLOOKUP(B3415, Oil_Price!A:A, Oil_Price!B:B, "")</f>
        <v>93.5</v>
      </c>
      <c r="E3415">
        <f t="shared" si="212"/>
        <v>1.3442498178691585E-2</v>
      </c>
      <c r="F3415">
        <f t="shared" si="213"/>
        <v>-5.2780864479738433E-2</v>
      </c>
      <c r="G3415">
        <f t="shared" si="214"/>
        <v>1.0858001708984375</v>
      </c>
      <c r="H3415">
        <f t="shared" si="215"/>
        <v>-5.2099990844726562</v>
      </c>
    </row>
    <row r="3416" spans="1:8" x14ac:dyDescent="0.2">
      <c r="A3416" t="s">
        <v>13</v>
      </c>
      <c r="B3416" s="2">
        <v>46098</v>
      </c>
      <c r="C3416">
        <v>83.024253845214844</v>
      </c>
      <c r="D3416">
        <f>_xlfn.XLOOKUP(B3416, Oil_Price!A:A, Oil_Price!B:B, "")</f>
        <v>96.209999084472656</v>
      </c>
      <c r="E3416">
        <f t="shared" si="212"/>
        <v>1.4228825665197228E-2</v>
      </c>
      <c r="F3416">
        <f t="shared" si="213"/>
        <v>2.898394742751504E-2</v>
      </c>
      <c r="G3416">
        <f t="shared" si="214"/>
        <v>1.164764404296875</v>
      </c>
      <c r="H3416">
        <f t="shared" si="215"/>
        <v>2.7099990844726562</v>
      </c>
    </row>
    <row r="3417" spans="1:8" x14ac:dyDescent="0.2">
      <c r="A3417" t="s">
        <v>13</v>
      </c>
      <c r="B3417" s="2">
        <v>46099</v>
      </c>
      <c r="C3417">
        <v>84.031082153320312</v>
      </c>
      <c r="D3417">
        <f>_xlfn.XLOOKUP(B3417, Oil_Price!A:A, Oil_Price!B:B, "")</f>
        <v>96.319999694824219</v>
      </c>
      <c r="E3417">
        <f t="shared" si="212"/>
        <v>1.2126917876100828E-2</v>
      </c>
      <c r="F3417">
        <f t="shared" si="213"/>
        <v>1.1433386487716484E-3</v>
      </c>
      <c r="G3417">
        <f t="shared" si="214"/>
        <v>1.0068283081054688</v>
      </c>
      <c r="H3417">
        <f t="shared" si="215"/>
        <v>0.1100006103515625</v>
      </c>
    </row>
    <row r="3418" spans="1:8" x14ac:dyDescent="0.2">
      <c r="A3418" t="s">
        <v>13</v>
      </c>
      <c r="B3418" s="2">
        <v>46100</v>
      </c>
      <c r="C3418">
        <v>85.886817932128906</v>
      </c>
      <c r="D3418">
        <f>_xlfn.XLOOKUP(B3418, Oil_Price!A:A, Oil_Price!B:B, "")</f>
        <v>96.139999389648438</v>
      </c>
      <c r="E3418">
        <f t="shared" si="212"/>
        <v>2.2083920987982519E-2</v>
      </c>
      <c r="F3418">
        <f t="shared" si="213"/>
        <v>-1.8687739383937479E-3</v>
      </c>
      <c r="G3418">
        <f t="shared" si="214"/>
        <v>1.8557357788085938</v>
      </c>
      <c r="H3418">
        <f t="shared" si="215"/>
        <v>-0.18000030517578125</v>
      </c>
    </row>
    <row r="3419" spans="1:8" x14ac:dyDescent="0.2">
      <c r="A3419" t="s">
        <v>13</v>
      </c>
      <c r="B3419" s="2">
        <v>46101</v>
      </c>
      <c r="C3419">
        <v>86.360618591308594</v>
      </c>
      <c r="D3419">
        <f>_xlfn.XLOOKUP(B3419, Oil_Price!A:A, Oil_Price!B:B, "")</f>
        <v>98.319999694824219</v>
      </c>
      <c r="E3419">
        <f t="shared" si="212"/>
        <v>5.5165701860569938E-3</v>
      </c>
      <c r="F3419">
        <f t="shared" si="213"/>
        <v>2.2675268556435063E-2</v>
      </c>
      <c r="G3419">
        <f t="shared" si="214"/>
        <v>0.4738006591796875</v>
      </c>
      <c r="H3419">
        <f t="shared" si="215"/>
        <v>2.1800003051757812</v>
      </c>
    </row>
    <row r="3420" spans="1:8" x14ac:dyDescent="0.2">
      <c r="A3420" t="s">
        <v>13</v>
      </c>
      <c r="B3420" s="2">
        <v>46104</v>
      </c>
      <c r="C3420">
        <v>85.580810546875</v>
      </c>
      <c r="D3420">
        <f>_xlfn.XLOOKUP(B3420, Oil_Price!A:A, Oil_Price!B:B, "")</f>
        <v>88.129997253417969</v>
      </c>
      <c r="E3420">
        <f t="shared" si="212"/>
        <v>-9.0296718244219972E-3</v>
      </c>
      <c r="F3420">
        <f t="shared" si="213"/>
        <v>-0.10364119683721555</v>
      </c>
      <c r="G3420">
        <f t="shared" si="214"/>
        <v>-0.77980804443359375</v>
      </c>
      <c r="H3420">
        <f t="shared" si="215"/>
        <v>-10.19000244140625</v>
      </c>
    </row>
    <row r="3421" spans="1:8" x14ac:dyDescent="0.2">
      <c r="A3421" t="s">
        <v>13</v>
      </c>
      <c r="B3421" s="2">
        <v>46105</v>
      </c>
      <c r="C3421">
        <v>87.091064453125</v>
      </c>
      <c r="D3421">
        <f>_xlfn.XLOOKUP(B3421, Oil_Price!A:A, Oil_Price!B:B, "")</f>
        <v>92.349998474121094</v>
      </c>
      <c r="E3421">
        <f t="shared" si="212"/>
        <v>1.7647109166169812E-2</v>
      </c>
      <c r="F3421">
        <f t="shared" si="213"/>
        <v>4.7883823354362573E-2</v>
      </c>
      <c r="G3421">
        <f t="shared" si="214"/>
        <v>1.51025390625</v>
      </c>
      <c r="H3421">
        <f t="shared" si="215"/>
        <v>4.220001220703125</v>
      </c>
    </row>
    <row r="3422" spans="1:8" x14ac:dyDescent="0.2">
      <c r="A3422" t="s">
        <v>13</v>
      </c>
      <c r="B3422" s="2">
        <v>46106</v>
      </c>
      <c r="C3422">
        <v>88.265708923339844</v>
      </c>
      <c r="D3422">
        <f>_xlfn.XLOOKUP(B3422, Oil_Price!A:A, Oil_Price!B:B, "")</f>
        <v>90.319999694824219</v>
      </c>
      <c r="E3422">
        <f t="shared" si="212"/>
        <v>1.348754292522251E-2</v>
      </c>
      <c r="F3422">
        <f t="shared" si="213"/>
        <v>-2.1981578915409881E-2</v>
      </c>
      <c r="G3422">
        <f t="shared" si="214"/>
        <v>1.1746444702148438</v>
      </c>
      <c r="H3422">
        <f t="shared" si="215"/>
        <v>-2.029998779296875</v>
      </c>
    </row>
    <row r="3423" spans="1:8" x14ac:dyDescent="0.2">
      <c r="A3423" t="s">
        <v>13</v>
      </c>
      <c r="B3423" s="2">
        <v>46107</v>
      </c>
      <c r="C3423">
        <v>88.897445678710938</v>
      </c>
      <c r="D3423">
        <f>_xlfn.XLOOKUP(B3423, Oil_Price!A:A, Oil_Price!B:B, "")</f>
        <v>94.480003356933594</v>
      </c>
      <c r="E3423">
        <f t="shared" si="212"/>
        <v>7.1572161270439354E-3</v>
      </c>
      <c r="F3423">
        <f t="shared" si="213"/>
        <v>4.6058499514673536E-2</v>
      </c>
      <c r="G3423">
        <f t="shared" si="214"/>
        <v>0.63173675537109375</v>
      </c>
      <c r="H3423">
        <f t="shared" si="215"/>
        <v>4.160003662109375</v>
      </c>
    </row>
    <row r="3424" spans="1:8" x14ac:dyDescent="0.2">
      <c r="A3424" t="s">
        <v>13</v>
      </c>
      <c r="B3424" s="2">
        <v>46108</v>
      </c>
      <c r="C3424">
        <v>91.305946350097656</v>
      </c>
      <c r="D3424">
        <f>_xlfn.XLOOKUP(B3424, Oil_Price!A:A, Oil_Price!B:B, "")</f>
        <v>99.639999389648438</v>
      </c>
      <c r="E3424">
        <f t="shared" si="212"/>
        <v>2.7093024473294893E-2</v>
      </c>
      <c r="F3424">
        <f t="shared" si="213"/>
        <v>5.4614689345649434E-2</v>
      </c>
      <c r="G3424">
        <f t="shared" si="214"/>
        <v>2.4085006713867188</v>
      </c>
      <c r="H3424">
        <f t="shared" si="215"/>
        <v>5.1599960327148438</v>
      </c>
    </row>
    <row r="3425" spans="1:8" x14ac:dyDescent="0.2">
      <c r="A3425" t="s">
        <v>13</v>
      </c>
      <c r="B3425" s="2">
        <v>46111</v>
      </c>
      <c r="C3425">
        <v>90.753181457519531</v>
      </c>
      <c r="D3425">
        <f>_xlfn.XLOOKUP(B3425, Oil_Price!A:A, Oil_Price!B:B, "")</f>
        <v>102.879997253418</v>
      </c>
      <c r="E3425">
        <f t="shared" si="212"/>
        <v>-6.0539856895917687E-3</v>
      </c>
      <c r="F3425">
        <f t="shared" si="213"/>
        <v>3.2517040180814791E-2</v>
      </c>
      <c r="G3425">
        <f t="shared" si="214"/>
        <v>-0.552764892578125</v>
      </c>
      <c r="H3425">
        <f t="shared" si="215"/>
        <v>3.2399978637695597</v>
      </c>
    </row>
    <row r="3426" spans="1:8" x14ac:dyDescent="0.2">
      <c r="A3426" t="s">
        <v>13</v>
      </c>
      <c r="B3426" s="2">
        <v>46112</v>
      </c>
      <c r="C3426">
        <v>90.822273254394531</v>
      </c>
      <c r="D3426">
        <f>_xlfn.XLOOKUP(B3426, Oil_Price!A:A, Oil_Price!B:B, "")</f>
        <v>101.379997253418</v>
      </c>
      <c r="E3426">
        <f t="shared" si="212"/>
        <v>7.6131542459854191E-4</v>
      </c>
      <c r="F3426">
        <f t="shared" si="213"/>
        <v>-1.4580093701841204E-2</v>
      </c>
      <c r="G3426">
        <f t="shared" si="214"/>
        <v>6.9091796875E-2</v>
      </c>
      <c r="H3426">
        <f t="shared" si="215"/>
        <v>-1.5</v>
      </c>
    </row>
    <row r="3427" spans="1:8" x14ac:dyDescent="0.2">
      <c r="A3427" t="s">
        <v>13</v>
      </c>
      <c r="B3427" s="2">
        <v>46113</v>
      </c>
      <c r="C3427">
        <v>89.124473571777344</v>
      </c>
      <c r="D3427">
        <f>_xlfn.XLOOKUP(B3427, Oil_Price!A:A, Oil_Price!B:B, "")</f>
        <v>100.120002746582</v>
      </c>
      <c r="E3427">
        <f t="shared" si="212"/>
        <v>-1.8693648835034393E-2</v>
      </c>
      <c r="F3427">
        <f t="shared" si="213"/>
        <v>-1.242843303384992E-2</v>
      </c>
      <c r="G3427">
        <f t="shared" si="214"/>
        <v>-1.6977996826171875</v>
      </c>
      <c r="H3427">
        <f t="shared" si="215"/>
        <v>-1.2599945068359943</v>
      </c>
    </row>
    <row r="3428" spans="1:8" x14ac:dyDescent="0.2">
      <c r="A3428" t="s">
        <v>13</v>
      </c>
      <c r="B3428" s="2">
        <v>46114</v>
      </c>
      <c r="C3428">
        <v>90.536018371582031</v>
      </c>
      <c r="D3428">
        <f>_xlfn.XLOOKUP(B3428, Oil_Price!A:A, Oil_Price!B:B, "")</f>
        <v>111.5400009155273</v>
      </c>
      <c r="E3428">
        <f t="shared" si="212"/>
        <v>1.5837903364084218E-2</v>
      </c>
      <c r="F3428">
        <f t="shared" si="213"/>
        <v>0.11406310283321647</v>
      </c>
      <c r="G3428">
        <f t="shared" si="214"/>
        <v>1.4115447998046875</v>
      </c>
      <c r="H3428">
        <f t="shared" si="215"/>
        <v>11.419998168945298</v>
      </c>
    </row>
    <row r="3429" spans="1:8" x14ac:dyDescent="0.2">
      <c r="A3429" t="s">
        <v>13</v>
      </c>
      <c r="B3429" s="2">
        <v>46118</v>
      </c>
      <c r="C3429">
        <v>90.674209594726562</v>
      </c>
      <c r="D3429">
        <f>_xlfn.XLOOKUP(B3429, Oil_Price!A:A, Oil_Price!B:B, "")</f>
        <v>112.4100036621094</v>
      </c>
      <c r="E3429">
        <f t="shared" si="212"/>
        <v>1.5263673577665031E-3</v>
      </c>
      <c r="F3429">
        <f t="shared" si="213"/>
        <v>7.7999169754443733E-3</v>
      </c>
      <c r="G3429">
        <f t="shared" si="214"/>
        <v>0.13819122314453125</v>
      </c>
      <c r="H3429">
        <f t="shared" si="215"/>
        <v>0.8700027465821023</v>
      </c>
    </row>
    <row r="3430" spans="1:8" x14ac:dyDescent="0.2">
      <c r="A3430" t="s">
        <v>13</v>
      </c>
      <c r="B3430" s="2">
        <v>46119</v>
      </c>
      <c r="C3430">
        <v>91.592208862304688</v>
      </c>
      <c r="D3430">
        <f>_xlfn.XLOOKUP(B3430, Oil_Price!A:A, Oil_Price!B:B, "")</f>
        <v>112.9499969482422</v>
      </c>
      <c r="E3430">
        <f t="shared" si="212"/>
        <v>1.0124149652709122E-2</v>
      </c>
      <c r="F3430">
        <f t="shared" si="213"/>
        <v>4.8037831913603658E-3</v>
      </c>
      <c r="G3430">
        <f t="shared" si="214"/>
        <v>0.917999267578125</v>
      </c>
      <c r="H3430">
        <f t="shared" si="215"/>
        <v>0.53999328613279829</v>
      </c>
    </row>
    <row r="3431" spans="1:8" x14ac:dyDescent="0.2">
      <c r="A3431" t="s">
        <v>13</v>
      </c>
      <c r="B3431" s="2">
        <v>46120</v>
      </c>
      <c r="C3431">
        <v>88.088027954101562</v>
      </c>
      <c r="D3431">
        <f>_xlfn.XLOOKUP(B3431, Oil_Price!A:A, Oil_Price!B:B, "")</f>
        <v>94.410003662109375</v>
      </c>
      <c r="E3431">
        <f t="shared" si="212"/>
        <v>-3.8258504208268866E-2</v>
      </c>
      <c r="F3431">
        <f t="shared" si="213"/>
        <v>-0.16414337128869977</v>
      </c>
      <c r="G3431">
        <f t="shared" si="214"/>
        <v>-3.504180908203125</v>
      </c>
      <c r="H3431">
        <f t="shared" si="215"/>
        <v>-18.539993286132827</v>
      </c>
    </row>
    <row r="3432" spans="1:8" x14ac:dyDescent="0.2">
      <c r="A3432" t="s">
        <v>13</v>
      </c>
      <c r="B3432" s="2">
        <v>46121</v>
      </c>
      <c r="C3432">
        <v>86.5185546875</v>
      </c>
      <c r="D3432">
        <f>_xlfn.XLOOKUP(B3432, Oil_Price!A:A, Oil_Price!B:B, "")</f>
        <v>97.870002746582031</v>
      </c>
      <c r="E3432">
        <f t="shared" si="212"/>
        <v>-1.7817100723600484E-2</v>
      </c>
      <c r="F3432">
        <f t="shared" si="213"/>
        <v>3.664864898063018E-2</v>
      </c>
      <c r="G3432">
        <f t="shared" si="214"/>
        <v>-1.5694732666015625</v>
      </c>
      <c r="H3432">
        <f t="shared" si="215"/>
        <v>3.4599990844726562</v>
      </c>
    </row>
    <row r="3433" spans="1:8" x14ac:dyDescent="0.2">
      <c r="A3433" t="s">
        <v>13</v>
      </c>
      <c r="B3433" s="2">
        <v>46122</v>
      </c>
      <c r="C3433">
        <v>88.137382507324219</v>
      </c>
      <c r="D3433">
        <f>_xlfn.XLOOKUP(B3433, Oil_Price!A:A, Oil_Price!B:B, "")</f>
        <v>96.569999694824219</v>
      </c>
      <c r="E3433">
        <f t="shared" si="212"/>
        <v>1.8710758931090921E-2</v>
      </c>
      <c r="F3433">
        <f t="shared" si="213"/>
        <v>-1.3282957139829172E-2</v>
      </c>
      <c r="G3433">
        <f t="shared" si="214"/>
        <v>1.6188278198242188</v>
      </c>
      <c r="H3433">
        <f t="shared" si="215"/>
        <v>-1.3000030517578125</v>
      </c>
    </row>
    <row r="3434" spans="1:8" x14ac:dyDescent="0.2">
      <c r="A3434" t="s">
        <v>13</v>
      </c>
      <c r="B3434" s="2">
        <v>46125</v>
      </c>
      <c r="C3434">
        <v>88.255836486816406</v>
      </c>
      <c r="D3434">
        <f>_xlfn.XLOOKUP(B3434, Oil_Price!A:A, Oil_Price!B:B, "")</f>
        <v>99.080001831054688</v>
      </c>
      <c r="E3434">
        <f t="shared" si="212"/>
        <v>1.3439697903706634E-3</v>
      </c>
      <c r="F3434">
        <f t="shared" si="213"/>
        <v>2.5991530953323544E-2</v>
      </c>
      <c r="G3434">
        <f t="shared" si="214"/>
        <v>0.1184539794921875</v>
      </c>
      <c r="H3434">
        <f t="shared" si="215"/>
        <v>2.5100021362304688</v>
      </c>
    </row>
    <row r="3435" spans="1:8" x14ac:dyDescent="0.2">
      <c r="A3435" t="s">
        <v>13</v>
      </c>
      <c r="B3435" s="2">
        <v>46126</v>
      </c>
      <c r="C3435">
        <v>86.429710388183594</v>
      </c>
      <c r="D3435">
        <f>_xlfn.XLOOKUP(B3435, Oil_Price!A:A, Oil_Price!B:B, "")</f>
        <v>91.279998779296875</v>
      </c>
      <c r="E3435">
        <f t="shared" si="212"/>
        <v>-2.0691278575163671E-2</v>
      </c>
      <c r="F3435">
        <f t="shared" si="213"/>
        <v>-7.8724292567716264E-2</v>
      </c>
      <c r="G3435">
        <f t="shared" si="214"/>
        <v>-1.8261260986328125</v>
      </c>
      <c r="H3435">
        <f t="shared" si="215"/>
        <v>-7.8000030517578125</v>
      </c>
    </row>
    <row r="3436" spans="1:8" x14ac:dyDescent="0.2">
      <c r="A3436" t="s">
        <v>13</v>
      </c>
      <c r="B3436" s="2">
        <v>46127</v>
      </c>
      <c r="C3436">
        <v>85.195854187011719</v>
      </c>
      <c r="D3436">
        <f>_xlfn.XLOOKUP(B3436, Oil_Price!A:A, Oil_Price!B:B, "")</f>
        <v>91.290000915527344</v>
      </c>
      <c r="E3436">
        <f t="shared" si="212"/>
        <v>-1.4275834034734473E-2</v>
      </c>
      <c r="F3436">
        <f t="shared" si="213"/>
        <v>1.0957642817954687E-4</v>
      </c>
      <c r="G3436">
        <f t="shared" si="214"/>
        <v>-1.233856201171875</v>
      </c>
      <c r="H3436">
        <f t="shared" si="215"/>
        <v>1.000213623046875E-2</v>
      </c>
    </row>
    <row r="3437" spans="1:8" x14ac:dyDescent="0.2">
      <c r="A3437" t="s">
        <v>13</v>
      </c>
      <c r="B3437" s="2">
        <v>46128</v>
      </c>
      <c r="C3437">
        <v>86.242172241210938</v>
      </c>
      <c r="D3437">
        <f>_xlfn.XLOOKUP(B3437, Oil_Price!A:A, Oil_Price!B:B, "")</f>
        <v>94.69000244140625</v>
      </c>
      <c r="E3437">
        <f t="shared" si="212"/>
        <v>1.228132594225145E-2</v>
      </c>
      <c r="F3437">
        <f t="shared" si="213"/>
        <v>3.7243964199595123E-2</v>
      </c>
      <c r="G3437">
        <f t="shared" si="214"/>
        <v>1.0463180541992188</v>
      </c>
      <c r="H3437">
        <f t="shared" si="215"/>
        <v>3.4000015258789062</v>
      </c>
    </row>
    <row r="3438" spans="1:8" x14ac:dyDescent="0.2">
      <c r="A3438" t="s">
        <v>13</v>
      </c>
      <c r="B3438" s="2">
        <v>46129</v>
      </c>
      <c r="C3438">
        <v>82.609672546386719</v>
      </c>
      <c r="D3438">
        <f>_xlfn.XLOOKUP(B3438, Oil_Price!A:A, Oil_Price!B:B, "")</f>
        <v>83.849998474121094</v>
      </c>
      <c r="E3438">
        <f t="shared" si="212"/>
        <v>-4.2119761138025048E-2</v>
      </c>
      <c r="F3438">
        <f t="shared" si="213"/>
        <v>-0.11447886458755667</v>
      </c>
      <c r="G3438">
        <f t="shared" si="214"/>
        <v>-3.6324996948242188</v>
      </c>
      <c r="H3438">
        <f t="shared" si="215"/>
        <v>-10.840003967285156</v>
      </c>
    </row>
    <row r="3439" spans="1:8" x14ac:dyDescent="0.2">
      <c r="A3439" t="s">
        <v>13</v>
      </c>
      <c r="B3439" s="2">
        <v>46132</v>
      </c>
      <c r="C3439">
        <v>83.024253845214844</v>
      </c>
      <c r="D3439">
        <f>_xlfn.XLOOKUP(B3439, Oil_Price!A:A, Oil_Price!B:B, "")</f>
        <v>89.610000610351562</v>
      </c>
      <c r="E3439">
        <f t="shared" si="212"/>
        <v>5.018556375409074E-3</v>
      </c>
      <c r="F3439">
        <f t="shared" si="213"/>
        <v>6.8694123327959239E-2</v>
      </c>
      <c r="G3439">
        <f t="shared" si="214"/>
        <v>0.414581298828125</v>
      </c>
      <c r="H3439">
        <f t="shared" si="215"/>
        <v>5.7600021362304688</v>
      </c>
    </row>
    <row r="3440" spans="1:8" x14ac:dyDescent="0.2">
      <c r="A3440" t="s">
        <v>13</v>
      </c>
      <c r="B3440" s="2">
        <v>46133</v>
      </c>
      <c r="C3440">
        <v>84.623344421386719</v>
      </c>
      <c r="D3440">
        <f>_xlfn.XLOOKUP(B3440, Oil_Price!A:A, Oil_Price!B:B, "")</f>
        <v>92.129997253417969</v>
      </c>
      <c r="E3440">
        <f t="shared" si="212"/>
        <v>1.9260523306275274E-2</v>
      </c>
      <c r="F3440">
        <f t="shared" si="213"/>
        <v>2.8121823746258309E-2</v>
      </c>
      <c r="G3440">
        <f t="shared" si="214"/>
        <v>1.599090576171875</v>
      </c>
      <c r="H3440">
        <f t="shared" si="215"/>
        <v>2.5199966430664062</v>
      </c>
    </row>
    <row r="3441" spans="1:8" x14ac:dyDescent="0.2">
      <c r="A3441" t="s">
        <v>13</v>
      </c>
      <c r="B3441" s="2">
        <v>46134</v>
      </c>
      <c r="C3441">
        <v>85.600563049316406</v>
      </c>
      <c r="D3441">
        <f>_xlfn.XLOOKUP(B3441, Oil_Price!A:A, Oil_Price!B:B, "")</f>
        <v>92.959999084472656</v>
      </c>
      <c r="E3441">
        <f t="shared" si="212"/>
        <v>1.1547861108674366E-2</v>
      </c>
      <c r="F3441">
        <f t="shared" si="213"/>
        <v>9.0090291522709771E-3</v>
      </c>
      <c r="G3441">
        <f t="shared" si="214"/>
        <v>0.9772186279296875</v>
      </c>
      <c r="H3441">
        <f t="shared" si="215"/>
        <v>0.8300018310546875</v>
      </c>
    </row>
    <row r="3442" spans="1:8" x14ac:dyDescent="0.2">
      <c r="A3442" t="s">
        <v>13</v>
      </c>
      <c r="B3442" s="2">
        <v>46135</v>
      </c>
      <c r="C3442">
        <v>87.337844848632812</v>
      </c>
      <c r="D3442">
        <f>_xlfn.XLOOKUP(B3442, Oil_Price!A:A, Oil_Price!B:B, "")</f>
        <v>95.849998474121094</v>
      </c>
      <c r="E3442">
        <f t="shared" si="212"/>
        <v>2.0295214627449577E-2</v>
      </c>
      <c r="F3442">
        <f t="shared" si="213"/>
        <v>3.1088634015823281E-2</v>
      </c>
      <c r="G3442">
        <f t="shared" si="214"/>
        <v>1.7372817993164062</v>
      </c>
      <c r="H3442">
        <f t="shared" si="215"/>
        <v>2.8899993896484375</v>
      </c>
    </row>
    <row r="3443" spans="1:8" x14ac:dyDescent="0.2">
      <c r="A3443" t="s">
        <v>13</v>
      </c>
      <c r="B3443" s="2">
        <v>46136</v>
      </c>
      <c r="C3443">
        <v>86.429710388183594</v>
      </c>
      <c r="D3443">
        <f>_xlfn.XLOOKUP(B3443, Oil_Price!A:A, Oil_Price!B:B, "")</f>
        <v>94.400001525878906</v>
      </c>
      <c r="E3443">
        <f t="shared" si="212"/>
        <v>-1.0397949045149065E-2</v>
      </c>
      <c r="F3443">
        <f t="shared" si="213"/>
        <v>-1.5127772262131831E-2</v>
      </c>
      <c r="G3443">
        <f t="shared" si="214"/>
        <v>-0.90813446044921875</v>
      </c>
      <c r="H3443">
        <f t="shared" si="215"/>
        <v>-1.4499969482421875</v>
      </c>
    </row>
    <row r="3444" spans="1:8" x14ac:dyDescent="0.2">
      <c r="A3444" t="s">
        <v>13</v>
      </c>
      <c r="B3444" s="2">
        <v>46139</v>
      </c>
      <c r="C3444">
        <v>86.775199890136719</v>
      </c>
      <c r="D3444">
        <f>_xlfn.XLOOKUP(B3444, Oil_Price!A:A, Oil_Price!B:B, "")</f>
        <v>96.370002746582031</v>
      </c>
      <c r="E3444">
        <f t="shared" si="212"/>
        <v>3.9973465189391552E-3</v>
      </c>
      <c r="F3444">
        <f t="shared" si="213"/>
        <v>2.0868656661653412E-2</v>
      </c>
      <c r="G3444">
        <f t="shared" si="214"/>
        <v>0.345489501953125</v>
      </c>
      <c r="H3444">
        <f t="shared" si="215"/>
        <v>1.970001220703125</v>
      </c>
    </row>
    <row r="3445" spans="1:8" x14ac:dyDescent="0.2">
      <c r="A3445" t="s">
        <v>13</v>
      </c>
      <c r="B3445" s="2">
        <v>46140</v>
      </c>
      <c r="C3445">
        <v>87.979446411132812</v>
      </c>
      <c r="D3445">
        <f>_xlfn.XLOOKUP(B3445, Oil_Price!A:A, Oil_Price!B:B, "")</f>
        <v>99.930000305175781</v>
      </c>
      <c r="E3445">
        <f t="shared" si="212"/>
        <v>1.3877772941125476E-2</v>
      </c>
      <c r="F3445">
        <f t="shared" si="213"/>
        <v>3.6940930342766985E-2</v>
      </c>
      <c r="G3445">
        <f t="shared" si="214"/>
        <v>1.2042465209960938</v>
      </c>
      <c r="H3445">
        <f t="shared" si="215"/>
        <v>3.55999755859375</v>
      </c>
    </row>
    <row r="3446" spans="1:8" x14ac:dyDescent="0.2">
      <c r="A3446" t="s">
        <v>13</v>
      </c>
      <c r="B3446" s="2">
        <v>46141</v>
      </c>
      <c r="C3446">
        <v>90.624855041503906</v>
      </c>
      <c r="D3446">
        <f>_xlfn.XLOOKUP(B3446, Oil_Price!A:A, Oil_Price!B:B, "")</f>
        <v>106.879997253418</v>
      </c>
      <c r="E3446">
        <f t="shared" si="212"/>
        <v>3.0068484609563843E-2</v>
      </c>
      <c r="F3446">
        <f t="shared" si="213"/>
        <v>6.9548653327505761E-2</v>
      </c>
      <c r="G3446">
        <f t="shared" si="214"/>
        <v>2.6454086303710938</v>
      </c>
      <c r="H3446">
        <f t="shared" si="215"/>
        <v>6.9499969482422159</v>
      </c>
    </row>
    <row r="3447" spans="1:8" x14ac:dyDescent="0.2">
      <c r="A3447" t="s">
        <v>13</v>
      </c>
      <c r="B3447" s="2">
        <v>46142</v>
      </c>
      <c r="C3447">
        <v>91.878456115722656</v>
      </c>
      <c r="D3447">
        <f>_xlfn.XLOOKUP(B3447, Oil_Price!A:A, Oil_Price!B:B, "")</f>
        <v>105.0699996948242</v>
      </c>
      <c r="E3447">
        <f t="shared" si="212"/>
        <v>1.3832861565898585E-2</v>
      </c>
      <c r="F3447">
        <f t="shared" si="213"/>
        <v>-1.693485783221153E-2</v>
      </c>
      <c r="G3447">
        <f t="shared" si="214"/>
        <v>1.25360107421875</v>
      </c>
      <c r="H3447">
        <f t="shared" si="215"/>
        <v>-1.8099975585937926</v>
      </c>
    </row>
    <row r="3448" spans="1:8" x14ac:dyDescent="0.2">
      <c r="A3448" t="s">
        <v>13</v>
      </c>
      <c r="B3448" s="2">
        <v>46143</v>
      </c>
      <c r="C3448">
        <v>90.644599914550781</v>
      </c>
      <c r="D3448">
        <f>_xlfn.XLOOKUP(B3448, Oil_Price!A:A, Oil_Price!B:B, "")</f>
        <v>101.94000244140619</v>
      </c>
      <c r="E3448">
        <f t="shared" si="212"/>
        <v>-1.3429222184772127E-2</v>
      </c>
      <c r="F3448">
        <f t="shared" si="213"/>
        <v>-2.9789637979528771E-2</v>
      </c>
      <c r="G3448">
        <f t="shared" si="214"/>
        <v>-1.233856201171875</v>
      </c>
      <c r="H3448">
        <f t="shared" si="215"/>
        <v>-3.1299972534180114</v>
      </c>
    </row>
    <row r="3449" spans="1:8" x14ac:dyDescent="0.2">
      <c r="A3449" t="s">
        <v>13</v>
      </c>
      <c r="B3449" s="2">
        <v>46146</v>
      </c>
      <c r="C3449">
        <v>92.095626831054688</v>
      </c>
      <c r="D3449">
        <f>_xlfn.XLOOKUP(B3449, Oil_Price!A:A, Oil_Price!B:B, "")</f>
        <v>106.4199981689453</v>
      </c>
      <c r="E3449">
        <f t="shared" si="212"/>
        <v>1.6007869391797925E-2</v>
      </c>
      <c r="F3449">
        <f t="shared" si="213"/>
        <v>4.3947377086969851E-2</v>
      </c>
      <c r="G3449">
        <f t="shared" si="214"/>
        <v>1.4510269165039062</v>
      </c>
      <c r="H3449">
        <f t="shared" si="215"/>
        <v>4.4799957275391051</v>
      </c>
    </row>
    <row r="3450" spans="1:8" x14ac:dyDescent="0.2">
      <c r="A3450" t="s">
        <v>13</v>
      </c>
      <c r="B3450" s="2">
        <v>46147</v>
      </c>
      <c r="C3450">
        <v>93.823036193847656</v>
      </c>
      <c r="D3450">
        <f>_xlfn.XLOOKUP(B3450, Oil_Price!A:A, Oil_Price!B:B, "")</f>
        <v>102.26999664306641</v>
      </c>
      <c r="E3450">
        <f t="shared" si="212"/>
        <v>1.8756692605630711E-2</v>
      </c>
      <c r="F3450">
        <f t="shared" si="213"/>
        <v>-3.8996444251865388E-2</v>
      </c>
      <c r="G3450">
        <f t="shared" si="214"/>
        <v>1.7274093627929688</v>
      </c>
      <c r="H3450">
        <f t="shared" si="215"/>
        <v>-4.150001525878892</v>
      </c>
    </row>
    <row r="3451" spans="1:8" x14ac:dyDescent="0.2">
      <c r="A3451" t="s">
        <v>13</v>
      </c>
      <c r="B3451" s="2">
        <v>46148</v>
      </c>
      <c r="C3451">
        <v>86.775199890136719</v>
      </c>
      <c r="D3451">
        <f>_xlfn.XLOOKUP(B3451, Oil_Price!A:A, Oil_Price!B:B, "")</f>
        <v>95.080001831054688</v>
      </c>
      <c r="E3451">
        <f t="shared" si="212"/>
        <v>-7.5118399378478987E-2</v>
      </c>
      <c r="F3451">
        <f t="shared" si="213"/>
        <v>-7.0304048577468872E-2</v>
      </c>
      <c r="G3451">
        <f t="shared" si="214"/>
        <v>-7.0478363037109375</v>
      </c>
      <c r="H3451">
        <f t="shared" si="215"/>
        <v>-7.1899948120117188</v>
      </c>
    </row>
    <row r="3452" spans="1:8" x14ac:dyDescent="0.2">
      <c r="A3452" t="s">
        <v>13</v>
      </c>
      <c r="B3452" s="2">
        <v>46149</v>
      </c>
      <c r="C3452">
        <v>85.926300048828125</v>
      </c>
      <c r="D3452">
        <f>_xlfn.XLOOKUP(B3452, Oil_Price!A:A, Oil_Price!B:B, "")</f>
        <v>94.80999755859375</v>
      </c>
      <c r="E3452">
        <f t="shared" si="212"/>
        <v>-9.7827471718112836E-3</v>
      </c>
      <c r="F3452">
        <f t="shared" si="213"/>
        <v>-2.8397588058601581E-3</v>
      </c>
      <c r="G3452">
        <f t="shared" si="214"/>
        <v>-0.84889984130859375</v>
      </c>
      <c r="H3452">
        <f t="shared" si="215"/>
        <v>-0.2700042724609375</v>
      </c>
    </row>
    <row r="3453" spans="1:8" x14ac:dyDescent="0.2">
      <c r="A3453" t="s">
        <v>13</v>
      </c>
      <c r="B3453" s="2">
        <v>46150</v>
      </c>
      <c r="C3453">
        <v>86.449455261230469</v>
      </c>
      <c r="D3453">
        <f>_xlfn.XLOOKUP(B3453, Oil_Price!A:A, Oil_Price!B:B, "")</f>
        <v>95.419998168945312</v>
      </c>
      <c r="E3453">
        <f t="shared" si="212"/>
        <v>6.0884177731970043E-3</v>
      </c>
      <c r="F3453">
        <f t="shared" si="213"/>
        <v>6.4339270758294728E-3</v>
      </c>
      <c r="G3453">
        <f t="shared" si="214"/>
        <v>0.52315521240234375</v>
      </c>
      <c r="H3453">
        <f t="shared" si="215"/>
        <v>0.6100006103515625</v>
      </c>
    </row>
    <row r="3454" spans="1:8" x14ac:dyDescent="0.2">
      <c r="A3454" t="s">
        <v>13</v>
      </c>
      <c r="B3454" s="2">
        <v>46153</v>
      </c>
      <c r="C3454">
        <v>87.930099487304688</v>
      </c>
      <c r="D3454">
        <f>_xlfn.XLOOKUP(B3454, Oil_Price!A:A, Oil_Price!B:B, "")</f>
        <v>98.069999694824219</v>
      </c>
      <c r="E3454">
        <f t="shared" si="212"/>
        <v>1.7127282313116384E-2</v>
      </c>
      <c r="F3454">
        <f t="shared" si="213"/>
        <v>2.7771972088984551E-2</v>
      </c>
      <c r="G3454">
        <f t="shared" si="214"/>
        <v>1.4806442260742188</v>
      </c>
      <c r="H3454">
        <f t="shared" si="215"/>
        <v>2.6500015258789062</v>
      </c>
    </row>
    <row r="3455" spans="1:8" x14ac:dyDescent="0.2">
      <c r="A3455" t="s">
        <v>13</v>
      </c>
      <c r="B3455" s="2">
        <v>46154</v>
      </c>
      <c r="C3455">
        <v>89.973373413085938</v>
      </c>
      <c r="D3455">
        <f>_xlfn.XLOOKUP(B3455, Oil_Price!A:A, Oil_Price!B:B, "")</f>
        <v>102.1800003051758</v>
      </c>
      <c r="E3455">
        <f t="shared" si="212"/>
        <v>2.3237479972102806E-2</v>
      </c>
      <c r="F3455">
        <f t="shared" si="213"/>
        <v>4.1908846978088526E-2</v>
      </c>
      <c r="G3455">
        <f t="shared" si="214"/>
        <v>2.04327392578125</v>
      </c>
      <c r="H3455">
        <f t="shared" si="215"/>
        <v>4.1100006103515767</v>
      </c>
    </row>
    <row r="3456" spans="1:8" x14ac:dyDescent="0.2">
      <c r="A3456" t="s">
        <v>13</v>
      </c>
      <c r="B3456" s="2">
        <v>46155</v>
      </c>
      <c r="C3456">
        <v>89.430473327636719</v>
      </c>
      <c r="D3456">
        <f>_xlfn.XLOOKUP(B3456, Oil_Price!A:A, Oil_Price!B:B, "")</f>
        <v>101.01999664306641</v>
      </c>
      <c r="E3456">
        <f t="shared" si="212"/>
        <v>-6.034008338852149E-3</v>
      </c>
      <c r="F3456">
        <f t="shared" si="213"/>
        <v>-1.1352550975189522E-2</v>
      </c>
      <c r="G3456">
        <f t="shared" si="214"/>
        <v>-0.54290008544921875</v>
      </c>
      <c r="H3456">
        <f t="shared" si="215"/>
        <v>-1.1600036621093892</v>
      </c>
    </row>
    <row r="3457" spans="1:8" x14ac:dyDescent="0.2">
      <c r="A3457" t="s">
        <v>13</v>
      </c>
      <c r="B3457" s="2">
        <v>46156</v>
      </c>
      <c r="C3457">
        <v>90.506401062011719</v>
      </c>
      <c r="D3457">
        <f>_xlfn.XLOOKUP(B3457, Oil_Price!A:A, Oil_Price!B:B, "")</f>
        <v>101.1699981689453</v>
      </c>
      <c r="E3457">
        <f t="shared" si="212"/>
        <v>1.2030884935979713E-2</v>
      </c>
      <c r="F3457">
        <f t="shared" si="213"/>
        <v>1.4848696383241023E-3</v>
      </c>
      <c r="G3457">
        <f t="shared" si="214"/>
        <v>1.075927734375</v>
      </c>
      <c r="H3457">
        <f t="shared" si="215"/>
        <v>0.15000152587889204</v>
      </c>
    </row>
    <row r="3458" spans="1:8" x14ac:dyDescent="0.2">
      <c r="A3458" t="s">
        <v>13</v>
      </c>
      <c r="B3458" s="2">
        <v>46157</v>
      </c>
      <c r="C3458">
        <v>92.776710510253906</v>
      </c>
      <c r="D3458">
        <f>_xlfn.XLOOKUP(B3458, Oil_Price!A:A, Oil_Price!B:B, "")</f>
        <v>105.4199981689453</v>
      </c>
      <c r="E3458">
        <f t="shared" si="212"/>
        <v>2.5084518018638851E-2</v>
      </c>
      <c r="F3458">
        <f t="shared" si="213"/>
        <v>4.2008501303942514E-2</v>
      </c>
      <c r="G3458">
        <f t="shared" si="214"/>
        <v>2.2703094482421875</v>
      </c>
      <c r="H3458">
        <f t="shared" si="215"/>
        <v>4.25</v>
      </c>
    </row>
    <row r="3459" spans="1:8" x14ac:dyDescent="0.2">
      <c r="A3459" t="s">
        <v>13</v>
      </c>
      <c r="B3459" s="2">
        <v>46161</v>
      </c>
      <c r="C3459">
        <v>94.573219299316406</v>
      </c>
      <c r="D3459">
        <f>_xlfn.XLOOKUP(B3459, Oil_Price!A:A, Oil_Price!B:B, "")</f>
        <v>107.76999664306641</v>
      </c>
      <c r="E3459">
        <f t="shared" ref="E3459:E3522" si="216">IFERROR(IF(AND(A3459=A3458, C3459&lt;&gt;"", C3458&lt;&gt;""), (C3459-C3458)/C3458, ""), "")</f>
        <v>1.9363790537323972E-2</v>
      </c>
      <c r="F3459">
        <f t="shared" ref="F3459:F3522" si="217">IFERROR(IF(AND(A3459=A3458, D3459&lt;&gt;"", D3458&lt;&gt;""), (D3459-D3458)/D3458, ""), "")</f>
        <v>2.2291771152898505E-2</v>
      </c>
      <c r="G3459">
        <f t="shared" ref="G3459:G3522" si="218">IFERROR(IF(AND(A3459=A3458, C3459&lt;&gt;"", C3458&lt;&gt;""), C3459-C3458, ""), "")</f>
        <v>1.7965087890625</v>
      </c>
      <c r="H3459">
        <f t="shared" ref="H3459:H3522" si="219">IFERROR(IF(AND(A3459=A3458, D3459&lt;&gt;"", D3458&lt;&gt;""), D3459-D3458, ""), "")</f>
        <v>2.349998474121108</v>
      </c>
    </row>
    <row r="3460" spans="1:8" x14ac:dyDescent="0.2">
      <c r="A3460" t="s">
        <v>13</v>
      </c>
      <c r="B3460" s="2">
        <v>46162</v>
      </c>
      <c r="C3460">
        <v>92.095626831054688</v>
      </c>
      <c r="D3460">
        <f>_xlfn.XLOOKUP(B3460, Oil_Price!A:A, Oil_Price!B:B, "")</f>
        <v>98.260002136230469</v>
      </c>
      <c r="E3460">
        <f t="shared" si="216"/>
        <v>-2.6197611613710047E-2</v>
      </c>
      <c r="F3460">
        <f t="shared" si="217"/>
        <v>-8.8243433265874388E-2</v>
      </c>
      <c r="G3460">
        <f t="shared" si="218"/>
        <v>-2.4775924682617188</v>
      </c>
      <c r="H3460">
        <f t="shared" si="219"/>
        <v>-9.5099945068359375</v>
      </c>
    </row>
    <row r="3461" spans="1:8" x14ac:dyDescent="0.2">
      <c r="A3461" t="s">
        <v>13</v>
      </c>
      <c r="B3461" s="2">
        <v>46163</v>
      </c>
      <c r="C3461">
        <v>92.15484619140625</v>
      </c>
      <c r="D3461">
        <f>_xlfn.XLOOKUP(B3461, Oil_Price!A:A, Oil_Price!B:B, "")</f>
        <v>96.349998474121094</v>
      </c>
      <c r="E3461">
        <f t="shared" si="216"/>
        <v>6.4302032994680383E-4</v>
      </c>
      <c r="F3461">
        <f t="shared" si="217"/>
        <v>-1.9438261964021653E-2</v>
      </c>
      <c r="G3461">
        <f t="shared" si="218"/>
        <v>5.92193603515625E-2</v>
      </c>
      <c r="H3461">
        <f t="shared" si="219"/>
        <v>-1.910003662109375</v>
      </c>
    </row>
    <row r="3462" spans="1:8" x14ac:dyDescent="0.2">
      <c r="A3462" t="s">
        <v>13</v>
      </c>
      <c r="B3462" s="2">
        <v>46164</v>
      </c>
      <c r="C3462">
        <v>91.819229125976562</v>
      </c>
      <c r="D3462">
        <f>_xlfn.XLOOKUP(B3462, Oil_Price!A:A, Oil_Price!B:B, "")</f>
        <v>96.599998474121094</v>
      </c>
      <c r="E3462">
        <f t="shared" si="216"/>
        <v>-3.6418818901027576E-3</v>
      </c>
      <c r="F3462">
        <f t="shared" si="217"/>
        <v>2.5947068392237513E-3</v>
      </c>
      <c r="G3462">
        <f t="shared" si="218"/>
        <v>-0.3356170654296875</v>
      </c>
      <c r="H3462">
        <f t="shared" si="219"/>
        <v>0.25</v>
      </c>
    </row>
    <row r="3463" spans="1:8" x14ac:dyDescent="0.2">
      <c r="A3463" t="s">
        <v>13</v>
      </c>
      <c r="B3463" s="2">
        <v>46167</v>
      </c>
      <c r="C3463">
        <v>89.104728698730469</v>
      </c>
      <c r="D3463" t="str">
        <f>_xlfn.XLOOKUP(B3463, Oil_Price!A:A, Oil_Price!B:B, "")</f>
        <v/>
      </c>
      <c r="E3463">
        <f t="shared" si="216"/>
        <v>-2.9563528828169337E-2</v>
      </c>
      <c r="F3463" t="str">
        <f t="shared" si="217"/>
        <v/>
      </c>
      <c r="G3463">
        <f t="shared" si="218"/>
        <v>-2.7145004272460938</v>
      </c>
      <c r="H3463" t="str">
        <f t="shared" si="219"/>
        <v/>
      </c>
    </row>
    <row r="3464" spans="1:8" x14ac:dyDescent="0.2">
      <c r="A3464" t="s">
        <v>13</v>
      </c>
      <c r="B3464" s="2">
        <v>46168</v>
      </c>
      <c r="C3464">
        <v>89.390983581542969</v>
      </c>
      <c r="D3464">
        <f>_xlfn.XLOOKUP(B3464, Oil_Price!A:A, Oil_Price!B:B, "")</f>
        <v>93.889999389648438</v>
      </c>
      <c r="E3464">
        <f t="shared" si="216"/>
        <v>3.2125666840909024E-3</v>
      </c>
      <c r="F3464" t="str">
        <f t="shared" si="217"/>
        <v/>
      </c>
      <c r="G3464">
        <f t="shared" si="218"/>
        <v>0.2862548828125</v>
      </c>
      <c r="H3464" t="str">
        <f t="shared" si="219"/>
        <v/>
      </c>
    </row>
    <row r="3465" spans="1:8" x14ac:dyDescent="0.2">
      <c r="A3465" t="s">
        <v>13</v>
      </c>
      <c r="B3465" s="2">
        <v>46169</v>
      </c>
      <c r="C3465">
        <v>87.357574462890625</v>
      </c>
      <c r="D3465">
        <f>_xlfn.XLOOKUP(B3465, Oil_Price!A:A, Oil_Price!B:B, "")</f>
        <v>88.680000305175781</v>
      </c>
      <c r="E3465">
        <f t="shared" si="216"/>
        <v>-2.2747362621840447E-2</v>
      </c>
      <c r="F3465">
        <f t="shared" si="217"/>
        <v>-5.5490458178095045E-2</v>
      </c>
      <c r="G3465">
        <f t="shared" si="218"/>
        <v>-2.0334091186523438</v>
      </c>
      <c r="H3465">
        <f t="shared" si="219"/>
        <v>-5.2099990844726562</v>
      </c>
    </row>
    <row r="3466" spans="1:8" x14ac:dyDescent="0.2">
      <c r="A3466" t="s">
        <v>13</v>
      </c>
      <c r="B3466" s="2">
        <v>46170</v>
      </c>
      <c r="C3466">
        <v>86.133590698242188</v>
      </c>
      <c r="D3466">
        <f>_xlfn.XLOOKUP(B3466, Oil_Price!A:A, Oil_Price!B:B, "")</f>
        <v>88.900001525878906</v>
      </c>
      <c r="E3466">
        <f t="shared" si="216"/>
        <v>-1.4011192185382666E-2</v>
      </c>
      <c r="F3466">
        <f t="shared" si="217"/>
        <v>2.4808437071045511E-3</v>
      </c>
      <c r="G3466">
        <f t="shared" si="218"/>
        <v>-1.2239837646484375</v>
      </c>
      <c r="H3466">
        <f t="shared" si="219"/>
        <v>0.220001220703125</v>
      </c>
    </row>
    <row r="3467" spans="1:8" x14ac:dyDescent="0.2">
      <c r="A3467" t="s">
        <v>13</v>
      </c>
      <c r="B3467" s="2">
        <v>46171</v>
      </c>
      <c r="C3467">
        <v>85.057662963867188</v>
      </c>
      <c r="D3467">
        <f>_xlfn.XLOOKUP(B3467, Oil_Price!A:A, Oil_Price!B:B, "")</f>
        <v>87.360000610351562</v>
      </c>
      <c r="E3467">
        <f t="shared" si="216"/>
        <v>-1.2491383740686866E-2</v>
      </c>
      <c r="F3467">
        <f t="shared" si="217"/>
        <v>-1.732284464673544E-2</v>
      </c>
      <c r="G3467">
        <f t="shared" si="218"/>
        <v>-1.075927734375</v>
      </c>
      <c r="H3467">
        <f t="shared" si="219"/>
        <v>-1.5400009155273438</v>
      </c>
    </row>
    <row r="3468" spans="1:8" x14ac:dyDescent="0.2">
      <c r="A3468" t="s">
        <v>13</v>
      </c>
      <c r="B3468" s="2">
        <v>46174</v>
      </c>
      <c r="C3468">
        <v>87.110809326171875</v>
      </c>
      <c r="D3468">
        <f>_xlfn.XLOOKUP(B3468, Oil_Price!A:A, Oil_Price!B:B, "")</f>
        <v>92.160003662109375</v>
      </c>
      <c r="E3468">
        <f t="shared" si="216"/>
        <v>2.4138287965622472E-2</v>
      </c>
      <c r="F3468">
        <f t="shared" si="217"/>
        <v>5.4945089494299354E-2</v>
      </c>
      <c r="G3468">
        <f t="shared" si="218"/>
        <v>2.0531463623046875</v>
      </c>
      <c r="H3468">
        <f t="shared" si="219"/>
        <v>4.8000030517578125</v>
      </c>
    </row>
    <row r="3469" spans="1:8" x14ac:dyDescent="0.2">
      <c r="A3469" t="s">
        <v>13</v>
      </c>
      <c r="B3469" s="2">
        <v>46175</v>
      </c>
      <c r="C3469">
        <v>89.203445434570312</v>
      </c>
      <c r="D3469">
        <f>_xlfn.XLOOKUP(B3469, Oil_Price!A:A, Oil_Price!B:B, "")</f>
        <v>93.760002136230469</v>
      </c>
      <c r="E3469">
        <f t="shared" si="216"/>
        <v>2.4022691610669247E-2</v>
      </c>
      <c r="F3469">
        <f t="shared" si="217"/>
        <v>1.7361093864397451E-2</v>
      </c>
      <c r="G3469">
        <f t="shared" si="218"/>
        <v>2.0926361083984375</v>
      </c>
      <c r="H3469">
        <f t="shared" si="219"/>
        <v>1.5999984741210938</v>
      </c>
    </row>
    <row r="3470" spans="1:8" x14ac:dyDescent="0.2">
      <c r="A3470" t="s">
        <v>13</v>
      </c>
      <c r="B3470" s="2">
        <v>46176</v>
      </c>
      <c r="C3470">
        <v>89.983253479003906</v>
      </c>
      <c r="D3470">
        <f>_xlfn.XLOOKUP(B3470, Oil_Price!A:A, Oil_Price!B:B, "")</f>
        <v>96.019996643066406</v>
      </c>
      <c r="E3470">
        <f t="shared" si="216"/>
        <v>8.741904986232554E-3</v>
      </c>
      <c r="F3470">
        <f t="shared" si="217"/>
        <v>2.4104036426452223E-2</v>
      </c>
      <c r="G3470">
        <f t="shared" si="218"/>
        <v>0.77980804443359375</v>
      </c>
      <c r="H3470">
        <f t="shared" si="219"/>
        <v>2.2599945068359375</v>
      </c>
    </row>
    <row r="3471" spans="1:8" x14ac:dyDescent="0.2">
      <c r="A3471" t="s">
        <v>13</v>
      </c>
      <c r="B3471" s="2">
        <v>46177</v>
      </c>
      <c r="C3471">
        <v>90.430381774902344</v>
      </c>
      <c r="D3471">
        <f>_xlfn.XLOOKUP(B3471, Oil_Price!A:A, Oil_Price!B:B, "")</f>
        <v>93.040000915527344</v>
      </c>
      <c r="E3471">
        <f t="shared" si="216"/>
        <v>4.9690167738018877E-3</v>
      </c>
      <c r="F3471">
        <f t="shared" si="217"/>
        <v>-3.1035157589273336E-2</v>
      </c>
      <c r="G3471">
        <f t="shared" si="218"/>
        <v>0.4471282958984375</v>
      </c>
      <c r="H3471">
        <f t="shared" si="219"/>
        <v>-2.9799957275390625</v>
      </c>
    </row>
    <row r="3472" spans="1:8" x14ac:dyDescent="0.2">
      <c r="A3472" t="s">
        <v>13</v>
      </c>
      <c r="B3472" s="2">
        <v>46178</v>
      </c>
      <c r="C3472">
        <v>86.296875</v>
      </c>
      <c r="D3472">
        <f>_xlfn.XLOOKUP(B3472, Oil_Price!A:A, Oil_Price!B:B, "")</f>
        <v>90.540000915527344</v>
      </c>
      <c r="E3472">
        <f t="shared" si="216"/>
        <v>-4.5709270421874289E-2</v>
      </c>
      <c r="F3472">
        <f t="shared" si="217"/>
        <v>-2.6870163106186919E-2</v>
      </c>
      <c r="G3472">
        <f t="shared" si="218"/>
        <v>-4.1335067749023438</v>
      </c>
      <c r="H3472">
        <f t="shared" si="219"/>
        <v>-2.5</v>
      </c>
    </row>
    <row r="3473" spans="1:8" x14ac:dyDescent="0.2">
      <c r="A3473" t="s">
        <v>13</v>
      </c>
      <c r="B3473" s="2">
        <v>46181</v>
      </c>
      <c r="C3473">
        <v>87.568717956542969</v>
      </c>
      <c r="D3473">
        <f>_xlfn.XLOOKUP(B3473, Oil_Price!A:A, Oil_Price!B:B, "")</f>
        <v>91.300003051757812</v>
      </c>
      <c r="E3473">
        <f t="shared" si="216"/>
        <v>1.4737995513081659E-2</v>
      </c>
      <c r="F3473">
        <f t="shared" si="217"/>
        <v>8.3941034741046774E-3</v>
      </c>
      <c r="G3473">
        <f t="shared" si="218"/>
        <v>1.2718429565429688</v>
      </c>
      <c r="H3473">
        <f t="shared" si="219"/>
        <v>0.76000213623046875</v>
      </c>
    </row>
    <row r="3474" spans="1:8" x14ac:dyDescent="0.2">
      <c r="A3474" t="s">
        <v>13</v>
      </c>
      <c r="B3474" s="2">
        <v>46182</v>
      </c>
      <c r="C3474">
        <v>84.776618957519531</v>
      </c>
      <c r="D3474">
        <f>_xlfn.XLOOKUP(B3474, Oil_Price!A:A, Oil_Price!B:B, "")</f>
        <v>88.199996948242188</v>
      </c>
      <c r="E3474">
        <f t="shared" si="216"/>
        <v>-3.1884662287839483E-2</v>
      </c>
      <c r="F3474">
        <f t="shared" si="217"/>
        <v>-3.3954063525696014E-2</v>
      </c>
      <c r="G3474">
        <f t="shared" si="218"/>
        <v>-2.7920989990234375</v>
      </c>
      <c r="H3474">
        <f t="shared" si="219"/>
        <v>-3.100006103515625</v>
      </c>
    </row>
    <row r="3475" spans="1:8" x14ac:dyDescent="0.2">
      <c r="A3475" t="s">
        <v>13</v>
      </c>
      <c r="B3475" s="2">
        <v>46183</v>
      </c>
      <c r="C3475">
        <v>86.108085632324219</v>
      </c>
      <c r="D3475">
        <f>_xlfn.XLOOKUP(B3475, Oil_Price!A:A, Oil_Price!B:B, "")</f>
        <v>90.029998779296875</v>
      </c>
      <c r="E3475">
        <f t="shared" si="216"/>
        <v>1.570558829990458E-2</v>
      </c>
      <c r="F3475">
        <f t="shared" si="217"/>
        <v>2.0748320797885914E-2</v>
      </c>
      <c r="G3475">
        <f t="shared" si="218"/>
        <v>1.3314666748046875</v>
      </c>
      <c r="H3475">
        <f t="shared" si="219"/>
        <v>1.8300018310546875</v>
      </c>
    </row>
    <row r="3476" spans="1:8" x14ac:dyDescent="0.2">
      <c r="A3476" t="s">
        <v>13</v>
      </c>
      <c r="B3476" s="2">
        <v>46184</v>
      </c>
      <c r="C3476">
        <v>85.790115356445312</v>
      </c>
      <c r="D3476">
        <f>_xlfn.XLOOKUP(B3476, Oil_Price!A:A, Oil_Price!B:B, "")</f>
        <v>87.709999084472656</v>
      </c>
      <c r="E3476">
        <f t="shared" si="216"/>
        <v>-3.6926877835447196E-3</v>
      </c>
      <c r="F3476">
        <f t="shared" si="217"/>
        <v>-2.5769185008116667E-2</v>
      </c>
      <c r="G3476">
        <f t="shared" si="218"/>
        <v>-0.31797027587890625</v>
      </c>
      <c r="H3476">
        <f t="shared" si="219"/>
        <v>-2.3199996948242188</v>
      </c>
    </row>
    <row r="3477" spans="1:8" x14ac:dyDescent="0.2">
      <c r="A3477" t="s">
        <v>13</v>
      </c>
      <c r="B3477" s="2">
        <v>46185</v>
      </c>
      <c r="C3477">
        <v>85.462226867675781</v>
      </c>
      <c r="D3477">
        <f>_xlfn.XLOOKUP(B3477, Oil_Price!A:A, Oil_Price!B:B, "")</f>
        <v>84.879997253417969</v>
      </c>
      <c r="E3477">
        <f t="shared" si="216"/>
        <v>-3.8219844723043303E-3</v>
      </c>
      <c r="F3477">
        <f t="shared" si="217"/>
        <v>-3.2265441347561069E-2</v>
      </c>
      <c r="G3477">
        <f t="shared" si="218"/>
        <v>-0.32788848876953125</v>
      </c>
      <c r="H3477">
        <f t="shared" si="219"/>
        <v>-2.8300018310546875</v>
      </c>
    </row>
    <row r="3478" spans="1:8" x14ac:dyDescent="0.2">
      <c r="A3478" t="s">
        <v>13</v>
      </c>
      <c r="B3478" s="2">
        <v>46188</v>
      </c>
      <c r="C3478">
        <v>82.858909606933594</v>
      </c>
      <c r="D3478">
        <f>_xlfn.XLOOKUP(B3478, Oil_Price!A:A, Oil_Price!B:B, "")</f>
        <v>80.75</v>
      </c>
      <c r="E3478">
        <f t="shared" si="216"/>
        <v>-3.046161276341414E-2</v>
      </c>
      <c r="F3478">
        <f t="shared" si="217"/>
        <v>-4.8656896643003378E-2</v>
      </c>
      <c r="G3478">
        <f t="shared" si="218"/>
        <v>-2.6033172607421875</v>
      </c>
      <c r="H3478">
        <f t="shared" si="219"/>
        <v>-4.1299972534179688</v>
      </c>
    </row>
    <row r="3479" spans="1:8" x14ac:dyDescent="0.2">
      <c r="A3479" t="s">
        <v>13</v>
      </c>
      <c r="B3479" s="2">
        <v>46189</v>
      </c>
      <c r="C3479">
        <v>80.901451110839844</v>
      </c>
      <c r="D3479">
        <f>_xlfn.XLOOKUP(B3479, Oil_Price!A:A, Oil_Price!B:B, "")</f>
        <v>76.050003051757812</v>
      </c>
      <c r="E3479">
        <f t="shared" si="216"/>
        <v>-2.3623995360059033E-2</v>
      </c>
      <c r="F3479">
        <f t="shared" si="217"/>
        <v>-5.8204296572658666E-2</v>
      </c>
      <c r="G3479">
        <f t="shared" si="218"/>
        <v>-1.95745849609375</v>
      </c>
      <c r="H3479">
        <f t="shared" si="219"/>
        <v>-4.6999969482421875</v>
      </c>
    </row>
    <row r="3480" spans="1:8" x14ac:dyDescent="0.2">
      <c r="A3480" t="s">
        <v>13</v>
      </c>
      <c r="B3480" s="2">
        <v>46190</v>
      </c>
      <c r="C3480">
        <v>78.884384155273438</v>
      </c>
      <c r="D3480">
        <f>_xlfn.XLOOKUP(B3480, Oil_Price!A:A, Oil_Price!B:B, "")</f>
        <v>76.790000915527344</v>
      </c>
      <c r="E3480">
        <f t="shared" si="216"/>
        <v>-2.4932395252130934E-2</v>
      </c>
      <c r="F3480">
        <f t="shared" si="217"/>
        <v>9.7304120193908005E-3</v>
      </c>
      <c r="G3480">
        <f t="shared" si="218"/>
        <v>-2.0170669555664062</v>
      </c>
      <c r="H3480">
        <f t="shared" si="219"/>
        <v>0.73999786376953125</v>
      </c>
    </row>
    <row r="3481" spans="1:8" x14ac:dyDescent="0.2">
      <c r="A3481" t="s">
        <v>13</v>
      </c>
      <c r="B3481" s="2">
        <v>46191</v>
      </c>
      <c r="C3481">
        <v>77.682090759277344</v>
      </c>
      <c r="D3481">
        <f>_xlfn.XLOOKUP(B3481, Oil_Price!A:A, Oil_Price!B:B, "")</f>
        <v>76.599998474121094</v>
      </c>
      <c r="E3481">
        <f t="shared" si="216"/>
        <v>-1.5241209129927906E-2</v>
      </c>
      <c r="F3481">
        <f t="shared" si="217"/>
        <v>-2.4743122690578131E-3</v>
      </c>
      <c r="G3481">
        <f t="shared" si="218"/>
        <v>-1.2022933959960938</v>
      </c>
      <c r="H3481">
        <f t="shared" si="219"/>
        <v>-0.19000244140625</v>
      </c>
    </row>
    <row r="3482" spans="1:8" x14ac:dyDescent="0.2">
      <c r="A3482" t="s">
        <v>13</v>
      </c>
      <c r="B3482" s="2">
        <v>46192</v>
      </c>
      <c r="C3482">
        <v>77.821197509765625</v>
      </c>
      <c r="D3482" t="str">
        <f>_xlfn.XLOOKUP(B3482, Oil_Price!A:A, Oil_Price!B:B, "")</f>
        <v/>
      </c>
      <c r="E3482">
        <f t="shared" si="216"/>
        <v>1.790718415642902E-3</v>
      </c>
      <c r="F3482" t="str">
        <f t="shared" si="217"/>
        <v/>
      </c>
      <c r="G3482">
        <f t="shared" si="218"/>
        <v>0.13910675048828125</v>
      </c>
      <c r="H3482" t="str">
        <f t="shared" si="219"/>
        <v/>
      </c>
    </row>
    <row r="3483" spans="1:8" x14ac:dyDescent="0.2">
      <c r="A3483" t="s">
        <v>13</v>
      </c>
      <c r="B3483" s="2">
        <v>46195</v>
      </c>
      <c r="C3483">
        <v>78.963874816894531</v>
      </c>
      <c r="D3483">
        <f>_xlfn.XLOOKUP(B3483, Oil_Price!A:A, Oil_Price!B:B, "")</f>
        <v>74.819999694824219</v>
      </c>
      <c r="E3483">
        <f t="shared" si="216"/>
        <v>1.4683368332715697E-2</v>
      </c>
      <c r="F3483" t="str">
        <f t="shared" si="217"/>
        <v/>
      </c>
      <c r="G3483">
        <f t="shared" si="218"/>
        <v>1.1426773071289062</v>
      </c>
      <c r="H3483" t="str">
        <f t="shared" si="219"/>
        <v/>
      </c>
    </row>
    <row r="3484" spans="1:8" x14ac:dyDescent="0.2">
      <c r="A3484" t="s">
        <v>13</v>
      </c>
      <c r="B3484" s="2">
        <v>46196</v>
      </c>
      <c r="C3484">
        <v>79.768714904785156</v>
      </c>
      <c r="D3484">
        <f>_xlfn.XLOOKUP(B3484, Oil_Price!A:A, Oil_Price!B:B, "")</f>
        <v>73.209999084472656</v>
      </c>
      <c r="E3484">
        <f t="shared" si="216"/>
        <v>1.0192510052944201E-2</v>
      </c>
      <c r="F3484">
        <f t="shared" si="217"/>
        <v>-2.1518318857503771E-2</v>
      </c>
      <c r="G3484">
        <f t="shared" si="218"/>
        <v>0.804840087890625</v>
      </c>
      <c r="H3484">
        <f t="shared" si="219"/>
        <v>-1.6100006103515625</v>
      </c>
    </row>
    <row r="3485" spans="1:8" x14ac:dyDescent="0.2">
      <c r="A3485" t="s">
        <v>13</v>
      </c>
      <c r="B3485" s="2">
        <v>46197</v>
      </c>
      <c r="C3485">
        <v>77.056106567382812</v>
      </c>
      <c r="D3485">
        <f>_xlfn.XLOOKUP(B3485, Oil_Price!A:A, Oil_Price!B:B, "")</f>
        <v>70.339996337890625</v>
      </c>
      <c r="E3485">
        <f t="shared" si="216"/>
        <v>-3.4005917490838505E-2</v>
      </c>
      <c r="F3485">
        <f t="shared" si="217"/>
        <v>-3.92023327752061E-2</v>
      </c>
      <c r="G3485">
        <f t="shared" si="218"/>
        <v>-2.7126083374023438</v>
      </c>
      <c r="H3485">
        <f t="shared" si="219"/>
        <v>-2.8700027465820312</v>
      </c>
    </row>
    <row r="3486" spans="1:8" x14ac:dyDescent="0.2">
      <c r="A3486" t="s">
        <v>13</v>
      </c>
      <c r="B3486" s="2">
        <v>46198</v>
      </c>
      <c r="C3486">
        <v>76.608970642089844</v>
      </c>
      <c r="D3486">
        <f>_xlfn.XLOOKUP(B3486, Oil_Price!A:A, Oil_Price!B:B, "")</f>
        <v>71.919998168945312</v>
      </c>
      <c r="E3486">
        <f t="shared" si="216"/>
        <v>-5.8027318691733325E-3</v>
      </c>
      <c r="F3486">
        <f t="shared" si="217"/>
        <v>2.246235304683368E-2</v>
      </c>
      <c r="G3486">
        <f t="shared" si="218"/>
        <v>-0.44713592529296875</v>
      </c>
      <c r="H3486">
        <f t="shared" si="219"/>
        <v>1.5800018310546875</v>
      </c>
    </row>
    <row r="3487" spans="1:8" x14ac:dyDescent="0.2">
      <c r="A3487" t="s">
        <v>13</v>
      </c>
      <c r="B3487" s="2">
        <v>46199</v>
      </c>
      <c r="C3487">
        <v>75.9432373046875</v>
      </c>
      <c r="D3487">
        <f>_xlfn.XLOOKUP(B3487, Oil_Price!A:A, Oil_Price!B:B, "")</f>
        <v>69.230003356933594</v>
      </c>
      <c r="E3487">
        <f t="shared" si="216"/>
        <v>-8.6900180464842616E-3</v>
      </c>
      <c r="F3487">
        <f t="shared" si="217"/>
        <v>-3.7402598449637399E-2</v>
      </c>
      <c r="G3487">
        <f t="shared" si="218"/>
        <v>-0.66573333740234375</v>
      </c>
      <c r="H3487">
        <f t="shared" si="219"/>
        <v>-2.6899948120117188</v>
      </c>
    </row>
    <row r="3488" spans="1:8" x14ac:dyDescent="0.2">
      <c r="A3488" t="s">
        <v>13</v>
      </c>
      <c r="B3488" s="2">
        <v>46202</v>
      </c>
      <c r="C3488">
        <v>75.9432373046875</v>
      </c>
      <c r="D3488">
        <f>_xlfn.XLOOKUP(B3488, Oil_Price!A:A, Oil_Price!B:B, "")</f>
        <v>70.75</v>
      </c>
      <c r="E3488">
        <f t="shared" si="216"/>
        <v>0</v>
      </c>
      <c r="F3488">
        <f t="shared" si="217"/>
        <v>2.1955749954678777E-2</v>
      </c>
      <c r="G3488">
        <f t="shared" si="218"/>
        <v>0</v>
      </c>
      <c r="H3488">
        <f t="shared" si="219"/>
        <v>1.5199966430664062</v>
      </c>
    </row>
    <row r="3489" spans="1:8" x14ac:dyDescent="0.2">
      <c r="A3489" t="s">
        <v>13</v>
      </c>
      <c r="B3489" s="2">
        <v>46203</v>
      </c>
      <c r="C3489">
        <v>75.814064025878906</v>
      </c>
      <c r="D3489">
        <f>_xlfn.XLOOKUP(B3489, Oil_Price!A:A, Oil_Price!B:B, "")</f>
        <v>69.5</v>
      </c>
      <c r="E3489">
        <f t="shared" si="216"/>
        <v>-1.7009187834638264E-3</v>
      </c>
      <c r="F3489">
        <f t="shared" si="217"/>
        <v>-1.7667844522968199E-2</v>
      </c>
      <c r="G3489">
        <f t="shared" si="218"/>
        <v>-0.12917327880859375</v>
      </c>
      <c r="H3489">
        <f t="shared" si="219"/>
        <v>-1.25</v>
      </c>
    </row>
    <row r="3490" spans="1:8" x14ac:dyDescent="0.2">
      <c r="A3490" t="s">
        <v>13</v>
      </c>
      <c r="B3490" s="2">
        <v>46205</v>
      </c>
      <c r="C3490">
        <v>77.513175964355469</v>
      </c>
      <c r="D3490">
        <f>_xlfn.XLOOKUP(B3490, Oil_Price!A:A, Oil_Price!B:B, "")</f>
        <v>68.69000244140625</v>
      </c>
      <c r="E3490">
        <f t="shared" si="216"/>
        <v>2.2411566512205119E-2</v>
      </c>
      <c r="F3490">
        <f t="shared" si="217"/>
        <v>-1.1654641130845324E-2</v>
      </c>
      <c r="G3490">
        <f t="shared" si="218"/>
        <v>1.6991119384765625</v>
      </c>
      <c r="H3490">
        <f t="shared" si="219"/>
        <v>-0.80999755859375</v>
      </c>
    </row>
    <row r="3491" spans="1:8" x14ac:dyDescent="0.2">
      <c r="A3491" t="s">
        <v>13</v>
      </c>
      <c r="B3491" s="2">
        <v>46206</v>
      </c>
      <c r="C3491">
        <v>77.612533569335938</v>
      </c>
      <c r="D3491" t="str">
        <f>_xlfn.XLOOKUP(B3491, Oil_Price!A:A, Oil_Price!B:B, "")</f>
        <v/>
      </c>
      <c r="E3491">
        <f t="shared" si="216"/>
        <v>1.2818156880342313E-3</v>
      </c>
      <c r="F3491" t="str">
        <f t="shared" si="217"/>
        <v/>
      </c>
      <c r="G3491">
        <f t="shared" si="218"/>
        <v>9.935760498046875E-2</v>
      </c>
      <c r="H3491" t="str">
        <f t="shared" si="219"/>
        <v/>
      </c>
    </row>
    <row r="3492" spans="1:8" x14ac:dyDescent="0.2">
      <c r="A3492" t="s">
        <v>13</v>
      </c>
      <c r="B3492" s="2">
        <v>46209</v>
      </c>
      <c r="C3492">
        <v>77.523109436035156</v>
      </c>
      <c r="D3492">
        <f>_xlfn.XLOOKUP(B3492, Oil_Price!A:A, Oil_Price!B:B, "")</f>
        <v>68.550003051757812</v>
      </c>
      <c r="E3492">
        <f t="shared" si="216"/>
        <v>-1.1521867562910224E-3</v>
      </c>
      <c r="F3492" t="str">
        <f t="shared" si="217"/>
        <v/>
      </c>
      <c r="G3492">
        <f t="shared" si="218"/>
        <v>-8.942413330078125E-2</v>
      </c>
      <c r="H3492" t="str">
        <f t="shared" si="219"/>
        <v/>
      </c>
    </row>
    <row r="3493" spans="1:8" x14ac:dyDescent="0.2">
      <c r="A3493" t="s">
        <v>13</v>
      </c>
      <c r="B3493" s="2">
        <v>46210</v>
      </c>
      <c r="C3493">
        <v>79.977378845214844</v>
      </c>
      <c r="D3493">
        <f>_xlfn.XLOOKUP(B3493, Oil_Price!A:A, Oil_Price!B:B, "")</f>
        <v>70.44000244140625</v>
      </c>
      <c r="E3493">
        <f t="shared" si="216"/>
        <v>3.1658552230863779E-2</v>
      </c>
      <c r="F3493">
        <f t="shared" si="217"/>
        <v>2.7571105842568926E-2</v>
      </c>
      <c r="G3493">
        <f t="shared" si="218"/>
        <v>2.4542694091796875</v>
      </c>
      <c r="H3493">
        <f t="shared" si="219"/>
        <v>1.8899993896484375</v>
      </c>
    </row>
    <row r="3494" spans="1:8" x14ac:dyDescent="0.2">
      <c r="A3494" t="s">
        <v>13</v>
      </c>
      <c r="B3494" s="2">
        <v>46211</v>
      </c>
      <c r="C3494">
        <v>83.097381591796875</v>
      </c>
      <c r="D3494">
        <f>_xlfn.XLOOKUP(B3494, Oil_Price!A:A, Oil_Price!B:B, "")</f>
        <v>73.519996643066406</v>
      </c>
      <c r="E3494">
        <f t="shared" si="216"/>
        <v>3.901106527409913E-2</v>
      </c>
      <c r="F3494">
        <f t="shared" si="217"/>
        <v>4.3725072329776994E-2</v>
      </c>
      <c r="G3494">
        <f t="shared" si="218"/>
        <v>3.1200027465820312</v>
      </c>
      <c r="H3494">
        <f t="shared" si="219"/>
        <v>3.0799942016601562</v>
      </c>
    </row>
    <row r="3495" spans="1:8" x14ac:dyDescent="0.2">
      <c r="A3495" t="s">
        <v>13</v>
      </c>
      <c r="B3495" s="2">
        <v>46212</v>
      </c>
      <c r="C3495">
        <v>82.441581726074219</v>
      </c>
      <c r="D3495">
        <f>_xlfn.XLOOKUP(B3495, Oil_Price!A:A, Oil_Price!B:B, "")</f>
        <v>72.080001831054688</v>
      </c>
      <c r="E3495">
        <f t="shared" si="216"/>
        <v>-7.8919438032857923E-3</v>
      </c>
      <c r="F3495">
        <f t="shared" si="217"/>
        <v>-1.95864374015518E-2</v>
      </c>
      <c r="G3495">
        <f t="shared" si="218"/>
        <v>-0.65579986572265625</v>
      </c>
      <c r="H3495">
        <f t="shared" si="219"/>
        <v>-1.4399948120117188</v>
      </c>
    </row>
    <row r="3496" spans="1:8" x14ac:dyDescent="0.2">
      <c r="A3496" t="s">
        <v>13</v>
      </c>
      <c r="B3496" s="2">
        <v>46213</v>
      </c>
      <c r="C3496">
        <v>83.286170959472656</v>
      </c>
      <c r="D3496">
        <f>_xlfn.XLOOKUP(B3496, Oil_Price!A:A, Oil_Price!B:B, "")</f>
        <v>71.410003662109375</v>
      </c>
      <c r="E3496">
        <f t="shared" si="216"/>
        <v>1.0244699528021246E-2</v>
      </c>
      <c r="F3496">
        <f t="shared" si="217"/>
        <v>-9.2952018857559594E-3</v>
      </c>
      <c r="G3496">
        <f t="shared" si="218"/>
        <v>0.8445892333984375</v>
      </c>
      <c r="H3496">
        <f t="shared" si="219"/>
        <v>-0.6699981689453125</v>
      </c>
    </row>
    <row r="3497" spans="1:8" x14ac:dyDescent="0.2">
      <c r="A3497" t="s">
        <v>13</v>
      </c>
      <c r="B3497" s="2">
        <v>46216</v>
      </c>
      <c r="C3497">
        <v>86.217376708984375</v>
      </c>
      <c r="D3497">
        <f>_xlfn.XLOOKUP(B3497, Oil_Price!A:A, Oil_Price!B:B, "")</f>
        <v>78.139999389648438</v>
      </c>
      <c r="E3497">
        <f t="shared" si="216"/>
        <v>3.5194387204306149E-2</v>
      </c>
      <c r="F3497">
        <f t="shared" si="217"/>
        <v>9.42444389077947E-2</v>
      </c>
      <c r="G3497">
        <f t="shared" si="218"/>
        <v>2.9312057495117188</v>
      </c>
      <c r="H3497">
        <f t="shared" si="219"/>
        <v>6.7299957275390625</v>
      </c>
    </row>
    <row r="3498" spans="1:8" x14ac:dyDescent="0.2">
      <c r="A3498" t="s">
        <v>13</v>
      </c>
      <c r="B3498" s="2">
        <v>46217</v>
      </c>
      <c r="C3498">
        <v>85.352928161621094</v>
      </c>
      <c r="D3498">
        <f>_xlfn.XLOOKUP(B3498, Oil_Price!A:A, Oil_Price!B:B, "")</f>
        <v>79.339996337890625</v>
      </c>
      <c r="E3498">
        <f t="shared" si="216"/>
        <v>-1.0026384243644012E-2</v>
      </c>
      <c r="F3498">
        <f t="shared" si="217"/>
        <v>1.5357012511074533E-2</v>
      </c>
      <c r="G3498">
        <f t="shared" si="218"/>
        <v>-0.86444854736328125</v>
      </c>
      <c r="H3498">
        <f t="shared" si="219"/>
        <v>1.1999969482421875</v>
      </c>
    </row>
    <row r="3499" spans="1:8" x14ac:dyDescent="0.2">
      <c r="A3499" t="s">
        <v>13</v>
      </c>
      <c r="B3499" s="2">
        <v>46218</v>
      </c>
      <c r="C3499">
        <v>84.697128295898438</v>
      </c>
      <c r="D3499">
        <f>_xlfn.XLOOKUP(B3499, Oil_Price!A:A, Oil_Price!B:B, "")</f>
        <v>79.599998474121094</v>
      </c>
      <c r="E3499">
        <f t="shared" si="216"/>
        <v>-7.6833903633728683E-3</v>
      </c>
      <c r="F3499">
        <f t="shared" si="217"/>
        <v>3.2770626195037875E-3</v>
      </c>
      <c r="G3499">
        <f t="shared" si="218"/>
        <v>-0.65579986572265625</v>
      </c>
      <c r="H3499">
        <f t="shared" si="219"/>
        <v>0.26000213623046875</v>
      </c>
    </row>
    <row r="3500" spans="1:8" x14ac:dyDescent="0.2">
      <c r="A3500" t="s">
        <v>13</v>
      </c>
      <c r="B3500" s="2">
        <v>46219</v>
      </c>
      <c r="C3500">
        <v>84.746810913085938</v>
      </c>
      <c r="D3500">
        <f>_xlfn.XLOOKUP(B3500, Oil_Price!A:A, Oil_Price!B:B, "")</f>
        <v>78.949996948242188</v>
      </c>
      <c r="E3500">
        <f t="shared" si="216"/>
        <v>5.8659151953686657E-4</v>
      </c>
      <c r="F3500">
        <f t="shared" si="217"/>
        <v>-8.1658484715955056E-3</v>
      </c>
      <c r="G3500">
        <f t="shared" si="218"/>
        <v>4.96826171875E-2</v>
      </c>
      <c r="H3500">
        <f t="shared" si="219"/>
        <v>-0.65000152587890625</v>
      </c>
    </row>
    <row r="3501" spans="1:8" x14ac:dyDescent="0.2">
      <c r="A3501" t="s">
        <v>13</v>
      </c>
      <c r="B3501" s="2">
        <v>46220</v>
      </c>
      <c r="C3501">
        <v>86.972541809082031</v>
      </c>
      <c r="D3501">
        <f>_xlfn.XLOOKUP(B3501, Oil_Price!A:A, Oil_Price!B:B, "")</f>
        <v>82.489997863769531</v>
      </c>
      <c r="E3501">
        <f t="shared" si="216"/>
        <v>2.6263299727924204E-2</v>
      </c>
      <c r="F3501">
        <f t="shared" si="217"/>
        <v>4.4838518712649066E-2</v>
      </c>
      <c r="G3501">
        <f t="shared" si="218"/>
        <v>2.2257308959960938</v>
      </c>
      <c r="H3501">
        <f t="shared" si="219"/>
        <v>3.5400009155273438</v>
      </c>
    </row>
    <row r="3502" spans="1:8" x14ac:dyDescent="0.2">
      <c r="A3502" t="s">
        <v>13</v>
      </c>
      <c r="B3502" s="2">
        <v>46223</v>
      </c>
      <c r="C3502">
        <v>87.052032470703125</v>
      </c>
      <c r="D3502">
        <f>_xlfn.XLOOKUP(B3502, Oil_Price!A:A, Oil_Price!B:B, "")</f>
        <v>83.230003356933594</v>
      </c>
      <c r="E3502">
        <f t="shared" si="216"/>
        <v>9.139742264356014E-4</v>
      </c>
      <c r="F3502">
        <f t="shared" si="217"/>
        <v>8.970851161690727E-3</v>
      </c>
      <c r="G3502">
        <f t="shared" si="218"/>
        <v>7.949066162109375E-2</v>
      </c>
      <c r="H3502">
        <f t="shared" si="219"/>
        <v>0.7400054931640625</v>
      </c>
    </row>
    <row r="3503" spans="1:8" x14ac:dyDescent="0.2">
      <c r="A3503" t="s">
        <v>13</v>
      </c>
      <c r="B3503" s="2">
        <v>46224</v>
      </c>
      <c r="C3503">
        <v>89.267829895019531</v>
      </c>
      <c r="D3503">
        <f>_xlfn.XLOOKUP(B3503, Oil_Price!A:A, Oil_Price!B:B, "")</f>
        <v>84.910003662109375</v>
      </c>
      <c r="E3503">
        <f t="shared" si="216"/>
        <v>2.5453712698346481E-2</v>
      </c>
      <c r="F3503">
        <f t="shared" si="217"/>
        <v>2.0185032289030017E-2</v>
      </c>
      <c r="G3503">
        <f t="shared" si="218"/>
        <v>2.2157974243164062</v>
      </c>
      <c r="H3503">
        <f t="shared" si="219"/>
        <v>1.6800003051757812</v>
      </c>
    </row>
    <row r="3504" spans="1:8" x14ac:dyDescent="0.2">
      <c r="A3504" t="s">
        <v>13</v>
      </c>
      <c r="B3504" s="2">
        <v>46225</v>
      </c>
      <c r="C3504">
        <v>90.639045715332031</v>
      </c>
      <c r="D3504">
        <f>_xlfn.XLOOKUP(B3504, Oil_Price!A:A, Oil_Price!B:B, "")</f>
        <v>86.830001831054688</v>
      </c>
      <c r="E3504">
        <f t="shared" si="216"/>
        <v>1.53606940140146E-2</v>
      </c>
      <c r="F3504">
        <f t="shared" si="217"/>
        <v>2.2612155059911994E-2</v>
      </c>
      <c r="G3504">
        <f t="shared" si="218"/>
        <v>1.3712158203125</v>
      </c>
      <c r="H3504">
        <f t="shared" si="219"/>
        <v>1.9199981689453125</v>
      </c>
    </row>
    <row r="3505" spans="1:8" x14ac:dyDescent="0.2">
      <c r="A3505" t="s">
        <v>13</v>
      </c>
      <c r="B3505" s="2">
        <v>46226</v>
      </c>
      <c r="C3505">
        <v>92.884651184082031</v>
      </c>
      <c r="D3505">
        <f>_xlfn.XLOOKUP(B3505, Oil_Price!A:A, Oil_Price!B:B, "")</f>
        <v>92.19000244140625</v>
      </c>
      <c r="E3505">
        <f t="shared" si="216"/>
        <v>2.4775254980096785E-2</v>
      </c>
      <c r="F3505">
        <f t="shared" si="217"/>
        <v>6.1729822611089273E-2</v>
      </c>
      <c r="G3505">
        <f t="shared" si="218"/>
        <v>2.24560546875</v>
      </c>
      <c r="H3505">
        <f t="shared" si="219"/>
        <v>5.3600006103515625</v>
      </c>
    </row>
    <row r="3506" spans="1:8" x14ac:dyDescent="0.2">
      <c r="A3506" t="s">
        <v>13</v>
      </c>
      <c r="B3506" s="2">
        <v>46227</v>
      </c>
      <c r="C3506">
        <v>92.258659362792969</v>
      </c>
      <c r="D3506">
        <f>_xlfn.XLOOKUP(B3506, Oil_Price!A:A, Oil_Price!B:B, "")</f>
        <v>89.30999755859375</v>
      </c>
      <c r="E3506">
        <f t="shared" si="216"/>
        <v>-6.7394538635716051E-3</v>
      </c>
      <c r="F3506">
        <f t="shared" si="217"/>
        <v>-3.1239882921610312E-2</v>
      </c>
      <c r="G3506">
        <f t="shared" si="218"/>
        <v>-0.6259918212890625</v>
      </c>
      <c r="H3506">
        <f t="shared" si="219"/>
        <v>-2.8800048828125</v>
      </c>
    </row>
    <row r="3507" spans="1:8" x14ac:dyDescent="0.2">
      <c r="A3507" t="s">
        <v>13</v>
      </c>
      <c r="B3507" s="2">
        <v>46230</v>
      </c>
      <c r="C3507">
        <v>89.893821716308594</v>
      </c>
      <c r="D3507">
        <f>_xlfn.XLOOKUP(B3507, Oil_Price!A:A, Oil_Price!B:B, "")</f>
        <v>82.610000610351562</v>
      </c>
      <c r="E3507">
        <f t="shared" si="216"/>
        <v>-2.5632690338421409E-2</v>
      </c>
      <c r="F3507">
        <f t="shared" si="217"/>
        <v>-7.5019562550614899E-2</v>
      </c>
      <c r="G3507">
        <f t="shared" si="218"/>
        <v>-2.364837646484375</v>
      </c>
      <c r="H3507">
        <f t="shared" si="219"/>
        <v>-6.6999969482421875</v>
      </c>
    </row>
    <row r="3508" spans="1:8" x14ac:dyDescent="0.2">
      <c r="A3508" t="s">
        <v>13</v>
      </c>
      <c r="B3508" s="2">
        <v>46231</v>
      </c>
      <c r="C3508">
        <v>89.665283203125</v>
      </c>
      <c r="D3508">
        <f>_xlfn.XLOOKUP(B3508, Oil_Price!A:A, Oil_Price!B:B, "")</f>
        <v>79.260002136230469</v>
      </c>
      <c r="E3508">
        <f t="shared" si="216"/>
        <v>-2.5423161327463302E-3</v>
      </c>
      <c r="F3508">
        <f t="shared" si="217"/>
        <v>-4.0551972513861931E-2</v>
      </c>
      <c r="G3508">
        <f t="shared" si="218"/>
        <v>-0.22853851318359375</v>
      </c>
      <c r="H3508">
        <f t="shared" si="219"/>
        <v>-3.3499984741210938</v>
      </c>
    </row>
    <row r="3509" spans="1:8" x14ac:dyDescent="0.2">
      <c r="A3509" t="s">
        <v>13</v>
      </c>
      <c r="B3509" s="2">
        <v>46232</v>
      </c>
      <c r="C3509">
        <v>91.970504760742188</v>
      </c>
      <c r="D3509">
        <f>_xlfn.XLOOKUP(B3509, Oil_Price!A:A, Oil_Price!B:B, "")</f>
        <v>84.459999084472656</v>
      </c>
      <c r="E3509">
        <f t="shared" si="216"/>
        <v>2.5709187271454981E-2</v>
      </c>
      <c r="F3509">
        <f t="shared" si="217"/>
        <v>6.5606823215883084E-2</v>
      </c>
      <c r="G3509">
        <f t="shared" si="218"/>
        <v>2.3052215576171875</v>
      </c>
      <c r="H3509">
        <f t="shared" si="219"/>
        <v>5.1999969482421875</v>
      </c>
    </row>
    <row r="3510" spans="1:8" x14ac:dyDescent="0.2">
      <c r="A3510" t="s">
        <v>13</v>
      </c>
      <c r="B3510" s="2">
        <v>46233</v>
      </c>
      <c r="C3510">
        <v>92.934326171875</v>
      </c>
      <c r="D3510">
        <f>_xlfn.XLOOKUP(B3510, Oil_Price!A:A, Oil_Price!B:B, "")</f>
        <v>83.589996337890625</v>
      </c>
      <c r="E3510">
        <f t="shared" si="216"/>
        <v>1.0479679475938048E-2</v>
      </c>
      <c r="F3510">
        <f t="shared" si="217"/>
        <v>-1.0300766706283031E-2</v>
      </c>
      <c r="G3510">
        <f t="shared" si="218"/>
        <v>0.9638214111328125</v>
      </c>
      <c r="H3510">
        <f t="shared" si="219"/>
        <v>-0.87000274658203125</v>
      </c>
    </row>
    <row r="3511" spans="1:8" x14ac:dyDescent="0.2">
      <c r="A3511" t="s">
        <v>13</v>
      </c>
      <c r="B3511" s="2">
        <v>46234</v>
      </c>
      <c r="C3511">
        <v>93.540443420410156</v>
      </c>
      <c r="D3511">
        <f>_xlfn.XLOOKUP(B3511, Oil_Price!A:A, Oil_Price!B:B, "")</f>
        <v>84.669998168945312</v>
      </c>
      <c r="E3511">
        <f t="shared" si="216"/>
        <v>6.521995407963558E-3</v>
      </c>
      <c r="F3511">
        <f t="shared" si="217"/>
        <v>1.2920228237468315E-2</v>
      </c>
      <c r="G3511">
        <f t="shared" si="218"/>
        <v>0.60611724853515625</v>
      </c>
      <c r="H3511">
        <f t="shared" si="219"/>
        <v>1.0800018310546875</v>
      </c>
    </row>
    <row r="3512" spans="1:8" x14ac:dyDescent="0.2">
      <c r="A3512" t="s">
        <v>13</v>
      </c>
      <c r="B3512" s="2">
        <v>46238</v>
      </c>
      <c r="C3512">
        <v>90.211784362792969</v>
      </c>
      <c r="D3512">
        <f>_xlfn.XLOOKUP(B3512, Oil_Price!A:A, Oil_Price!B:B, "")</f>
        <v>75.769996643066406</v>
      </c>
      <c r="E3512">
        <f t="shared" si="216"/>
        <v>-3.5585239238783505E-2</v>
      </c>
      <c r="F3512">
        <f t="shared" si="217"/>
        <v>-0.10511399218552468</v>
      </c>
      <c r="G3512">
        <f t="shared" si="218"/>
        <v>-3.3286590576171875</v>
      </c>
      <c r="H3512">
        <f t="shared" si="219"/>
        <v>-8.9000015258789062</v>
      </c>
    </row>
    <row r="3513" spans="1:8" x14ac:dyDescent="0.2">
      <c r="A3513" t="s">
        <v>13</v>
      </c>
      <c r="B3513" s="2">
        <v>46239</v>
      </c>
      <c r="C3513">
        <v>87.558784484863281</v>
      </c>
      <c r="D3513">
        <f>_xlfn.XLOOKUP(B3513, Oil_Price!A:A, Oil_Price!B:B, "")</f>
        <v>75.220001220703125</v>
      </c>
      <c r="E3513">
        <f t="shared" si="216"/>
        <v>-2.9408573355122473E-2</v>
      </c>
      <c r="F3513">
        <f t="shared" si="217"/>
        <v>-7.2587494619298027E-3</v>
      </c>
      <c r="G3513">
        <f t="shared" si="218"/>
        <v>-2.6529998779296875</v>
      </c>
      <c r="H3513">
        <f t="shared" si="219"/>
        <v>-0.54999542236328125</v>
      </c>
    </row>
    <row r="3514" spans="1:8" x14ac:dyDescent="0.2">
      <c r="A3514" t="s">
        <v>13</v>
      </c>
      <c r="B3514" s="2">
        <v>46240</v>
      </c>
      <c r="C3514">
        <v>85.492034912109375</v>
      </c>
      <c r="D3514">
        <f>_xlfn.XLOOKUP(B3514, Oil_Price!A:A, Oil_Price!B:B, "")</f>
        <v>77.290000915527344</v>
      </c>
      <c r="E3514">
        <f t="shared" si="216"/>
        <v>-2.3604137322294549E-2</v>
      </c>
      <c r="F3514">
        <f t="shared" si="217"/>
        <v>2.7519272284383903E-2</v>
      </c>
      <c r="G3514">
        <f t="shared" si="218"/>
        <v>-2.0667495727539062</v>
      </c>
      <c r="H3514">
        <f t="shared" si="219"/>
        <v>2.0699996948242188</v>
      </c>
    </row>
    <row r="3515" spans="1:8" x14ac:dyDescent="0.2">
      <c r="A3515" t="s">
        <v>13</v>
      </c>
      <c r="B3515" s="2">
        <v>46241</v>
      </c>
      <c r="C3515">
        <v>83.296112060546875</v>
      </c>
      <c r="D3515">
        <f>_xlfn.XLOOKUP(B3515, Oil_Price!A:A, Oil_Price!B:B, "")</f>
        <v>78.180000305175781</v>
      </c>
      <c r="E3515">
        <f t="shared" si="216"/>
        <v>-2.5685701057648613E-2</v>
      </c>
      <c r="F3515">
        <f t="shared" si="217"/>
        <v>1.1515065068004666E-2</v>
      </c>
      <c r="G3515">
        <f t="shared" si="218"/>
        <v>-2.1959228515625</v>
      </c>
      <c r="H3515">
        <f t="shared" si="219"/>
        <v>0.8899993896484375</v>
      </c>
    </row>
    <row r="3516" spans="1:8" x14ac:dyDescent="0.2">
      <c r="A3516" t="s">
        <v>13</v>
      </c>
      <c r="B3516" s="2">
        <v>46244</v>
      </c>
      <c r="C3516">
        <v>86.922866821289062</v>
      </c>
      <c r="D3516">
        <f>_xlfn.XLOOKUP(B3516, Oil_Price!A:A, Oil_Price!B:B, "")</f>
        <v>82.129997253417969</v>
      </c>
      <c r="E3516">
        <f t="shared" si="216"/>
        <v>4.3540504724949781E-2</v>
      </c>
      <c r="F3516">
        <f t="shared" si="217"/>
        <v>5.0524391568474887E-2</v>
      </c>
      <c r="G3516">
        <f t="shared" si="218"/>
        <v>3.6267547607421875</v>
      </c>
      <c r="H3516">
        <f t="shared" si="219"/>
        <v>3.9499969482421875</v>
      </c>
    </row>
    <row r="3517" spans="1:8" x14ac:dyDescent="0.2">
      <c r="A3517" t="s">
        <v>13</v>
      </c>
      <c r="B3517" s="2">
        <v>46245</v>
      </c>
      <c r="C3517">
        <v>87.687957763671875</v>
      </c>
      <c r="D3517">
        <f>_xlfn.XLOOKUP(B3517, Oil_Price!A:A, Oil_Price!B:B, "")</f>
        <v>83.199996948242188</v>
      </c>
      <c r="E3517">
        <f t="shared" si="216"/>
        <v>8.8019524707556845E-3</v>
      </c>
      <c r="F3517">
        <f t="shared" si="217"/>
        <v>1.3028122861402982E-2</v>
      </c>
      <c r="G3517">
        <f t="shared" si="218"/>
        <v>0.7650909423828125</v>
      </c>
      <c r="H3517">
        <f t="shared" si="219"/>
        <v>1.0699996948242188</v>
      </c>
    </row>
    <row r="3518" spans="1:8" x14ac:dyDescent="0.2">
      <c r="A3518" t="s">
        <v>13</v>
      </c>
      <c r="B3518" s="2">
        <v>46246</v>
      </c>
      <c r="C3518">
        <v>88.552421569824219</v>
      </c>
      <c r="D3518">
        <f>_xlfn.XLOOKUP(B3518, Oil_Price!A:A, Oil_Price!B:B, "")</f>
        <v>83.269996643066406</v>
      </c>
      <c r="E3518">
        <f t="shared" si="216"/>
        <v>9.8584096174546935E-3</v>
      </c>
      <c r="F3518">
        <f t="shared" si="217"/>
        <v>8.4134251672827337E-4</v>
      </c>
      <c r="G3518">
        <f t="shared" si="218"/>
        <v>0.86446380615234375</v>
      </c>
      <c r="H3518">
        <f t="shared" si="219"/>
        <v>6.999969482421875E-2</v>
      </c>
    </row>
    <row r="3519" spans="1:8" x14ac:dyDescent="0.2">
      <c r="A3519" t="s">
        <v>13</v>
      </c>
      <c r="B3519" s="2">
        <v>46247</v>
      </c>
      <c r="C3519">
        <v>90.648979187011719</v>
      </c>
      <c r="D3519">
        <f>_xlfn.XLOOKUP(B3519, Oil_Price!A:A, Oil_Price!B:B, "")</f>
        <v>81.25</v>
      </c>
      <c r="E3519">
        <f t="shared" si="216"/>
        <v>2.367589253936268E-2</v>
      </c>
      <c r="F3519">
        <f t="shared" si="217"/>
        <v>-2.4258397075780404E-2</v>
      </c>
      <c r="G3519">
        <f t="shared" si="218"/>
        <v>2.0965576171875</v>
      </c>
      <c r="H3519">
        <f t="shared" si="219"/>
        <v>-2.0199966430664062</v>
      </c>
    </row>
    <row r="3520" spans="1:8" x14ac:dyDescent="0.2">
      <c r="A3520" t="s">
        <v>13</v>
      </c>
      <c r="B3520" s="2">
        <v>46248</v>
      </c>
      <c r="C3520">
        <v>90.857643127441406</v>
      </c>
      <c r="D3520">
        <f>_xlfn.XLOOKUP(B3520, Oil_Price!A:A, Oil_Price!B:B, "")</f>
        <v>82.400001525878906</v>
      </c>
      <c r="E3520">
        <f t="shared" si="216"/>
        <v>2.3018895778098855E-3</v>
      </c>
      <c r="F3520">
        <f t="shared" si="217"/>
        <v>1.4153864933894231E-2</v>
      </c>
      <c r="G3520">
        <f t="shared" si="218"/>
        <v>0.2086639404296875</v>
      </c>
      <c r="H3520">
        <f t="shared" si="219"/>
        <v>1.1500015258789062</v>
      </c>
    </row>
    <row r="3521" spans="1:8" x14ac:dyDescent="0.2">
      <c r="A3521" t="s">
        <v>13</v>
      </c>
      <c r="B3521" s="2">
        <v>46251</v>
      </c>
      <c r="C3521">
        <v>92.000312805175781</v>
      </c>
      <c r="D3521">
        <f>_xlfn.XLOOKUP(B3521, Oil_Price!A:A, Oil_Price!B:B, "")</f>
        <v>84.5</v>
      </c>
      <c r="E3521">
        <f t="shared" si="216"/>
        <v>1.2576483809200402E-2</v>
      </c>
      <c r="F3521">
        <f t="shared" si="217"/>
        <v>2.548541790331835E-2</v>
      </c>
      <c r="G3521">
        <f t="shared" si="218"/>
        <v>1.142669677734375</v>
      </c>
      <c r="H3521">
        <f t="shared" si="219"/>
        <v>2.0999984741210938</v>
      </c>
    </row>
    <row r="3522" spans="1:8" x14ac:dyDescent="0.2">
      <c r="A3522" t="s">
        <v>13</v>
      </c>
      <c r="B3522" s="2">
        <v>46252</v>
      </c>
      <c r="C3522">
        <v>93.610000610351562</v>
      </c>
      <c r="D3522">
        <f>_xlfn.XLOOKUP(B3522, Oil_Price!A:A, Oil_Price!B:B, "")</f>
        <v>84.94000244140625</v>
      </c>
      <c r="E3522">
        <f t="shared" si="216"/>
        <v>1.749654708875319E-2</v>
      </c>
      <c r="F3522">
        <f t="shared" si="217"/>
        <v>5.2071294840976331E-3</v>
      </c>
      <c r="G3522">
        <f t="shared" si="218"/>
        <v>1.6096878051757812</v>
      </c>
      <c r="H3522">
        <f t="shared" si="219"/>
        <v>0.44000244140625</v>
      </c>
    </row>
    <row r="3523" spans="1:8" x14ac:dyDescent="0.2">
      <c r="A3523" t="s">
        <v>13</v>
      </c>
      <c r="B3523" s="2">
        <v>46253</v>
      </c>
      <c r="C3523">
        <v>92.705795288085938</v>
      </c>
      <c r="D3523">
        <f>_xlfn.XLOOKUP(B3523, Oil_Price!A:A, Oil_Price!B:B, "")</f>
        <v>85.830001831054688</v>
      </c>
      <c r="E3523">
        <f t="shared" ref="E3523:E3586" si="220">IFERROR(IF(AND(A3523=A3522, C3523&lt;&gt;"", C3522&lt;&gt;""), (C3523-C3522)/C3522, ""), "")</f>
        <v>-9.6592812345910432E-3</v>
      </c>
      <c r="F3523">
        <f t="shared" ref="F3523:F3586" si="221">IFERROR(IF(AND(A3523=A3522, D3523&lt;&gt;"", D3522&lt;&gt;""), (D3523-D3522)/D3522, ""), "")</f>
        <v>1.0477976972774182E-2</v>
      </c>
      <c r="G3523">
        <f t="shared" ref="G3523:G3586" si="222">IFERROR(IF(AND(A3523=A3522, C3523&lt;&gt;"", C3522&lt;&gt;""), C3523-C3522, ""), "")</f>
        <v>-0.904205322265625</v>
      </c>
      <c r="H3523">
        <f t="shared" ref="H3523:H3586" si="223">IFERROR(IF(AND(A3523=A3522, D3523&lt;&gt;"", D3522&lt;&gt;""), D3523-D3522, ""), "")</f>
        <v>0.8899993896484375</v>
      </c>
    </row>
    <row r="3524" spans="1:8" x14ac:dyDescent="0.2">
      <c r="A3524" t="s">
        <v>13</v>
      </c>
      <c r="B3524" s="2">
        <v>46254</v>
      </c>
      <c r="C3524">
        <v>93.222480773925781</v>
      </c>
      <c r="D3524">
        <f>_xlfn.XLOOKUP(B3524, Oil_Price!A:A, Oil_Price!B:B, "")</f>
        <v>87.830001831054688</v>
      </c>
      <c r="E3524">
        <f t="shared" si="220"/>
        <v>5.5733892820209211E-3</v>
      </c>
      <c r="F3524">
        <f t="shared" si="221"/>
        <v>2.3301875303891322E-2</v>
      </c>
      <c r="G3524">
        <f t="shared" si="222"/>
        <v>0.51668548583984375</v>
      </c>
      <c r="H3524">
        <f t="shared" si="223"/>
        <v>2</v>
      </c>
    </row>
    <row r="3525" spans="1:8" x14ac:dyDescent="0.2">
      <c r="A3525" t="s">
        <v>13</v>
      </c>
      <c r="B3525" s="2">
        <v>46255</v>
      </c>
      <c r="C3525">
        <v>93.649742126464844</v>
      </c>
      <c r="D3525">
        <f>_xlfn.XLOOKUP(B3525, Oil_Price!A:A, Oil_Price!B:B, "")</f>
        <v>87.05999755859375</v>
      </c>
      <c r="E3525">
        <f t="shared" si="220"/>
        <v>4.5832437518501115E-3</v>
      </c>
      <c r="F3525">
        <f t="shared" si="221"/>
        <v>-8.7669845885017562E-3</v>
      </c>
      <c r="G3525">
        <f t="shared" si="222"/>
        <v>0.4272613525390625</v>
      </c>
      <c r="H3525">
        <f t="shared" si="223"/>
        <v>-0.7700042724609375</v>
      </c>
    </row>
    <row r="3526" spans="1:8" x14ac:dyDescent="0.2">
      <c r="A3526" t="s">
        <v>13</v>
      </c>
      <c r="B3526" s="2">
        <v>46258</v>
      </c>
      <c r="C3526">
        <v>92.705795288085938</v>
      </c>
      <c r="D3526">
        <f>_xlfn.XLOOKUP(B3526, Oil_Price!A:A, Oil_Price!B:B, "")</f>
        <v>85.010002136230469</v>
      </c>
      <c r="E3526">
        <f t="shared" si="220"/>
        <v>-1.0079545516571718E-2</v>
      </c>
      <c r="F3526">
        <f t="shared" si="221"/>
        <v>-2.3546927174947122E-2</v>
      </c>
      <c r="G3526">
        <f t="shared" si="222"/>
        <v>-0.94394683837890625</v>
      </c>
      <c r="H3526">
        <f t="shared" si="223"/>
        <v>-2.0499954223632812</v>
      </c>
    </row>
    <row r="3527" spans="1:8" x14ac:dyDescent="0.2">
      <c r="A3527" t="s">
        <v>13</v>
      </c>
      <c r="B3527" s="2">
        <v>46259</v>
      </c>
      <c r="C3527">
        <v>89.913688659667969</v>
      </c>
      <c r="D3527">
        <f>_xlfn.XLOOKUP(B3527, Oil_Price!A:A, Oil_Price!B:B, "")</f>
        <v>82.360000610351562</v>
      </c>
      <c r="E3527">
        <f t="shared" si="220"/>
        <v>-3.011792973396557E-2</v>
      </c>
      <c r="F3527">
        <f t="shared" si="221"/>
        <v>-3.117282036568142E-2</v>
      </c>
      <c r="G3527">
        <f t="shared" si="222"/>
        <v>-2.7921066284179688</v>
      </c>
      <c r="H3527">
        <f t="shared" si="223"/>
        <v>-2.6500015258789062</v>
      </c>
    </row>
    <row r="3528" spans="1:8" x14ac:dyDescent="0.2">
      <c r="A3528" t="s">
        <v>13</v>
      </c>
      <c r="B3528" s="2">
        <v>46260</v>
      </c>
      <c r="C3528">
        <v>90.549613952636719</v>
      </c>
      <c r="D3528">
        <f>_xlfn.XLOOKUP(B3528, Oil_Price!A:A, Oil_Price!B:B, "")</f>
        <v>82.230003356933594</v>
      </c>
      <c r="E3528">
        <f t="shared" si="220"/>
        <v>7.0726193358142484E-3</v>
      </c>
      <c r="F3528">
        <f t="shared" si="221"/>
        <v>-1.5784027738536687E-3</v>
      </c>
      <c r="G3528">
        <f t="shared" si="222"/>
        <v>0.63592529296875</v>
      </c>
      <c r="H3528">
        <f t="shared" si="223"/>
        <v>-0.12999725341796875</v>
      </c>
    </row>
    <row r="3529" spans="1:8" x14ac:dyDescent="0.2">
      <c r="A3529" t="s">
        <v>13</v>
      </c>
      <c r="B3529" s="2">
        <v>46261</v>
      </c>
      <c r="C3529">
        <v>91.503494262695312</v>
      </c>
      <c r="D3529">
        <f>_xlfn.XLOOKUP(B3529, Oil_Price!A:A, Oil_Price!B:B, "")</f>
        <v>83.529998779296875</v>
      </c>
      <c r="E3529">
        <f t="shared" si="220"/>
        <v>1.0534338783128712E-2</v>
      </c>
      <c r="F3529">
        <f t="shared" si="221"/>
        <v>1.5809259020949148E-2</v>
      </c>
      <c r="G3529">
        <f t="shared" si="222"/>
        <v>0.95388031005859375</v>
      </c>
      <c r="H3529">
        <f t="shared" si="223"/>
        <v>1.2999954223632812</v>
      </c>
    </row>
    <row r="3530" spans="1:8" x14ac:dyDescent="0.2">
      <c r="A3530" t="s">
        <v>13</v>
      </c>
      <c r="B3530" s="2">
        <v>46262</v>
      </c>
      <c r="C3530">
        <v>90.509864807128906</v>
      </c>
      <c r="D3530">
        <f>_xlfn.XLOOKUP(B3530, Oil_Price!A:A, Oil_Price!B:B, "")</f>
        <v>83.400001525878906</v>
      </c>
      <c r="E3530">
        <f t="shared" si="220"/>
        <v>-1.0858923624422669E-2</v>
      </c>
      <c r="F3530">
        <f t="shared" si="221"/>
        <v>-1.5562942094785341E-3</v>
      </c>
      <c r="G3530">
        <f t="shared" si="222"/>
        <v>-0.99362945556640625</v>
      </c>
      <c r="H3530">
        <f t="shared" si="223"/>
        <v>-0.12999725341796875</v>
      </c>
    </row>
    <row r="3531" spans="1:8" x14ac:dyDescent="0.2">
      <c r="A3531" t="s">
        <v>13</v>
      </c>
      <c r="B3531" s="2">
        <v>46265</v>
      </c>
      <c r="C3531">
        <v>92.139427185058594</v>
      </c>
      <c r="D3531">
        <f>_xlfn.XLOOKUP(B3531, Oil_Price!A:A, Oil_Price!B:B, "")</f>
        <v>85.760002136230469</v>
      </c>
      <c r="E3531">
        <f t="shared" si="220"/>
        <v>1.8004251596245194E-2</v>
      </c>
      <c r="F3531">
        <f t="shared" si="221"/>
        <v>2.8297368910949691E-2</v>
      </c>
      <c r="G3531">
        <f t="shared" si="222"/>
        <v>1.6295623779296875</v>
      </c>
      <c r="H3531">
        <f t="shared" si="223"/>
        <v>2.3600006103515625</v>
      </c>
    </row>
    <row r="3532" spans="1:8" x14ac:dyDescent="0.2">
      <c r="A3532" t="s">
        <v>13</v>
      </c>
      <c r="B3532" s="2">
        <v>46266</v>
      </c>
      <c r="C3532">
        <v>95.378662109375</v>
      </c>
      <c r="D3532">
        <f>_xlfn.XLOOKUP(B3532, Oil_Price!A:A, Oil_Price!B:B, "")</f>
        <v>90.220001220703125</v>
      </c>
      <c r="E3532">
        <f t="shared" si="220"/>
        <v>3.5155796202319817E-2</v>
      </c>
      <c r="F3532">
        <f t="shared" si="221"/>
        <v>5.2005585044038488E-2</v>
      </c>
      <c r="G3532">
        <f t="shared" si="222"/>
        <v>3.2392349243164062</v>
      </c>
      <c r="H3532">
        <f t="shared" si="223"/>
        <v>4.4599990844726562</v>
      </c>
    </row>
    <row r="3533" spans="1:8" x14ac:dyDescent="0.2">
      <c r="A3533" t="s">
        <v>13</v>
      </c>
      <c r="B3533" s="2">
        <v>46267</v>
      </c>
      <c r="C3533">
        <v>94.067070007324219</v>
      </c>
      <c r="D3533">
        <f>_xlfn.XLOOKUP(B3533, Oil_Price!A:A, Oil_Price!B:B, "")</f>
        <v>91.010002136230469</v>
      </c>
      <c r="E3533">
        <f t="shared" si="220"/>
        <v>-1.3751420632706292E-2</v>
      </c>
      <c r="F3533">
        <f t="shared" si="221"/>
        <v>8.7563833389314918E-3</v>
      </c>
      <c r="G3533">
        <f t="shared" si="222"/>
        <v>-1.3115921020507812</v>
      </c>
      <c r="H3533">
        <f t="shared" si="223"/>
        <v>0.79000091552734375</v>
      </c>
    </row>
    <row r="3534" spans="1:8" x14ac:dyDescent="0.2">
      <c r="A3534" t="s">
        <v>13</v>
      </c>
      <c r="B3534" s="2">
        <v>46268</v>
      </c>
      <c r="C3534">
        <v>93.610000610351562</v>
      </c>
      <c r="D3534">
        <f>_xlfn.XLOOKUP(B3534, Oil_Price!A:A, Oil_Price!B:B, "")</f>
        <v>91.300003051757812</v>
      </c>
      <c r="E3534">
        <f t="shared" si="220"/>
        <v>-4.858973463689983E-3</v>
      </c>
      <c r="F3534">
        <f t="shared" si="221"/>
        <v>3.1864730108812551E-3</v>
      </c>
      <c r="G3534">
        <f t="shared" si="222"/>
        <v>-0.45706939697265625</v>
      </c>
      <c r="H3534">
        <f t="shared" si="223"/>
        <v>0.29000091552734375</v>
      </c>
    </row>
    <row r="3535" spans="1:8" x14ac:dyDescent="0.2">
      <c r="A3535" t="s">
        <v>13</v>
      </c>
      <c r="B3535" s="2">
        <v>46269</v>
      </c>
      <c r="C3535">
        <v>93.139999389648438</v>
      </c>
      <c r="D3535">
        <f>_xlfn.XLOOKUP(B3535, Oil_Price!A:A, Oil_Price!B:B, "")</f>
        <v>91.480003356933594</v>
      </c>
      <c r="E3535">
        <f t="shared" si="220"/>
        <v>-5.0208441153578136E-3</v>
      </c>
      <c r="F3535">
        <f t="shared" si="221"/>
        <v>1.9715257301113056E-3</v>
      </c>
      <c r="G3535">
        <f t="shared" si="222"/>
        <v>-0.470001220703125</v>
      </c>
      <c r="H3535">
        <f t="shared" si="223"/>
        <v>0.18000030517578125</v>
      </c>
    </row>
    <row r="3536" spans="1:8" x14ac:dyDescent="0.2">
      <c r="A3536" t="s">
        <v>13</v>
      </c>
      <c r="B3536" s="2">
        <v>46273</v>
      </c>
      <c r="C3536">
        <v>93.709999084472656</v>
      </c>
      <c r="D3536">
        <f>_xlfn.XLOOKUP(B3536, Oil_Price!A:A, Oil_Price!B:B, "")</f>
        <v>93.029998779296875</v>
      </c>
      <c r="E3536">
        <f t="shared" si="220"/>
        <v>6.1198163899447953E-3</v>
      </c>
      <c r="F3536">
        <f t="shared" si="221"/>
        <v>1.694354356673514E-2</v>
      </c>
      <c r="G3536">
        <f t="shared" si="222"/>
        <v>0.56999969482421875</v>
      </c>
      <c r="H3536">
        <f t="shared" si="223"/>
        <v>1.5499954223632812</v>
      </c>
    </row>
    <row r="3537" spans="1:8" x14ac:dyDescent="0.2">
      <c r="A3537" t="s">
        <v>13</v>
      </c>
      <c r="B3537" s="2">
        <v>46274</v>
      </c>
      <c r="C3537">
        <v>95.290000915527344</v>
      </c>
      <c r="D3537">
        <f>_xlfn.XLOOKUP(B3537, Oil_Price!A:A, Oil_Price!B:B, "")</f>
        <v>96.050003051757812</v>
      </c>
      <c r="E3537">
        <f t="shared" si="220"/>
        <v>1.6860546862565138E-2</v>
      </c>
      <c r="F3537">
        <f t="shared" si="221"/>
        <v>3.2462692809719959E-2</v>
      </c>
      <c r="G3537">
        <f t="shared" si="222"/>
        <v>1.5800018310546875</v>
      </c>
      <c r="H3537">
        <f t="shared" si="223"/>
        <v>3.0200042724609375</v>
      </c>
    </row>
    <row r="3538" spans="1:8" x14ac:dyDescent="0.2">
      <c r="A3538" t="s">
        <v>13</v>
      </c>
      <c r="B3538" s="2">
        <v>46275</v>
      </c>
      <c r="C3538">
        <v>95.30999755859375</v>
      </c>
      <c r="D3538">
        <f>_xlfn.XLOOKUP(B3538, Oil_Price!A:A, Oil_Price!B:B, "")</f>
        <v>102.48000335693359</v>
      </c>
      <c r="E3538">
        <f t="shared" si="220"/>
        <v>2.0985038172192767E-4</v>
      </c>
      <c r="F3538">
        <f t="shared" si="221"/>
        <v>6.6944300894096698E-2</v>
      </c>
      <c r="G3538">
        <f t="shared" si="222"/>
        <v>1.999664306640625E-2</v>
      </c>
      <c r="H3538">
        <f t="shared" si="223"/>
        <v>6.4300003051757812</v>
      </c>
    </row>
    <row r="3539" spans="1:8" x14ac:dyDescent="0.2">
      <c r="A3539" t="s">
        <v>13</v>
      </c>
      <c r="B3539" s="2">
        <v>46276</v>
      </c>
      <c r="C3539">
        <v>95.300003051757812</v>
      </c>
      <c r="D3539">
        <f>_xlfn.XLOOKUP(B3539, Oil_Price!A:A, Oil_Price!B:B, "")</f>
        <v>100.0500030517578</v>
      </c>
      <c r="E3539">
        <f t="shared" si="220"/>
        <v>-1.0486315278513332E-4</v>
      </c>
      <c r="F3539">
        <f t="shared" si="221"/>
        <v>-2.3711945995085554E-2</v>
      </c>
      <c r="G3539">
        <f t="shared" si="222"/>
        <v>-9.9945068359375E-3</v>
      </c>
      <c r="H3539">
        <f t="shared" si="223"/>
        <v>-2.4300003051757955</v>
      </c>
    </row>
    <row r="3540" spans="1:8" x14ac:dyDescent="0.2">
      <c r="A3540" t="s">
        <v>13</v>
      </c>
      <c r="B3540" s="2">
        <v>46279</v>
      </c>
      <c r="C3540">
        <v>95.580001831054688</v>
      </c>
      <c r="D3540">
        <f>_xlfn.XLOOKUP(B3540, Oil_Price!A:A, Oil_Price!B:B, "")</f>
        <v>101.38999938964839</v>
      </c>
      <c r="E3540">
        <f t="shared" si="220"/>
        <v>2.9380773382012017E-3</v>
      </c>
      <c r="F3540">
        <f t="shared" si="221"/>
        <v>1.3393266337007412E-2</v>
      </c>
      <c r="G3540">
        <f t="shared" si="222"/>
        <v>0.279998779296875</v>
      </c>
      <c r="H3540">
        <f t="shared" si="223"/>
        <v>1.3399963378905966</v>
      </c>
    </row>
    <row r="3541" spans="1:8" x14ac:dyDescent="0.2">
      <c r="A3541" t="s">
        <v>13</v>
      </c>
      <c r="B3541" s="2">
        <v>46280</v>
      </c>
      <c r="C3541">
        <v>99.680000305175781</v>
      </c>
      <c r="D3541">
        <f>_xlfn.XLOOKUP(B3541, Oil_Price!A:A, Oil_Price!B:B, "")</f>
        <v>105.8300018310547</v>
      </c>
      <c r="E3541">
        <f t="shared" si="220"/>
        <v>4.2895986561793227E-2</v>
      </c>
      <c r="F3541">
        <f t="shared" si="221"/>
        <v>4.3791325260226971E-2</v>
      </c>
      <c r="G3541">
        <f t="shared" si="222"/>
        <v>4.0999984741210938</v>
      </c>
      <c r="H3541">
        <f t="shared" si="223"/>
        <v>4.4400024414063068</v>
      </c>
    </row>
    <row r="3542" spans="1:8" x14ac:dyDescent="0.2">
      <c r="A3542" t="s">
        <v>14</v>
      </c>
      <c r="B3542" s="2">
        <v>44565</v>
      </c>
      <c r="C3542">
        <v>41.944622039794922</v>
      </c>
      <c r="D3542">
        <f>_xlfn.XLOOKUP(B3542, Oil_Price!A:A, Oil_Price!B:B, "")</f>
        <v>76.989997863769531</v>
      </c>
      <c r="E3542" t="str">
        <f t="shared" si="220"/>
        <v/>
      </c>
      <c r="F3542" t="str">
        <f t="shared" si="221"/>
        <v/>
      </c>
      <c r="G3542" t="str">
        <f t="shared" si="222"/>
        <v/>
      </c>
      <c r="H3542" t="str">
        <f t="shared" si="223"/>
        <v/>
      </c>
    </row>
    <row r="3543" spans="1:8" x14ac:dyDescent="0.2">
      <c r="A3543" t="s">
        <v>14</v>
      </c>
      <c r="B3543" s="2">
        <v>44566</v>
      </c>
      <c r="C3543">
        <v>41.481529235839837</v>
      </c>
      <c r="D3543">
        <f>_xlfn.XLOOKUP(B3543, Oil_Price!A:A, Oil_Price!B:B, "")</f>
        <v>77.849998474121094</v>
      </c>
      <c r="E3543">
        <f t="shared" si="220"/>
        <v>-1.1040576394173402E-2</v>
      </c>
      <c r="F3543">
        <f t="shared" si="221"/>
        <v>1.1170290092400007E-2</v>
      </c>
      <c r="G3543">
        <f t="shared" si="222"/>
        <v>-0.46309280395508523</v>
      </c>
      <c r="H3543">
        <f t="shared" si="223"/>
        <v>0.8600006103515625</v>
      </c>
    </row>
    <row r="3544" spans="1:8" x14ac:dyDescent="0.2">
      <c r="A3544" t="s">
        <v>14</v>
      </c>
      <c r="B3544" s="2">
        <v>44567</v>
      </c>
      <c r="C3544">
        <v>42.835159301757812</v>
      </c>
      <c r="D3544">
        <f>_xlfn.XLOOKUP(B3544, Oil_Price!A:A, Oil_Price!B:B, "")</f>
        <v>79.459999084472656</v>
      </c>
      <c r="E3544">
        <f t="shared" si="220"/>
        <v>3.2632115808026822E-2</v>
      </c>
      <c r="F3544">
        <f t="shared" si="221"/>
        <v>2.0680804648785692E-2</v>
      </c>
      <c r="G3544">
        <f t="shared" si="222"/>
        <v>1.3536300659179759</v>
      </c>
      <c r="H3544">
        <f t="shared" si="223"/>
        <v>1.6100006103515625</v>
      </c>
    </row>
    <row r="3545" spans="1:8" x14ac:dyDescent="0.2">
      <c r="A3545" t="s">
        <v>14</v>
      </c>
      <c r="B3545" s="2">
        <v>44568</v>
      </c>
      <c r="C3545">
        <v>43.271518707275391</v>
      </c>
      <c r="D3545">
        <f>_xlfn.XLOOKUP(B3545, Oil_Price!A:A, Oil_Price!B:B, "")</f>
        <v>78.900001525878906</v>
      </c>
      <c r="E3545">
        <f t="shared" si="220"/>
        <v>1.0186944851624993E-2</v>
      </c>
      <c r="F3545">
        <f t="shared" si="221"/>
        <v>-7.0475404611875913E-3</v>
      </c>
      <c r="G3545">
        <f t="shared" si="222"/>
        <v>0.43635940551757812</v>
      </c>
      <c r="H3545">
        <f t="shared" si="223"/>
        <v>-0.55999755859375</v>
      </c>
    </row>
    <row r="3546" spans="1:8" x14ac:dyDescent="0.2">
      <c r="A3546" t="s">
        <v>14</v>
      </c>
      <c r="B3546" s="2">
        <v>44571</v>
      </c>
      <c r="C3546">
        <v>43.431831359863281</v>
      </c>
      <c r="D3546">
        <f>_xlfn.XLOOKUP(B3546, Oil_Price!A:A, Oil_Price!B:B, "")</f>
        <v>78.230003356933594</v>
      </c>
      <c r="E3546">
        <f t="shared" si="220"/>
        <v>3.7048076281394004E-3</v>
      </c>
      <c r="F3546">
        <f t="shared" si="221"/>
        <v>-8.4917383521919913E-3</v>
      </c>
      <c r="G3546">
        <f t="shared" si="222"/>
        <v>0.16031265258789062</v>
      </c>
      <c r="H3546">
        <f t="shared" si="223"/>
        <v>-0.6699981689453125</v>
      </c>
    </row>
    <row r="3547" spans="1:8" x14ac:dyDescent="0.2">
      <c r="A3547" t="s">
        <v>14</v>
      </c>
      <c r="B3547" s="2">
        <v>44572</v>
      </c>
      <c r="C3547">
        <v>43.609935760498047</v>
      </c>
      <c r="D3547">
        <f>_xlfn.XLOOKUP(B3547, Oil_Price!A:A, Oil_Price!B:B, "")</f>
        <v>81.220001220703125</v>
      </c>
      <c r="E3547">
        <f t="shared" si="220"/>
        <v>4.1007803506843948E-3</v>
      </c>
      <c r="F3547">
        <f t="shared" si="221"/>
        <v>3.8220602524166009E-2</v>
      </c>
      <c r="G3547">
        <f t="shared" si="222"/>
        <v>0.17810440063476562</v>
      </c>
      <c r="H3547">
        <f t="shared" si="223"/>
        <v>2.9899978637695312</v>
      </c>
    </row>
    <row r="3548" spans="1:8" x14ac:dyDescent="0.2">
      <c r="A3548" t="s">
        <v>14</v>
      </c>
      <c r="B3548" s="2">
        <v>44573</v>
      </c>
      <c r="C3548">
        <v>44.019584655761719</v>
      </c>
      <c r="D3548">
        <f>_xlfn.XLOOKUP(B3548, Oil_Price!A:A, Oil_Price!B:B, "")</f>
        <v>82.639999389648438</v>
      </c>
      <c r="E3548">
        <f t="shared" si="220"/>
        <v>9.3934762370077272E-3</v>
      </c>
      <c r="F3548">
        <f t="shared" si="221"/>
        <v>1.7483355671057937E-2</v>
      </c>
      <c r="G3548">
        <f t="shared" si="222"/>
        <v>0.40964889526367188</v>
      </c>
      <c r="H3548">
        <f t="shared" si="223"/>
        <v>1.4199981689453125</v>
      </c>
    </row>
    <row r="3549" spans="1:8" x14ac:dyDescent="0.2">
      <c r="A3549" t="s">
        <v>14</v>
      </c>
      <c r="B3549" s="2">
        <v>44574</v>
      </c>
      <c r="C3549">
        <v>44.357990264892578</v>
      </c>
      <c r="D3549">
        <f>_xlfn.XLOOKUP(B3549, Oil_Price!A:A, Oil_Price!B:B, "")</f>
        <v>82.120002746582031</v>
      </c>
      <c r="E3549">
        <f t="shared" si="220"/>
        <v>7.6876147691358442E-3</v>
      </c>
      <c r="F3549">
        <f t="shared" si="221"/>
        <v>-6.2923117970344698E-3</v>
      </c>
      <c r="G3549">
        <f t="shared" si="222"/>
        <v>0.33840560913085938</v>
      </c>
      <c r="H3549">
        <f t="shared" si="223"/>
        <v>-0.51999664306640625</v>
      </c>
    </row>
    <row r="3550" spans="1:8" x14ac:dyDescent="0.2">
      <c r="A3550" t="s">
        <v>14</v>
      </c>
      <c r="B3550" s="2">
        <v>44575</v>
      </c>
      <c r="C3550">
        <v>45.399925231933587</v>
      </c>
      <c r="D3550">
        <f>_xlfn.XLOOKUP(B3550, Oil_Price!A:A, Oil_Price!B:B, "")</f>
        <v>83.819999694824219</v>
      </c>
      <c r="E3550">
        <f t="shared" si="220"/>
        <v>2.3489228452842119E-2</v>
      </c>
      <c r="F3550">
        <f t="shared" si="221"/>
        <v>2.0701374712422841E-2</v>
      </c>
      <c r="G3550">
        <f t="shared" si="222"/>
        <v>1.0419349670410085</v>
      </c>
      <c r="H3550">
        <f t="shared" si="223"/>
        <v>1.6999969482421875</v>
      </c>
    </row>
    <row r="3551" spans="1:8" x14ac:dyDescent="0.2">
      <c r="A3551" t="s">
        <v>14</v>
      </c>
      <c r="B3551" s="2">
        <v>44578</v>
      </c>
      <c r="C3551">
        <v>46.130168914794922</v>
      </c>
      <c r="D3551" t="str">
        <f>_xlfn.XLOOKUP(B3551, Oil_Price!A:A, Oil_Price!B:B, "")</f>
        <v/>
      </c>
      <c r="E3551">
        <f t="shared" si="220"/>
        <v>1.6084689107542703E-2</v>
      </c>
      <c r="F3551" t="str">
        <f t="shared" si="221"/>
        <v/>
      </c>
      <c r="G3551">
        <f t="shared" si="222"/>
        <v>0.73024368286133523</v>
      </c>
      <c r="H3551" t="str">
        <f t="shared" si="223"/>
        <v/>
      </c>
    </row>
    <row r="3552" spans="1:8" x14ac:dyDescent="0.2">
      <c r="A3552" t="s">
        <v>14</v>
      </c>
      <c r="B3552" s="2">
        <v>44579</v>
      </c>
      <c r="C3552">
        <v>45.444450378417969</v>
      </c>
      <c r="D3552">
        <f>_xlfn.XLOOKUP(B3552, Oil_Price!A:A, Oil_Price!B:B, "")</f>
        <v>85.430000305175781</v>
      </c>
      <c r="E3552">
        <f t="shared" si="220"/>
        <v>-1.4864860730155026E-2</v>
      </c>
      <c r="F3552" t="str">
        <f t="shared" si="221"/>
        <v/>
      </c>
      <c r="G3552">
        <f t="shared" si="222"/>
        <v>-0.68571853637695312</v>
      </c>
      <c r="H3552" t="str">
        <f t="shared" si="223"/>
        <v/>
      </c>
    </row>
    <row r="3553" spans="1:8" x14ac:dyDescent="0.2">
      <c r="A3553" t="s">
        <v>14</v>
      </c>
      <c r="B3553" s="2">
        <v>44580</v>
      </c>
      <c r="C3553">
        <v>45.880828857421882</v>
      </c>
      <c r="D3553">
        <f>_xlfn.XLOOKUP(B3553, Oil_Price!A:A, Oil_Price!B:B, "")</f>
        <v>86.959999084472656</v>
      </c>
      <c r="E3553">
        <f t="shared" si="220"/>
        <v>9.6024591643241418E-3</v>
      </c>
      <c r="F3553">
        <f t="shared" si="221"/>
        <v>1.7909385155464877E-2</v>
      </c>
      <c r="G3553">
        <f t="shared" si="222"/>
        <v>0.43637847900391336</v>
      </c>
      <c r="H3553">
        <f t="shared" si="223"/>
        <v>1.529998779296875</v>
      </c>
    </row>
    <row r="3554" spans="1:8" x14ac:dyDescent="0.2">
      <c r="A3554" t="s">
        <v>14</v>
      </c>
      <c r="B3554" s="2">
        <v>44581</v>
      </c>
      <c r="C3554">
        <v>46.09454345703125</v>
      </c>
      <c r="D3554">
        <f>_xlfn.XLOOKUP(B3554, Oil_Price!A:A, Oil_Price!B:B, "")</f>
        <v>86.900001525878906</v>
      </c>
      <c r="E3554">
        <f t="shared" si="220"/>
        <v>4.6580370261727847E-3</v>
      </c>
      <c r="F3554">
        <f t="shared" si="221"/>
        <v>-6.8994433331891561E-4</v>
      </c>
      <c r="G3554">
        <f t="shared" si="222"/>
        <v>0.21371459960936789</v>
      </c>
      <c r="H3554">
        <f t="shared" si="223"/>
        <v>-5.999755859375E-2</v>
      </c>
    </row>
    <row r="3555" spans="1:8" x14ac:dyDescent="0.2">
      <c r="A3555" t="s">
        <v>14</v>
      </c>
      <c r="B3555" s="2">
        <v>44582</v>
      </c>
      <c r="C3555">
        <v>45.061511993408203</v>
      </c>
      <c r="D3555">
        <f>_xlfn.XLOOKUP(B3555, Oil_Price!A:A, Oil_Price!B:B, "")</f>
        <v>85.139999389648438</v>
      </c>
      <c r="E3555">
        <f t="shared" si="220"/>
        <v>-2.2411144273205043E-2</v>
      </c>
      <c r="F3555">
        <f t="shared" si="221"/>
        <v>-2.0253188783964961E-2</v>
      </c>
      <c r="G3555">
        <f t="shared" si="222"/>
        <v>-1.0330314636230469</v>
      </c>
      <c r="H3555">
        <f t="shared" si="223"/>
        <v>-1.7600021362304688</v>
      </c>
    </row>
    <row r="3556" spans="1:8" x14ac:dyDescent="0.2">
      <c r="A3556" t="s">
        <v>14</v>
      </c>
      <c r="B3556" s="2">
        <v>44585</v>
      </c>
      <c r="C3556">
        <v>45.043712615966797</v>
      </c>
      <c r="D3556">
        <f>_xlfn.XLOOKUP(B3556, Oil_Price!A:A, Oil_Price!B:B, "")</f>
        <v>83.30999755859375</v>
      </c>
      <c r="E3556">
        <f t="shared" si="220"/>
        <v>-3.9500177987835875E-4</v>
      </c>
      <c r="F3556">
        <f t="shared" si="221"/>
        <v>-2.1494031526586837E-2</v>
      </c>
      <c r="G3556">
        <f t="shared" si="222"/>
        <v>-1.779937744140625E-2</v>
      </c>
      <c r="H3556">
        <f t="shared" si="223"/>
        <v>-1.8300018310546875</v>
      </c>
    </row>
    <row r="3557" spans="1:8" x14ac:dyDescent="0.2">
      <c r="A3557" t="s">
        <v>14</v>
      </c>
      <c r="B3557" s="2">
        <v>44586</v>
      </c>
      <c r="C3557">
        <v>46.050025939941413</v>
      </c>
      <c r="D3557">
        <f>_xlfn.XLOOKUP(B3557, Oil_Price!A:A, Oil_Price!B:B, "")</f>
        <v>85.599998474121094</v>
      </c>
      <c r="E3557">
        <f t="shared" si="220"/>
        <v>2.2340816631928898E-2</v>
      </c>
      <c r="F3557">
        <f t="shared" si="221"/>
        <v>2.7487708349970073E-2</v>
      </c>
      <c r="G3557">
        <f t="shared" si="222"/>
        <v>1.0063133239746165</v>
      </c>
      <c r="H3557">
        <f t="shared" si="223"/>
        <v>2.2900009155273438</v>
      </c>
    </row>
    <row r="3558" spans="1:8" x14ac:dyDescent="0.2">
      <c r="A3558" t="s">
        <v>14</v>
      </c>
      <c r="B3558" s="2">
        <v>44587</v>
      </c>
      <c r="C3558">
        <v>46.406234741210938</v>
      </c>
      <c r="D3558">
        <f>_xlfn.XLOOKUP(B3558, Oil_Price!A:A, Oil_Price!B:B, "")</f>
        <v>87.349998474121094</v>
      </c>
      <c r="E3558">
        <f t="shared" si="220"/>
        <v>7.7352573423974348E-3</v>
      </c>
      <c r="F3558">
        <f t="shared" si="221"/>
        <v>2.0443925598071903E-2</v>
      </c>
      <c r="G3558">
        <f t="shared" si="222"/>
        <v>0.35620880126952414</v>
      </c>
      <c r="H3558">
        <f t="shared" si="223"/>
        <v>1.75</v>
      </c>
    </row>
    <row r="3559" spans="1:8" x14ac:dyDescent="0.2">
      <c r="A3559" t="s">
        <v>14</v>
      </c>
      <c r="B3559" s="2">
        <v>44588</v>
      </c>
      <c r="C3559">
        <v>46.860424041748047</v>
      </c>
      <c r="D3559">
        <f>_xlfn.XLOOKUP(B3559, Oil_Price!A:A, Oil_Price!B:B, "")</f>
        <v>86.610000610351562</v>
      </c>
      <c r="E3559">
        <f t="shared" si="220"/>
        <v>9.7872474047925231E-3</v>
      </c>
      <c r="F3559">
        <f t="shared" si="221"/>
        <v>-8.4716414046506032E-3</v>
      </c>
      <c r="G3559">
        <f t="shared" si="222"/>
        <v>0.45418930053710938</v>
      </c>
      <c r="H3559">
        <f t="shared" si="223"/>
        <v>-0.73999786376953125</v>
      </c>
    </row>
    <row r="3560" spans="1:8" x14ac:dyDescent="0.2">
      <c r="A3560" t="s">
        <v>14</v>
      </c>
      <c r="B3560" s="2">
        <v>44589</v>
      </c>
      <c r="C3560">
        <v>46.210323333740227</v>
      </c>
      <c r="D3560">
        <f>_xlfn.XLOOKUP(B3560, Oil_Price!A:A, Oil_Price!B:B, "")</f>
        <v>86.819999694824219</v>
      </c>
      <c r="E3560">
        <f t="shared" si="220"/>
        <v>-1.3873129006016753E-2</v>
      </c>
      <c r="F3560">
        <f t="shared" si="221"/>
        <v>2.4246516914070695E-3</v>
      </c>
      <c r="G3560">
        <f t="shared" si="222"/>
        <v>-0.65010070800781961</v>
      </c>
      <c r="H3560">
        <f t="shared" si="223"/>
        <v>0.20999908447265625</v>
      </c>
    </row>
    <row r="3561" spans="1:8" x14ac:dyDescent="0.2">
      <c r="A3561" t="s">
        <v>14</v>
      </c>
      <c r="B3561" s="2">
        <v>44592</v>
      </c>
      <c r="C3561">
        <v>46.317180633544922</v>
      </c>
      <c r="D3561">
        <f>_xlfn.XLOOKUP(B3561, Oil_Price!A:A, Oil_Price!B:B, "")</f>
        <v>88.150001525878906</v>
      </c>
      <c r="E3561">
        <f t="shared" si="220"/>
        <v>2.3124118615866361E-3</v>
      </c>
      <c r="F3561">
        <f t="shared" si="221"/>
        <v>1.5319072054016324E-2</v>
      </c>
      <c r="G3561">
        <f t="shared" si="222"/>
        <v>0.10685729980469461</v>
      </c>
      <c r="H3561">
        <f t="shared" si="223"/>
        <v>1.3300018310546875</v>
      </c>
    </row>
    <row r="3562" spans="1:8" x14ac:dyDescent="0.2">
      <c r="A3562" t="s">
        <v>14</v>
      </c>
      <c r="B3562" s="2">
        <v>44593</v>
      </c>
      <c r="C3562">
        <v>48.801799774169922</v>
      </c>
      <c r="D3562">
        <f>_xlfn.XLOOKUP(B3562, Oil_Price!A:A, Oil_Price!B:B, "")</f>
        <v>88.199996948242188</v>
      </c>
      <c r="E3562">
        <f t="shared" si="220"/>
        <v>5.3643574730572664E-2</v>
      </c>
      <c r="F3562">
        <f t="shared" si="221"/>
        <v>5.6716303457582688E-4</v>
      </c>
      <c r="G3562">
        <f t="shared" si="222"/>
        <v>2.484619140625</v>
      </c>
      <c r="H3562">
        <f t="shared" si="223"/>
        <v>4.999542236328125E-2</v>
      </c>
    </row>
    <row r="3563" spans="1:8" x14ac:dyDescent="0.2">
      <c r="A3563" t="s">
        <v>14</v>
      </c>
      <c r="B3563" s="2">
        <v>44594</v>
      </c>
      <c r="C3563">
        <v>48.481208801269531</v>
      </c>
      <c r="D3563">
        <f>_xlfn.XLOOKUP(B3563, Oil_Price!A:A, Oil_Price!B:B, "")</f>
        <v>88.260002136230469</v>
      </c>
      <c r="E3563">
        <f t="shared" si="220"/>
        <v>-6.5692448717859526E-3</v>
      </c>
      <c r="F3563">
        <f t="shared" si="221"/>
        <v>6.8033095311209244E-4</v>
      </c>
      <c r="G3563">
        <f t="shared" si="222"/>
        <v>-0.32059097290039062</v>
      </c>
      <c r="H3563">
        <f t="shared" si="223"/>
        <v>6.000518798828125E-2</v>
      </c>
    </row>
    <row r="3564" spans="1:8" x14ac:dyDescent="0.2">
      <c r="A3564" t="s">
        <v>14</v>
      </c>
      <c r="B3564" s="2">
        <v>44595</v>
      </c>
      <c r="C3564">
        <v>48.677131652832031</v>
      </c>
      <c r="D3564">
        <f>_xlfn.XLOOKUP(B3564, Oil_Price!A:A, Oil_Price!B:B, "")</f>
        <v>90.269996643066406</v>
      </c>
      <c r="E3564">
        <f t="shared" si="220"/>
        <v>4.0412121811073641E-3</v>
      </c>
      <c r="F3564">
        <f t="shared" si="221"/>
        <v>2.2773560595811957E-2</v>
      </c>
      <c r="G3564">
        <f t="shared" si="222"/>
        <v>0.1959228515625</v>
      </c>
      <c r="H3564">
        <f t="shared" si="223"/>
        <v>2.0099945068359375</v>
      </c>
    </row>
    <row r="3565" spans="1:8" x14ac:dyDescent="0.2">
      <c r="A3565" t="s">
        <v>14</v>
      </c>
      <c r="B3565" s="2">
        <v>44596</v>
      </c>
      <c r="C3565">
        <v>48.819614410400391</v>
      </c>
      <c r="D3565">
        <f>_xlfn.XLOOKUP(B3565, Oil_Price!A:A, Oil_Price!B:B, "")</f>
        <v>92.30999755859375</v>
      </c>
      <c r="E3565">
        <f t="shared" si="220"/>
        <v>2.9270984696582823E-3</v>
      </c>
      <c r="F3565">
        <f t="shared" si="221"/>
        <v>2.2598881038997303E-2</v>
      </c>
      <c r="G3565">
        <f t="shared" si="222"/>
        <v>0.14248275756835938</v>
      </c>
      <c r="H3565">
        <f t="shared" si="223"/>
        <v>2.0400009155273438</v>
      </c>
    </row>
    <row r="3566" spans="1:8" x14ac:dyDescent="0.2">
      <c r="A3566" t="s">
        <v>14</v>
      </c>
      <c r="B3566" s="2">
        <v>44599</v>
      </c>
      <c r="C3566">
        <v>49.585479736328118</v>
      </c>
      <c r="D3566">
        <f>_xlfn.XLOOKUP(B3566, Oil_Price!A:A, Oil_Price!B:B, "")</f>
        <v>91.319999694824219</v>
      </c>
      <c r="E3566">
        <f t="shared" si="220"/>
        <v>1.5687656184448878E-2</v>
      </c>
      <c r="F3566">
        <f t="shared" si="221"/>
        <v>-1.0724709023430862E-2</v>
      </c>
      <c r="G3566">
        <f t="shared" si="222"/>
        <v>0.76586532592772727</v>
      </c>
      <c r="H3566">
        <f t="shared" si="223"/>
        <v>-0.98999786376953125</v>
      </c>
    </row>
    <row r="3567" spans="1:8" x14ac:dyDescent="0.2">
      <c r="A3567" t="s">
        <v>14</v>
      </c>
      <c r="B3567" s="2">
        <v>44600</v>
      </c>
      <c r="C3567">
        <v>48.846332550048828</v>
      </c>
      <c r="D3567">
        <f>_xlfn.XLOOKUP(B3567, Oil_Price!A:A, Oil_Price!B:B, "")</f>
        <v>89.360000610351562</v>
      </c>
      <c r="E3567">
        <f t="shared" si="220"/>
        <v>-1.4906524857876162E-2</v>
      </c>
      <c r="F3567">
        <f t="shared" si="221"/>
        <v>-2.1462977343655685E-2</v>
      </c>
      <c r="G3567">
        <f t="shared" si="222"/>
        <v>-0.73914718627928977</v>
      </c>
      <c r="H3567">
        <f t="shared" si="223"/>
        <v>-1.9599990844726562</v>
      </c>
    </row>
    <row r="3568" spans="1:8" x14ac:dyDescent="0.2">
      <c r="A3568" t="s">
        <v>14</v>
      </c>
      <c r="B3568" s="2">
        <v>44601</v>
      </c>
      <c r="C3568">
        <v>48.819614410400391</v>
      </c>
      <c r="D3568">
        <f>_xlfn.XLOOKUP(B3568, Oil_Price!A:A, Oil_Price!B:B, "")</f>
        <v>89.660003662109375</v>
      </c>
      <c r="E3568">
        <f t="shared" si="220"/>
        <v>-5.4698353496778114E-4</v>
      </c>
      <c r="F3568">
        <f t="shared" si="221"/>
        <v>3.3572409322819522E-3</v>
      </c>
      <c r="G3568">
        <f t="shared" si="222"/>
        <v>-2.67181396484375E-2</v>
      </c>
      <c r="H3568">
        <f t="shared" si="223"/>
        <v>0.3000030517578125</v>
      </c>
    </row>
    <row r="3569" spans="1:8" x14ac:dyDescent="0.2">
      <c r="A3569" t="s">
        <v>14</v>
      </c>
      <c r="B3569" s="2">
        <v>44602</v>
      </c>
      <c r="C3569">
        <v>48.953197479248047</v>
      </c>
      <c r="D3569">
        <f>_xlfn.XLOOKUP(B3569, Oil_Price!A:A, Oil_Price!B:B, "")</f>
        <v>89.879997253417969</v>
      </c>
      <c r="E3569">
        <f t="shared" si="220"/>
        <v>2.7362581712484417E-3</v>
      </c>
      <c r="F3569">
        <f t="shared" si="221"/>
        <v>2.4536424528561981E-3</v>
      </c>
      <c r="G3569">
        <f t="shared" si="222"/>
        <v>0.13358306884765625</v>
      </c>
      <c r="H3569">
        <f t="shared" si="223"/>
        <v>0.21999359130859375</v>
      </c>
    </row>
    <row r="3570" spans="1:8" x14ac:dyDescent="0.2">
      <c r="A3570" t="s">
        <v>14</v>
      </c>
      <c r="B3570" s="2">
        <v>44603</v>
      </c>
      <c r="C3570">
        <v>51.054882049560547</v>
      </c>
      <c r="D3570">
        <f>_xlfn.XLOOKUP(B3570, Oil_Price!A:A, Oil_Price!B:B, "")</f>
        <v>93.099998474121094</v>
      </c>
      <c r="E3570">
        <f t="shared" si="220"/>
        <v>4.2932528997792922E-2</v>
      </c>
      <c r="F3570">
        <f t="shared" si="221"/>
        <v>3.5825559847585266E-2</v>
      </c>
      <c r="G3570">
        <f t="shared" si="222"/>
        <v>2.1016845703125</v>
      </c>
      <c r="H3570">
        <f t="shared" si="223"/>
        <v>3.220001220703125</v>
      </c>
    </row>
    <row r="3571" spans="1:8" x14ac:dyDescent="0.2">
      <c r="A3571" t="s">
        <v>14</v>
      </c>
      <c r="B3571" s="2">
        <v>44606</v>
      </c>
      <c r="C3571">
        <v>50.110904693603523</v>
      </c>
      <c r="D3571">
        <f>_xlfn.XLOOKUP(B3571, Oil_Price!A:A, Oil_Price!B:B, "")</f>
        <v>95.459999084472656</v>
      </c>
      <c r="E3571">
        <f t="shared" si="220"/>
        <v>-1.848946306526918E-2</v>
      </c>
      <c r="F3571">
        <f t="shared" si="221"/>
        <v>2.5349093974556501E-2</v>
      </c>
      <c r="G3571">
        <f t="shared" si="222"/>
        <v>-0.94397735595702414</v>
      </c>
      <c r="H3571">
        <f t="shared" si="223"/>
        <v>2.3600006103515625</v>
      </c>
    </row>
    <row r="3572" spans="1:8" x14ac:dyDescent="0.2">
      <c r="A3572" t="s">
        <v>14</v>
      </c>
      <c r="B3572" s="2">
        <v>44607</v>
      </c>
      <c r="C3572">
        <v>49.692340850830078</v>
      </c>
      <c r="D3572">
        <f>_xlfn.XLOOKUP(B3572, Oil_Price!A:A, Oil_Price!B:B, "")</f>
        <v>92.069999694824219</v>
      </c>
      <c r="E3572">
        <f t="shared" si="220"/>
        <v>-8.3527496726051483E-3</v>
      </c>
      <c r="F3572">
        <f t="shared" si="221"/>
        <v>-3.551225038928215E-2</v>
      </c>
      <c r="G3572">
        <f t="shared" si="222"/>
        <v>-0.41856384277344461</v>
      </c>
      <c r="H3572">
        <f t="shared" si="223"/>
        <v>-3.3899993896484375</v>
      </c>
    </row>
    <row r="3573" spans="1:8" x14ac:dyDescent="0.2">
      <c r="A3573" t="s">
        <v>14</v>
      </c>
      <c r="B3573" s="2">
        <v>44608</v>
      </c>
      <c r="C3573">
        <v>49.434085845947273</v>
      </c>
      <c r="D3573">
        <f>_xlfn.XLOOKUP(B3573, Oil_Price!A:A, Oil_Price!B:B, "")</f>
        <v>93.660003662109375</v>
      </c>
      <c r="E3573">
        <f t="shared" si="220"/>
        <v>-5.1970786737145919E-3</v>
      </c>
      <c r="F3573">
        <f t="shared" si="221"/>
        <v>1.7269512029492701E-2</v>
      </c>
      <c r="G3573">
        <f t="shared" si="222"/>
        <v>-0.25825500488280539</v>
      </c>
      <c r="H3573">
        <f t="shared" si="223"/>
        <v>1.5900039672851562</v>
      </c>
    </row>
    <row r="3574" spans="1:8" x14ac:dyDescent="0.2">
      <c r="A3574" t="s">
        <v>14</v>
      </c>
      <c r="B3574" s="2">
        <v>44609</v>
      </c>
      <c r="C3574">
        <v>49.941696166992188</v>
      </c>
      <c r="D3574">
        <f>_xlfn.XLOOKUP(B3574, Oil_Price!A:A, Oil_Price!B:B, "")</f>
        <v>91.760002136230469</v>
      </c>
      <c r="E3574">
        <f t="shared" si="220"/>
        <v>1.0268427388882926E-2</v>
      </c>
      <c r="F3574">
        <f t="shared" si="221"/>
        <v>-2.0286156860866763E-2</v>
      </c>
      <c r="G3574">
        <f t="shared" si="222"/>
        <v>0.50761032104491477</v>
      </c>
      <c r="H3574">
        <f t="shared" si="223"/>
        <v>-1.9000015258789062</v>
      </c>
    </row>
    <row r="3575" spans="1:8" x14ac:dyDescent="0.2">
      <c r="A3575" t="s">
        <v>14</v>
      </c>
      <c r="B3575" s="2">
        <v>44610</v>
      </c>
      <c r="C3575">
        <v>49.336128234863281</v>
      </c>
      <c r="D3575">
        <f>_xlfn.XLOOKUP(B3575, Oil_Price!A:A, Oil_Price!B:B, "")</f>
        <v>91.069999694824219</v>
      </c>
      <c r="E3575">
        <f t="shared" si="220"/>
        <v>-1.2125497902675208E-2</v>
      </c>
      <c r="F3575">
        <f t="shared" si="221"/>
        <v>-7.5196428219546632E-3</v>
      </c>
      <c r="G3575">
        <f t="shared" si="222"/>
        <v>-0.60556793212890625</v>
      </c>
      <c r="H3575">
        <f t="shared" si="223"/>
        <v>-0.69000244140625</v>
      </c>
    </row>
    <row r="3576" spans="1:8" x14ac:dyDescent="0.2">
      <c r="A3576" t="s">
        <v>14</v>
      </c>
      <c r="B3576" s="2">
        <v>44614</v>
      </c>
      <c r="C3576">
        <v>49.033348083496087</v>
      </c>
      <c r="D3576">
        <f>_xlfn.XLOOKUP(B3576, Oil_Price!A:A, Oil_Price!B:B, "")</f>
        <v>92.349998474121094</v>
      </c>
      <c r="E3576">
        <f t="shared" si="220"/>
        <v>-6.1370878137379983E-3</v>
      </c>
      <c r="F3576">
        <f t="shared" si="221"/>
        <v>1.4055109076382495E-2</v>
      </c>
      <c r="G3576">
        <f t="shared" si="222"/>
        <v>-0.30278015136719461</v>
      </c>
      <c r="H3576">
        <f t="shared" si="223"/>
        <v>1.279998779296875</v>
      </c>
    </row>
    <row r="3577" spans="1:8" x14ac:dyDescent="0.2">
      <c r="A3577" t="s">
        <v>14</v>
      </c>
      <c r="B3577" s="2">
        <v>44615</v>
      </c>
      <c r="C3577">
        <v>49.211448669433587</v>
      </c>
      <c r="D3577">
        <f>_xlfn.XLOOKUP(B3577, Oil_Price!A:A, Oil_Price!B:B, "")</f>
        <v>92.099998474121094</v>
      </c>
      <c r="E3577">
        <f t="shared" si="220"/>
        <v>3.6322338347000633E-3</v>
      </c>
      <c r="F3577">
        <f t="shared" si="221"/>
        <v>-2.7070926272950249E-3</v>
      </c>
      <c r="G3577">
        <f t="shared" si="222"/>
        <v>0.1781005859375</v>
      </c>
      <c r="H3577">
        <f t="shared" si="223"/>
        <v>-0.25</v>
      </c>
    </row>
    <row r="3578" spans="1:8" x14ac:dyDescent="0.2">
      <c r="A3578" t="s">
        <v>14</v>
      </c>
      <c r="B3578" s="2">
        <v>44616</v>
      </c>
      <c r="C3578">
        <v>48.997718811035163</v>
      </c>
      <c r="D3578">
        <f>_xlfn.XLOOKUP(B3578, Oil_Price!A:A, Oil_Price!B:B, "")</f>
        <v>92.80999755859375</v>
      </c>
      <c r="E3578">
        <f t="shared" si="220"/>
        <v>-4.3430921904799771E-3</v>
      </c>
      <c r="F3578">
        <f t="shared" si="221"/>
        <v>7.7090021306803471E-3</v>
      </c>
      <c r="G3578">
        <f t="shared" si="222"/>
        <v>-0.21372985839842329</v>
      </c>
      <c r="H3578">
        <f t="shared" si="223"/>
        <v>0.70999908447265625</v>
      </c>
    </row>
    <row r="3579" spans="1:8" x14ac:dyDescent="0.2">
      <c r="A3579" t="s">
        <v>14</v>
      </c>
      <c r="B3579" s="2">
        <v>44617</v>
      </c>
      <c r="C3579">
        <v>49.567668914794922</v>
      </c>
      <c r="D3579">
        <f>_xlfn.XLOOKUP(B3579, Oil_Price!A:A, Oil_Price!B:B, "")</f>
        <v>91.589996337890625</v>
      </c>
      <c r="E3579">
        <f t="shared" si="220"/>
        <v>1.1632176305142508E-2</v>
      </c>
      <c r="F3579">
        <f t="shared" si="221"/>
        <v>-1.314514872099745E-2</v>
      </c>
      <c r="G3579">
        <f t="shared" si="222"/>
        <v>0.56995010375975852</v>
      </c>
      <c r="H3579">
        <f t="shared" si="223"/>
        <v>-1.220001220703125</v>
      </c>
    </row>
    <row r="3580" spans="1:8" x14ac:dyDescent="0.2">
      <c r="A3580" t="s">
        <v>14</v>
      </c>
      <c r="B3580" s="2">
        <v>44620</v>
      </c>
      <c r="C3580">
        <v>50.663040161132812</v>
      </c>
      <c r="D3580">
        <f>_xlfn.XLOOKUP(B3580, Oil_Price!A:A, Oil_Price!B:B, "")</f>
        <v>95.720001220703125</v>
      </c>
      <c r="E3580">
        <f t="shared" si="220"/>
        <v>2.2098502316515937E-2</v>
      </c>
      <c r="F3580">
        <f t="shared" si="221"/>
        <v>4.5092314094830069E-2</v>
      </c>
      <c r="G3580">
        <f t="shared" si="222"/>
        <v>1.0953712463378906</v>
      </c>
      <c r="H3580">
        <f t="shared" si="223"/>
        <v>4.1300048828125</v>
      </c>
    </row>
    <row r="3581" spans="1:8" x14ac:dyDescent="0.2">
      <c r="A3581" t="s">
        <v>14</v>
      </c>
      <c r="B3581" s="2">
        <v>44621</v>
      </c>
      <c r="C3581">
        <v>50.707569122314453</v>
      </c>
      <c r="D3581">
        <f>_xlfn.XLOOKUP(B3581, Oil_Price!A:A, Oil_Price!B:B, "")</f>
        <v>103.4100036621094</v>
      </c>
      <c r="E3581">
        <f t="shared" si="220"/>
        <v>8.7892398561193982E-4</v>
      </c>
      <c r="F3581">
        <f t="shared" si="221"/>
        <v>8.0338511735654053E-2</v>
      </c>
      <c r="G3581">
        <f t="shared" si="222"/>
        <v>4.4528961181640625E-2</v>
      </c>
      <c r="H3581">
        <f t="shared" si="223"/>
        <v>7.6900024414062784</v>
      </c>
    </row>
    <row r="3582" spans="1:8" x14ac:dyDescent="0.2">
      <c r="A3582" t="s">
        <v>14</v>
      </c>
      <c r="B3582" s="2">
        <v>44622</v>
      </c>
      <c r="C3582">
        <v>51.800556182861328</v>
      </c>
      <c r="D3582">
        <f>_xlfn.XLOOKUP(B3582, Oil_Price!A:A, Oil_Price!B:B, "")</f>
        <v>110.59999847412109</v>
      </c>
      <c r="E3582">
        <f t="shared" si="220"/>
        <v>2.1554712234586167E-2</v>
      </c>
      <c r="F3582">
        <f t="shared" si="221"/>
        <v>6.9529006453813574E-2</v>
      </c>
      <c r="G3582">
        <f t="shared" si="222"/>
        <v>1.092987060546875</v>
      </c>
      <c r="H3582">
        <f t="shared" si="223"/>
        <v>7.1899948120116903</v>
      </c>
    </row>
    <row r="3583" spans="1:8" x14ac:dyDescent="0.2">
      <c r="A3583" t="s">
        <v>14</v>
      </c>
      <c r="B3583" s="2">
        <v>44623</v>
      </c>
      <c r="C3583">
        <v>51.173439025878913</v>
      </c>
      <c r="D3583">
        <f>_xlfn.XLOOKUP(B3583, Oil_Price!A:A, Oil_Price!B:B, "")</f>
        <v>107.6699981689453</v>
      </c>
      <c r="E3583">
        <f t="shared" si="220"/>
        <v>-1.2106378834401434E-2</v>
      </c>
      <c r="F3583">
        <f t="shared" si="221"/>
        <v>-2.6491865692578432E-2</v>
      </c>
      <c r="G3583">
        <f t="shared" si="222"/>
        <v>-0.62711715698241477</v>
      </c>
      <c r="H3583">
        <f t="shared" si="223"/>
        <v>-2.9300003051757955</v>
      </c>
    </row>
    <row r="3584" spans="1:8" x14ac:dyDescent="0.2">
      <c r="A3584" t="s">
        <v>14</v>
      </c>
      <c r="B3584" s="2">
        <v>44624</v>
      </c>
      <c r="C3584">
        <v>52.651649475097663</v>
      </c>
      <c r="D3584">
        <f>_xlfn.XLOOKUP(B3584, Oil_Price!A:A, Oil_Price!B:B, "")</f>
        <v>115.6800003051758</v>
      </c>
      <c r="E3584">
        <f t="shared" si="220"/>
        <v>2.8886283145270038E-2</v>
      </c>
      <c r="F3584">
        <f t="shared" si="221"/>
        <v>7.4394002716169638E-2</v>
      </c>
      <c r="G3584">
        <f t="shared" si="222"/>
        <v>1.47821044921875</v>
      </c>
      <c r="H3584">
        <f t="shared" si="223"/>
        <v>8.0100021362304972</v>
      </c>
    </row>
    <row r="3585" spans="1:8" x14ac:dyDescent="0.2">
      <c r="A3585" t="s">
        <v>14</v>
      </c>
      <c r="B3585" s="2">
        <v>44627</v>
      </c>
      <c r="C3585">
        <v>52.786041259765618</v>
      </c>
      <c r="D3585">
        <f>_xlfn.XLOOKUP(B3585, Oil_Price!A:A, Oil_Price!B:B, "")</f>
        <v>119.40000152587891</v>
      </c>
      <c r="E3585">
        <f t="shared" si="220"/>
        <v>2.5524705495032405E-3</v>
      </c>
      <c r="F3585">
        <f t="shared" si="221"/>
        <v>3.21576868161252E-2</v>
      </c>
      <c r="G3585">
        <f t="shared" si="222"/>
        <v>0.13439178466795454</v>
      </c>
      <c r="H3585">
        <f t="shared" si="223"/>
        <v>3.7200012207031108</v>
      </c>
    </row>
    <row r="3586" spans="1:8" x14ac:dyDescent="0.2">
      <c r="A3586" t="s">
        <v>14</v>
      </c>
      <c r="B3586" s="2">
        <v>44628</v>
      </c>
      <c r="C3586">
        <v>51.890151977539062</v>
      </c>
      <c r="D3586">
        <f>_xlfn.XLOOKUP(B3586, Oil_Price!A:A, Oil_Price!B:B, "")</f>
        <v>123.6999969482422</v>
      </c>
      <c r="E3586">
        <f t="shared" si="220"/>
        <v>-1.6972086954158784E-2</v>
      </c>
      <c r="F3586">
        <f t="shared" si="221"/>
        <v>3.6013361536107763E-2</v>
      </c>
      <c r="G3586">
        <f t="shared" si="222"/>
        <v>-0.89588928222655539</v>
      </c>
      <c r="H3586">
        <f t="shared" si="223"/>
        <v>4.2999954223632955</v>
      </c>
    </row>
    <row r="3587" spans="1:8" x14ac:dyDescent="0.2">
      <c r="A3587" t="s">
        <v>14</v>
      </c>
      <c r="B3587" s="2">
        <v>44629</v>
      </c>
      <c r="C3587">
        <v>51.549713134765618</v>
      </c>
      <c r="D3587">
        <f>_xlfn.XLOOKUP(B3587, Oil_Price!A:A, Oil_Price!B:B, "")</f>
        <v>108.6999969482422</v>
      </c>
      <c r="E3587">
        <f t="shared" ref="E3587:E3650" si="224">IFERROR(IF(AND(A3587=A3586, C3587&lt;&gt;"", C3586&lt;&gt;""), (C3587-C3586)/C3586, ""), "")</f>
        <v>-6.5607601789411879E-3</v>
      </c>
      <c r="F3587">
        <f t="shared" ref="F3587:F3650" si="225">IFERROR(IF(AND(A3587=A3586, D3587&lt;&gt;"", D3586&lt;&gt;""), (D3587-D3586)/D3586, ""), "")</f>
        <v>-0.12126111859385258</v>
      </c>
      <c r="G3587">
        <f t="shared" ref="G3587:G3650" si="226">IFERROR(IF(AND(A3587=A3586, C3587&lt;&gt;"", C3586&lt;&gt;""), C3587-C3586, ""), "")</f>
        <v>-0.34043884277344461</v>
      </c>
      <c r="H3587">
        <f t="shared" ref="H3587:H3650" si="227">IFERROR(IF(AND(A3587=A3586, D3587&lt;&gt;"", D3586&lt;&gt;""), D3587-D3586, ""), "")</f>
        <v>-15</v>
      </c>
    </row>
    <row r="3588" spans="1:8" x14ac:dyDescent="0.2">
      <c r="A3588" t="s">
        <v>14</v>
      </c>
      <c r="B3588" s="2">
        <v>44630</v>
      </c>
      <c r="C3588">
        <v>50.815074920654297</v>
      </c>
      <c r="D3588">
        <f>_xlfn.XLOOKUP(B3588, Oil_Price!A:A, Oil_Price!B:B, "")</f>
        <v>106.01999664306641</v>
      </c>
      <c r="E3588">
        <f t="shared" si="224"/>
        <v>-1.425106308915372E-2</v>
      </c>
      <c r="F3588">
        <f t="shared" si="225"/>
        <v>-2.4655017299143853E-2</v>
      </c>
      <c r="G3588">
        <f t="shared" si="226"/>
        <v>-0.73463821411132102</v>
      </c>
      <c r="H3588">
        <f t="shared" si="227"/>
        <v>-2.6800003051757955</v>
      </c>
    </row>
    <row r="3589" spans="1:8" x14ac:dyDescent="0.2">
      <c r="A3589" t="s">
        <v>14</v>
      </c>
      <c r="B3589" s="2">
        <v>44631</v>
      </c>
      <c r="C3589">
        <v>51.755760192871087</v>
      </c>
      <c r="D3589">
        <f>_xlfn.XLOOKUP(B3589, Oil_Price!A:A, Oil_Price!B:B, "")</f>
        <v>109.3300018310547</v>
      </c>
      <c r="E3589">
        <f t="shared" si="224"/>
        <v>1.8511933194738612E-2</v>
      </c>
      <c r="F3589">
        <f t="shared" si="225"/>
        <v>3.122057435194954E-2</v>
      </c>
      <c r="G3589">
        <f t="shared" si="226"/>
        <v>0.94068527221678977</v>
      </c>
      <c r="H3589">
        <f t="shared" si="227"/>
        <v>3.3100051879882955</v>
      </c>
    </row>
    <row r="3590" spans="1:8" x14ac:dyDescent="0.2">
      <c r="A3590" t="s">
        <v>14</v>
      </c>
      <c r="B3590" s="2">
        <v>44634</v>
      </c>
      <c r="C3590">
        <v>50.071483612060547</v>
      </c>
      <c r="D3590">
        <f>_xlfn.XLOOKUP(B3590, Oil_Price!A:A, Oil_Price!B:B, "")</f>
        <v>103.0100021362305</v>
      </c>
      <c r="E3590">
        <f t="shared" si="224"/>
        <v>-3.2542785083901335E-2</v>
      </c>
      <c r="F3590">
        <f t="shared" si="225"/>
        <v>-5.7806636686884579E-2</v>
      </c>
      <c r="G3590">
        <f t="shared" si="226"/>
        <v>-1.6842765808105398</v>
      </c>
      <c r="H3590">
        <f t="shared" si="227"/>
        <v>-6.3199996948242045</v>
      </c>
    </row>
    <row r="3591" spans="1:8" x14ac:dyDescent="0.2">
      <c r="A3591" t="s">
        <v>14</v>
      </c>
      <c r="B3591" s="2">
        <v>44635</v>
      </c>
      <c r="C3591">
        <v>48.620132446289062</v>
      </c>
      <c r="D3591">
        <f>_xlfn.XLOOKUP(B3591, Oil_Price!A:A, Oil_Price!B:B, "")</f>
        <v>96.44000244140625</v>
      </c>
      <c r="E3591">
        <f t="shared" si="224"/>
        <v>-2.8985583431402506E-2</v>
      </c>
      <c r="F3591">
        <f t="shared" si="225"/>
        <v>-6.3780211227793565E-2</v>
      </c>
      <c r="G3591">
        <f t="shared" si="226"/>
        <v>-1.4513511657714844</v>
      </c>
      <c r="H3591">
        <f t="shared" si="227"/>
        <v>-6.5699996948242472</v>
      </c>
    </row>
    <row r="3592" spans="1:8" x14ac:dyDescent="0.2">
      <c r="A3592" t="s">
        <v>14</v>
      </c>
      <c r="B3592" s="2">
        <v>44636</v>
      </c>
      <c r="C3592">
        <v>47.804878234863281</v>
      </c>
      <c r="D3592">
        <f>_xlfn.XLOOKUP(B3592, Oil_Price!A:A, Oil_Price!B:B, "")</f>
        <v>95.040000915527344</v>
      </c>
      <c r="E3592">
        <f t="shared" si="224"/>
        <v>-1.6767831974262869E-2</v>
      </c>
      <c r="F3592">
        <f t="shared" si="225"/>
        <v>-1.4516813463681741E-2</v>
      </c>
      <c r="G3592">
        <f t="shared" si="226"/>
        <v>-0.81525421142578125</v>
      </c>
      <c r="H3592">
        <f t="shared" si="227"/>
        <v>-1.4000015258789062</v>
      </c>
    </row>
    <row r="3593" spans="1:8" x14ac:dyDescent="0.2">
      <c r="A3593" t="s">
        <v>14</v>
      </c>
      <c r="B3593" s="2">
        <v>44637</v>
      </c>
      <c r="C3593">
        <v>48.602218627929688</v>
      </c>
      <c r="D3593">
        <f>_xlfn.XLOOKUP(B3593, Oil_Price!A:A, Oil_Price!B:B, "")</f>
        <v>102.98000335693359</v>
      </c>
      <c r="E3593">
        <f t="shared" si="224"/>
        <v>1.6679059177791597E-2</v>
      </c>
      <c r="F3593">
        <f t="shared" si="225"/>
        <v>8.3543795927184555E-2</v>
      </c>
      <c r="G3593">
        <f t="shared" si="226"/>
        <v>0.79734039306640625</v>
      </c>
      <c r="H3593">
        <f t="shared" si="227"/>
        <v>7.94000244140625</v>
      </c>
    </row>
    <row r="3594" spans="1:8" x14ac:dyDescent="0.2">
      <c r="A3594" t="s">
        <v>14</v>
      </c>
      <c r="B3594" s="2">
        <v>44638</v>
      </c>
      <c r="C3594">
        <v>48.440959930419922</v>
      </c>
      <c r="D3594">
        <f>_xlfn.XLOOKUP(B3594, Oil_Price!A:A, Oil_Price!B:B, "")</f>
        <v>104.6999969482422</v>
      </c>
      <c r="E3594">
        <f t="shared" si="224"/>
        <v>-3.317928729638217E-3</v>
      </c>
      <c r="F3594">
        <f t="shared" si="225"/>
        <v>1.6702209509034761E-2</v>
      </c>
      <c r="G3594">
        <f t="shared" si="226"/>
        <v>-0.16125869750976562</v>
      </c>
      <c r="H3594">
        <f t="shared" si="227"/>
        <v>1.719993591308608</v>
      </c>
    </row>
    <row r="3595" spans="1:8" x14ac:dyDescent="0.2">
      <c r="A3595" t="s">
        <v>14</v>
      </c>
      <c r="B3595" s="2">
        <v>44641</v>
      </c>
      <c r="C3595">
        <v>49.874382019042969</v>
      </c>
      <c r="D3595">
        <f>_xlfn.XLOOKUP(B3595, Oil_Price!A:A, Oil_Price!B:B, "")</f>
        <v>112.120002746582</v>
      </c>
      <c r="E3595">
        <f t="shared" si="224"/>
        <v>2.9591116498971101E-2</v>
      </c>
      <c r="F3595">
        <f t="shared" si="225"/>
        <v>7.0869207398428433E-2</v>
      </c>
      <c r="G3595">
        <f t="shared" si="226"/>
        <v>1.4334220886230469</v>
      </c>
      <c r="H3595">
        <f t="shared" si="227"/>
        <v>7.4200057983398011</v>
      </c>
    </row>
    <row r="3596" spans="1:8" x14ac:dyDescent="0.2">
      <c r="A3596" t="s">
        <v>14</v>
      </c>
      <c r="B3596" s="2">
        <v>44642</v>
      </c>
      <c r="C3596">
        <v>50.205875396728523</v>
      </c>
      <c r="D3596">
        <f>_xlfn.XLOOKUP(B3596, Oil_Price!A:A, Oil_Price!B:B, "")</f>
        <v>111.7600021362305</v>
      </c>
      <c r="E3596">
        <f t="shared" si="224"/>
        <v>6.6465661180319718E-3</v>
      </c>
      <c r="F3596">
        <f t="shared" si="225"/>
        <v>-3.2108508877331464E-3</v>
      </c>
      <c r="G3596">
        <f t="shared" si="226"/>
        <v>0.33149337768555398</v>
      </c>
      <c r="H3596">
        <f t="shared" si="227"/>
        <v>-0.36000061035150566</v>
      </c>
    </row>
    <row r="3597" spans="1:8" x14ac:dyDescent="0.2">
      <c r="A3597" t="s">
        <v>14</v>
      </c>
      <c r="B3597" s="2">
        <v>44643</v>
      </c>
      <c r="C3597">
        <v>51.486995697021477</v>
      </c>
      <c r="D3597">
        <f>_xlfn.XLOOKUP(B3597, Oil_Price!A:A, Oil_Price!B:B, "")</f>
        <v>114.9300003051758</v>
      </c>
      <c r="E3597">
        <f t="shared" si="224"/>
        <v>2.5517338163501754E-2</v>
      </c>
      <c r="F3597">
        <f t="shared" si="225"/>
        <v>2.8364335257270404E-2</v>
      </c>
      <c r="G3597">
        <f t="shared" si="226"/>
        <v>1.2811203002929545</v>
      </c>
      <c r="H3597">
        <f t="shared" si="227"/>
        <v>3.1699981689452983</v>
      </c>
    </row>
    <row r="3598" spans="1:8" x14ac:dyDescent="0.2">
      <c r="A3598" t="s">
        <v>14</v>
      </c>
      <c r="B3598" s="2">
        <v>44644</v>
      </c>
      <c r="C3598">
        <v>50.886745452880859</v>
      </c>
      <c r="D3598">
        <f>_xlfn.XLOOKUP(B3598, Oil_Price!A:A, Oil_Price!B:B, "")</f>
        <v>112.3399963378906</v>
      </c>
      <c r="E3598">
        <f t="shared" si="224"/>
        <v>-1.1658288389418348E-2</v>
      </c>
      <c r="F3598">
        <f t="shared" si="225"/>
        <v>-2.2535490824048661E-2</v>
      </c>
      <c r="G3598">
        <f t="shared" si="226"/>
        <v>-0.60025024414061789</v>
      </c>
      <c r="H3598">
        <f t="shared" si="227"/>
        <v>-2.5900039672851989</v>
      </c>
    </row>
    <row r="3599" spans="1:8" x14ac:dyDescent="0.2">
      <c r="A3599" t="s">
        <v>14</v>
      </c>
      <c r="B3599" s="2">
        <v>44645</v>
      </c>
      <c r="C3599">
        <v>52.777080535888672</v>
      </c>
      <c r="D3599">
        <f>_xlfn.XLOOKUP(B3599, Oil_Price!A:A, Oil_Price!B:B, "")</f>
        <v>113.90000152587891</v>
      </c>
      <c r="E3599">
        <f t="shared" si="224"/>
        <v>3.7147887257953822E-2</v>
      </c>
      <c r="F3599">
        <f t="shared" si="225"/>
        <v>1.3886462870233719E-2</v>
      </c>
      <c r="G3599">
        <f t="shared" si="226"/>
        <v>1.8903350830078125</v>
      </c>
      <c r="H3599">
        <f t="shared" si="227"/>
        <v>1.5600051879883097</v>
      </c>
    </row>
    <row r="3600" spans="1:8" x14ac:dyDescent="0.2">
      <c r="A3600" t="s">
        <v>14</v>
      </c>
      <c r="B3600" s="2">
        <v>44648</v>
      </c>
      <c r="C3600">
        <v>52.965217590332031</v>
      </c>
      <c r="D3600">
        <f>_xlfn.XLOOKUP(B3600, Oil_Price!A:A, Oil_Price!B:B, "")</f>
        <v>105.9599990844727</v>
      </c>
      <c r="E3600">
        <f t="shared" si="224"/>
        <v>3.5647491777311413E-3</v>
      </c>
      <c r="F3600">
        <f t="shared" si="225"/>
        <v>-6.9710292669330487E-2</v>
      </c>
      <c r="G3600">
        <f t="shared" si="226"/>
        <v>0.18813705444335938</v>
      </c>
      <c r="H3600">
        <f t="shared" si="227"/>
        <v>-7.9400024414062074</v>
      </c>
    </row>
    <row r="3601" spans="1:8" x14ac:dyDescent="0.2">
      <c r="A3601" t="s">
        <v>14</v>
      </c>
      <c r="B3601" s="2">
        <v>44649</v>
      </c>
      <c r="C3601">
        <v>52.821865081787109</v>
      </c>
      <c r="D3601">
        <f>_xlfn.XLOOKUP(B3601, Oil_Price!A:A, Oil_Price!B:B, "")</f>
        <v>104.2399978637695</v>
      </c>
      <c r="E3601">
        <f t="shared" si="224"/>
        <v>-2.7065405386173403E-3</v>
      </c>
      <c r="F3601">
        <f t="shared" si="225"/>
        <v>-1.623255224202096E-2</v>
      </c>
      <c r="G3601">
        <f t="shared" si="226"/>
        <v>-0.14335250854492188</v>
      </c>
      <c r="H3601">
        <f t="shared" si="227"/>
        <v>-1.7200012207031961</v>
      </c>
    </row>
    <row r="3602" spans="1:8" x14ac:dyDescent="0.2">
      <c r="A3602" t="s">
        <v>14</v>
      </c>
      <c r="B3602" s="2">
        <v>44650</v>
      </c>
      <c r="C3602">
        <v>53.816318511962891</v>
      </c>
      <c r="D3602">
        <f>_xlfn.XLOOKUP(B3602, Oil_Price!A:A, Oil_Price!B:B, "")</f>
        <v>107.8199996948242</v>
      </c>
      <c r="E3602">
        <f t="shared" si="224"/>
        <v>1.8826548979972824E-2</v>
      </c>
      <c r="F3602">
        <f t="shared" si="225"/>
        <v>3.4343840218928057E-2</v>
      </c>
      <c r="G3602">
        <f t="shared" si="226"/>
        <v>0.99445343017578125</v>
      </c>
      <c r="H3602">
        <f t="shared" si="227"/>
        <v>3.5800018310547017</v>
      </c>
    </row>
    <row r="3603" spans="1:8" x14ac:dyDescent="0.2">
      <c r="A3603" t="s">
        <v>14</v>
      </c>
      <c r="B3603" s="2">
        <v>44651</v>
      </c>
      <c r="C3603">
        <v>54.201553344726562</v>
      </c>
      <c r="D3603">
        <f>_xlfn.XLOOKUP(B3603, Oil_Price!A:A, Oil_Price!B:B, "")</f>
        <v>100.2799987792969</v>
      </c>
      <c r="E3603">
        <f t="shared" si="224"/>
        <v>7.1583275001993601E-3</v>
      </c>
      <c r="F3603">
        <f t="shared" si="225"/>
        <v>-6.9931375782495489E-2</v>
      </c>
      <c r="G3603">
        <f t="shared" si="226"/>
        <v>0.38523483276367188</v>
      </c>
      <c r="H3603">
        <f t="shared" si="227"/>
        <v>-7.5400009155273011</v>
      </c>
    </row>
    <row r="3604" spans="1:8" x14ac:dyDescent="0.2">
      <c r="A3604" t="s">
        <v>14</v>
      </c>
      <c r="B3604" s="2">
        <v>44652</v>
      </c>
      <c r="C3604">
        <v>55.169109344482422</v>
      </c>
      <c r="D3604">
        <f>_xlfn.XLOOKUP(B3604, Oil_Price!A:A, Oil_Price!B:B, "")</f>
        <v>99.269996643066406</v>
      </c>
      <c r="E3604">
        <f t="shared" si="224"/>
        <v>1.7851075108532767E-2</v>
      </c>
      <c r="F3604">
        <f t="shared" si="225"/>
        <v>-1.0071820388165132E-2</v>
      </c>
      <c r="G3604">
        <f t="shared" si="226"/>
        <v>0.96755599975585938</v>
      </c>
      <c r="H3604">
        <f t="shared" si="227"/>
        <v>-1.0100021362304972</v>
      </c>
    </row>
    <row r="3605" spans="1:8" x14ac:dyDescent="0.2">
      <c r="A3605" t="s">
        <v>14</v>
      </c>
      <c r="B3605" s="2">
        <v>44655</v>
      </c>
      <c r="C3605">
        <v>56.154598236083977</v>
      </c>
      <c r="D3605">
        <f>_xlfn.XLOOKUP(B3605, Oil_Price!A:A, Oil_Price!B:B, "")</f>
        <v>103.2799987792969</v>
      </c>
      <c r="E3605">
        <f t="shared" si="224"/>
        <v>1.7863056034637909E-2</v>
      </c>
      <c r="F3605">
        <f t="shared" si="225"/>
        <v>4.0394905528694597E-2</v>
      </c>
      <c r="G3605">
        <f t="shared" si="226"/>
        <v>0.98548889160155539</v>
      </c>
      <c r="H3605">
        <f t="shared" si="227"/>
        <v>4.0100021362304972</v>
      </c>
    </row>
    <row r="3606" spans="1:8" x14ac:dyDescent="0.2">
      <c r="A3606" t="s">
        <v>14</v>
      </c>
      <c r="B3606" s="2">
        <v>44656</v>
      </c>
      <c r="C3606">
        <v>55.536426544189453</v>
      </c>
      <c r="D3606">
        <f>_xlfn.XLOOKUP(B3606, Oil_Price!A:A, Oil_Price!B:B, "")</f>
        <v>101.9599990844727</v>
      </c>
      <c r="E3606">
        <f t="shared" si="224"/>
        <v>-1.100838954088176E-2</v>
      </c>
      <c r="F3606">
        <f t="shared" si="225"/>
        <v>-1.2780787281426715E-2</v>
      </c>
      <c r="G3606">
        <f t="shared" si="226"/>
        <v>-0.61817169189452414</v>
      </c>
      <c r="H3606">
        <f t="shared" si="227"/>
        <v>-1.3199996948242045</v>
      </c>
    </row>
    <row r="3607" spans="1:8" x14ac:dyDescent="0.2">
      <c r="A3607" t="s">
        <v>14</v>
      </c>
      <c r="B3607" s="2">
        <v>44657</v>
      </c>
      <c r="C3607">
        <v>55.070575714111328</v>
      </c>
      <c r="D3607">
        <f>_xlfn.XLOOKUP(B3607, Oil_Price!A:A, Oil_Price!B:B, "")</f>
        <v>96.230003356933594</v>
      </c>
      <c r="E3607">
        <f t="shared" si="224"/>
        <v>-8.3882031860198075E-3</v>
      </c>
      <c r="F3607">
        <f t="shared" si="225"/>
        <v>-5.6198467820619227E-2</v>
      </c>
      <c r="G3607">
        <f t="shared" si="226"/>
        <v>-0.465850830078125</v>
      </c>
      <c r="H3607">
        <f t="shared" si="227"/>
        <v>-5.7299957275391051</v>
      </c>
    </row>
    <row r="3608" spans="1:8" x14ac:dyDescent="0.2">
      <c r="A3608" t="s">
        <v>14</v>
      </c>
      <c r="B3608" s="2">
        <v>44658</v>
      </c>
      <c r="C3608">
        <v>55.957500457763672</v>
      </c>
      <c r="D3608">
        <f>_xlfn.XLOOKUP(B3608, Oil_Price!A:A, Oil_Price!B:B, "")</f>
        <v>96.029998779296875</v>
      </c>
      <c r="E3608">
        <f t="shared" si="224"/>
        <v>1.6105238272006616E-2</v>
      </c>
      <c r="F3608">
        <f t="shared" si="225"/>
        <v>-2.0784014409192886E-3</v>
      </c>
      <c r="G3608">
        <f t="shared" si="226"/>
        <v>0.88692474365234375</v>
      </c>
      <c r="H3608">
        <f t="shared" si="227"/>
        <v>-0.20000457763671875</v>
      </c>
    </row>
    <row r="3609" spans="1:8" x14ac:dyDescent="0.2">
      <c r="A3609" t="s">
        <v>14</v>
      </c>
      <c r="B3609" s="2">
        <v>44659</v>
      </c>
      <c r="C3609">
        <v>57.543243408203118</v>
      </c>
      <c r="D3609">
        <f>_xlfn.XLOOKUP(B3609, Oil_Price!A:A, Oil_Price!B:B, "")</f>
        <v>98.260002136230469</v>
      </c>
      <c r="E3609">
        <f t="shared" si="224"/>
        <v>2.833834494870538E-2</v>
      </c>
      <c r="F3609">
        <f t="shared" si="225"/>
        <v>2.3221945072172182E-2</v>
      </c>
      <c r="G3609">
        <f t="shared" si="226"/>
        <v>1.585742950439446</v>
      </c>
      <c r="H3609">
        <f t="shared" si="227"/>
        <v>2.2300033569335938</v>
      </c>
    </row>
    <row r="3610" spans="1:8" x14ac:dyDescent="0.2">
      <c r="A3610" t="s">
        <v>14</v>
      </c>
      <c r="B3610" s="2">
        <v>44662</v>
      </c>
      <c r="C3610">
        <v>56.710052490234382</v>
      </c>
      <c r="D3610">
        <f>_xlfn.XLOOKUP(B3610, Oil_Price!A:A, Oil_Price!B:B, "")</f>
        <v>94.290000915527344</v>
      </c>
      <c r="E3610">
        <f t="shared" si="224"/>
        <v>-1.4479387476618318E-2</v>
      </c>
      <c r="F3610">
        <f t="shared" si="225"/>
        <v>-4.04030239608483E-2</v>
      </c>
      <c r="G3610">
        <f t="shared" si="226"/>
        <v>-0.83319091796873579</v>
      </c>
      <c r="H3610">
        <f t="shared" si="227"/>
        <v>-3.970001220703125</v>
      </c>
    </row>
    <row r="3611" spans="1:8" x14ac:dyDescent="0.2">
      <c r="A3611" t="s">
        <v>14</v>
      </c>
      <c r="B3611" s="2">
        <v>44663</v>
      </c>
      <c r="C3611">
        <v>57.964302062988281</v>
      </c>
      <c r="D3611">
        <f>_xlfn.XLOOKUP(B3611, Oil_Price!A:A, Oil_Price!B:B, "")</f>
        <v>100.59999847412109</v>
      </c>
      <c r="E3611">
        <f t="shared" si="224"/>
        <v>2.2116882592726997E-2</v>
      </c>
      <c r="F3611">
        <f t="shared" si="225"/>
        <v>6.6921174009180032E-2</v>
      </c>
      <c r="G3611">
        <f t="shared" si="226"/>
        <v>1.2542495727538991</v>
      </c>
      <c r="H3611">
        <f t="shared" si="227"/>
        <v>6.30999755859375</v>
      </c>
    </row>
    <row r="3612" spans="1:8" x14ac:dyDescent="0.2">
      <c r="A3612" t="s">
        <v>14</v>
      </c>
      <c r="B3612" s="2">
        <v>44664</v>
      </c>
      <c r="C3612">
        <v>57.444690704345703</v>
      </c>
      <c r="D3612">
        <f>_xlfn.XLOOKUP(B3612, Oil_Price!A:A, Oil_Price!B:B, "")</f>
        <v>104.25</v>
      </c>
      <c r="E3612">
        <f t="shared" si="224"/>
        <v>-8.9643339115500799E-3</v>
      </c>
      <c r="F3612">
        <f t="shared" si="225"/>
        <v>3.6282321881126602E-2</v>
      </c>
      <c r="G3612">
        <f t="shared" si="226"/>
        <v>-0.51961135864257812</v>
      </c>
      <c r="H3612">
        <f t="shared" si="227"/>
        <v>3.6500015258789062</v>
      </c>
    </row>
    <row r="3613" spans="1:8" x14ac:dyDescent="0.2">
      <c r="A3613" t="s">
        <v>14</v>
      </c>
      <c r="B3613" s="2">
        <v>44665</v>
      </c>
      <c r="C3613">
        <v>57.328216552734382</v>
      </c>
      <c r="D3613">
        <f>_xlfn.XLOOKUP(B3613, Oil_Price!A:A, Oil_Price!B:B, "")</f>
        <v>106.9499969482422</v>
      </c>
      <c r="E3613">
        <f t="shared" si="224"/>
        <v>-2.0275877576012387E-3</v>
      </c>
      <c r="F3613">
        <f t="shared" si="225"/>
        <v>2.5899251302083471E-2</v>
      </c>
      <c r="G3613">
        <f t="shared" si="226"/>
        <v>-0.11647415161132102</v>
      </c>
      <c r="H3613">
        <f t="shared" si="227"/>
        <v>2.6999969482422017</v>
      </c>
    </row>
    <row r="3614" spans="1:8" x14ac:dyDescent="0.2">
      <c r="A3614" t="s">
        <v>14</v>
      </c>
      <c r="B3614" s="2">
        <v>44669</v>
      </c>
      <c r="C3614">
        <v>58.286830902099609</v>
      </c>
      <c r="D3614">
        <f>_xlfn.XLOOKUP(B3614, Oil_Price!A:A, Oil_Price!B:B, "")</f>
        <v>108.2099990844727</v>
      </c>
      <c r="E3614">
        <f t="shared" si="224"/>
        <v>1.6721510052269441E-2</v>
      </c>
      <c r="F3614">
        <f t="shared" si="225"/>
        <v>1.1781226481383328E-2</v>
      </c>
      <c r="G3614">
        <f t="shared" si="226"/>
        <v>0.95861434936522727</v>
      </c>
      <c r="H3614">
        <f t="shared" si="227"/>
        <v>1.2600021362304972</v>
      </c>
    </row>
    <row r="3615" spans="1:8" x14ac:dyDescent="0.2">
      <c r="A3615" t="s">
        <v>14</v>
      </c>
      <c r="B3615" s="2">
        <v>44670</v>
      </c>
      <c r="C3615">
        <v>57.149036407470703</v>
      </c>
      <c r="D3615">
        <f>_xlfn.XLOOKUP(B3615, Oil_Price!A:A, Oil_Price!B:B, "")</f>
        <v>102.55999755859381</v>
      </c>
      <c r="E3615">
        <f t="shared" si="224"/>
        <v>-1.9520610007773137E-2</v>
      </c>
      <c r="F3615">
        <f t="shared" si="225"/>
        <v>-5.2213303517989064E-2</v>
      </c>
      <c r="G3615">
        <f t="shared" si="226"/>
        <v>-1.1377944946289062</v>
      </c>
      <c r="H3615">
        <f t="shared" si="227"/>
        <v>-5.650001525878892</v>
      </c>
    </row>
    <row r="3616" spans="1:8" x14ac:dyDescent="0.2">
      <c r="A3616" t="s">
        <v>14</v>
      </c>
      <c r="B3616" s="2">
        <v>44671</v>
      </c>
      <c r="C3616">
        <v>57.704498291015618</v>
      </c>
      <c r="D3616">
        <f>_xlfn.XLOOKUP(B3616, Oil_Price!A:A, Oil_Price!B:B, "")</f>
        <v>102.75</v>
      </c>
      <c r="E3616">
        <f t="shared" si="224"/>
        <v>9.7195319197420985E-3</v>
      </c>
      <c r="F3616">
        <f t="shared" si="225"/>
        <v>1.8525979517271575E-3</v>
      </c>
      <c r="G3616">
        <f t="shared" si="226"/>
        <v>0.55546188354491477</v>
      </c>
      <c r="H3616">
        <f t="shared" si="227"/>
        <v>0.19000244140619316</v>
      </c>
    </row>
    <row r="3617" spans="1:8" x14ac:dyDescent="0.2">
      <c r="A3617" t="s">
        <v>14</v>
      </c>
      <c r="B3617" s="2">
        <v>44672</v>
      </c>
      <c r="C3617">
        <v>55.912704467773438</v>
      </c>
      <c r="D3617">
        <f>_xlfn.XLOOKUP(B3617, Oil_Price!A:A, Oil_Price!B:B, "")</f>
        <v>103.7900009155273</v>
      </c>
      <c r="E3617">
        <f t="shared" si="224"/>
        <v>-3.1051198369419948E-2</v>
      </c>
      <c r="F3617">
        <f t="shared" si="225"/>
        <v>1.0121663411457918E-2</v>
      </c>
      <c r="G3617">
        <f t="shared" si="226"/>
        <v>-1.7917938232421804</v>
      </c>
      <c r="H3617">
        <f t="shared" si="227"/>
        <v>1.0400009155273011</v>
      </c>
    </row>
    <row r="3618" spans="1:8" x14ac:dyDescent="0.2">
      <c r="A3618" t="s">
        <v>14</v>
      </c>
      <c r="B3618" s="2">
        <v>44673</v>
      </c>
      <c r="C3618">
        <v>54.954097747802727</v>
      </c>
      <c r="D3618">
        <f>_xlfn.XLOOKUP(B3618, Oil_Price!A:A, Oil_Price!B:B, "")</f>
        <v>102.0699996948242</v>
      </c>
      <c r="E3618">
        <f t="shared" si="224"/>
        <v>-1.7144703142077933E-2</v>
      </c>
      <c r="F3618">
        <f t="shared" si="225"/>
        <v>-1.657193569256226E-2</v>
      </c>
      <c r="G3618">
        <f t="shared" si="226"/>
        <v>-0.95860671997071023</v>
      </c>
      <c r="H3618">
        <f t="shared" si="227"/>
        <v>-1.7200012207030966</v>
      </c>
    </row>
    <row r="3619" spans="1:8" x14ac:dyDescent="0.2">
      <c r="A3619" t="s">
        <v>14</v>
      </c>
      <c r="B3619" s="2">
        <v>44676</v>
      </c>
      <c r="C3619">
        <v>53.216072082519531</v>
      </c>
      <c r="D3619">
        <f>_xlfn.XLOOKUP(B3619, Oil_Price!A:A, Oil_Price!B:B, "")</f>
        <v>98.540000915527344</v>
      </c>
      <c r="E3619">
        <f t="shared" si="224"/>
        <v>-3.1626861990518056E-2</v>
      </c>
      <c r="F3619">
        <f t="shared" si="225"/>
        <v>-3.4584097088773295E-2</v>
      </c>
      <c r="G3619">
        <f t="shared" si="226"/>
        <v>-1.738025665283196</v>
      </c>
      <c r="H3619">
        <f t="shared" si="227"/>
        <v>-3.5299987792968608</v>
      </c>
    </row>
    <row r="3620" spans="1:8" x14ac:dyDescent="0.2">
      <c r="A3620" t="s">
        <v>14</v>
      </c>
      <c r="B3620" s="2">
        <v>44677</v>
      </c>
      <c r="C3620">
        <v>53.744651794433587</v>
      </c>
      <c r="D3620">
        <f>_xlfn.XLOOKUP(B3620, Oil_Price!A:A, Oil_Price!B:B, "")</f>
        <v>101.6999969482422</v>
      </c>
      <c r="E3620">
        <f t="shared" si="224"/>
        <v>9.9327081317541251E-3</v>
      </c>
      <c r="F3620">
        <f t="shared" si="225"/>
        <v>3.2068155097986453E-2</v>
      </c>
      <c r="G3620">
        <f t="shared" si="226"/>
        <v>0.52857971191405539</v>
      </c>
      <c r="H3620">
        <f t="shared" si="227"/>
        <v>3.159996032714858</v>
      </c>
    </row>
    <row r="3621" spans="1:8" x14ac:dyDescent="0.2">
      <c r="A3621" t="s">
        <v>14</v>
      </c>
      <c r="B3621" s="2">
        <v>44678</v>
      </c>
      <c r="C3621">
        <v>56.065006256103523</v>
      </c>
      <c r="D3621">
        <f>_xlfn.XLOOKUP(B3621, Oil_Price!A:A, Oil_Price!B:B, "")</f>
        <v>102.01999664306641</v>
      </c>
      <c r="E3621">
        <f t="shared" si="224"/>
        <v>4.3173681179384971E-2</v>
      </c>
      <c r="F3621">
        <f t="shared" si="225"/>
        <v>3.1465064348729604E-3</v>
      </c>
      <c r="G3621">
        <f t="shared" si="226"/>
        <v>2.3203544616699361</v>
      </c>
      <c r="H3621">
        <f t="shared" si="227"/>
        <v>0.31999969482420454</v>
      </c>
    </row>
    <row r="3622" spans="1:8" x14ac:dyDescent="0.2">
      <c r="A3622" t="s">
        <v>14</v>
      </c>
      <c r="B3622" s="2">
        <v>44679</v>
      </c>
      <c r="C3622">
        <v>57.444690704345703</v>
      </c>
      <c r="D3622">
        <f>_xlfn.XLOOKUP(B3622, Oil_Price!A:A, Oil_Price!B:B, "")</f>
        <v>105.36000061035161</v>
      </c>
      <c r="E3622">
        <f t="shared" si="224"/>
        <v>2.4608655922373698E-2</v>
      </c>
      <c r="F3622">
        <f t="shared" si="225"/>
        <v>3.2738718655037281E-2</v>
      </c>
      <c r="G3622">
        <f t="shared" si="226"/>
        <v>1.3796844482421804</v>
      </c>
      <c r="H3622">
        <f t="shared" si="227"/>
        <v>3.3400039672851989</v>
      </c>
    </row>
    <row r="3623" spans="1:8" x14ac:dyDescent="0.2">
      <c r="A3623" t="s">
        <v>14</v>
      </c>
      <c r="B3623" s="2">
        <v>44680</v>
      </c>
      <c r="C3623">
        <v>57.946388244628913</v>
      </c>
      <c r="D3623">
        <f>_xlfn.XLOOKUP(B3623, Oil_Price!A:A, Oil_Price!B:B, "")</f>
        <v>104.69000244140619</v>
      </c>
      <c r="E3623">
        <f t="shared" si="224"/>
        <v>8.7335754467776552E-3</v>
      </c>
      <c r="F3623">
        <f t="shared" si="225"/>
        <v>-6.3591321665158072E-3</v>
      </c>
      <c r="G3623">
        <f t="shared" si="226"/>
        <v>0.50169754028321023</v>
      </c>
      <c r="H3623">
        <f t="shared" si="227"/>
        <v>-0.66999816894541198</v>
      </c>
    </row>
    <row r="3624" spans="1:8" x14ac:dyDescent="0.2">
      <c r="A3624" t="s">
        <v>14</v>
      </c>
      <c r="B3624" s="2">
        <v>44683</v>
      </c>
      <c r="C3624">
        <v>58.3853759765625</v>
      </c>
      <c r="D3624">
        <f>_xlfn.XLOOKUP(B3624, Oil_Price!A:A, Oil_Price!B:B, "")</f>
        <v>105.1699981689453</v>
      </c>
      <c r="E3624">
        <f t="shared" si="224"/>
        <v>7.5757565783105846E-3</v>
      </c>
      <c r="F3624">
        <f t="shared" si="225"/>
        <v>4.5849242176467927E-3</v>
      </c>
      <c r="G3624">
        <f t="shared" si="226"/>
        <v>0.43898773193358664</v>
      </c>
      <c r="H3624">
        <f t="shared" si="227"/>
        <v>0.47999572753910513</v>
      </c>
    </row>
    <row r="3625" spans="1:8" x14ac:dyDescent="0.2">
      <c r="A3625" t="s">
        <v>14</v>
      </c>
      <c r="B3625" s="2">
        <v>44684</v>
      </c>
      <c r="C3625">
        <v>60.956581115722663</v>
      </c>
      <c r="D3625">
        <f>_xlfn.XLOOKUP(B3625, Oil_Price!A:A, Oil_Price!B:B, "")</f>
        <v>102.4100036621094</v>
      </c>
      <c r="E3625">
        <f t="shared" si="224"/>
        <v>4.4038513003535611E-2</v>
      </c>
      <c r="F3625">
        <f t="shared" si="225"/>
        <v>-2.6243173479971293E-2</v>
      </c>
      <c r="G3625">
        <f t="shared" si="226"/>
        <v>2.5712051391601634</v>
      </c>
      <c r="H3625">
        <f t="shared" si="227"/>
        <v>-2.7599945068358949</v>
      </c>
    </row>
    <row r="3626" spans="1:8" x14ac:dyDescent="0.2">
      <c r="A3626" t="s">
        <v>14</v>
      </c>
      <c r="B3626" s="2">
        <v>44685</v>
      </c>
      <c r="C3626">
        <v>60.732627868652337</v>
      </c>
      <c r="D3626">
        <f>_xlfn.XLOOKUP(B3626, Oil_Price!A:A, Oil_Price!B:B, "")</f>
        <v>107.80999755859381</v>
      </c>
      <c r="E3626">
        <f t="shared" si="224"/>
        <v>-3.6739797897320388E-3</v>
      </c>
      <c r="F3626">
        <f t="shared" si="225"/>
        <v>5.2729164177174451E-2</v>
      </c>
      <c r="G3626">
        <f t="shared" si="226"/>
        <v>-0.22395324707032671</v>
      </c>
      <c r="H3626">
        <f t="shared" si="227"/>
        <v>5.3999938964844034</v>
      </c>
    </row>
    <row r="3627" spans="1:8" x14ac:dyDescent="0.2">
      <c r="A3627" t="s">
        <v>14</v>
      </c>
      <c r="B3627" s="2">
        <v>44686</v>
      </c>
      <c r="C3627">
        <v>60.320499420166023</v>
      </c>
      <c r="D3627">
        <f>_xlfn.XLOOKUP(B3627, Oil_Price!A:A, Oil_Price!B:B, "")</f>
        <v>108.2600021362305</v>
      </c>
      <c r="E3627">
        <f t="shared" si="224"/>
        <v>-6.7859478990046716E-3</v>
      </c>
      <c r="F3627">
        <f t="shared" si="225"/>
        <v>4.1740523868588038E-3</v>
      </c>
      <c r="G3627">
        <f t="shared" si="226"/>
        <v>-0.41212844848631391</v>
      </c>
      <c r="H3627">
        <f t="shared" si="227"/>
        <v>0.45000457763669033</v>
      </c>
    </row>
    <row r="3628" spans="1:8" x14ac:dyDescent="0.2">
      <c r="A3628" t="s">
        <v>14</v>
      </c>
      <c r="B3628" s="2">
        <v>44687</v>
      </c>
      <c r="C3628">
        <v>60.938671112060547</v>
      </c>
      <c r="D3628">
        <f>_xlfn.XLOOKUP(B3628, Oil_Price!A:A, Oil_Price!B:B, "")</f>
        <v>109.76999664306641</v>
      </c>
      <c r="E3628">
        <f t="shared" si="224"/>
        <v>1.0248119591792709E-2</v>
      </c>
      <c r="F3628">
        <f t="shared" si="225"/>
        <v>1.3947852180307425E-2</v>
      </c>
      <c r="G3628">
        <f t="shared" si="226"/>
        <v>0.61817169189452414</v>
      </c>
      <c r="H3628">
        <f t="shared" si="227"/>
        <v>1.5099945068359091</v>
      </c>
    </row>
    <row r="3629" spans="1:8" x14ac:dyDescent="0.2">
      <c r="A3629" t="s">
        <v>14</v>
      </c>
      <c r="B3629" s="2">
        <v>44690</v>
      </c>
      <c r="C3629">
        <v>56.790676116943359</v>
      </c>
      <c r="D3629">
        <f>_xlfn.XLOOKUP(B3629, Oil_Price!A:A, Oil_Price!B:B, "")</f>
        <v>103.0899963378906</v>
      </c>
      <c r="E3629">
        <f t="shared" si="224"/>
        <v>-6.806835330375699E-2</v>
      </c>
      <c r="F3629">
        <f t="shared" si="225"/>
        <v>-6.0854518624946591E-2</v>
      </c>
      <c r="G3629">
        <f t="shared" si="226"/>
        <v>-4.1479949951171875</v>
      </c>
      <c r="H3629">
        <f t="shared" si="227"/>
        <v>-6.6800003051758097</v>
      </c>
    </row>
    <row r="3630" spans="1:8" x14ac:dyDescent="0.2">
      <c r="A3630" t="s">
        <v>14</v>
      </c>
      <c r="B3630" s="2">
        <v>44691</v>
      </c>
      <c r="C3630">
        <v>56.396488189697273</v>
      </c>
      <c r="D3630">
        <f>_xlfn.XLOOKUP(B3630, Oil_Price!A:A, Oil_Price!B:B, "")</f>
        <v>99.760002136230469</v>
      </c>
      <c r="E3630">
        <f t="shared" si="224"/>
        <v>-6.9410676927736323E-3</v>
      </c>
      <c r="F3630">
        <f t="shared" si="225"/>
        <v>-3.2301817052603703E-2</v>
      </c>
      <c r="G3630">
        <f t="shared" si="226"/>
        <v>-0.39418792724608664</v>
      </c>
      <c r="H3630">
        <f t="shared" si="227"/>
        <v>-3.3299942016601278</v>
      </c>
    </row>
    <row r="3631" spans="1:8" x14ac:dyDescent="0.2">
      <c r="A3631" t="s">
        <v>14</v>
      </c>
      <c r="B3631" s="2">
        <v>44692</v>
      </c>
      <c r="C3631">
        <v>55.760414123535163</v>
      </c>
      <c r="D3631">
        <f>_xlfn.XLOOKUP(B3631, Oil_Price!A:A, Oil_Price!B:B, "")</f>
        <v>105.7099990844727</v>
      </c>
      <c r="E3631">
        <f t="shared" si="224"/>
        <v>-1.1278611250093934E-2</v>
      </c>
      <c r="F3631">
        <f t="shared" si="225"/>
        <v>5.964311167633117E-2</v>
      </c>
      <c r="G3631">
        <f t="shared" si="226"/>
        <v>-0.63607406616210938</v>
      </c>
      <c r="H3631">
        <f t="shared" si="227"/>
        <v>5.9499969482422301</v>
      </c>
    </row>
    <row r="3632" spans="1:8" x14ac:dyDescent="0.2">
      <c r="A3632" t="s">
        <v>14</v>
      </c>
      <c r="B3632" s="2">
        <v>44693</v>
      </c>
      <c r="C3632">
        <v>55.437885284423828</v>
      </c>
      <c r="D3632">
        <f>_xlfn.XLOOKUP(B3632, Oil_Price!A:A, Oil_Price!B:B, "")</f>
        <v>106.129997253418</v>
      </c>
      <c r="E3632">
        <f t="shared" si="224"/>
        <v>-5.7841901675404414E-3</v>
      </c>
      <c r="F3632">
        <f t="shared" si="225"/>
        <v>3.9731167588950445E-3</v>
      </c>
      <c r="G3632">
        <f t="shared" si="226"/>
        <v>-0.32252883911133523</v>
      </c>
      <c r="H3632">
        <f t="shared" si="227"/>
        <v>0.41999816894529829</v>
      </c>
    </row>
    <row r="3633" spans="1:8" x14ac:dyDescent="0.2">
      <c r="A3633" t="s">
        <v>14</v>
      </c>
      <c r="B3633" s="2">
        <v>44694</v>
      </c>
      <c r="C3633">
        <v>57.596988677978523</v>
      </c>
      <c r="D3633">
        <f>_xlfn.XLOOKUP(B3633, Oil_Price!A:A, Oil_Price!B:B, "")</f>
        <v>110.4899978637695</v>
      </c>
      <c r="E3633">
        <f t="shared" si="224"/>
        <v>3.8946351984341106E-2</v>
      </c>
      <c r="F3633">
        <f t="shared" si="225"/>
        <v>4.1081699078354482E-2</v>
      </c>
      <c r="G3633">
        <f t="shared" si="226"/>
        <v>2.1591033935546946</v>
      </c>
      <c r="H3633">
        <f t="shared" si="227"/>
        <v>4.3600006103515057</v>
      </c>
    </row>
    <row r="3634" spans="1:8" x14ac:dyDescent="0.2">
      <c r="A3634" t="s">
        <v>14</v>
      </c>
      <c r="B3634" s="2">
        <v>44697</v>
      </c>
      <c r="C3634">
        <v>58.421207427978523</v>
      </c>
      <c r="D3634">
        <f>_xlfn.XLOOKUP(B3634, Oil_Price!A:A, Oil_Price!B:B, "")</f>
        <v>114.1999969482422</v>
      </c>
      <c r="E3634">
        <f t="shared" si="224"/>
        <v>1.4310101429228532E-2</v>
      </c>
      <c r="F3634">
        <f t="shared" si="225"/>
        <v>3.3577691702438121E-2</v>
      </c>
      <c r="G3634">
        <f t="shared" si="226"/>
        <v>0.82421875</v>
      </c>
      <c r="H3634">
        <f t="shared" si="227"/>
        <v>3.7099990844726989</v>
      </c>
    </row>
    <row r="3635" spans="1:8" x14ac:dyDescent="0.2">
      <c r="A3635" t="s">
        <v>14</v>
      </c>
      <c r="B3635" s="2">
        <v>44698</v>
      </c>
      <c r="C3635">
        <v>58.304740905761719</v>
      </c>
      <c r="D3635">
        <f>_xlfn.XLOOKUP(B3635, Oil_Price!A:A, Oil_Price!B:B, "")</f>
        <v>112.40000152587891</v>
      </c>
      <c r="E3635">
        <f t="shared" si="224"/>
        <v>-1.9935658187205997E-3</v>
      </c>
      <c r="F3635">
        <f t="shared" si="225"/>
        <v>-1.5761781702840944E-2</v>
      </c>
      <c r="G3635">
        <f t="shared" si="226"/>
        <v>-0.11646652221680398</v>
      </c>
      <c r="H3635">
        <f t="shared" si="227"/>
        <v>-1.7999954223632955</v>
      </c>
    </row>
    <row r="3636" spans="1:8" x14ac:dyDescent="0.2">
      <c r="A3636" t="s">
        <v>14</v>
      </c>
      <c r="B3636" s="2">
        <v>44699</v>
      </c>
      <c r="C3636">
        <v>57.758243560791023</v>
      </c>
      <c r="D3636">
        <f>_xlfn.XLOOKUP(B3636, Oil_Price!A:A, Oil_Price!B:B, "")</f>
        <v>109.5899963378906</v>
      </c>
      <c r="E3636">
        <f t="shared" si="224"/>
        <v>-9.3731202039642504E-3</v>
      </c>
      <c r="F3636">
        <f t="shared" si="225"/>
        <v>-2.5000045817093124E-2</v>
      </c>
      <c r="G3636">
        <f t="shared" si="226"/>
        <v>-0.54649734497069602</v>
      </c>
      <c r="H3636">
        <f t="shared" si="227"/>
        <v>-2.8100051879883097</v>
      </c>
    </row>
    <row r="3637" spans="1:8" x14ac:dyDescent="0.2">
      <c r="A3637" t="s">
        <v>14</v>
      </c>
      <c r="B3637" s="2">
        <v>44700</v>
      </c>
      <c r="C3637">
        <v>58.430171966552727</v>
      </c>
      <c r="D3637">
        <f>_xlfn.XLOOKUP(B3637, Oil_Price!A:A, Oil_Price!B:B, "")</f>
        <v>112.2099990844727</v>
      </c>
      <c r="E3637">
        <f t="shared" si="224"/>
        <v>1.1633463283115498E-2</v>
      </c>
      <c r="F3637">
        <f t="shared" si="225"/>
        <v>2.3907316672445583E-2</v>
      </c>
      <c r="G3637">
        <f t="shared" si="226"/>
        <v>0.67192840576170454</v>
      </c>
      <c r="H3637">
        <f t="shared" si="227"/>
        <v>2.6200027465821023</v>
      </c>
    </row>
    <row r="3638" spans="1:8" x14ac:dyDescent="0.2">
      <c r="A3638" t="s">
        <v>14</v>
      </c>
      <c r="B3638" s="2">
        <v>44701</v>
      </c>
      <c r="C3638">
        <v>59.836734771728523</v>
      </c>
      <c r="D3638">
        <f>_xlfn.XLOOKUP(B3638, Oil_Price!A:A, Oil_Price!B:B, "")</f>
        <v>113.23000335693359</v>
      </c>
      <c r="E3638">
        <f t="shared" si="224"/>
        <v>2.4072542623714274E-2</v>
      </c>
      <c r="F3638">
        <f t="shared" si="225"/>
        <v>9.0901370714122059E-3</v>
      </c>
      <c r="G3638">
        <f t="shared" si="226"/>
        <v>1.4065628051757955</v>
      </c>
      <c r="H3638">
        <f t="shared" si="227"/>
        <v>1.0200042724608949</v>
      </c>
    </row>
    <row r="3639" spans="1:8" x14ac:dyDescent="0.2">
      <c r="A3639" t="s">
        <v>14</v>
      </c>
      <c r="B3639" s="2">
        <v>44705</v>
      </c>
      <c r="C3639">
        <v>60.428005218505859</v>
      </c>
      <c r="D3639">
        <f>_xlfn.XLOOKUP(B3639, Oil_Price!A:A, Oil_Price!B:B, "")</f>
        <v>109.76999664306641</v>
      </c>
      <c r="E3639">
        <f t="shared" si="224"/>
        <v>9.881395584718608E-3</v>
      </c>
      <c r="F3639">
        <f t="shared" si="225"/>
        <v>-3.0557331195692448E-2</v>
      </c>
      <c r="G3639">
        <f t="shared" si="226"/>
        <v>0.59127044677733664</v>
      </c>
      <c r="H3639">
        <f t="shared" si="227"/>
        <v>-3.4600067138671875</v>
      </c>
    </row>
    <row r="3640" spans="1:8" x14ac:dyDescent="0.2">
      <c r="A3640" t="s">
        <v>14</v>
      </c>
      <c r="B3640" s="2">
        <v>44706</v>
      </c>
      <c r="C3640">
        <v>61.520999908447273</v>
      </c>
      <c r="D3640">
        <f>_xlfn.XLOOKUP(B3640, Oil_Price!A:A, Oil_Price!B:B, "")</f>
        <v>110.3300018310547</v>
      </c>
      <c r="E3640">
        <f t="shared" si="224"/>
        <v>1.8087552054534602E-2</v>
      </c>
      <c r="F3640">
        <f t="shared" si="225"/>
        <v>5.1016234409593381E-3</v>
      </c>
      <c r="G3640">
        <f t="shared" si="226"/>
        <v>1.0929946899414134</v>
      </c>
      <c r="H3640">
        <f t="shared" si="227"/>
        <v>0.56000518798829546</v>
      </c>
    </row>
    <row r="3641" spans="1:8" x14ac:dyDescent="0.2">
      <c r="A3641" t="s">
        <v>14</v>
      </c>
      <c r="B3641" s="2">
        <v>44707</v>
      </c>
      <c r="C3641">
        <v>61.816654205322273</v>
      </c>
      <c r="D3641">
        <f>_xlfn.XLOOKUP(B3641, Oil_Price!A:A, Oil_Price!B:B, "")</f>
        <v>114.0899963378906</v>
      </c>
      <c r="E3641">
        <f t="shared" si="224"/>
        <v>4.8057459617850675E-3</v>
      </c>
      <c r="F3641">
        <f t="shared" si="225"/>
        <v>3.4079529089408256E-2</v>
      </c>
      <c r="G3641">
        <f t="shared" si="226"/>
        <v>0.295654296875</v>
      </c>
      <c r="H3641">
        <f t="shared" si="227"/>
        <v>3.7599945068358949</v>
      </c>
    </row>
    <row r="3642" spans="1:8" x14ac:dyDescent="0.2">
      <c r="A3642" t="s">
        <v>14</v>
      </c>
      <c r="B3642" s="2">
        <v>44708</v>
      </c>
      <c r="C3642">
        <v>63.653209686279297</v>
      </c>
      <c r="D3642">
        <f>_xlfn.XLOOKUP(B3642, Oil_Price!A:A, Oil_Price!B:B, "")</f>
        <v>115.0699996948242</v>
      </c>
      <c r="E3642">
        <f t="shared" si="224"/>
        <v>2.9709719889674989E-2</v>
      </c>
      <c r="F3642">
        <f t="shared" si="225"/>
        <v>8.5897395774403897E-3</v>
      </c>
      <c r="G3642">
        <f t="shared" si="226"/>
        <v>1.8365554809570241</v>
      </c>
      <c r="H3642">
        <f t="shared" si="227"/>
        <v>0.98000335693360796</v>
      </c>
    </row>
    <row r="3643" spans="1:8" x14ac:dyDescent="0.2">
      <c r="A3643" t="s">
        <v>14</v>
      </c>
      <c r="B3643" s="2">
        <v>44711</v>
      </c>
      <c r="C3643">
        <v>64.746200561523438</v>
      </c>
      <c r="D3643" t="str">
        <f>_xlfn.XLOOKUP(B3643, Oil_Price!A:A, Oil_Price!B:B, "")</f>
        <v/>
      </c>
      <c r="E3643">
        <f t="shared" si="224"/>
        <v>1.7171025320342002E-2</v>
      </c>
      <c r="F3643" t="str">
        <f t="shared" si="225"/>
        <v/>
      </c>
      <c r="G3643">
        <f t="shared" si="226"/>
        <v>1.0929908752441406</v>
      </c>
      <c r="H3643" t="str">
        <f t="shared" si="227"/>
        <v/>
      </c>
    </row>
    <row r="3644" spans="1:8" x14ac:dyDescent="0.2">
      <c r="A3644" t="s">
        <v>14</v>
      </c>
      <c r="B3644" s="2">
        <v>44712</v>
      </c>
      <c r="C3644">
        <v>62.067489624023438</v>
      </c>
      <c r="D3644">
        <f>_xlfn.XLOOKUP(B3644, Oil_Price!A:A, Oil_Price!B:B, "")</f>
        <v>114.6699981689453</v>
      </c>
      <c r="E3644">
        <f t="shared" si="224"/>
        <v>-4.1372480767494967E-2</v>
      </c>
      <c r="F3644" t="str">
        <f t="shared" si="225"/>
        <v/>
      </c>
      <c r="G3644">
        <f t="shared" si="226"/>
        <v>-2.6787109375</v>
      </c>
      <c r="H3644" t="str">
        <f t="shared" si="227"/>
        <v/>
      </c>
    </row>
    <row r="3645" spans="1:8" x14ac:dyDescent="0.2">
      <c r="A3645" t="s">
        <v>14</v>
      </c>
      <c r="B3645" s="2">
        <v>44713</v>
      </c>
      <c r="C3645">
        <v>63.534992218017578</v>
      </c>
      <c r="D3645">
        <f>_xlfn.XLOOKUP(B3645, Oil_Price!A:A, Oil_Price!B:B, "")</f>
        <v>115.2600021362305</v>
      </c>
      <c r="E3645">
        <f t="shared" si="224"/>
        <v>2.3643659553231531E-2</v>
      </c>
      <c r="F3645">
        <f t="shared" si="225"/>
        <v>5.1452339470341299E-3</v>
      </c>
      <c r="G3645">
        <f t="shared" si="226"/>
        <v>1.4675025939941406</v>
      </c>
      <c r="H3645">
        <f t="shared" si="227"/>
        <v>0.59000396728519888</v>
      </c>
    </row>
    <row r="3646" spans="1:8" x14ac:dyDescent="0.2">
      <c r="A3646" t="s">
        <v>14</v>
      </c>
      <c r="B3646" s="2">
        <v>44714</v>
      </c>
      <c r="C3646">
        <v>62.30157470703125</v>
      </c>
      <c r="D3646">
        <f>_xlfn.XLOOKUP(B3646, Oil_Price!A:A, Oil_Price!B:B, "")</f>
        <v>116.870002746582</v>
      </c>
      <c r="E3646">
        <f t="shared" si="224"/>
        <v>-1.9413200000936638E-2</v>
      </c>
      <c r="F3646">
        <f t="shared" si="225"/>
        <v>1.3968424262638657E-2</v>
      </c>
      <c r="G3646">
        <f t="shared" si="226"/>
        <v>-1.2334175109863281</v>
      </c>
      <c r="H3646">
        <f t="shared" si="227"/>
        <v>1.6100006103515057</v>
      </c>
    </row>
    <row r="3647" spans="1:8" x14ac:dyDescent="0.2">
      <c r="A3647" t="s">
        <v>14</v>
      </c>
      <c r="B3647" s="2">
        <v>44715</v>
      </c>
      <c r="C3647">
        <v>62.74273681640625</v>
      </c>
      <c r="D3647">
        <f>_xlfn.XLOOKUP(B3647, Oil_Price!A:A, Oil_Price!B:B, "")</f>
        <v>118.870002746582</v>
      </c>
      <c r="E3647">
        <f t="shared" si="224"/>
        <v>7.081074779402184E-3</v>
      </c>
      <c r="F3647">
        <f t="shared" si="225"/>
        <v>1.711303117136696E-2</v>
      </c>
      <c r="G3647">
        <f t="shared" si="226"/>
        <v>0.441162109375</v>
      </c>
      <c r="H3647">
        <f t="shared" si="227"/>
        <v>2</v>
      </c>
    </row>
    <row r="3648" spans="1:8" x14ac:dyDescent="0.2">
      <c r="A3648" t="s">
        <v>14</v>
      </c>
      <c r="B3648" s="2">
        <v>44718</v>
      </c>
      <c r="C3648">
        <v>63.102848052978523</v>
      </c>
      <c r="D3648">
        <f>_xlfn.XLOOKUP(B3648, Oil_Price!A:A, Oil_Price!B:B, "")</f>
        <v>118.5</v>
      </c>
      <c r="E3648">
        <f t="shared" si="224"/>
        <v>5.7394888212480592E-3</v>
      </c>
      <c r="F3648">
        <f t="shared" si="225"/>
        <v>-3.1126670987869725E-3</v>
      </c>
      <c r="G3648">
        <f t="shared" si="226"/>
        <v>0.36011123657227273</v>
      </c>
      <c r="H3648">
        <f t="shared" si="227"/>
        <v>-0.37000274658200283</v>
      </c>
    </row>
    <row r="3649" spans="1:8" x14ac:dyDescent="0.2">
      <c r="A3649" t="s">
        <v>14</v>
      </c>
      <c r="B3649" s="2">
        <v>44719</v>
      </c>
      <c r="C3649">
        <v>64.597373962402344</v>
      </c>
      <c r="D3649">
        <f>_xlfn.XLOOKUP(B3649, Oil_Price!A:A, Oil_Price!B:B, "")</f>
        <v>119.4100036621094</v>
      </c>
      <c r="E3649">
        <f t="shared" si="224"/>
        <v>2.3683969195321886E-2</v>
      </c>
      <c r="F3649">
        <f t="shared" si="225"/>
        <v>7.6793557983915904E-3</v>
      </c>
      <c r="G3649">
        <f t="shared" si="226"/>
        <v>1.494525909423821</v>
      </c>
      <c r="H3649">
        <f t="shared" si="227"/>
        <v>0.91000366210940342</v>
      </c>
    </row>
    <row r="3650" spans="1:8" x14ac:dyDescent="0.2">
      <c r="A3650" t="s">
        <v>14</v>
      </c>
      <c r="B3650" s="2">
        <v>44720</v>
      </c>
      <c r="C3650">
        <v>65.308609008789062</v>
      </c>
      <c r="D3650">
        <f>_xlfn.XLOOKUP(B3650, Oil_Price!A:A, Oil_Price!B:B, "")</f>
        <v>122.11000061035161</v>
      </c>
      <c r="E3650">
        <f t="shared" si="224"/>
        <v>1.101027801533665E-2</v>
      </c>
      <c r="F3650">
        <f t="shared" si="225"/>
        <v>2.2611145343251936E-2</v>
      </c>
      <c r="G3650">
        <f t="shared" si="226"/>
        <v>0.71123504638671875</v>
      </c>
      <c r="H3650">
        <f t="shared" si="227"/>
        <v>2.6999969482422017</v>
      </c>
    </row>
    <row r="3651" spans="1:8" x14ac:dyDescent="0.2">
      <c r="A3651" t="s">
        <v>14</v>
      </c>
      <c r="B3651" s="2">
        <v>44721</v>
      </c>
      <c r="C3651">
        <v>64.246246337890625</v>
      </c>
      <c r="D3651">
        <f>_xlfn.XLOOKUP(B3651, Oil_Price!A:A, Oil_Price!B:B, "")</f>
        <v>121.5100021362305</v>
      </c>
      <c r="E3651">
        <f t="shared" ref="E3651:E3714" si="228">IFERROR(IF(AND(A3651=A3650, C3651&lt;&gt;"", C3650&lt;&gt;""), (C3651-C3650)/C3650, ""), "")</f>
        <v>-1.6266809032105822E-2</v>
      </c>
      <c r="F3651">
        <f t="shared" ref="F3651:F3714" si="229">IFERROR(IF(AND(A3651=A3650, D3651&lt;&gt;"", D3650&lt;&gt;""), (D3651-D3650)/D3650, ""), "")</f>
        <v>-4.9135899690614234E-3</v>
      </c>
      <c r="G3651">
        <f t="shared" ref="G3651:G3714" si="230">IFERROR(IF(AND(A3651=A3650, C3651&lt;&gt;"", C3650&lt;&gt;""), C3651-C3650, ""), "")</f>
        <v>-1.0623626708984375</v>
      </c>
      <c r="H3651">
        <f t="shared" ref="H3651:H3714" si="231">IFERROR(IF(AND(A3651=A3650, D3651&lt;&gt;"", D3650&lt;&gt;""), D3651-D3650, ""), "")</f>
        <v>-0.59999847412110796</v>
      </c>
    </row>
    <row r="3652" spans="1:8" x14ac:dyDescent="0.2">
      <c r="A3652" t="s">
        <v>14</v>
      </c>
      <c r="B3652" s="2">
        <v>44722</v>
      </c>
      <c r="C3652">
        <v>62.292572021484382</v>
      </c>
      <c r="D3652">
        <f>_xlfn.XLOOKUP(B3652, Oil_Price!A:A, Oil_Price!B:B, "")</f>
        <v>120.6699981689453</v>
      </c>
      <c r="E3652">
        <f t="shared" si="228"/>
        <v>-3.0409158943407733E-2</v>
      </c>
      <c r="F3652">
        <f t="shared" si="229"/>
        <v>-6.9130438031219151E-3</v>
      </c>
      <c r="G3652">
        <f t="shared" si="230"/>
        <v>-1.9536743164062429</v>
      </c>
      <c r="H3652">
        <f t="shared" si="231"/>
        <v>-0.84000396728519888</v>
      </c>
    </row>
    <row r="3653" spans="1:8" x14ac:dyDescent="0.2">
      <c r="A3653" t="s">
        <v>14</v>
      </c>
      <c r="B3653" s="2">
        <v>44725</v>
      </c>
      <c r="C3653">
        <v>63.021831512451172</v>
      </c>
      <c r="D3653">
        <f>_xlfn.XLOOKUP(B3653, Oil_Price!A:A, Oil_Price!B:B, "")</f>
        <v>120.9300003051758</v>
      </c>
      <c r="E3653">
        <f t="shared" si="228"/>
        <v>1.1707005623644373E-2</v>
      </c>
      <c r="F3653">
        <f t="shared" si="229"/>
        <v>2.1546543480217713E-3</v>
      </c>
      <c r="G3653">
        <f t="shared" si="230"/>
        <v>0.72925949096678977</v>
      </c>
      <c r="H3653">
        <f t="shared" si="231"/>
        <v>0.26000213623049717</v>
      </c>
    </row>
    <row r="3654" spans="1:8" x14ac:dyDescent="0.2">
      <c r="A3654" t="s">
        <v>14</v>
      </c>
      <c r="B3654" s="2">
        <v>44726</v>
      </c>
      <c r="C3654">
        <v>62.121513366699219</v>
      </c>
      <c r="D3654">
        <f>_xlfn.XLOOKUP(B3654, Oil_Price!A:A, Oil_Price!B:B, "")</f>
        <v>118.9300003051758</v>
      </c>
      <c r="E3654">
        <f t="shared" si="228"/>
        <v>-1.4285813727487086E-2</v>
      </c>
      <c r="F3654">
        <f t="shared" si="229"/>
        <v>-1.653849330152032E-2</v>
      </c>
      <c r="G3654">
        <f t="shared" si="230"/>
        <v>-0.90031814575195312</v>
      </c>
      <c r="H3654">
        <f t="shared" si="231"/>
        <v>-2</v>
      </c>
    </row>
    <row r="3655" spans="1:8" x14ac:dyDescent="0.2">
      <c r="A3655" t="s">
        <v>14</v>
      </c>
      <c r="B3655" s="2">
        <v>44727</v>
      </c>
      <c r="C3655">
        <v>61.131168365478523</v>
      </c>
      <c r="D3655">
        <f>_xlfn.XLOOKUP(B3655, Oil_Price!A:A, Oil_Price!B:B, "")</f>
        <v>115.30999755859381</v>
      </c>
      <c r="E3655">
        <f t="shared" si="228"/>
        <v>-1.5942061735919961E-2</v>
      </c>
      <c r="F3655">
        <f t="shared" si="229"/>
        <v>-3.0438095831943315E-2</v>
      </c>
      <c r="G3655">
        <f t="shared" si="230"/>
        <v>-0.99034500122069602</v>
      </c>
      <c r="H3655">
        <f t="shared" si="231"/>
        <v>-3.6200027465819886</v>
      </c>
    </row>
    <row r="3656" spans="1:8" x14ac:dyDescent="0.2">
      <c r="A3656" t="s">
        <v>14</v>
      </c>
      <c r="B3656" s="2">
        <v>44728</v>
      </c>
      <c r="C3656">
        <v>59.150489807128913</v>
      </c>
      <c r="D3656">
        <f>_xlfn.XLOOKUP(B3656, Oil_Price!A:A, Oil_Price!B:B, "")</f>
        <v>117.5899963378906</v>
      </c>
      <c r="E3656">
        <f t="shared" si="228"/>
        <v>-3.2400469536389906E-2</v>
      </c>
      <c r="F3656">
        <f t="shared" si="229"/>
        <v>1.9772776234239599E-2</v>
      </c>
      <c r="G3656">
        <f t="shared" si="230"/>
        <v>-1.9806785583496094</v>
      </c>
      <c r="H3656">
        <f t="shared" si="231"/>
        <v>2.2799987792967897</v>
      </c>
    </row>
    <row r="3657" spans="1:8" x14ac:dyDescent="0.2">
      <c r="A3657" t="s">
        <v>14</v>
      </c>
      <c r="B3657" s="2">
        <v>44729</v>
      </c>
      <c r="C3657">
        <v>56.908702850341797</v>
      </c>
      <c r="D3657">
        <f>_xlfn.XLOOKUP(B3657, Oil_Price!A:A, Oil_Price!B:B, "")</f>
        <v>109.55999755859381</v>
      </c>
      <c r="E3657">
        <f t="shared" si="228"/>
        <v>-3.7899719243185921E-2</v>
      </c>
      <c r="F3657">
        <f t="shared" si="229"/>
        <v>-6.8288111483759892E-2</v>
      </c>
      <c r="G3657">
        <f t="shared" si="230"/>
        <v>-2.2417869567871165</v>
      </c>
      <c r="H3657">
        <f t="shared" si="231"/>
        <v>-8.0299987792967897</v>
      </c>
    </row>
    <row r="3658" spans="1:8" x14ac:dyDescent="0.2">
      <c r="A3658" t="s">
        <v>14</v>
      </c>
      <c r="B3658" s="2">
        <v>44732</v>
      </c>
      <c r="C3658">
        <v>58.142135620117188</v>
      </c>
      <c r="D3658" t="str">
        <f>_xlfn.XLOOKUP(B3658, Oil_Price!A:A, Oil_Price!B:B, "")</f>
        <v/>
      </c>
      <c r="E3658">
        <f t="shared" si="228"/>
        <v>2.1673886558600107E-2</v>
      </c>
      <c r="F3658" t="str">
        <f t="shared" si="229"/>
        <v/>
      </c>
      <c r="G3658">
        <f t="shared" si="230"/>
        <v>1.2334327697753906</v>
      </c>
      <c r="H3658" t="str">
        <f t="shared" si="231"/>
        <v/>
      </c>
    </row>
    <row r="3659" spans="1:8" x14ac:dyDescent="0.2">
      <c r="A3659" t="s">
        <v>14</v>
      </c>
      <c r="B3659" s="2">
        <v>44733</v>
      </c>
      <c r="C3659">
        <v>58.646308898925781</v>
      </c>
      <c r="D3659">
        <f>_xlfn.XLOOKUP(B3659, Oil_Price!A:A, Oil_Price!B:B, "")</f>
        <v>110.65000152587891</v>
      </c>
      <c r="E3659">
        <f t="shared" si="228"/>
        <v>8.6713925010031747E-3</v>
      </c>
      <c r="F3659" t="str">
        <f t="shared" si="229"/>
        <v/>
      </c>
      <c r="G3659">
        <f t="shared" si="230"/>
        <v>0.50417327880859375</v>
      </c>
      <c r="H3659" t="str">
        <f t="shared" si="231"/>
        <v/>
      </c>
    </row>
    <row r="3660" spans="1:8" x14ac:dyDescent="0.2">
      <c r="A3660" t="s">
        <v>14</v>
      </c>
      <c r="B3660" s="2">
        <v>44734</v>
      </c>
      <c r="C3660">
        <v>55.990386962890618</v>
      </c>
      <c r="D3660">
        <f>_xlfn.XLOOKUP(B3660, Oil_Price!A:A, Oil_Price!B:B, "")</f>
        <v>106.19000244140619</v>
      </c>
      <c r="E3660">
        <f t="shared" si="228"/>
        <v>-4.5287111600024528E-2</v>
      </c>
      <c r="F3660">
        <f t="shared" si="229"/>
        <v>-4.0307266362121154E-2</v>
      </c>
      <c r="G3660">
        <f t="shared" si="230"/>
        <v>-2.6559219360351634</v>
      </c>
      <c r="H3660">
        <f t="shared" si="231"/>
        <v>-4.4599990844727131</v>
      </c>
    </row>
    <row r="3661" spans="1:8" x14ac:dyDescent="0.2">
      <c r="A3661" t="s">
        <v>14</v>
      </c>
      <c r="B3661" s="2">
        <v>44735</v>
      </c>
      <c r="C3661">
        <v>52.425151824951172</v>
      </c>
      <c r="D3661">
        <f>_xlfn.XLOOKUP(B3661, Oil_Price!A:A, Oil_Price!B:B, "")</f>
        <v>104.26999664306641</v>
      </c>
      <c r="E3661">
        <f t="shared" si="228"/>
        <v>-6.3675843860525869E-2</v>
      </c>
      <c r="F3661">
        <f t="shared" si="229"/>
        <v>-1.8080852756352586E-2</v>
      </c>
      <c r="G3661">
        <f t="shared" si="230"/>
        <v>-3.565235137939446</v>
      </c>
      <c r="H3661">
        <f t="shared" si="231"/>
        <v>-1.9200057983397869</v>
      </c>
    </row>
    <row r="3662" spans="1:8" x14ac:dyDescent="0.2">
      <c r="A3662" t="s">
        <v>14</v>
      </c>
      <c r="B3662" s="2">
        <v>44736</v>
      </c>
      <c r="C3662">
        <v>54.396842956542969</v>
      </c>
      <c r="D3662">
        <f>_xlfn.XLOOKUP(B3662, Oil_Price!A:A, Oil_Price!B:B, "")</f>
        <v>107.620002746582</v>
      </c>
      <c r="E3662">
        <f t="shared" si="228"/>
        <v>3.7609640849020722E-2</v>
      </c>
      <c r="F3662">
        <f t="shared" si="229"/>
        <v>3.212818846617236E-2</v>
      </c>
      <c r="G3662">
        <f t="shared" si="230"/>
        <v>1.9716911315917969</v>
      </c>
      <c r="H3662">
        <f t="shared" si="231"/>
        <v>3.3500061035155966</v>
      </c>
    </row>
    <row r="3663" spans="1:8" x14ac:dyDescent="0.2">
      <c r="A3663" t="s">
        <v>14</v>
      </c>
      <c r="B3663" s="2">
        <v>44739</v>
      </c>
      <c r="C3663">
        <v>56.116439819335938</v>
      </c>
      <c r="D3663">
        <f>_xlfn.XLOOKUP(B3663, Oil_Price!A:A, Oil_Price!B:B, "")</f>
        <v>109.5699996948242</v>
      </c>
      <c r="E3663">
        <f t="shared" si="228"/>
        <v>3.1612071019760019E-2</v>
      </c>
      <c r="F3663">
        <f t="shared" si="229"/>
        <v>1.8119279859469557E-2</v>
      </c>
      <c r="G3663">
        <f t="shared" si="230"/>
        <v>1.7195968627929688</v>
      </c>
      <c r="H3663">
        <f t="shared" si="231"/>
        <v>1.9499969482422017</v>
      </c>
    </row>
    <row r="3664" spans="1:8" x14ac:dyDescent="0.2">
      <c r="A3664" t="s">
        <v>14</v>
      </c>
      <c r="B3664" s="2">
        <v>44740</v>
      </c>
      <c r="C3664">
        <v>57.205810546875</v>
      </c>
      <c r="D3664">
        <f>_xlfn.XLOOKUP(B3664, Oil_Price!A:A, Oil_Price!B:B, "")</f>
        <v>111.7600021362305</v>
      </c>
      <c r="E3664">
        <f t="shared" si="228"/>
        <v>1.9412684251642422E-2</v>
      </c>
      <c r="F3664">
        <f t="shared" si="229"/>
        <v>1.9987245117330622E-2</v>
      </c>
      <c r="G3664">
        <f t="shared" si="230"/>
        <v>1.0893707275390625</v>
      </c>
      <c r="H3664">
        <f t="shared" si="231"/>
        <v>2.1900024414062926</v>
      </c>
    </row>
    <row r="3665" spans="1:8" x14ac:dyDescent="0.2">
      <c r="A3665" t="s">
        <v>14</v>
      </c>
      <c r="B3665" s="2">
        <v>44741</v>
      </c>
      <c r="C3665">
        <v>55.216121673583977</v>
      </c>
      <c r="D3665">
        <f>_xlfn.XLOOKUP(B3665, Oil_Price!A:A, Oil_Price!B:B, "")</f>
        <v>109.7799987792969</v>
      </c>
      <c r="E3665">
        <f t="shared" si="228"/>
        <v>-3.4781237330089962E-2</v>
      </c>
      <c r="F3665">
        <f t="shared" si="229"/>
        <v>-1.7716565131414879E-2</v>
      </c>
      <c r="G3665">
        <f t="shared" si="230"/>
        <v>-1.9896888732910227</v>
      </c>
      <c r="H3665">
        <f t="shared" si="231"/>
        <v>-1.9800033569335938</v>
      </c>
    </row>
    <row r="3666" spans="1:8" x14ac:dyDescent="0.2">
      <c r="A3666" t="s">
        <v>14</v>
      </c>
      <c r="B3666" s="2">
        <v>44742</v>
      </c>
      <c r="C3666">
        <v>54.630924224853523</v>
      </c>
      <c r="D3666">
        <f>_xlfn.XLOOKUP(B3666, Oil_Price!A:A, Oil_Price!B:B, "")</f>
        <v>105.7600021362305</v>
      </c>
      <c r="E3666">
        <f t="shared" si="228"/>
        <v>-1.0598307722333561E-2</v>
      </c>
      <c r="F3666">
        <f t="shared" si="229"/>
        <v>-3.6618661757760247E-2</v>
      </c>
      <c r="G3666">
        <f t="shared" si="230"/>
        <v>-0.58519744873045454</v>
      </c>
      <c r="H3666">
        <f t="shared" si="231"/>
        <v>-4.0199966430664062</v>
      </c>
    </row>
    <row r="3667" spans="1:8" x14ac:dyDescent="0.2">
      <c r="A3667" t="s">
        <v>14</v>
      </c>
      <c r="B3667" s="2">
        <v>44746</v>
      </c>
      <c r="C3667">
        <v>55.135093688964837</v>
      </c>
      <c r="D3667" t="str">
        <f>_xlfn.XLOOKUP(B3667, Oil_Price!A:A, Oil_Price!B:B, "")</f>
        <v/>
      </c>
      <c r="E3667">
        <f t="shared" si="228"/>
        <v>9.2286460693255037E-3</v>
      </c>
      <c r="F3667" t="str">
        <f t="shared" si="229"/>
        <v/>
      </c>
      <c r="G3667">
        <f t="shared" si="230"/>
        <v>0.50416946411131391</v>
      </c>
      <c r="H3667" t="str">
        <f t="shared" si="231"/>
        <v/>
      </c>
    </row>
    <row r="3668" spans="1:8" x14ac:dyDescent="0.2">
      <c r="A3668" t="s">
        <v>14</v>
      </c>
      <c r="B3668" s="2">
        <v>44747</v>
      </c>
      <c r="C3668">
        <v>52.227085113525391</v>
      </c>
      <c r="D3668">
        <f>_xlfn.XLOOKUP(B3668, Oil_Price!A:A, Oil_Price!B:B, "")</f>
        <v>99.5</v>
      </c>
      <c r="E3668">
        <f t="shared" si="228"/>
        <v>-5.2743332438038047E-2</v>
      </c>
      <c r="F3668" t="str">
        <f t="shared" si="229"/>
        <v/>
      </c>
      <c r="G3668">
        <f t="shared" si="230"/>
        <v>-2.908008575439446</v>
      </c>
      <c r="H3668" t="str">
        <f t="shared" si="231"/>
        <v/>
      </c>
    </row>
    <row r="3669" spans="1:8" x14ac:dyDescent="0.2">
      <c r="A3669" t="s">
        <v>14</v>
      </c>
      <c r="B3669" s="2">
        <v>44748</v>
      </c>
      <c r="C3669">
        <v>49.958301544189453</v>
      </c>
      <c r="D3669">
        <f>_xlfn.XLOOKUP(B3669, Oil_Price!A:A, Oil_Price!B:B, "")</f>
        <v>98.529998779296875</v>
      </c>
      <c r="E3669">
        <f t="shared" si="228"/>
        <v>-4.3440746585881825E-2</v>
      </c>
      <c r="F3669">
        <f t="shared" si="229"/>
        <v>-9.7487559869660796E-3</v>
      </c>
      <c r="G3669">
        <f t="shared" si="230"/>
        <v>-2.2687835693359375</v>
      </c>
      <c r="H3669">
        <f t="shared" si="231"/>
        <v>-0.970001220703125</v>
      </c>
    </row>
    <row r="3670" spans="1:8" x14ac:dyDescent="0.2">
      <c r="A3670" t="s">
        <v>14</v>
      </c>
      <c r="B3670" s="2">
        <v>44749</v>
      </c>
      <c r="C3670">
        <v>51.659889221191413</v>
      </c>
      <c r="D3670">
        <f>_xlfn.XLOOKUP(B3670, Oil_Price!A:A, Oil_Price!B:B, "")</f>
        <v>102.73000335693359</v>
      </c>
      <c r="E3670">
        <f t="shared" si="228"/>
        <v>3.4060158660455267E-2</v>
      </c>
      <c r="F3670">
        <f t="shared" si="229"/>
        <v>4.262665817183816E-2</v>
      </c>
      <c r="G3670">
        <f t="shared" si="230"/>
        <v>1.7015876770019602</v>
      </c>
      <c r="H3670">
        <f t="shared" si="231"/>
        <v>4.2000045776367188</v>
      </c>
    </row>
    <row r="3671" spans="1:8" x14ac:dyDescent="0.2">
      <c r="A3671" t="s">
        <v>14</v>
      </c>
      <c r="B3671" s="2">
        <v>44750</v>
      </c>
      <c r="C3671">
        <v>51.758926391601562</v>
      </c>
      <c r="D3671">
        <f>_xlfn.XLOOKUP(B3671, Oil_Price!A:A, Oil_Price!B:B, "")</f>
        <v>104.7900009155273</v>
      </c>
      <c r="E3671">
        <f t="shared" si="228"/>
        <v>1.9170999377506037E-3</v>
      </c>
      <c r="F3671">
        <f t="shared" si="229"/>
        <v>2.0052540555618226E-2</v>
      </c>
      <c r="G3671">
        <f t="shared" si="230"/>
        <v>9.9037170410149145E-2</v>
      </c>
      <c r="H3671">
        <f t="shared" si="231"/>
        <v>2.0599975585937074</v>
      </c>
    </row>
    <row r="3672" spans="1:8" x14ac:dyDescent="0.2">
      <c r="A3672" t="s">
        <v>14</v>
      </c>
      <c r="B3672" s="2">
        <v>44753</v>
      </c>
      <c r="C3672">
        <v>51.101699829101562</v>
      </c>
      <c r="D3672">
        <f>_xlfn.XLOOKUP(B3672, Oil_Price!A:A, Oil_Price!B:B, "")</f>
        <v>104.0899963378906</v>
      </c>
      <c r="E3672">
        <f t="shared" si="228"/>
        <v>-1.2697839934458957E-2</v>
      </c>
      <c r="F3672">
        <f t="shared" si="229"/>
        <v>-6.6800703456524266E-3</v>
      </c>
      <c r="G3672">
        <f t="shared" si="230"/>
        <v>-0.6572265625</v>
      </c>
      <c r="H3672">
        <f t="shared" si="231"/>
        <v>-0.70000457763670454</v>
      </c>
    </row>
    <row r="3673" spans="1:8" x14ac:dyDescent="0.2">
      <c r="A3673" t="s">
        <v>14</v>
      </c>
      <c r="B3673" s="2">
        <v>44754</v>
      </c>
      <c r="C3673">
        <v>49.967300415039062</v>
      </c>
      <c r="D3673">
        <f>_xlfn.XLOOKUP(B3673, Oil_Price!A:A, Oil_Price!B:B, "")</f>
        <v>95.839996337890625</v>
      </c>
      <c r="E3673">
        <f t="shared" si="228"/>
        <v>-2.219885870443156E-2</v>
      </c>
      <c r="F3673">
        <f t="shared" si="229"/>
        <v>-7.9258336922400544E-2</v>
      </c>
      <c r="G3673">
        <f t="shared" si="230"/>
        <v>-1.1343994140625</v>
      </c>
      <c r="H3673">
        <f t="shared" si="231"/>
        <v>-8.2499999999999716</v>
      </c>
    </row>
    <row r="3674" spans="1:8" x14ac:dyDescent="0.2">
      <c r="A3674" t="s">
        <v>14</v>
      </c>
      <c r="B3674" s="2">
        <v>44755</v>
      </c>
      <c r="C3674">
        <v>49.508140563964837</v>
      </c>
      <c r="D3674">
        <f>_xlfn.XLOOKUP(B3674, Oil_Price!A:A, Oil_Price!B:B, "")</f>
        <v>96.300003051757812</v>
      </c>
      <c r="E3674">
        <f t="shared" si="228"/>
        <v>-9.1892066863798142E-3</v>
      </c>
      <c r="F3674">
        <f t="shared" si="229"/>
        <v>4.7997363464560407E-3</v>
      </c>
      <c r="G3674">
        <f t="shared" si="230"/>
        <v>-0.45915985107422586</v>
      </c>
      <c r="H3674">
        <f t="shared" si="231"/>
        <v>0.4600067138671875</v>
      </c>
    </row>
    <row r="3675" spans="1:8" x14ac:dyDescent="0.2">
      <c r="A3675" t="s">
        <v>14</v>
      </c>
      <c r="B3675" s="2">
        <v>44756</v>
      </c>
      <c r="C3675">
        <v>47.941604614257812</v>
      </c>
      <c r="D3675">
        <f>_xlfn.XLOOKUP(B3675, Oil_Price!A:A, Oil_Price!B:B, "")</f>
        <v>95.779998779296875</v>
      </c>
      <c r="E3675">
        <f t="shared" si="228"/>
        <v>-3.1641987193662617E-2</v>
      </c>
      <c r="F3675">
        <f t="shared" si="229"/>
        <v>-5.3998365107159321E-3</v>
      </c>
      <c r="G3675">
        <f t="shared" si="230"/>
        <v>-1.5665359497070241</v>
      </c>
      <c r="H3675">
        <f t="shared" si="231"/>
        <v>-0.5200042724609375</v>
      </c>
    </row>
    <row r="3676" spans="1:8" x14ac:dyDescent="0.2">
      <c r="A3676" t="s">
        <v>14</v>
      </c>
      <c r="B3676" s="2">
        <v>44757</v>
      </c>
      <c r="C3676">
        <v>48.886932373046882</v>
      </c>
      <c r="D3676">
        <f>_xlfn.XLOOKUP(B3676, Oil_Price!A:A, Oil_Price!B:B, "")</f>
        <v>97.589996337890625</v>
      </c>
      <c r="E3676">
        <f t="shared" si="228"/>
        <v>1.9718317031631634E-2</v>
      </c>
      <c r="F3676">
        <f t="shared" si="229"/>
        <v>1.8897448127604133E-2</v>
      </c>
      <c r="G3676">
        <f t="shared" si="230"/>
        <v>0.94532775878906961</v>
      </c>
      <c r="H3676">
        <f t="shared" si="231"/>
        <v>1.80999755859375</v>
      </c>
    </row>
    <row r="3677" spans="1:8" x14ac:dyDescent="0.2">
      <c r="A3677" t="s">
        <v>14</v>
      </c>
      <c r="B3677" s="2">
        <v>44760</v>
      </c>
      <c r="C3677">
        <v>49.715217590332031</v>
      </c>
      <c r="D3677">
        <f>_xlfn.XLOOKUP(B3677, Oil_Price!A:A, Oil_Price!B:B, "")</f>
        <v>102.59999847412109</v>
      </c>
      <c r="E3677">
        <f t="shared" si="228"/>
        <v>1.6942875674109847E-2</v>
      </c>
      <c r="F3677">
        <f t="shared" si="229"/>
        <v>5.1337250991219358E-2</v>
      </c>
      <c r="G3677">
        <f t="shared" si="230"/>
        <v>0.82828521728514914</v>
      </c>
      <c r="H3677">
        <f t="shared" si="231"/>
        <v>5.0100021362304688</v>
      </c>
    </row>
    <row r="3678" spans="1:8" x14ac:dyDescent="0.2">
      <c r="A3678" t="s">
        <v>14</v>
      </c>
      <c r="B3678" s="2">
        <v>44761</v>
      </c>
      <c r="C3678">
        <v>52.083034515380859</v>
      </c>
      <c r="D3678">
        <f>_xlfn.XLOOKUP(B3678, Oil_Price!A:A, Oil_Price!B:B, "")</f>
        <v>104.2200012207031</v>
      </c>
      <c r="E3678">
        <f t="shared" si="228"/>
        <v>4.762760860387525E-2</v>
      </c>
      <c r="F3678">
        <f t="shared" si="229"/>
        <v>1.5789500688838876E-2</v>
      </c>
      <c r="G3678">
        <f t="shared" si="230"/>
        <v>2.3678169250488281</v>
      </c>
      <c r="H3678">
        <f t="shared" si="231"/>
        <v>1.6200027465820028</v>
      </c>
    </row>
    <row r="3679" spans="1:8" x14ac:dyDescent="0.2">
      <c r="A3679" t="s">
        <v>14</v>
      </c>
      <c r="B3679" s="2">
        <v>44762</v>
      </c>
      <c r="C3679">
        <v>52.542190551757812</v>
      </c>
      <c r="D3679">
        <f>_xlfn.XLOOKUP(B3679, Oil_Price!A:A, Oil_Price!B:B, "")</f>
        <v>102.2600021362305</v>
      </c>
      <c r="E3679">
        <f t="shared" si="228"/>
        <v>8.815846477634821E-3</v>
      </c>
      <c r="F3679">
        <f t="shared" si="229"/>
        <v>-1.8806362133137737E-2</v>
      </c>
      <c r="G3679">
        <f t="shared" si="230"/>
        <v>0.45915603637695312</v>
      </c>
      <c r="H3679">
        <f t="shared" si="231"/>
        <v>-1.9599990844725994</v>
      </c>
    </row>
    <row r="3680" spans="1:8" x14ac:dyDescent="0.2">
      <c r="A3680" t="s">
        <v>14</v>
      </c>
      <c r="B3680" s="2">
        <v>44763</v>
      </c>
      <c r="C3680">
        <v>51.065689086914062</v>
      </c>
      <c r="D3680">
        <f>_xlfn.XLOOKUP(B3680, Oil_Price!A:A, Oil_Price!B:B, "")</f>
        <v>96.349998474121094</v>
      </c>
      <c r="E3680">
        <f t="shared" si="228"/>
        <v>-2.8101254426940774E-2</v>
      </c>
      <c r="F3680">
        <f t="shared" si="229"/>
        <v>-5.7793893395739544E-2</v>
      </c>
      <c r="G3680">
        <f t="shared" si="230"/>
        <v>-1.47650146484375</v>
      </c>
      <c r="H3680">
        <f t="shared" si="231"/>
        <v>-5.9100036621094034</v>
      </c>
    </row>
    <row r="3681" spans="1:8" x14ac:dyDescent="0.2">
      <c r="A3681" t="s">
        <v>14</v>
      </c>
      <c r="B3681" s="2">
        <v>44764</v>
      </c>
      <c r="C3681">
        <v>50.219394683837891</v>
      </c>
      <c r="D3681">
        <f>_xlfn.XLOOKUP(B3681, Oil_Price!A:A, Oil_Price!B:B, "")</f>
        <v>94.699996948242188</v>
      </c>
      <c r="E3681">
        <f t="shared" si="228"/>
        <v>-1.6572661961650501E-2</v>
      </c>
      <c r="F3681">
        <f t="shared" si="229"/>
        <v>-1.7125080975710492E-2</v>
      </c>
      <c r="G3681">
        <f t="shared" si="230"/>
        <v>-0.84629440307617188</v>
      </c>
      <c r="H3681">
        <f t="shared" si="231"/>
        <v>-1.6500015258789062</v>
      </c>
    </row>
    <row r="3682" spans="1:8" x14ac:dyDescent="0.2">
      <c r="A3682" t="s">
        <v>14</v>
      </c>
      <c r="B3682" s="2">
        <v>44767</v>
      </c>
      <c r="C3682">
        <v>51.470821380615227</v>
      </c>
      <c r="D3682">
        <f>_xlfn.XLOOKUP(B3682, Oil_Price!A:A, Oil_Price!B:B, "")</f>
        <v>96.699996948242188</v>
      </c>
      <c r="E3682">
        <f t="shared" si="228"/>
        <v>2.4919191174163701E-2</v>
      </c>
      <c r="F3682">
        <f t="shared" si="229"/>
        <v>2.1119324862207651E-2</v>
      </c>
      <c r="G3682">
        <f t="shared" si="230"/>
        <v>1.2514266967773366</v>
      </c>
      <c r="H3682">
        <f t="shared" si="231"/>
        <v>2</v>
      </c>
    </row>
    <row r="3683" spans="1:8" x14ac:dyDescent="0.2">
      <c r="A3683" t="s">
        <v>14</v>
      </c>
      <c r="B3683" s="2">
        <v>44768</v>
      </c>
      <c r="C3683">
        <v>51.434803009033203</v>
      </c>
      <c r="D3683">
        <f>_xlfn.XLOOKUP(B3683, Oil_Price!A:A, Oil_Price!B:B, "")</f>
        <v>94.980003356933594</v>
      </c>
      <c r="E3683">
        <f t="shared" si="228"/>
        <v>-6.9978233523176816E-4</v>
      </c>
      <c r="F3683">
        <f t="shared" si="229"/>
        <v>-1.7786904297724074E-2</v>
      </c>
      <c r="G3683">
        <f t="shared" si="230"/>
        <v>-3.6018371582024145E-2</v>
      </c>
      <c r="H3683">
        <f t="shared" si="231"/>
        <v>-1.7199935913085938</v>
      </c>
    </row>
    <row r="3684" spans="1:8" x14ac:dyDescent="0.2">
      <c r="A3684" t="s">
        <v>14</v>
      </c>
      <c r="B3684" s="2">
        <v>44769</v>
      </c>
      <c r="C3684">
        <v>52.416152954101562</v>
      </c>
      <c r="D3684">
        <f>_xlfn.XLOOKUP(B3684, Oil_Price!A:A, Oil_Price!B:B, "")</f>
        <v>97.260002136230469</v>
      </c>
      <c r="E3684">
        <f t="shared" si="228"/>
        <v>1.9079492632566523E-2</v>
      </c>
      <c r="F3684">
        <f t="shared" si="229"/>
        <v>2.4005039994878394E-2</v>
      </c>
      <c r="G3684">
        <f t="shared" si="230"/>
        <v>0.98134994506835938</v>
      </c>
      <c r="H3684">
        <f t="shared" si="231"/>
        <v>2.279998779296875</v>
      </c>
    </row>
    <row r="3685" spans="1:8" x14ac:dyDescent="0.2">
      <c r="A3685" t="s">
        <v>14</v>
      </c>
      <c r="B3685" s="2">
        <v>44770</v>
      </c>
      <c r="C3685">
        <v>53.172416687011719</v>
      </c>
      <c r="D3685">
        <f>_xlfn.XLOOKUP(B3685, Oil_Price!A:A, Oil_Price!B:B, "")</f>
        <v>96.419998168945312</v>
      </c>
      <c r="E3685">
        <f t="shared" si="228"/>
        <v>1.442806635527758E-2</v>
      </c>
      <c r="F3685">
        <f t="shared" si="229"/>
        <v>-8.6366846476990267E-3</v>
      </c>
      <c r="G3685">
        <f t="shared" si="230"/>
        <v>0.75626373291015625</v>
      </c>
      <c r="H3685">
        <f t="shared" si="231"/>
        <v>-0.84000396728515625</v>
      </c>
    </row>
    <row r="3686" spans="1:8" x14ac:dyDescent="0.2">
      <c r="A3686" t="s">
        <v>14</v>
      </c>
      <c r="B3686" s="2">
        <v>44771</v>
      </c>
      <c r="C3686">
        <v>55.252140045166023</v>
      </c>
      <c r="D3686">
        <f>_xlfn.XLOOKUP(B3686, Oil_Price!A:A, Oil_Price!B:B, "")</f>
        <v>98.620002746582031</v>
      </c>
      <c r="E3686">
        <f t="shared" si="228"/>
        <v>3.9112823673149173E-2</v>
      </c>
      <c r="F3686">
        <f t="shared" si="229"/>
        <v>2.2816890887945383E-2</v>
      </c>
      <c r="G3686">
        <f t="shared" si="230"/>
        <v>2.079723358154304</v>
      </c>
      <c r="H3686">
        <f t="shared" si="231"/>
        <v>2.2000045776367188</v>
      </c>
    </row>
    <row r="3687" spans="1:8" x14ac:dyDescent="0.2">
      <c r="A3687" t="s">
        <v>14</v>
      </c>
      <c r="B3687" s="2">
        <v>44775</v>
      </c>
      <c r="C3687">
        <v>53.262447357177727</v>
      </c>
      <c r="D3687">
        <f>_xlfn.XLOOKUP(B3687, Oil_Price!A:A, Oil_Price!B:B, "")</f>
        <v>94.419998168945312</v>
      </c>
      <c r="E3687">
        <f t="shared" si="228"/>
        <v>-3.6011142488993467E-2</v>
      </c>
      <c r="F3687">
        <f t="shared" si="229"/>
        <v>-4.2587755634414463E-2</v>
      </c>
      <c r="G3687">
        <f t="shared" si="230"/>
        <v>-1.9896926879882955</v>
      </c>
      <c r="H3687">
        <f t="shared" si="231"/>
        <v>-4.2000045776367188</v>
      </c>
    </row>
    <row r="3688" spans="1:8" x14ac:dyDescent="0.2">
      <c r="A3688" t="s">
        <v>14</v>
      </c>
      <c r="B3688" s="2">
        <v>44776</v>
      </c>
      <c r="C3688">
        <v>51.236736297607422</v>
      </c>
      <c r="D3688">
        <f>_xlfn.XLOOKUP(B3688, Oil_Price!A:A, Oil_Price!B:B, "")</f>
        <v>90.660003662109375</v>
      </c>
      <c r="E3688">
        <f t="shared" si="228"/>
        <v>-3.8032631996533998E-2</v>
      </c>
      <c r="F3688">
        <f t="shared" si="229"/>
        <v>-3.9822014189284299E-2</v>
      </c>
      <c r="G3688">
        <f t="shared" si="230"/>
        <v>-2.0257110595703054</v>
      </c>
      <c r="H3688">
        <f t="shared" si="231"/>
        <v>-3.7599945068359375</v>
      </c>
    </row>
    <row r="3689" spans="1:8" x14ac:dyDescent="0.2">
      <c r="A3689" t="s">
        <v>14</v>
      </c>
      <c r="B3689" s="2">
        <v>44777</v>
      </c>
      <c r="C3689">
        <v>48.346736907958977</v>
      </c>
      <c r="D3689">
        <f>_xlfn.XLOOKUP(B3689, Oil_Price!A:A, Oil_Price!B:B, "")</f>
        <v>88.540000915527344</v>
      </c>
      <c r="E3689">
        <f t="shared" si="228"/>
        <v>-5.6404829785838592E-2</v>
      </c>
      <c r="F3689">
        <f t="shared" si="229"/>
        <v>-2.3384101709098756E-2</v>
      </c>
      <c r="G3689">
        <f t="shared" si="230"/>
        <v>-2.8899993896484446</v>
      </c>
      <c r="H3689">
        <f t="shared" si="231"/>
        <v>-2.1200027465820312</v>
      </c>
    </row>
    <row r="3690" spans="1:8" x14ac:dyDescent="0.2">
      <c r="A3690" t="s">
        <v>14</v>
      </c>
      <c r="B3690" s="2">
        <v>44778</v>
      </c>
      <c r="C3690">
        <v>49.499141693115227</v>
      </c>
      <c r="D3690">
        <f>_xlfn.XLOOKUP(B3690, Oil_Price!A:A, Oil_Price!B:B, "")</f>
        <v>89.010002136230469</v>
      </c>
      <c r="E3690">
        <f t="shared" si="228"/>
        <v>2.3836247466921347E-2</v>
      </c>
      <c r="F3690">
        <f t="shared" si="229"/>
        <v>5.3083489478561825E-3</v>
      </c>
      <c r="G3690">
        <f t="shared" si="230"/>
        <v>1.15240478515625</v>
      </c>
      <c r="H3690">
        <f t="shared" si="231"/>
        <v>0.470001220703125</v>
      </c>
    </row>
    <row r="3691" spans="1:8" x14ac:dyDescent="0.2">
      <c r="A3691" t="s">
        <v>14</v>
      </c>
      <c r="B3691" s="2">
        <v>44781</v>
      </c>
      <c r="C3691">
        <v>48.832908630371087</v>
      </c>
      <c r="D3691">
        <f>_xlfn.XLOOKUP(B3691, Oil_Price!A:A, Oil_Price!B:B, "")</f>
        <v>90.760002136230469</v>
      </c>
      <c r="E3691">
        <f t="shared" si="228"/>
        <v>-1.3459487174033285E-2</v>
      </c>
      <c r="F3691">
        <f t="shared" si="229"/>
        <v>1.9660711807664176E-2</v>
      </c>
      <c r="G3691">
        <f t="shared" si="230"/>
        <v>-0.66623306274414062</v>
      </c>
      <c r="H3691">
        <f t="shared" si="231"/>
        <v>1.75</v>
      </c>
    </row>
    <row r="3692" spans="1:8" x14ac:dyDescent="0.2">
      <c r="A3692" t="s">
        <v>14</v>
      </c>
      <c r="B3692" s="2">
        <v>44782</v>
      </c>
      <c r="C3692">
        <v>50.390457153320312</v>
      </c>
      <c r="D3692">
        <f>_xlfn.XLOOKUP(B3692, Oil_Price!A:A, Oil_Price!B:B, "")</f>
        <v>90.5</v>
      </c>
      <c r="E3692">
        <f t="shared" si="228"/>
        <v>3.189546899077246E-2</v>
      </c>
      <c r="F3692">
        <f t="shared" si="229"/>
        <v>-2.8647215746007409E-3</v>
      </c>
      <c r="G3692">
        <f t="shared" si="230"/>
        <v>1.5575485229492259</v>
      </c>
      <c r="H3692">
        <f t="shared" si="231"/>
        <v>-0.26000213623046875</v>
      </c>
    </row>
    <row r="3693" spans="1:8" x14ac:dyDescent="0.2">
      <c r="A3693" t="s">
        <v>14</v>
      </c>
      <c r="B3693" s="2">
        <v>44783</v>
      </c>
      <c r="C3693">
        <v>50.489479064941413</v>
      </c>
      <c r="D3693">
        <f>_xlfn.XLOOKUP(B3693, Oil_Price!A:A, Oil_Price!B:B, "")</f>
        <v>91.930000305175781</v>
      </c>
      <c r="E3693">
        <f t="shared" si="228"/>
        <v>1.9650925436102366E-3</v>
      </c>
      <c r="F3693">
        <f t="shared" si="229"/>
        <v>1.5801108344483769E-2</v>
      </c>
      <c r="G3693">
        <f t="shared" si="230"/>
        <v>9.9021911621100855E-2</v>
      </c>
      <c r="H3693">
        <f t="shared" si="231"/>
        <v>1.4300003051757812</v>
      </c>
    </row>
    <row r="3694" spans="1:8" x14ac:dyDescent="0.2">
      <c r="A3694" t="s">
        <v>14</v>
      </c>
      <c r="B3694" s="2">
        <v>44784</v>
      </c>
      <c r="C3694">
        <v>52.911323547363281</v>
      </c>
      <c r="D3694">
        <f>_xlfn.XLOOKUP(B3694, Oil_Price!A:A, Oil_Price!B:B, "")</f>
        <v>94.339996337890625</v>
      </c>
      <c r="E3694">
        <f t="shared" si="228"/>
        <v>4.7967309769760214E-2</v>
      </c>
      <c r="F3694">
        <f t="shared" si="229"/>
        <v>2.6215555582666063E-2</v>
      </c>
      <c r="G3694">
        <f t="shared" si="230"/>
        <v>2.4218444824218679</v>
      </c>
      <c r="H3694">
        <f t="shared" si="231"/>
        <v>2.4099960327148438</v>
      </c>
    </row>
    <row r="3695" spans="1:8" x14ac:dyDescent="0.2">
      <c r="A3695" t="s">
        <v>14</v>
      </c>
      <c r="B3695" s="2">
        <v>44785</v>
      </c>
      <c r="C3695">
        <v>53.001350402832031</v>
      </c>
      <c r="D3695">
        <f>_xlfn.XLOOKUP(B3695, Oil_Price!A:A, Oil_Price!B:B, "")</f>
        <v>92.089996337890625</v>
      </c>
      <c r="E3695">
        <f t="shared" si="228"/>
        <v>1.7014667075595444E-3</v>
      </c>
      <c r="F3695">
        <f t="shared" si="229"/>
        <v>-2.3849905526192098E-2</v>
      </c>
      <c r="G3695">
        <f t="shared" si="230"/>
        <v>9.002685546875E-2</v>
      </c>
      <c r="H3695">
        <f t="shared" si="231"/>
        <v>-2.25</v>
      </c>
    </row>
    <row r="3696" spans="1:8" x14ac:dyDescent="0.2">
      <c r="A3696" t="s">
        <v>14</v>
      </c>
      <c r="B3696" s="2">
        <v>44788</v>
      </c>
      <c r="C3696">
        <v>52.281108856201172</v>
      </c>
      <c r="D3696">
        <f>_xlfn.XLOOKUP(B3696, Oil_Price!A:A, Oil_Price!B:B, "")</f>
        <v>89.410003662109375</v>
      </c>
      <c r="E3696">
        <f t="shared" si="228"/>
        <v>-1.3589116902809605E-2</v>
      </c>
      <c r="F3696">
        <f t="shared" si="229"/>
        <v>-2.9101887092578386E-2</v>
      </c>
      <c r="G3696">
        <f t="shared" si="230"/>
        <v>-0.72024154663085938</v>
      </c>
      <c r="H3696">
        <f t="shared" si="231"/>
        <v>-2.67999267578125</v>
      </c>
    </row>
    <row r="3697" spans="1:8" x14ac:dyDescent="0.2">
      <c r="A3697" t="s">
        <v>14</v>
      </c>
      <c r="B3697" s="2">
        <v>44789</v>
      </c>
      <c r="C3697">
        <v>52.155055999755859</v>
      </c>
      <c r="D3697">
        <f>_xlfn.XLOOKUP(B3697, Oil_Price!A:A, Oil_Price!B:B, "")</f>
        <v>86.529998779296875</v>
      </c>
      <c r="E3697">
        <f t="shared" si="228"/>
        <v>-2.411059352088725E-3</v>
      </c>
      <c r="F3697">
        <f t="shared" si="229"/>
        <v>-3.2211215354563318E-2</v>
      </c>
      <c r="G3697">
        <f t="shared" si="230"/>
        <v>-0.1260528564453125</v>
      </c>
      <c r="H3697">
        <f t="shared" si="231"/>
        <v>-2.8800048828125</v>
      </c>
    </row>
    <row r="3698" spans="1:8" x14ac:dyDescent="0.2">
      <c r="A3698" t="s">
        <v>14</v>
      </c>
      <c r="B3698" s="2">
        <v>44790</v>
      </c>
      <c r="C3698">
        <v>53.370479583740227</v>
      </c>
      <c r="D3698">
        <f>_xlfn.XLOOKUP(B3698, Oil_Price!A:A, Oil_Price!B:B, "")</f>
        <v>88.110000610351562</v>
      </c>
      <c r="E3698">
        <f t="shared" si="228"/>
        <v>2.3304041395144075E-2</v>
      </c>
      <c r="F3698">
        <f t="shared" si="229"/>
        <v>1.8259584575802838E-2</v>
      </c>
      <c r="G3698">
        <f t="shared" si="230"/>
        <v>1.2154235839843679</v>
      </c>
      <c r="H3698">
        <f t="shared" si="231"/>
        <v>1.5800018310546875</v>
      </c>
    </row>
    <row r="3699" spans="1:8" x14ac:dyDescent="0.2">
      <c r="A3699" t="s">
        <v>14</v>
      </c>
      <c r="B3699" s="2">
        <v>44791</v>
      </c>
      <c r="C3699">
        <v>55.189109802246087</v>
      </c>
      <c r="D3699">
        <f>_xlfn.XLOOKUP(B3699, Oil_Price!A:A, Oil_Price!B:B, "")</f>
        <v>90.5</v>
      </c>
      <c r="E3699">
        <f t="shared" si="228"/>
        <v>3.4075583219228191E-2</v>
      </c>
      <c r="F3699">
        <f t="shared" si="229"/>
        <v>2.712517731350066E-2</v>
      </c>
      <c r="G3699">
        <f t="shared" si="230"/>
        <v>1.8186302185058594</v>
      </c>
      <c r="H3699">
        <f t="shared" si="231"/>
        <v>2.3899993896484375</v>
      </c>
    </row>
    <row r="3700" spans="1:8" x14ac:dyDescent="0.2">
      <c r="A3700" t="s">
        <v>14</v>
      </c>
      <c r="B3700" s="2">
        <v>44792</v>
      </c>
      <c r="C3700">
        <v>55.405189514160163</v>
      </c>
      <c r="D3700">
        <f>_xlfn.XLOOKUP(B3700, Oil_Price!A:A, Oil_Price!B:B, "")</f>
        <v>90.769996643066406</v>
      </c>
      <c r="E3700">
        <f t="shared" si="228"/>
        <v>3.9152599614006222E-3</v>
      </c>
      <c r="F3700">
        <f t="shared" si="229"/>
        <v>2.9833883211757596E-3</v>
      </c>
      <c r="G3700">
        <f t="shared" si="230"/>
        <v>0.21607971191407671</v>
      </c>
      <c r="H3700">
        <f t="shared" si="231"/>
        <v>0.26999664306640625</v>
      </c>
    </row>
    <row r="3701" spans="1:8" x14ac:dyDescent="0.2">
      <c r="A3701" t="s">
        <v>14</v>
      </c>
      <c r="B3701" s="2">
        <v>44795</v>
      </c>
      <c r="C3701">
        <v>56.278491973876953</v>
      </c>
      <c r="D3701">
        <f>_xlfn.XLOOKUP(B3701, Oil_Price!A:A, Oil_Price!B:B, "")</f>
        <v>90.230003356933594</v>
      </c>
      <c r="E3701">
        <f t="shared" si="228"/>
        <v>1.5762105813095284E-2</v>
      </c>
      <c r="F3701">
        <f t="shared" si="229"/>
        <v>-5.9490283805586179E-3</v>
      </c>
      <c r="G3701">
        <f t="shared" si="230"/>
        <v>0.87330245971678977</v>
      </c>
      <c r="H3701">
        <f t="shared" si="231"/>
        <v>-0.5399932861328125</v>
      </c>
    </row>
    <row r="3702" spans="1:8" x14ac:dyDescent="0.2">
      <c r="A3702" t="s">
        <v>14</v>
      </c>
      <c r="B3702" s="2">
        <v>44796</v>
      </c>
      <c r="C3702">
        <v>58.448249816894531</v>
      </c>
      <c r="D3702">
        <f>_xlfn.XLOOKUP(B3702, Oil_Price!A:A, Oil_Price!B:B, "")</f>
        <v>93.739997863769531</v>
      </c>
      <c r="E3702">
        <f t="shared" si="228"/>
        <v>3.8553944267460553E-2</v>
      </c>
      <c r="F3702">
        <f t="shared" si="229"/>
        <v>3.8900525060949334E-2</v>
      </c>
      <c r="G3702">
        <f t="shared" si="230"/>
        <v>2.1697578430175781</v>
      </c>
      <c r="H3702">
        <f t="shared" si="231"/>
        <v>3.5099945068359375</v>
      </c>
    </row>
    <row r="3703" spans="1:8" x14ac:dyDescent="0.2">
      <c r="A3703" t="s">
        <v>14</v>
      </c>
      <c r="B3703" s="2">
        <v>44797</v>
      </c>
      <c r="C3703">
        <v>58.898399353027337</v>
      </c>
      <c r="D3703">
        <f>_xlfn.XLOOKUP(B3703, Oil_Price!A:A, Oil_Price!B:B, "")</f>
        <v>94.889999389648438</v>
      </c>
      <c r="E3703">
        <f t="shared" si="228"/>
        <v>7.7016769115076083E-3</v>
      </c>
      <c r="F3703">
        <f t="shared" si="229"/>
        <v>1.2267991808045275E-2</v>
      </c>
      <c r="G3703">
        <f t="shared" si="230"/>
        <v>0.45014953613280539</v>
      </c>
      <c r="H3703">
        <f t="shared" si="231"/>
        <v>1.1500015258789062</v>
      </c>
    </row>
    <row r="3704" spans="1:8" x14ac:dyDescent="0.2">
      <c r="A3704" t="s">
        <v>14</v>
      </c>
      <c r="B3704" s="2">
        <v>44798</v>
      </c>
      <c r="C3704">
        <v>59.681659698486328</v>
      </c>
      <c r="D3704">
        <f>_xlfn.XLOOKUP(B3704, Oil_Price!A:A, Oil_Price!B:B, "")</f>
        <v>92.519996643066406</v>
      </c>
      <c r="E3704">
        <f t="shared" si="228"/>
        <v>1.3298499688663142E-2</v>
      </c>
      <c r="F3704">
        <f t="shared" si="229"/>
        <v>-2.4976317439417913E-2</v>
      </c>
      <c r="G3704">
        <f t="shared" si="230"/>
        <v>0.78326034545899148</v>
      </c>
      <c r="H3704">
        <f t="shared" si="231"/>
        <v>-2.3700027465820312</v>
      </c>
    </row>
    <row r="3705" spans="1:8" x14ac:dyDescent="0.2">
      <c r="A3705" t="s">
        <v>14</v>
      </c>
      <c r="B3705" s="2">
        <v>44799</v>
      </c>
      <c r="C3705">
        <v>59.114486694335938</v>
      </c>
      <c r="D3705">
        <f>_xlfn.XLOOKUP(B3705, Oil_Price!A:A, Oil_Price!B:B, "")</f>
        <v>93.05999755859375</v>
      </c>
      <c r="E3705">
        <f t="shared" si="228"/>
        <v>-9.5033048178580649E-3</v>
      </c>
      <c r="F3705">
        <f t="shared" si="229"/>
        <v>5.8365859827104981E-3</v>
      </c>
      <c r="G3705">
        <f t="shared" si="230"/>
        <v>-0.56717300415039062</v>
      </c>
      <c r="H3705">
        <f t="shared" si="231"/>
        <v>0.54000091552734375</v>
      </c>
    </row>
    <row r="3706" spans="1:8" x14ac:dyDescent="0.2">
      <c r="A3706" t="s">
        <v>14</v>
      </c>
      <c r="B3706" s="2">
        <v>44802</v>
      </c>
      <c r="C3706">
        <v>60.933094024658203</v>
      </c>
      <c r="D3706">
        <f>_xlfn.XLOOKUP(B3706, Oil_Price!A:A, Oil_Price!B:B, "")</f>
        <v>97.010002136230469</v>
      </c>
      <c r="E3706">
        <f t="shared" si="228"/>
        <v>3.0764156673232446E-2</v>
      </c>
      <c r="F3706">
        <f t="shared" si="229"/>
        <v>4.2445784238814975E-2</v>
      </c>
      <c r="G3706">
        <f t="shared" si="230"/>
        <v>1.8186073303222656</v>
      </c>
      <c r="H3706">
        <f t="shared" si="231"/>
        <v>3.9500045776367188</v>
      </c>
    </row>
    <row r="3707" spans="1:8" x14ac:dyDescent="0.2">
      <c r="A3707" t="s">
        <v>14</v>
      </c>
      <c r="B3707" s="2">
        <v>44803</v>
      </c>
      <c r="C3707">
        <v>58.916404724121087</v>
      </c>
      <c r="D3707">
        <f>_xlfn.XLOOKUP(B3707, Oil_Price!A:A, Oil_Price!B:B, "")</f>
        <v>91.639999389648438</v>
      </c>
      <c r="E3707">
        <f t="shared" si="228"/>
        <v>-3.3096781524355377E-2</v>
      </c>
      <c r="F3707">
        <f t="shared" si="229"/>
        <v>-5.5355145122468648E-2</v>
      </c>
      <c r="G3707">
        <f t="shared" si="230"/>
        <v>-2.0166893005371165</v>
      </c>
      <c r="H3707">
        <f t="shared" si="231"/>
        <v>-5.3700027465820312</v>
      </c>
    </row>
    <row r="3708" spans="1:8" x14ac:dyDescent="0.2">
      <c r="A3708" t="s">
        <v>14</v>
      </c>
      <c r="B3708" s="2">
        <v>44804</v>
      </c>
      <c r="C3708">
        <v>58.034103393554688</v>
      </c>
      <c r="D3708">
        <f>_xlfn.XLOOKUP(B3708, Oil_Price!A:A, Oil_Price!B:B, "")</f>
        <v>89.550003051757812</v>
      </c>
      <c r="E3708">
        <f t="shared" si="228"/>
        <v>-1.4975478132072345E-2</v>
      </c>
      <c r="F3708">
        <f t="shared" si="229"/>
        <v>-2.2806594847344673E-2</v>
      </c>
      <c r="G3708">
        <f t="shared" si="230"/>
        <v>-0.88230133056639914</v>
      </c>
      <c r="H3708">
        <f t="shared" si="231"/>
        <v>-2.089996337890625</v>
      </c>
    </row>
    <row r="3709" spans="1:8" x14ac:dyDescent="0.2">
      <c r="A3709" t="s">
        <v>14</v>
      </c>
      <c r="B3709" s="2">
        <v>44805</v>
      </c>
      <c r="C3709">
        <v>56.776027679443359</v>
      </c>
      <c r="D3709">
        <f>_xlfn.XLOOKUP(B3709, Oil_Price!A:A, Oil_Price!B:B, "")</f>
        <v>86.610000610351562</v>
      </c>
      <c r="E3709">
        <f t="shared" si="228"/>
        <v>-2.1678214024946081E-2</v>
      </c>
      <c r="F3709">
        <f t="shared" si="229"/>
        <v>-3.2830846914734299E-2</v>
      </c>
      <c r="G3709">
        <f t="shared" si="230"/>
        <v>-1.2580757141113281</v>
      </c>
      <c r="H3709">
        <f t="shared" si="231"/>
        <v>-2.94000244140625</v>
      </c>
    </row>
    <row r="3710" spans="1:8" x14ac:dyDescent="0.2">
      <c r="A3710" t="s">
        <v>14</v>
      </c>
      <c r="B3710" s="2">
        <v>44806</v>
      </c>
      <c r="C3710">
        <v>58.16986083984375</v>
      </c>
      <c r="D3710">
        <f>_xlfn.XLOOKUP(B3710, Oil_Price!A:A, Oil_Price!B:B, "")</f>
        <v>86.870002746582031</v>
      </c>
      <c r="E3710">
        <f t="shared" si="228"/>
        <v>2.4549677343930307E-2</v>
      </c>
      <c r="F3710">
        <f t="shared" si="229"/>
        <v>3.0019874656298465E-3</v>
      </c>
      <c r="G3710">
        <f t="shared" si="230"/>
        <v>1.3938331604003906</v>
      </c>
      <c r="H3710">
        <f t="shared" si="231"/>
        <v>0.26000213623046875</v>
      </c>
    </row>
    <row r="3711" spans="1:8" x14ac:dyDescent="0.2">
      <c r="A3711" t="s">
        <v>14</v>
      </c>
      <c r="B3711" s="2">
        <v>44810</v>
      </c>
      <c r="C3711">
        <v>57.300979614257812</v>
      </c>
      <c r="D3711">
        <f>_xlfn.XLOOKUP(B3711, Oil_Price!A:A, Oil_Price!B:B, "")</f>
        <v>86.879997253417969</v>
      </c>
      <c r="E3711">
        <f t="shared" si="228"/>
        <v>-1.4936965862410879E-2</v>
      </c>
      <c r="F3711">
        <f t="shared" si="229"/>
        <v>1.1505130102382484E-4</v>
      </c>
      <c r="G3711">
        <f t="shared" si="230"/>
        <v>-0.8688812255859375</v>
      </c>
      <c r="H3711">
        <f t="shared" si="231"/>
        <v>9.9945068359375E-3</v>
      </c>
    </row>
    <row r="3712" spans="1:8" x14ac:dyDescent="0.2">
      <c r="A3712" t="s">
        <v>14</v>
      </c>
      <c r="B3712" s="2">
        <v>44811</v>
      </c>
      <c r="C3712">
        <v>55.355045318603523</v>
      </c>
      <c r="D3712">
        <f>_xlfn.XLOOKUP(B3712, Oil_Price!A:A, Oil_Price!B:B, "")</f>
        <v>81.94000244140625</v>
      </c>
      <c r="E3712">
        <f t="shared" si="228"/>
        <v>-3.3959878325886358E-2</v>
      </c>
      <c r="F3712">
        <f t="shared" si="229"/>
        <v>-5.68599789155423E-2</v>
      </c>
      <c r="G3712">
        <f t="shared" si="230"/>
        <v>-1.9459342956542898</v>
      </c>
      <c r="H3712">
        <f t="shared" si="231"/>
        <v>-4.9399948120117188</v>
      </c>
    </row>
    <row r="3713" spans="1:8" x14ac:dyDescent="0.2">
      <c r="A3713" t="s">
        <v>14</v>
      </c>
      <c r="B3713" s="2">
        <v>44812</v>
      </c>
      <c r="C3713">
        <v>55.925247192382812</v>
      </c>
      <c r="D3713">
        <f>_xlfn.XLOOKUP(B3713, Oil_Price!A:A, Oil_Price!B:B, "")</f>
        <v>83.540000915527344</v>
      </c>
      <c r="E3713">
        <f t="shared" si="228"/>
        <v>1.0300811253923016E-2</v>
      </c>
      <c r="F3713">
        <f t="shared" si="229"/>
        <v>1.9526463588589987E-2</v>
      </c>
      <c r="G3713">
        <f t="shared" si="230"/>
        <v>0.57020187377928977</v>
      </c>
      <c r="H3713">
        <f t="shared" si="231"/>
        <v>1.5999984741210938</v>
      </c>
    </row>
    <row r="3714" spans="1:8" x14ac:dyDescent="0.2">
      <c r="A3714" t="s">
        <v>14</v>
      </c>
      <c r="B3714" s="2">
        <v>44813</v>
      </c>
      <c r="C3714">
        <v>57.110908508300781</v>
      </c>
      <c r="D3714">
        <f>_xlfn.XLOOKUP(B3714, Oil_Price!A:A, Oil_Price!B:B, "")</f>
        <v>86.790000915527344</v>
      </c>
      <c r="E3714">
        <f t="shared" si="228"/>
        <v>2.1200823875472462E-2</v>
      </c>
      <c r="F3714">
        <f t="shared" si="229"/>
        <v>3.8903518845855453E-2</v>
      </c>
      <c r="G3714">
        <f t="shared" si="230"/>
        <v>1.1856613159179688</v>
      </c>
      <c r="H3714">
        <f t="shared" si="231"/>
        <v>3.25</v>
      </c>
    </row>
    <row r="3715" spans="1:8" x14ac:dyDescent="0.2">
      <c r="A3715" t="s">
        <v>14</v>
      </c>
      <c r="B3715" s="2">
        <v>44816</v>
      </c>
      <c r="C3715">
        <v>57.319080352783203</v>
      </c>
      <c r="D3715">
        <f>_xlfn.XLOOKUP(B3715, Oil_Price!A:A, Oil_Price!B:B, "")</f>
        <v>87.779998779296875</v>
      </c>
      <c r="E3715">
        <f t="shared" ref="E3715:E3778" si="232">IFERROR(IF(AND(A3715=A3714, C3715&lt;&gt;"", C3714&lt;&gt;""), (C3715-C3714)/C3714, ""), "")</f>
        <v>3.6450452272557554E-3</v>
      </c>
      <c r="F3715">
        <f t="shared" ref="F3715:F3778" si="233">IFERROR(IF(AND(A3715=A3714, D3715&lt;&gt;"", D3714&lt;&gt;""), (D3715-D3714)/D3714, ""), "")</f>
        <v>1.1406819372350227E-2</v>
      </c>
      <c r="G3715">
        <f t="shared" ref="G3715:G3778" si="234">IFERROR(IF(AND(A3715=A3714, C3715&lt;&gt;"", C3714&lt;&gt;""), C3715-C3714, ""), "")</f>
        <v>0.20817184448242188</v>
      </c>
      <c r="H3715">
        <f t="shared" ref="H3715:H3778" si="235">IFERROR(IF(AND(A3715=A3714, D3715&lt;&gt;"", D3714&lt;&gt;""), D3715-D3714, ""), "")</f>
        <v>0.98999786376953125</v>
      </c>
    </row>
    <row r="3716" spans="1:8" x14ac:dyDescent="0.2">
      <c r="A3716" t="s">
        <v>14</v>
      </c>
      <c r="B3716" s="2">
        <v>44817</v>
      </c>
      <c r="C3716">
        <v>56.866539001464837</v>
      </c>
      <c r="D3716">
        <f>_xlfn.XLOOKUP(B3716, Oil_Price!A:A, Oil_Price!B:B, "")</f>
        <v>87.30999755859375</v>
      </c>
      <c r="E3716">
        <f t="shared" si="232"/>
        <v>-7.8951258208104294E-3</v>
      </c>
      <c r="F3716">
        <f t="shared" si="233"/>
        <v>-5.3543088088305593E-3</v>
      </c>
      <c r="G3716">
        <f t="shared" si="234"/>
        <v>-0.45254135131836648</v>
      </c>
      <c r="H3716">
        <f t="shared" si="235"/>
        <v>-0.470001220703125</v>
      </c>
    </row>
    <row r="3717" spans="1:8" x14ac:dyDescent="0.2">
      <c r="A3717" t="s">
        <v>14</v>
      </c>
      <c r="B3717" s="2">
        <v>44818</v>
      </c>
      <c r="C3717">
        <v>57.880241394042969</v>
      </c>
      <c r="D3717">
        <f>_xlfn.XLOOKUP(B3717, Oil_Price!A:A, Oil_Price!B:B, "")</f>
        <v>88.480003356933594</v>
      </c>
      <c r="E3717">
        <f t="shared" si="232"/>
        <v>1.7825990650706208E-2</v>
      </c>
      <c r="F3717">
        <f t="shared" si="233"/>
        <v>1.3400593643982784E-2</v>
      </c>
      <c r="G3717">
        <f t="shared" si="234"/>
        <v>1.0137023925781321</v>
      </c>
      <c r="H3717">
        <f t="shared" si="235"/>
        <v>1.1700057983398438</v>
      </c>
    </row>
    <row r="3718" spans="1:8" x14ac:dyDescent="0.2">
      <c r="A3718" t="s">
        <v>14</v>
      </c>
      <c r="B3718" s="2">
        <v>44819</v>
      </c>
      <c r="C3718">
        <v>55.608463287353523</v>
      </c>
      <c r="D3718">
        <f>_xlfn.XLOOKUP(B3718, Oil_Price!A:A, Oil_Price!B:B, "")</f>
        <v>85.099998474121094</v>
      </c>
      <c r="E3718">
        <f t="shared" si="232"/>
        <v>-3.9249630823468842E-2</v>
      </c>
      <c r="F3718">
        <f t="shared" si="233"/>
        <v>-3.8200777063460985E-2</v>
      </c>
      <c r="G3718">
        <f t="shared" si="234"/>
        <v>-2.271778106689446</v>
      </c>
      <c r="H3718">
        <f t="shared" si="235"/>
        <v>-3.3800048828125</v>
      </c>
    </row>
    <row r="3719" spans="1:8" x14ac:dyDescent="0.2">
      <c r="A3719" t="s">
        <v>14</v>
      </c>
      <c r="B3719" s="2">
        <v>44820</v>
      </c>
      <c r="C3719">
        <v>55.074462890625</v>
      </c>
      <c r="D3719">
        <f>_xlfn.XLOOKUP(B3719, Oil_Price!A:A, Oil_Price!B:B, "")</f>
        <v>85.110000610351562</v>
      </c>
      <c r="E3719">
        <f t="shared" si="232"/>
        <v>-9.6028619595025771E-3</v>
      </c>
      <c r="F3719">
        <f t="shared" si="233"/>
        <v>1.1753391785912193E-4</v>
      </c>
      <c r="G3719">
        <f t="shared" si="234"/>
        <v>-0.53400039672852273</v>
      </c>
      <c r="H3719">
        <f t="shared" si="235"/>
        <v>1.000213623046875E-2</v>
      </c>
    </row>
    <row r="3720" spans="1:8" x14ac:dyDescent="0.2">
      <c r="A3720" t="s">
        <v>14</v>
      </c>
      <c r="B3720" s="2">
        <v>44823</v>
      </c>
      <c r="C3720">
        <v>55.97955322265625</v>
      </c>
      <c r="D3720">
        <f>_xlfn.XLOOKUP(B3720, Oil_Price!A:A, Oil_Price!B:B, "")</f>
        <v>85.730003356933594</v>
      </c>
      <c r="E3720">
        <f t="shared" si="232"/>
        <v>1.6433938426757097E-2</v>
      </c>
      <c r="F3720">
        <f t="shared" si="233"/>
        <v>7.2847226193842015E-3</v>
      </c>
      <c r="G3720">
        <f t="shared" si="234"/>
        <v>0.90509033203125</v>
      </c>
      <c r="H3720">
        <f t="shared" si="235"/>
        <v>0.62000274658203125</v>
      </c>
    </row>
    <row r="3721" spans="1:8" x14ac:dyDescent="0.2">
      <c r="A3721" t="s">
        <v>14</v>
      </c>
      <c r="B3721" s="2">
        <v>44824</v>
      </c>
      <c r="C3721">
        <v>56.033863067626953</v>
      </c>
      <c r="D3721">
        <f>_xlfn.XLOOKUP(B3721, Oil_Price!A:A, Oil_Price!B:B, "")</f>
        <v>84.449996948242188</v>
      </c>
      <c r="E3721">
        <f t="shared" si="232"/>
        <v>9.7017289071043612E-4</v>
      </c>
      <c r="F3721">
        <f t="shared" si="233"/>
        <v>-1.4930670227109972E-2</v>
      </c>
      <c r="G3721">
        <f t="shared" si="234"/>
        <v>5.4309844970703125E-2</v>
      </c>
      <c r="H3721">
        <f t="shared" si="235"/>
        <v>-1.2800064086914062</v>
      </c>
    </row>
    <row r="3722" spans="1:8" x14ac:dyDescent="0.2">
      <c r="A3722" t="s">
        <v>14</v>
      </c>
      <c r="B3722" s="2">
        <v>44825</v>
      </c>
      <c r="C3722">
        <v>55.183078765869141</v>
      </c>
      <c r="D3722">
        <f>_xlfn.XLOOKUP(B3722, Oil_Price!A:A, Oil_Price!B:B, "")</f>
        <v>82.94000244140625</v>
      </c>
      <c r="E3722">
        <f t="shared" si="232"/>
        <v>-1.518339545376348E-2</v>
      </c>
      <c r="F3722">
        <f t="shared" si="233"/>
        <v>-1.7880338204883356E-2</v>
      </c>
      <c r="G3722">
        <f t="shared" si="234"/>
        <v>-0.8507843017578125</v>
      </c>
      <c r="H3722">
        <f t="shared" si="235"/>
        <v>-1.5099945068359375</v>
      </c>
    </row>
    <row r="3723" spans="1:8" x14ac:dyDescent="0.2">
      <c r="A3723" t="s">
        <v>14</v>
      </c>
      <c r="B3723" s="2">
        <v>44826</v>
      </c>
      <c r="C3723">
        <v>55.065410614013672</v>
      </c>
      <c r="D3723">
        <f>_xlfn.XLOOKUP(B3723, Oil_Price!A:A, Oil_Price!B:B, "")</f>
        <v>83.489997863769531</v>
      </c>
      <c r="E3723">
        <f t="shared" si="232"/>
        <v>-2.1323230687202389E-3</v>
      </c>
      <c r="F3723">
        <f t="shared" si="233"/>
        <v>6.6312443474043871E-3</v>
      </c>
      <c r="G3723">
        <f t="shared" si="234"/>
        <v>-0.11766815185546875</v>
      </c>
      <c r="H3723">
        <f t="shared" si="235"/>
        <v>0.54999542236328125</v>
      </c>
    </row>
    <row r="3724" spans="1:8" x14ac:dyDescent="0.2">
      <c r="A3724" t="s">
        <v>14</v>
      </c>
      <c r="B3724" s="2">
        <v>44827</v>
      </c>
      <c r="C3724">
        <v>51.671348571777337</v>
      </c>
      <c r="D3724">
        <f>_xlfn.XLOOKUP(B3724, Oil_Price!A:A, Oil_Price!B:B, "")</f>
        <v>78.739997863769531</v>
      </c>
      <c r="E3724">
        <f t="shared" si="232"/>
        <v>-6.1636915159451765E-2</v>
      </c>
      <c r="F3724">
        <f t="shared" si="233"/>
        <v>-5.6893042538467491E-2</v>
      </c>
      <c r="G3724">
        <f t="shared" si="234"/>
        <v>-3.3940620422363352</v>
      </c>
      <c r="H3724">
        <f t="shared" si="235"/>
        <v>-4.75</v>
      </c>
    </row>
    <row r="3725" spans="1:8" x14ac:dyDescent="0.2">
      <c r="A3725" t="s">
        <v>14</v>
      </c>
      <c r="B3725" s="2">
        <v>44830</v>
      </c>
      <c r="C3725">
        <v>50.18701171875</v>
      </c>
      <c r="D3725">
        <f>_xlfn.XLOOKUP(B3725, Oil_Price!A:A, Oil_Price!B:B, "")</f>
        <v>76.709999084472656</v>
      </c>
      <c r="E3725">
        <f t="shared" si="232"/>
        <v>-2.8726497257284184E-2</v>
      </c>
      <c r="F3725">
        <f t="shared" si="233"/>
        <v>-2.5781036758586631E-2</v>
      </c>
      <c r="G3725">
        <f t="shared" si="234"/>
        <v>-1.4843368530273366</v>
      </c>
      <c r="H3725">
        <f t="shared" si="235"/>
        <v>-2.029998779296875</v>
      </c>
    </row>
    <row r="3726" spans="1:8" x14ac:dyDescent="0.2">
      <c r="A3726" t="s">
        <v>14</v>
      </c>
      <c r="B3726" s="2">
        <v>44831</v>
      </c>
      <c r="C3726">
        <v>52.060535430908203</v>
      </c>
      <c r="D3726">
        <f>_xlfn.XLOOKUP(B3726, Oil_Price!A:A, Oil_Price!B:B, "")</f>
        <v>78.5</v>
      </c>
      <c r="E3726">
        <f t="shared" si="232"/>
        <v>3.7330848121771107E-2</v>
      </c>
      <c r="F3726">
        <f t="shared" si="233"/>
        <v>2.3334649157748053E-2</v>
      </c>
      <c r="G3726">
        <f t="shared" si="234"/>
        <v>1.8735237121582031</v>
      </c>
      <c r="H3726">
        <f t="shared" si="235"/>
        <v>1.7900009155273438</v>
      </c>
    </row>
    <row r="3727" spans="1:8" x14ac:dyDescent="0.2">
      <c r="A3727" t="s">
        <v>14</v>
      </c>
      <c r="B3727" s="2">
        <v>44832</v>
      </c>
      <c r="C3727">
        <v>54.386600494384773</v>
      </c>
      <c r="D3727">
        <f>_xlfn.XLOOKUP(B3727, Oil_Price!A:A, Oil_Price!B:B, "")</f>
        <v>82.150001525878906</v>
      </c>
      <c r="E3727">
        <f t="shared" si="232"/>
        <v>4.4680006538995197E-2</v>
      </c>
      <c r="F3727">
        <f t="shared" si="233"/>
        <v>4.6496834724572056E-2</v>
      </c>
      <c r="G3727">
        <f t="shared" si="234"/>
        <v>2.3260650634765696</v>
      </c>
      <c r="H3727">
        <f t="shared" si="235"/>
        <v>3.6500015258789062</v>
      </c>
    </row>
    <row r="3728" spans="1:8" x14ac:dyDescent="0.2">
      <c r="A3728" t="s">
        <v>14</v>
      </c>
      <c r="B3728" s="2">
        <v>44833</v>
      </c>
      <c r="C3728">
        <v>54.793899536132812</v>
      </c>
      <c r="D3728">
        <f>_xlfn.XLOOKUP(B3728, Oil_Price!A:A, Oil_Price!B:B, "")</f>
        <v>81.230003356933594</v>
      </c>
      <c r="E3728">
        <f t="shared" si="232"/>
        <v>7.4889593768614378E-3</v>
      </c>
      <c r="F3728">
        <f t="shared" si="233"/>
        <v>-1.1199003674461217E-2</v>
      </c>
      <c r="G3728">
        <f t="shared" si="234"/>
        <v>0.40729904174803977</v>
      </c>
      <c r="H3728">
        <f t="shared" si="235"/>
        <v>-0.9199981689453125</v>
      </c>
    </row>
    <row r="3729" spans="1:8" x14ac:dyDescent="0.2">
      <c r="A3729" t="s">
        <v>14</v>
      </c>
      <c r="B3729" s="2">
        <v>44834</v>
      </c>
      <c r="C3729">
        <v>54.133174896240227</v>
      </c>
      <c r="D3729">
        <f>_xlfn.XLOOKUP(B3729, Oil_Price!A:A, Oil_Price!B:B, "")</f>
        <v>79.489997863769531</v>
      </c>
      <c r="E3729">
        <f t="shared" si="232"/>
        <v>-1.2058361341062845E-2</v>
      </c>
      <c r="F3729">
        <f t="shared" si="233"/>
        <v>-2.1420724132169323E-2</v>
      </c>
      <c r="G3729">
        <f t="shared" si="234"/>
        <v>-0.66072463989258523</v>
      </c>
      <c r="H3729">
        <f t="shared" si="235"/>
        <v>-1.7400054931640625</v>
      </c>
    </row>
    <row r="3730" spans="1:8" x14ac:dyDescent="0.2">
      <c r="A3730" t="s">
        <v>14</v>
      </c>
      <c r="B3730" s="2">
        <v>44837</v>
      </c>
      <c r="C3730">
        <v>56.85748291015625</v>
      </c>
      <c r="D3730">
        <f>_xlfn.XLOOKUP(B3730, Oil_Price!A:A, Oil_Price!B:B, "")</f>
        <v>83.629997253417969</v>
      </c>
      <c r="E3730">
        <f t="shared" si="232"/>
        <v>5.0326034250491321E-2</v>
      </c>
      <c r="F3730">
        <f t="shared" si="233"/>
        <v>5.2082016617280513E-2</v>
      </c>
      <c r="G3730">
        <f t="shared" si="234"/>
        <v>2.7243080139160227</v>
      </c>
      <c r="H3730">
        <f t="shared" si="235"/>
        <v>4.1399993896484375</v>
      </c>
    </row>
    <row r="3731" spans="1:8" x14ac:dyDescent="0.2">
      <c r="A3731" t="s">
        <v>14</v>
      </c>
      <c r="B3731" s="2">
        <v>44838</v>
      </c>
      <c r="C3731">
        <v>58.676712036132812</v>
      </c>
      <c r="D3731">
        <f>_xlfn.XLOOKUP(B3731, Oil_Price!A:A, Oil_Price!B:B, "")</f>
        <v>86.519996643066406</v>
      </c>
      <c r="E3731">
        <f t="shared" si="232"/>
        <v>3.1996300800920613E-2</v>
      </c>
      <c r="F3731">
        <f t="shared" si="233"/>
        <v>3.4556970997991071E-2</v>
      </c>
      <c r="G3731">
        <f t="shared" si="234"/>
        <v>1.8192291259765625</v>
      </c>
      <c r="H3731">
        <f t="shared" si="235"/>
        <v>2.8899993896484375</v>
      </c>
    </row>
    <row r="3732" spans="1:8" x14ac:dyDescent="0.2">
      <c r="A3732" t="s">
        <v>14</v>
      </c>
      <c r="B3732" s="2">
        <v>44839</v>
      </c>
      <c r="C3732">
        <v>58.712921142578118</v>
      </c>
      <c r="D3732">
        <f>_xlfn.XLOOKUP(B3732, Oil_Price!A:A, Oil_Price!B:B, "")</f>
        <v>87.760002136230469</v>
      </c>
      <c r="E3732">
        <f t="shared" si="232"/>
        <v>6.1709501416861963E-4</v>
      </c>
      <c r="F3732">
        <f t="shared" si="233"/>
        <v>1.4332010416963359E-2</v>
      </c>
      <c r="G3732">
        <f t="shared" si="234"/>
        <v>3.6209106445305395E-2</v>
      </c>
      <c r="H3732">
        <f t="shared" si="235"/>
        <v>1.2400054931640625</v>
      </c>
    </row>
    <row r="3733" spans="1:8" x14ac:dyDescent="0.2">
      <c r="A3733" t="s">
        <v>14</v>
      </c>
      <c r="B3733" s="2">
        <v>44840</v>
      </c>
      <c r="C3733">
        <v>59.708499908447273</v>
      </c>
      <c r="D3733">
        <f>_xlfn.XLOOKUP(B3733, Oil_Price!A:A, Oil_Price!B:B, "")</f>
        <v>88.449996948242188</v>
      </c>
      <c r="E3733">
        <f t="shared" si="232"/>
        <v>1.695672343488918E-2</v>
      </c>
      <c r="F3733">
        <f t="shared" si="233"/>
        <v>7.8622925617143329E-3</v>
      </c>
      <c r="G3733">
        <f t="shared" si="234"/>
        <v>0.99557876586915484</v>
      </c>
      <c r="H3733">
        <f t="shared" si="235"/>
        <v>0.68999481201171875</v>
      </c>
    </row>
    <row r="3734" spans="1:8" x14ac:dyDescent="0.2">
      <c r="A3734" t="s">
        <v>14</v>
      </c>
      <c r="B3734" s="2">
        <v>44841</v>
      </c>
      <c r="C3734">
        <v>58.758174896240227</v>
      </c>
      <c r="D3734">
        <f>_xlfn.XLOOKUP(B3734, Oil_Price!A:A, Oil_Price!B:B, "")</f>
        <v>92.639999389648438</v>
      </c>
      <c r="E3734">
        <f t="shared" si="232"/>
        <v>-1.5916075829474959E-2</v>
      </c>
      <c r="F3734">
        <f t="shared" si="233"/>
        <v>4.7371425505623156E-2</v>
      </c>
      <c r="G3734">
        <f t="shared" si="234"/>
        <v>-0.95032501220704546</v>
      </c>
      <c r="H3734">
        <f t="shared" si="235"/>
        <v>4.19000244140625</v>
      </c>
    </row>
    <row r="3735" spans="1:8" x14ac:dyDescent="0.2">
      <c r="A3735" t="s">
        <v>14</v>
      </c>
      <c r="B3735" s="2">
        <v>44845</v>
      </c>
      <c r="C3735">
        <v>56.622173309326172</v>
      </c>
      <c r="D3735">
        <f>_xlfn.XLOOKUP(B3735, Oil_Price!A:A, Oil_Price!B:B, "")</f>
        <v>89.349998474121094</v>
      </c>
      <c r="E3735">
        <f t="shared" si="232"/>
        <v>-3.6352415484074752E-2</v>
      </c>
      <c r="F3735">
        <f t="shared" si="233"/>
        <v>-3.5513827042349566E-2</v>
      </c>
      <c r="G3735">
        <f t="shared" si="234"/>
        <v>-2.1360015869140554</v>
      </c>
      <c r="H3735">
        <f t="shared" si="235"/>
        <v>-3.2900009155273438</v>
      </c>
    </row>
    <row r="3736" spans="1:8" x14ac:dyDescent="0.2">
      <c r="A3736" t="s">
        <v>14</v>
      </c>
      <c r="B3736" s="2">
        <v>44846</v>
      </c>
      <c r="C3736">
        <v>57.364337921142578</v>
      </c>
      <c r="D3736">
        <f>_xlfn.XLOOKUP(B3736, Oil_Price!A:A, Oil_Price!B:B, "")</f>
        <v>87.269996643066406</v>
      </c>
      <c r="E3736">
        <f t="shared" si="232"/>
        <v>1.3107314121659918E-2</v>
      </c>
      <c r="F3736">
        <f t="shared" si="233"/>
        <v>-2.3279259838567646E-2</v>
      </c>
      <c r="G3736">
        <f t="shared" si="234"/>
        <v>0.74216461181640625</v>
      </c>
      <c r="H3736">
        <f t="shared" si="235"/>
        <v>-2.0800018310546875</v>
      </c>
    </row>
    <row r="3737" spans="1:8" x14ac:dyDescent="0.2">
      <c r="A3737" t="s">
        <v>14</v>
      </c>
      <c r="B3737" s="2">
        <v>44847</v>
      </c>
      <c r="C3737">
        <v>60.061496734619141</v>
      </c>
      <c r="D3737">
        <f>_xlfn.XLOOKUP(B3737, Oil_Price!A:A, Oil_Price!B:B, "")</f>
        <v>89.110000610351562</v>
      </c>
      <c r="E3737">
        <f t="shared" si="232"/>
        <v>4.7018041368912585E-2</v>
      </c>
      <c r="F3737">
        <f t="shared" si="233"/>
        <v>2.1084038479006226E-2</v>
      </c>
      <c r="G3737">
        <f t="shared" si="234"/>
        <v>2.6971588134765625</v>
      </c>
      <c r="H3737">
        <f t="shared" si="235"/>
        <v>1.8400039672851562</v>
      </c>
    </row>
    <row r="3738" spans="1:8" x14ac:dyDescent="0.2">
      <c r="A3738" t="s">
        <v>14</v>
      </c>
      <c r="B3738" s="2">
        <v>44848</v>
      </c>
      <c r="C3738">
        <v>58.034103393554688</v>
      </c>
      <c r="D3738">
        <f>_xlfn.XLOOKUP(B3738, Oil_Price!A:A, Oil_Price!B:B, "")</f>
        <v>85.610000610351562</v>
      </c>
      <c r="E3738">
        <f t="shared" si="232"/>
        <v>-3.3755291680832751E-2</v>
      </c>
      <c r="F3738">
        <f t="shared" si="233"/>
        <v>-3.9277297452890138E-2</v>
      </c>
      <c r="G3738">
        <f t="shared" si="234"/>
        <v>-2.0273933410644531</v>
      </c>
      <c r="H3738">
        <f t="shared" si="235"/>
        <v>-3.5</v>
      </c>
    </row>
    <row r="3739" spans="1:8" x14ac:dyDescent="0.2">
      <c r="A3739" t="s">
        <v>14</v>
      </c>
      <c r="B3739" s="2">
        <v>44851</v>
      </c>
      <c r="C3739">
        <v>58.296577453613281</v>
      </c>
      <c r="D3739">
        <f>_xlfn.XLOOKUP(B3739, Oil_Price!A:A, Oil_Price!B:B, "")</f>
        <v>85.459999084472656</v>
      </c>
      <c r="E3739">
        <f t="shared" si="232"/>
        <v>4.5227554956547211E-3</v>
      </c>
      <c r="F3739">
        <f t="shared" si="233"/>
        <v>-1.7521495714224859E-3</v>
      </c>
      <c r="G3739">
        <f t="shared" si="234"/>
        <v>0.26247406005859375</v>
      </c>
      <c r="H3739">
        <f t="shared" si="235"/>
        <v>-0.15000152587890625</v>
      </c>
    </row>
    <row r="3740" spans="1:8" x14ac:dyDescent="0.2">
      <c r="A3740" t="s">
        <v>14</v>
      </c>
      <c r="B3740" s="2">
        <v>44852</v>
      </c>
      <c r="C3740">
        <v>58.368980407714837</v>
      </c>
      <c r="D3740">
        <f>_xlfn.XLOOKUP(B3740, Oil_Price!A:A, Oil_Price!B:B, "")</f>
        <v>82.819999694824219</v>
      </c>
      <c r="E3740">
        <f t="shared" si="232"/>
        <v>1.2419760689924993E-3</v>
      </c>
      <c r="F3740">
        <f t="shared" si="233"/>
        <v>-3.0891638403119322E-2</v>
      </c>
      <c r="G3740">
        <f t="shared" si="234"/>
        <v>7.2402954101555395E-2</v>
      </c>
      <c r="H3740">
        <f t="shared" si="235"/>
        <v>-2.6399993896484375</v>
      </c>
    </row>
    <row r="3741" spans="1:8" x14ac:dyDescent="0.2">
      <c r="A3741" t="s">
        <v>14</v>
      </c>
      <c r="B3741" s="2">
        <v>44853</v>
      </c>
      <c r="C3741">
        <v>60.695053100585938</v>
      </c>
      <c r="D3741">
        <f>_xlfn.XLOOKUP(B3741, Oil_Price!A:A, Oil_Price!B:B, "")</f>
        <v>85.550003051757812</v>
      </c>
      <c r="E3741">
        <f t="shared" si="232"/>
        <v>3.9851179113001185E-2</v>
      </c>
      <c r="F3741">
        <f t="shared" si="233"/>
        <v>3.2963093057149617E-2</v>
      </c>
      <c r="G3741">
        <f t="shared" si="234"/>
        <v>2.3260726928711009</v>
      </c>
      <c r="H3741">
        <f t="shared" si="235"/>
        <v>2.7300033569335938</v>
      </c>
    </row>
    <row r="3742" spans="1:8" x14ac:dyDescent="0.2">
      <c r="A3742" t="s">
        <v>14</v>
      </c>
      <c r="B3742" s="2">
        <v>44854</v>
      </c>
      <c r="C3742">
        <v>60.504978179931641</v>
      </c>
      <c r="D3742">
        <f>_xlfn.XLOOKUP(B3742, Oil_Price!A:A, Oil_Price!B:B, "")</f>
        <v>85.980003356933594</v>
      </c>
      <c r="E3742">
        <f t="shared" si="232"/>
        <v>-3.1316377685558353E-3</v>
      </c>
      <c r="F3742">
        <f t="shared" si="233"/>
        <v>5.0263037970393852E-3</v>
      </c>
      <c r="G3742">
        <f t="shared" si="234"/>
        <v>-0.19007492065429688</v>
      </c>
      <c r="H3742">
        <f t="shared" si="235"/>
        <v>0.43000030517578125</v>
      </c>
    </row>
    <row r="3743" spans="1:8" x14ac:dyDescent="0.2">
      <c r="A3743" t="s">
        <v>14</v>
      </c>
      <c r="B3743" s="2">
        <v>44855</v>
      </c>
      <c r="C3743">
        <v>61.401020050048828</v>
      </c>
      <c r="D3743">
        <f>_xlfn.XLOOKUP(B3743, Oil_Price!A:A, Oil_Price!B:B, "")</f>
        <v>85.050003051757812</v>
      </c>
      <c r="E3743">
        <f t="shared" si="232"/>
        <v>1.4809390848014348E-2</v>
      </c>
      <c r="F3743">
        <f t="shared" si="233"/>
        <v>-1.0816472073338019E-2</v>
      </c>
      <c r="G3743">
        <f t="shared" si="234"/>
        <v>0.8960418701171875</v>
      </c>
      <c r="H3743">
        <f t="shared" si="235"/>
        <v>-0.93000030517578125</v>
      </c>
    </row>
    <row r="3744" spans="1:8" x14ac:dyDescent="0.2">
      <c r="A3744" t="s">
        <v>14</v>
      </c>
      <c r="B3744" s="2">
        <v>44858</v>
      </c>
      <c r="C3744">
        <v>60.323970794677727</v>
      </c>
      <c r="D3744">
        <f>_xlfn.XLOOKUP(B3744, Oil_Price!A:A, Oil_Price!B:B, "")</f>
        <v>84.580001831054688</v>
      </c>
      <c r="E3744">
        <f t="shared" si="232"/>
        <v>-1.7541227401323023E-2</v>
      </c>
      <c r="F3744">
        <f t="shared" si="233"/>
        <v>-5.5261752361972548E-3</v>
      </c>
      <c r="G3744">
        <f t="shared" si="234"/>
        <v>-1.0770492553711009</v>
      </c>
      <c r="H3744">
        <f t="shared" si="235"/>
        <v>-0.470001220703125</v>
      </c>
    </row>
    <row r="3745" spans="1:8" x14ac:dyDescent="0.2">
      <c r="A3745" t="s">
        <v>14</v>
      </c>
      <c r="B3745" s="2">
        <v>44859</v>
      </c>
      <c r="C3745">
        <v>59.554653167724609</v>
      </c>
      <c r="D3745">
        <f>_xlfn.XLOOKUP(B3745, Oil_Price!A:A, Oil_Price!B:B, "")</f>
        <v>85.319999694824219</v>
      </c>
      <c r="E3745">
        <f t="shared" si="232"/>
        <v>-1.2753099917305069E-2</v>
      </c>
      <c r="F3745">
        <f t="shared" si="233"/>
        <v>8.7490878192181716E-3</v>
      </c>
      <c r="G3745">
        <f t="shared" si="234"/>
        <v>-0.76931762695311789</v>
      </c>
      <c r="H3745">
        <f t="shared" si="235"/>
        <v>0.73999786376953125</v>
      </c>
    </row>
    <row r="3746" spans="1:8" x14ac:dyDescent="0.2">
      <c r="A3746" t="s">
        <v>14</v>
      </c>
      <c r="B3746" s="2">
        <v>44860</v>
      </c>
      <c r="C3746">
        <v>60.387325286865227</v>
      </c>
      <c r="D3746">
        <f>_xlfn.XLOOKUP(B3746, Oil_Price!A:A, Oil_Price!B:B, "")</f>
        <v>87.910003662109375</v>
      </c>
      <c r="E3746">
        <f t="shared" si="232"/>
        <v>1.3981646686708957E-2</v>
      </c>
      <c r="F3746">
        <f t="shared" si="233"/>
        <v>3.0356352280229485E-2</v>
      </c>
      <c r="G3746">
        <f t="shared" si="234"/>
        <v>0.83267211914061789</v>
      </c>
      <c r="H3746">
        <f t="shared" si="235"/>
        <v>2.5900039672851562</v>
      </c>
    </row>
    <row r="3747" spans="1:8" x14ac:dyDescent="0.2">
      <c r="A3747" t="s">
        <v>14</v>
      </c>
      <c r="B3747" s="2">
        <v>44861</v>
      </c>
      <c r="C3747">
        <v>61.066127777099609</v>
      </c>
      <c r="D3747">
        <f>_xlfn.XLOOKUP(B3747, Oil_Price!A:A, Oil_Price!B:B, "")</f>
        <v>89.080001831054688</v>
      </c>
      <c r="E3747">
        <f t="shared" si="232"/>
        <v>1.1240810666970004E-2</v>
      </c>
      <c r="F3747">
        <f t="shared" si="233"/>
        <v>1.3309044707156582E-2</v>
      </c>
      <c r="G3747">
        <f t="shared" si="234"/>
        <v>0.67880249023438211</v>
      </c>
      <c r="H3747">
        <f t="shared" si="235"/>
        <v>1.1699981689453125</v>
      </c>
    </row>
    <row r="3748" spans="1:8" x14ac:dyDescent="0.2">
      <c r="A3748" t="s">
        <v>14</v>
      </c>
      <c r="B3748" s="2">
        <v>44862</v>
      </c>
      <c r="C3748">
        <v>66.641464233398438</v>
      </c>
      <c r="D3748">
        <f>_xlfn.XLOOKUP(B3748, Oil_Price!A:A, Oil_Price!B:B, "")</f>
        <v>87.900001525878906</v>
      </c>
      <c r="E3748">
        <f t="shared" si="232"/>
        <v>9.1299983464640661E-2</v>
      </c>
      <c r="F3748">
        <f t="shared" si="233"/>
        <v>-1.3246523135615997E-2</v>
      </c>
      <c r="G3748">
        <f t="shared" si="234"/>
        <v>5.5753364562988281</v>
      </c>
      <c r="H3748">
        <f t="shared" si="235"/>
        <v>-1.1800003051757812</v>
      </c>
    </row>
    <row r="3749" spans="1:8" x14ac:dyDescent="0.2">
      <c r="A3749" t="s">
        <v>14</v>
      </c>
      <c r="B3749" s="2">
        <v>44865</v>
      </c>
      <c r="C3749">
        <v>67.075904846191406</v>
      </c>
      <c r="D3749">
        <f>_xlfn.XLOOKUP(B3749, Oil_Price!A:A, Oil_Price!B:B, "")</f>
        <v>86.529998779296875</v>
      </c>
      <c r="E3749">
        <f t="shared" si="232"/>
        <v>6.5190736396701478E-3</v>
      </c>
      <c r="F3749">
        <f t="shared" si="233"/>
        <v>-1.5585924036402713E-2</v>
      </c>
      <c r="G3749">
        <f t="shared" si="234"/>
        <v>0.43444061279296875</v>
      </c>
      <c r="H3749">
        <f t="shared" si="235"/>
        <v>-1.3700027465820312</v>
      </c>
    </row>
    <row r="3750" spans="1:8" x14ac:dyDescent="0.2">
      <c r="A3750" t="s">
        <v>14</v>
      </c>
      <c r="B3750" s="2">
        <v>44866</v>
      </c>
      <c r="C3750">
        <v>67.999114990234375</v>
      </c>
      <c r="D3750">
        <f>_xlfn.XLOOKUP(B3750, Oil_Price!A:A, Oil_Price!B:B, "")</f>
        <v>88.370002746582031</v>
      </c>
      <c r="E3750">
        <f t="shared" si="232"/>
        <v>1.3763662915318673E-2</v>
      </c>
      <c r="F3750">
        <f t="shared" si="233"/>
        <v>2.1264347547008108E-2</v>
      </c>
      <c r="G3750">
        <f t="shared" si="234"/>
        <v>0.92321014404296875</v>
      </c>
      <c r="H3750">
        <f t="shared" si="235"/>
        <v>1.8400039672851562</v>
      </c>
    </row>
    <row r="3751" spans="1:8" x14ac:dyDescent="0.2">
      <c r="A3751" t="s">
        <v>14</v>
      </c>
      <c r="B3751" s="2">
        <v>44867</v>
      </c>
      <c r="C3751">
        <v>67.664207458496094</v>
      </c>
      <c r="D3751">
        <f>_xlfn.XLOOKUP(B3751, Oil_Price!A:A, Oil_Price!B:B, "")</f>
        <v>90</v>
      </c>
      <c r="E3751">
        <f t="shared" si="232"/>
        <v>-4.925174861266631E-3</v>
      </c>
      <c r="F3751">
        <f t="shared" si="233"/>
        <v>1.8445142047718379E-2</v>
      </c>
      <c r="G3751">
        <f t="shared" si="234"/>
        <v>-0.33490753173828125</v>
      </c>
      <c r="H3751">
        <f t="shared" si="235"/>
        <v>1.6299972534179688</v>
      </c>
    </row>
    <row r="3752" spans="1:8" x14ac:dyDescent="0.2">
      <c r="A3752" t="s">
        <v>14</v>
      </c>
      <c r="B3752" s="2">
        <v>44868</v>
      </c>
      <c r="C3752">
        <v>70.379463195800781</v>
      </c>
      <c r="D3752">
        <f>_xlfn.XLOOKUP(B3752, Oil_Price!A:A, Oil_Price!B:B, "")</f>
        <v>88.169998168945312</v>
      </c>
      <c r="E3752">
        <f t="shared" si="232"/>
        <v>4.0128390463601789E-2</v>
      </c>
      <c r="F3752">
        <f t="shared" si="233"/>
        <v>-2.0333353678385416E-2</v>
      </c>
      <c r="G3752">
        <f t="shared" si="234"/>
        <v>2.7152557373046875</v>
      </c>
      <c r="H3752">
        <f t="shared" si="235"/>
        <v>-1.8300018310546875</v>
      </c>
    </row>
    <row r="3753" spans="1:8" x14ac:dyDescent="0.2">
      <c r="A3753" t="s">
        <v>14</v>
      </c>
      <c r="B3753" s="2">
        <v>44869</v>
      </c>
      <c r="C3753">
        <v>69.800224304199219</v>
      </c>
      <c r="D3753">
        <f>_xlfn.XLOOKUP(B3753, Oil_Price!A:A, Oil_Price!B:B, "")</f>
        <v>92.610000610351562</v>
      </c>
      <c r="E3753">
        <f t="shared" si="232"/>
        <v>-8.2302260531609602E-3</v>
      </c>
      <c r="F3753">
        <f t="shared" si="233"/>
        <v>5.0357293111185294E-2</v>
      </c>
      <c r="G3753">
        <f t="shared" si="234"/>
        <v>-0.5792388916015625</v>
      </c>
      <c r="H3753">
        <f t="shared" si="235"/>
        <v>4.44000244140625</v>
      </c>
    </row>
    <row r="3754" spans="1:8" x14ac:dyDescent="0.2">
      <c r="A3754" t="s">
        <v>14</v>
      </c>
      <c r="B3754" s="2">
        <v>44872</v>
      </c>
      <c r="C3754">
        <v>69.655403137207031</v>
      </c>
      <c r="D3754">
        <f>_xlfn.XLOOKUP(B3754, Oil_Price!A:A, Oil_Price!B:B, "")</f>
        <v>91.790000915527344</v>
      </c>
      <c r="E3754">
        <f t="shared" si="232"/>
        <v>-2.074795151961639E-3</v>
      </c>
      <c r="F3754">
        <f t="shared" si="233"/>
        <v>-8.8543320313137167E-3</v>
      </c>
      <c r="G3754">
        <f t="shared" si="234"/>
        <v>-0.1448211669921875</v>
      </c>
      <c r="H3754">
        <f t="shared" si="235"/>
        <v>-0.81999969482421875</v>
      </c>
    </row>
    <row r="3755" spans="1:8" x14ac:dyDescent="0.2">
      <c r="A3755" t="s">
        <v>14</v>
      </c>
      <c r="B3755" s="2">
        <v>44873</v>
      </c>
      <c r="C3755">
        <v>68.922271728515625</v>
      </c>
      <c r="D3755">
        <f>_xlfn.XLOOKUP(B3755, Oil_Price!A:A, Oil_Price!B:B, "")</f>
        <v>88.910003662109375</v>
      </c>
      <c r="E3755">
        <f t="shared" si="232"/>
        <v>-1.0525119024109098E-2</v>
      </c>
      <c r="F3755">
        <f t="shared" si="233"/>
        <v>-3.137593664552174E-2</v>
      </c>
      <c r="G3755">
        <f t="shared" si="234"/>
        <v>-0.73313140869140625</v>
      </c>
      <c r="H3755">
        <f t="shared" si="235"/>
        <v>-2.8799972534179688</v>
      </c>
    </row>
    <row r="3756" spans="1:8" x14ac:dyDescent="0.2">
      <c r="A3756" t="s">
        <v>14</v>
      </c>
      <c r="B3756" s="2">
        <v>44874</v>
      </c>
      <c r="C3756">
        <v>67.374588012695312</v>
      </c>
      <c r="D3756">
        <f>_xlfn.XLOOKUP(B3756, Oil_Price!A:A, Oil_Price!B:B, "")</f>
        <v>85.830001831054688</v>
      </c>
      <c r="E3756">
        <f t="shared" si="232"/>
        <v>-2.2455494820551307E-2</v>
      </c>
      <c r="F3756">
        <f t="shared" si="233"/>
        <v>-3.464179174662757E-2</v>
      </c>
      <c r="G3756">
        <f t="shared" si="234"/>
        <v>-1.5476837158203125</v>
      </c>
      <c r="H3756">
        <f t="shared" si="235"/>
        <v>-3.0800018310546875</v>
      </c>
    </row>
    <row r="3757" spans="1:8" x14ac:dyDescent="0.2">
      <c r="A3757" t="s">
        <v>14</v>
      </c>
      <c r="B3757" s="2">
        <v>44875</v>
      </c>
      <c r="C3757">
        <v>68.714118957519531</v>
      </c>
      <c r="D3757">
        <f>_xlfn.XLOOKUP(B3757, Oil_Price!A:A, Oil_Price!B:B, "")</f>
        <v>86.470001220703125</v>
      </c>
      <c r="E3757">
        <f t="shared" si="232"/>
        <v>1.98818424622027E-2</v>
      </c>
      <c r="F3757">
        <f t="shared" si="233"/>
        <v>7.4565929860772222E-3</v>
      </c>
      <c r="G3757">
        <f t="shared" si="234"/>
        <v>1.3395309448242188</v>
      </c>
      <c r="H3757">
        <f t="shared" si="235"/>
        <v>0.6399993896484375</v>
      </c>
    </row>
    <row r="3758" spans="1:8" x14ac:dyDescent="0.2">
      <c r="A3758" t="s">
        <v>14</v>
      </c>
      <c r="B3758" s="2">
        <v>44876</v>
      </c>
      <c r="C3758">
        <v>69.43817138671875</v>
      </c>
      <c r="D3758">
        <f>_xlfn.XLOOKUP(B3758, Oil_Price!A:A, Oil_Price!B:B, "")</f>
        <v>88.959999084472656</v>
      </c>
      <c r="E3758">
        <f t="shared" si="232"/>
        <v>1.0537171111032402E-2</v>
      </c>
      <c r="F3758">
        <f t="shared" si="233"/>
        <v>2.8796089147890079E-2</v>
      </c>
      <c r="G3758">
        <f t="shared" si="234"/>
        <v>0.72405242919921875</v>
      </c>
      <c r="H3758">
        <f t="shared" si="235"/>
        <v>2.4899978637695312</v>
      </c>
    </row>
    <row r="3759" spans="1:8" x14ac:dyDescent="0.2">
      <c r="A3759" t="s">
        <v>14</v>
      </c>
      <c r="B3759" s="2">
        <v>44879</v>
      </c>
      <c r="C3759">
        <v>68.171051025390625</v>
      </c>
      <c r="D3759">
        <f>_xlfn.XLOOKUP(B3759, Oil_Price!A:A, Oil_Price!B:B, "")</f>
        <v>85.870002746582031</v>
      </c>
      <c r="E3759">
        <f t="shared" si="232"/>
        <v>-1.8248181598435404E-2</v>
      </c>
      <c r="F3759">
        <f t="shared" si="233"/>
        <v>-3.4734671421888109E-2</v>
      </c>
      <c r="G3759">
        <f t="shared" si="234"/>
        <v>-1.267120361328125</v>
      </c>
      <c r="H3759">
        <f t="shared" si="235"/>
        <v>-3.089996337890625</v>
      </c>
    </row>
    <row r="3760" spans="1:8" x14ac:dyDescent="0.2">
      <c r="A3760" t="s">
        <v>14</v>
      </c>
      <c r="B3760" s="2">
        <v>44880</v>
      </c>
      <c r="C3760">
        <v>68.714118957519531</v>
      </c>
      <c r="D3760">
        <f>_xlfn.XLOOKUP(B3760, Oil_Price!A:A, Oil_Price!B:B, "")</f>
        <v>86.919998168945312</v>
      </c>
      <c r="E3760">
        <f t="shared" si="232"/>
        <v>7.9662543551901246E-3</v>
      </c>
      <c r="F3760">
        <f t="shared" si="233"/>
        <v>1.222773248839887E-2</v>
      </c>
      <c r="G3760">
        <f t="shared" si="234"/>
        <v>0.54306793212890625</v>
      </c>
      <c r="H3760">
        <f t="shared" si="235"/>
        <v>1.0499954223632812</v>
      </c>
    </row>
    <row r="3761" spans="1:8" x14ac:dyDescent="0.2">
      <c r="A3761" t="s">
        <v>14</v>
      </c>
      <c r="B3761" s="2">
        <v>44881</v>
      </c>
      <c r="C3761">
        <v>68.180099487304688</v>
      </c>
      <c r="D3761">
        <f>_xlfn.XLOOKUP(B3761, Oil_Price!A:A, Oil_Price!B:B, "")</f>
        <v>85.589996337890625</v>
      </c>
      <c r="E3761">
        <f t="shared" si="232"/>
        <v>-7.7716119818837448E-3</v>
      </c>
      <c r="F3761">
        <f t="shared" si="233"/>
        <v>-1.5301447987488214E-2</v>
      </c>
      <c r="G3761">
        <f t="shared" si="234"/>
        <v>-0.53401947021484375</v>
      </c>
      <c r="H3761">
        <f t="shared" si="235"/>
        <v>-1.3300018310546875</v>
      </c>
    </row>
    <row r="3762" spans="1:8" x14ac:dyDescent="0.2">
      <c r="A3762" t="s">
        <v>14</v>
      </c>
      <c r="B3762" s="2">
        <v>44882</v>
      </c>
      <c r="C3762">
        <v>68.315864562988281</v>
      </c>
      <c r="D3762">
        <f>_xlfn.XLOOKUP(B3762, Oil_Price!A:A, Oil_Price!B:B, "")</f>
        <v>81.639999389648438</v>
      </c>
      <c r="E3762">
        <f t="shared" si="232"/>
        <v>1.9912713050363553E-3</v>
      </c>
      <c r="F3762">
        <f t="shared" si="233"/>
        <v>-4.6150217516641334E-2</v>
      </c>
      <c r="G3762">
        <f t="shared" si="234"/>
        <v>0.13576507568359375</v>
      </c>
      <c r="H3762">
        <f t="shared" si="235"/>
        <v>-3.9499969482421875</v>
      </c>
    </row>
    <row r="3763" spans="1:8" x14ac:dyDescent="0.2">
      <c r="A3763" t="s">
        <v>14</v>
      </c>
      <c r="B3763" s="2">
        <v>44883</v>
      </c>
      <c r="C3763">
        <v>68.406379699707031</v>
      </c>
      <c r="D3763">
        <f>_xlfn.XLOOKUP(B3763, Oil_Price!A:A, Oil_Price!B:B, "")</f>
        <v>80.080001831054688</v>
      </c>
      <c r="E3763">
        <f t="shared" si="232"/>
        <v>1.3249504679150132E-3</v>
      </c>
      <c r="F3763">
        <f t="shared" si="233"/>
        <v>-1.9108250493097754E-2</v>
      </c>
      <c r="G3763">
        <f t="shared" si="234"/>
        <v>9.051513671875E-2</v>
      </c>
      <c r="H3763">
        <f t="shared" si="235"/>
        <v>-1.55999755859375</v>
      </c>
    </row>
    <row r="3764" spans="1:8" x14ac:dyDescent="0.2">
      <c r="A3764" t="s">
        <v>14</v>
      </c>
      <c r="B3764" s="2">
        <v>44886</v>
      </c>
      <c r="C3764">
        <v>68.098648071289062</v>
      </c>
      <c r="D3764">
        <f>_xlfn.XLOOKUP(B3764, Oil_Price!A:A, Oil_Price!B:B, "")</f>
        <v>79.730003356933594</v>
      </c>
      <c r="E3764">
        <f t="shared" si="232"/>
        <v>-4.4985808307479646E-3</v>
      </c>
      <c r="F3764">
        <f t="shared" si="233"/>
        <v>-4.3706102162620808E-3</v>
      </c>
      <c r="G3764">
        <f t="shared" si="234"/>
        <v>-0.30773162841796875</v>
      </c>
      <c r="H3764">
        <f t="shared" si="235"/>
        <v>-0.34999847412109375</v>
      </c>
    </row>
    <row r="3765" spans="1:8" x14ac:dyDescent="0.2">
      <c r="A3765" t="s">
        <v>14</v>
      </c>
      <c r="B3765" s="2">
        <v>44887</v>
      </c>
      <c r="C3765">
        <v>69.582984924316406</v>
      </c>
      <c r="D3765">
        <f>_xlfn.XLOOKUP(B3765, Oil_Price!A:A, Oil_Price!B:B, "")</f>
        <v>80.949996948242188</v>
      </c>
      <c r="E3765">
        <f t="shared" si="232"/>
        <v>2.1796862273586782E-2</v>
      </c>
      <c r="F3765">
        <f t="shared" si="233"/>
        <v>1.5301562021099538E-2</v>
      </c>
      <c r="G3765">
        <f t="shared" si="234"/>
        <v>1.4843368530273438</v>
      </c>
      <c r="H3765">
        <f t="shared" si="235"/>
        <v>1.2199935913085938</v>
      </c>
    </row>
    <row r="3766" spans="1:8" x14ac:dyDescent="0.2">
      <c r="A3766" t="s">
        <v>14</v>
      </c>
      <c r="B3766" s="2">
        <v>44888</v>
      </c>
      <c r="C3766">
        <v>69.211898803710938</v>
      </c>
      <c r="D3766">
        <f>_xlfn.XLOOKUP(B3766, Oil_Price!A:A, Oil_Price!B:B, "")</f>
        <v>77.94000244140625</v>
      </c>
      <c r="E3766">
        <f t="shared" si="232"/>
        <v>-5.333000891081195E-3</v>
      </c>
      <c r="F3766">
        <f t="shared" si="233"/>
        <v>-3.7183380115016776E-2</v>
      </c>
      <c r="G3766">
        <f t="shared" si="234"/>
        <v>-0.37108612060546875</v>
      </c>
      <c r="H3766">
        <f t="shared" si="235"/>
        <v>-3.0099945068359375</v>
      </c>
    </row>
    <row r="3767" spans="1:8" x14ac:dyDescent="0.2">
      <c r="A3767" t="s">
        <v>14</v>
      </c>
      <c r="B3767" s="2">
        <v>44889</v>
      </c>
      <c r="C3767">
        <v>69.257164001464844</v>
      </c>
      <c r="D3767" t="str">
        <f>_xlfn.XLOOKUP(B3767, Oil_Price!A:A, Oil_Price!B:B, "")</f>
        <v/>
      </c>
      <c r="E3767">
        <f t="shared" si="232"/>
        <v>6.540088992830704E-4</v>
      </c>
      <c r="F3767" t="str">
        <f t="shared" si="233"/>
        <v/>
      </c>
      <c r="G3767">
        <f t="shared" si="234"/>
        <v>4.526519775390625E-2</v>
      </c>
      <c r="H3767" t="str">
        <f t="shared" si="235"/>
        <v/>
      </c>
    </row>
    <row r="3768" spans="1:8" x14ac:dyDescent="0.2">
      <c r="A3768" t="s">
        <v>14</v>
      </c>
      <c r="B3768" s="2">
        <v>44890</v>
      </c>
      <c r="C3768">
        <v>69.302421569824219</v>
      </c>
      <c r="D3768">
        <f>_xlfn.XLOOKUP(B3768, Oil_Price!A:A, Oil_Price!B:B, "")</f>
        <v>76.279998779296875</v>
      </c>
      <c r="E3768">
        <f t="shared" si="232"/>
        <v>6.5347129083162818E-4</v>
      </c>
      <c r="F3768" t="str">
        <f t="shared" si="233"/>
        <v/>
      </c>
      <c r="G3768">
        <f t="shared" si="234"/>
        <v>4.5257568359375E-2</v>
      </c>
      <c r="H3768" t="str">
        <f t="shared" si="235"/>
        <v/>
      </c>
    </row>
    <row r="3769" spans="1:8" x14ac:dyDescent="0.2">
      <c r="A3769" t="s">
        <v>14</v>
      </c>
      <c r="B3769" s="2">
        <v>44893</v>
      </c>
      <c r="C3769">
        <v>68.741256713867188</v>
      </c>
      <c r="D3769">
        <f>_xlfn.XLOOKUP(B3769, Oil_Price!A:A, Oil_Price!B:B, "")</f>
        <v>77.239997863769531</v>
      </c>
      <c r="E3769">
        <f t="shared" si="232"/>
        <v>-8.0973340216061746E-3</v>
      </c>
      <c r="F3769">
        <f t="shared" si="233"/>
        <v>1.2585200574665049E-2</v>
      </c>
      <c r="G3769">
        <f t="shared" si="234"/>
        <v>-0.56116485595703125</v>
      </c>
      <c r="H3769">
        <f t="shared" si="235"/>
        <v>0.95999908447265625</v>
      </c>
    </row>
    <row r="3770" spans="1:8" x14ac:dyDescent="0.2">
      <c r="A3770" t="s">
        <v>14</v>
      </c>
      <c r="B3770" s="2">
        <v>44894</v>
      </c>
      <c r="C3770">
        <v>70.578590393066406</v>
      </c>
      <c r="D3770">
        <f>_xlfn.XLOOKUP(B3770, Oil_Price!A:A, Oil_Price!B:B, "")</f>
        <v>78.199996948242188</v>
      </c>
      <c r="E3770">
        <f t="shared" si="232"/>
        <v>2.6728252683058281E-2</v>
      </c>
      <c r="F3770">
        <f t="shared" si="233"/>
        <v>1.242878186203261E-2</v>
      </c>
      <c r="G3770">
        <f t="shared" si="234"/>
        <v>1.8373336791992188</v>
      </c>
      <c r="H3770">
        <f t="shared" si="235"/>
        <v>0.95999908447265625</v>
      </c>
    </row>
    <row r="3771" spans="1:8" x14ac:dyDescent="0.2">
      <c r="A3771" t="s">
        <v>14</v>
      </c>
      <c r="B3771" s="2">
        <v>44895</v>
      </c>
      <c r="C3771">
        <v>69.266212463378906</v>
      </c>
      <c r="D3771">
        <f>_xlfn.XLOOKUP(B3771, Oil_Price!A:A, Oil_Price!B:B, "")</f>
        <v>80.550003051757812</v>
      </c>
      <c r="E3771">
        <f t="shared" si="232"/>
        <v>-1.8594561358885216E-2</v>
      </c>
      <c r="F3771">
        <f t="shared" si="233"/>
        <v>3.0051230117962933E-2</v>
      </c>
      <c r="G3771">
        <f t="shared" si="234"/>
        <v>-1.3123779296875</v>
      </c>
      <c r="H3771">
        <f t="shared" si="235"/>
        <v>2.350006103515625</v>
      </c>
    </row>
    <row r="3772" spans="1:8" x14ac:dyDescent="0.2">
      <c r="A3772" t="s">
        <v>14</v>
      </c>
      <c r="B3772" s="2">
        <v>44896</v>
      </c>
      <c r="C3772">
        <v>68.902091979980469</v>
      </c>
      <c r="D3772">
        <f>_xlfn.XLOOKUP(B3772, Oil_Price!A:A, Oil_Price!B:B, "")</f>
        <v>81.220001220703125</v>
      </c>
      <c r="E3772">
        <f t="shared" si="232"/>
        <v>-5.2568268200162997E-3</v>
      </c>
      <c r="F3772">
        <f t="shared" si="233"/>
        <v>8.3177919746918166E-3</v>
      </c>
      <c r="G3772">
        <f t="shared" si="234"/>
        <v>-0.3641204833984375</v>
      </c>
      <c r="H3772">
        <f t="shared" si="235"/>
        <v>0.6699981689453125</v>
      </c>
    </row>
    <row r="3773" spans="1:8" x14ac:dyDescent="0.2">
      <c r="A3773" t="s">
        <v>14</v>
      </c>
      <c r="B3773" s="2">
        <v>44897</v>
      </c>
      <c r="C3773">
        <v>68.592567443847656</v>
      </c>
      <c r="D3773">
        <f>_xlfn.XLOOKUP(B3773, Oil_Price!A:A, Oil_Price!B:B, "")</f>
        <v>79.980003356933594</v>
      </c>
      <c r="E3773">
        <f t="shared" si="232"/>
        <v>-4.4922371329849456E-3</v>
      </c>
      <c r="F3773">
        <f t="shared" si="233"/>
        <v>-1.5267149041281392E-2</v>
      </c>
      <c r="G3773">
        <f t="shared" si="234"/>
        <v>-0.3095245361328125</v>
      </c>
      <c r="H3773">
        <f t="shared" si="235"/>
        <v>-1.2399978637695312</v>
      </c>
    </row>
    <row r="3774" spans="1:8" x14ac:dyDescent="0.2">
      <c r="A3774" t="s">
        <v>14</v>
      </c>
      <c r="B3774" s="2">
        <v>44900</v>
      </c>
      <c r="C3774">
        <v>66.107398986816406</v>
      </c>
      <c r="D3774">
        <f>_xlfn.XLOOKUP(B3774, Oil_Price!A:A, Oil_Price!B:B, "")</f>
        <v>76.930000305175781</v>
      </c>
      <c r="E3774">
        <f t="shared" si="232"/>
        <v>-3.6230870918568518E-2</v>
      </c>
      <c r="F3774">
        <f t="shared" si="233"/>
        <v>-3.8134570189329739E-2</v>
      </c>
      <c r="G3774">
        <f t="shared" si="234"/>
        <v>-2.48516845703125</v>
      </c>
      <c r="H3774">
        <f t="shared" si="235"/>
        <v>-3.0500030517578125</v>
      </c>
    </row>
    <row r="3775" spans="1:8" x14ac:dyDescent="0.2">
      <c r="A3775" t="s">
        <v>14</v>
      </c>
      <c r="B3775" s="2">
        <v>44901</v>
      </c>
      <c r="C3775">
        <v>64.323196411132812</v>
      </c>
      <c r="D3775">
        <f>_xlfn.XLOOKUP(B3775, Oil_Price!A:A, Oil_Price!B:B, "")</f>
        <v>74.25</v>
      </c>
      <c r="E3775">
        <f t="shared" si="232"/>
        <v>-2.6989453571443823E-2</v>
      </c>
      <c r="F3775">
        <f t="shared" si="233"/>
        <v>-3.4836868510911383E-2</v>
      </c>
      <c r="G3775">
        <f t="shared" si="234"/>
        <v>-1.7842025756835938</v>
      </c>
      <c r="H3775">
        <f t="shared" si="235"/>
        <v>-2.6800003051757812</v>
      </c>
    </row>
    <row r="3776" spans="1:8" x14ac:dyDescent="0.2">
      <c r="A3776" t="s">
        <v>14</v>
      </c>
      <c r="B3776" s="2">
        <v>44902</v>
      </c>
      <c r="C3776">
        <v>64.987716674804688</v>
      </c>
      <c r="D3776">
        <f>_xlfn.XLOOKUP(B3776, Oil_Price!A:A, Oil_Price!B:B, "")</f>
        <v>72.010002136230469</v>
      </c>
      <c r="E3776">
        <f t="shared" si="232"/>
        <v>1.0330958359477024E-2</v>
      </c>
      <c r="F3776">
        <f t="shared" si="233"/>
        <v>-3.0168321397569444E-2</v>
      </c>
      <c r="G3776">
        <f t="shared" si="234"/>
        <v>0.664520263671875</v>
      </c>
      <c r="H3776">
        <f t="shared" si="235"/>
        <v>-2.2399978637695312</v>
      </c>
    </row>
    <row r="3777" spans="1:8" x14ac:dyDescent="0.2">
      <c r="A3777" t="s">
        <v>14</v>
      </c>
      <c r="B3777" s="2">
        <v>44903</v>
      </c>
      <c r="C3777">
        <v>64.1866455078125</v>
      </c>
      <c r="D3777">
        <f>_xlfn.XLOOKUP(B3777, Oil_Price!A:A, Oil_Price!B:B, "")</f>
        <v>71.459999084472656</v>
      </c>
      <c r="E3777">
        <f t="shared" si="232"/>
        <v>-1.2326501190997491E-2</v>
      </c>
      <c r="F3777">
        <f t="shared" si="233"/>
        <v>-7.6378702324893955E-3</v>
      </c>
      <c r="G3777">
        <f t="shared" si="234"/>
        <v>-0.8010711669921875</v>
      </c>
      <c r="H3777">
        <f t="shared" si="235"/>
        <v>-0.5500030517578125</v>
      </c>
    </row>
    <row r="3778" spans="1:8" x14ac:dyDescent="0.2">
      <c r="A3778" t="s">
        <v>14</v>
      </c>
      <c r="B3778" s="2">
        <v>44904</v>
      </c>
      <c r="C3778">
        <v>62.102001190185547</v>
      </c>
      <c r="D3778">
        <f>_xlfn.XLOOKUP(B3778, Oil_Price!A:A, Oil_Price!B:B, "")</f>
        <v>71.019996643066406</v>
      </c>
      <c r="E3778">
        <f t="shared" si="232"/>
        <v>-3.2477851134520182E-2</v>
      </c>
      <c r="F3778">
        <f t="shared" si="233"/>
        <v>-6.1573250355926312E-3</v>
      </c>
      <c r="G3778">
        <f t="shared" si="234"/>
        <v>-2.0846443176269531</v>
      </c>
      <c r="H3778">
        <f t="shared" si="235"/>
        <v>-0.44000244140625</v>
      </c>
    </row>
    <row r="3779" spans="1:8" x14ac:dyDescent="0.2">
      <c r="A3779" t="s">
        <v>14</v>
      </c>
      <c r="B3779" s="2">
        <v>44907</v>
      </c>
      <c r="C3779">
        <v>60.372386932373047</v>
      </c>
      <c r="D3779">
        <f>_xlfn.XLOOKUP(B3779, Oil_Price!A:A, Oil_Price!B:B, "")</f>
        <v>73.169998168945312</v>
      </c>
      <c r="E3779">
        <f t="shared" ref="E3779:E3842" si="236">IFERROR(IF(AND(A3779=A3778, C3779&lt;&gt;"", C3778&lt;&gt;""), (C3779-C3778)/C3778, ""), "")</f>
        <v>-2.785118393392199E-2</v>
      </c>
      <c r="F3779">
        <f t="shared" ref="F3779:F3842" si="237">IFERROR(IF(AND(A3779=A3778, D3779&lt;&gt;"", D3778&lt;&gt;""), (D3779-D3778)/D3778, ""), "")</f>
        <v>3.0273185405575602E-2</v>
      </c>
      <c r="G3779">
        <f t="shared" ref="G3779:G3842" si="238">IFERROR(IF(AND(A3779=A3778, C3779&lt;&gt;"", C3778&lt;&gt;""), C3779-C3778, ""), "")</f>
        <v>-1.7296142578125</v>
      </c>
      <c r="H3779">
        <f t="shared" ref="H3779:H3842" si="239">IFERROR(IF(AND(A3779=A3778, D3779&lt;&gt;"", D3778&lt;&gt;""), D3779-D3778, ""), "")</f>
        <v>2.1500015258789062</v>
      </c>
    </row>
    <row r="3780" spans="1:8" x14ac:dyDescent="0.2">
      <c r="A3780" t="s">
        <v>14</v>
      </c>
      <c r="B3780" s="2">
        <v>44908</v>
      </c>
      <c r="C3780">
        <v>60.618171691894531</v>
      </c>
      <c r="D3780">
        <f>_xlfn.XLOOKUP(B3780, Oil_Price!A:A, Oil_Price!B:B, "")</f>
        <v>75.389999389648438</v>
      </c>
      <c r="E3780">
        <f t="shared" si="236"/>
        <v>4.0711453035110826E-3</v>
      </c>
      <c r="F3780">
        <f t="shared" si="237"/>
        <v>3.0340320845399914E-2</v>
      </c>
      <c r="G3780">
        <f t="shared" si="238"/>
        <v>0.24578475952148438</v>
      </c>
      <c r="H3780">
        <f t="shared" si="239"/>
        <v>2.220001220703125</v>
      </c>
    </row>
    <row r="3781" spans="1:8" x14ac:dyDescent="0.2">
      <c r="A3781" t="s">
        <v>14</v>
      </c>
      <c r="B3781" s="2">
        <v>44909</v>
      </c>
      <c r="C3781">
        <v>59.98095703125</v>
      </c>
      <c r="D3781">
        <f>_xlfn.XLOOKUP(B3781, Oil_Price!A:A, Oil_Price!B:B, "")</f>
        <v>77.279998779296875</v>
      </c>
      <c r="E3781">
        <f t="shared" si="236"/>
        <v>-1.0511941268755478E-2</v>
      </c>
      <c r="F3781">
        <f t="shared" si="237"/>
        <v>2.5069629990048088E-2</v>
      </c>
      <c r="G3781">
        <f t="shared" si="238"/>
        <v>-0.63721466064453125</v>
      </c>
      <c r="H3781">
        <f t="shared" si="239"/>
        <v>1.8899993896484375</v>
      </c>
    </row>
    <row r="3782" spans="1:8" x14ac:dyDescent="0.2">
      <c r="A3782" t="s">
        <v>14</v>
      </c>
      <c r="B3782" s="2">
        <v>44910</v>
      </c>
      <c r="C3782">
        <v>59.006912231445312</v>
      </c>
      <c r="D3782">
        <f>_xlfn.XLOOKUP(B3782, Oil_Price!A:A, Oil_Price!B:B, "")</f>
        <v>76.110000610351562</v>
      </c>
      <c r="E3782">
        <f t="shared" si="236"/>
        <v>-1.6239234050520593E-2</v>
      </c>
      <c r="F3782">
        <f t="shared" si="237"/>
        <v>-1.5139728098168038E-2</v>
      </c>
      <c r="G3782">
        <f t="shared" si="238"/>
        <v>-0.9740447998046875</v>
      </c>
      <c r="H3782">
        <f t="shared" si="239"/>
        <v>-1.1699981689453125</v>
      </c>
    </row>
    <row r="3783" spans="1:8" x14ac:dyDescent="0.2">
      <c r="A3783" t="s">
        <v>14</v>
      </c>
      <c r="B3783" s="2">
        <v>44911</v>
      </c>
      <c r="C3783">
        <v>58.133010864257812</v>
      </c>
      <c r="D3783">
        <f>_xlfn.XLOOKUP(B3783, Oil_Price!A:A, Oil_Price!B:B, "")</f>
        <v>74.290000915527344</v>
      </c>
      <c r="E3783">
        <f t="shared" si="236"/>
        <v>-1.481015247433656E-2</v>
      </c>
      <c r="F3783">
        <f t="shared" si="237"/>
        <v>-2.3912753649047856E-2</v>
      </c>
      <c r="G3783">
        <f t="shared" si="238"/>
        <v>-0.8739013671875</v>
      </c>
      <c r="H3783">
        <f t="shared" si="239"/>
        <v>-1.8199996948242188</v>
      </c>
    </row>
    <row r="3784" spans="1:8" x14ac:dyDescent="0.2">
      <c r="A3784" t="s">
        <v>14</v>
      </c>
      <c r="B3784" s="2">
        <v>44914</v>
      </c>
      <c r="C3784">
        <v>58.251350402832031</v>
      </c>
      <c r="D3784">
        <f>_xlfn.XLOOKUP(B3784, Oil_Price!A:A, Oil_Price!B:B, "")</f>
        <v>75.19000244140625</v>
      </c>
      <c r="E3784">
        <f t="shared" si="236"/>
        <v>2.035668492219418E-3</v>
      </c>
      <c r="F3784">
        <f t="shared" si="237"/>
        <v>1.2114706081404787E-2</v>
      </c>
      <c r="G3784">
        <f t="shared" si="238"/>
        <v>0.11833953857421875</v>
      </c>
      <c r="H3784">
        <f t="shared" si="239"/>
        <v>0.90000152587890625</v>
      </c>
    </row>
    <row r="3785" spans="1:8" x14ac:dyDescent="0.2">
      <c r="A3785" t="s">
        <v>14</v>
      </c>
      <c r="B3785" s="2">
        <v>44915</v>
      </c>
      <c r="C3785">
        <v>58.205837249755859</v>
      </c>
      <c r="D3785">
        <f>_xlfn.XLOOKUP(B3785, Oil_Price!A:A, Oil_Price!B:B, "")</f>
        <v>76.089996337890625</v>
      </c>
      <c r="E3785">
        <f t="shared" si="236"/>
        <v>-7.8132357037956574E-4</v>
      </c>
      <c r="F3785">
        <f t="shared" si="237"/>
        <v>1.1969595255509115E-2</v>
      </c>
      <c r="G3785">
        <f t="shared" si="238"/>
        <v>-4.5513153076171875E-2</v>
      </c>
      <c r="H3785">
        <f t="shared" si="239"/>
        <v>0.899993896484375</v>
      </c>
    </row>
    <row r="3786" spans="1:8" x14ac:dyDescent="0.2">
      <c r="A3786" t="s">
        <v>14</v>
      </c>
      <c r="B3786" s="2">
        <v>44916</v>
      </c>
      <c r="C3786">
        <v>59.462074279785163</v>
      </c>
      <c r="D3786">
        <f>_xlfn.XLOOKUP(B3786, Oil_Price!A:A, Oil_Price!B:B, "")</f>
        <v>78.290000915527344</v>
      </c>
      <c r="E3786">
        <f t="shared" si="236"/>
        <v>2.1582664031425357E-2</v>
      </c>
      <c r="F3786">
        <f t="shared" si="237"/>
        <v>2.8913190741490152E-2</v>
      </c>
      <c r="G3786">
        <f t="shared" si="238"/>
        <v>1.256237030029304</v>
      </c>
      <c r="H3786">
        <f t="shared" si="239"/>
        <v>2.2000045776367188</v>
      </c>
    </row>
    <row r="3787" spans="1:8" x14ac:dyDescent="0.2">
      <c r="A3787" t="s">
        <v>14</v>
      </c>
      <c r="B3787" s="2">
        <v>44917</v>
      </c>
      <c r="C3787">
        <v>58.060176849365227</v>
      </c>
      <c r="D3787">
        <f>_xlfn.XLOOKUP(B3787, Oil_Price!A:A, Oil_Price!B:B, "")</f>
        <v>77.489997863769531</v>
      </c>
      <c r="E3787">
        <f t="shared" si="236"/>
        <v>-2.3576329070251215E-2</v>
      </c>
      <c r="F3787">
        <f t="shared" si="237"/>
        <v>-1.0218457560384918E-2</v>
      </c>
      <c r="G3787">
        <f t="shared" si="238"/>
        <v>-1.4018974304199361</v>
      </c>
      <c r="H3787">
        <f t="shared" si="239"/>
        <v>-0.8000030517578125</v>
      </c>
    </row>
    <row r="3788" spans="1:8" x14ac:dyDescent="0.2">
      <c r="A3788" t="s">
        <v>14</v>
      </c>
      <c r="B3788" s="2">
        <v>44918</v>
      </c>
      <c r="C3788">
        <v>59.689647674560547</v>
      </c>
      <c r="D3788">
        <f>_xlfn.XLOOKUP(B3788, Oil_Price!A:A, Oil_Price!B:B, "")</f>
        <v>79.55999755859375</v>
      </c>
      <c r="E3788">
        <f t="shared" si="236"/>
        <v>2.806520602620477E-2</v>
      </c>
      <c r="F3788">
        <f t="shared" si="237"/>
        <v>2.6713121072262251E-2</v>
      </c>
      <c r="G3788">
        <f t="shared" si="238"/>
        <v>1.6294708251953196</v>
      </c>
      <c r="H3788">
        <f t="shared" si="239"/>
        <v>2.0699996948242188</v>
      </c>
    </row>
    <row r="3789" spans="1:8" x14ac:dyDescent="0.2">
      <c r="A3789" t="s">
        <v>14</v>
      </c>
      <c r="B3789" s="2">
        <v>44923</v>
      </c>
      <c r="C3789">
        <v>59.107044219970703</v>
      </c>
      <c r="D3789">
        <f>_xlfn.XLOOKUP(B3789, Oil_Price!A:A, Oil_Price!B:B, "")</f>
        <v>78.959999084472656</v>
      </c>
      <c r="E3789">
        <f t="shared" si="236"/>
        <v>-9.760544370546631E-3</v>
      </c>
      <c r="F3789">
        <f t="shared" si="237"/>
        <v>-7.541459182162636E-3</v>
      </c>
      <c r="G3789">
        <f t="shared" si="238"/>
        <v>-0.58260345458984375</v>
      </c>
      <c r="H3789">
        <f t="shared" si="239"/>
        <v>-0.59999847412109375</v>
      </c>
    </row>
    <row r="3790" spans="1:8" x14ac:dyDescent="0.2">
      <c r="A3790" t="s">
        <v>14</v>
      </c>
      <c r="B3790" s="2">
        <v>44924</v>
      </c>
      <c r="C3790">
        <v>59.798896789550781</v>
      </c>
      <c r="D3790">
        <f>_xlfn.XLOOKUP(B3790, Oil_Price!A:A, Oil_Price!B:B, "")</f>
        <v>78.400001525878906</v>
      </c>
      <c r="E3790">
        <f t="shared" si="236"/>
        <v>1.1705078112268714E-2</v>
      </c>
      <c r="F3790">
        <f t="shared" si="237"/>
        <v>-7.0921677442606825E-3</v>
      </c>
      <c r="G3790">
        <f t="shared" si="238"/>
        <v>0.69185256958007812</v>
      </c>
      <c r="H3790">
        <f t="shared" si="239"/>
        <v>-0.55999755859375</v>
      </c>
    </row>
    <row r="3791" spans="1:8" x14ac:dyDescent="0.2">
      <c r="A3791" t="s">
        <v>14</v>
      </c>
      <c r="B3791" s="2">
        <v>44925</v>
      </c>
      <c r="C3791">
        <v>60.035564422607422</v>
      </c>
      <c r="D3791">
        <f>_xlfn.XLOOKUP(B3791, Oil_Price!A:A, Oil_Price!B:B, "")</f>
        <v>80.260002136230469</v>
      </c>
      <c r="E3791">
        <f t="shared" si="236"/>
        <v>3.9577257401510416E-3</v>
      </c>
      <c r="F3791">
        <f t="shared" si="237"/>
        <v>2.372449711927108E-2</v>
      </c>
      <c r="G3791">
        <f t="shared" si="238"/>
        <v>0.23666763305664062</v>
      </c>
      <c r="H3791">
        <f t="shared" si="239"/>
        <v>1.8600006103515625</v>
      </c>
    </row>
    <row r="3792" spans="1:8" x14ac:dyDescent="0.2">
      <c r="A3792" t="s">
        <v>14</v>
      </c>
      <c r="B3792" s="2">
        <v>44929</v>
      </c>
      <c r="C3792">
        <v>57.623226165771477</v>
      </c>
      <c r="D3792">
        <f>_xlfn.XLOOKUP(B3792, Oil_Price!A:A, Oil_Price!B:B, "")</f>
        <v>76.930000305175781</v>
      </c>
      <c r="E3792">
        <f t="shared" si="236"/>
        <v>-4.0181820226671133E-2</v>
      </c>
      <c r="F3792">
        <f t="shared" si="237"/>
        <v>-4.149017869950291E-2</v>
      </c>
      <c r="G3792">
        <f t="shared" si="238"/>
        <v>-2.4123382568359446</v>
      </c>
      <c r="H3792">
        <f t="shared" si="239"/>
        <v>-3.3300018310546875</v>
      </c>
    </row>
    <row r="3793" spans="1:8" x14ac:dyDescent="0.2">
      <c r="A3793" t="s">
        <v>14</v>
      </c>
      <c r="B3793" s="2">
        <v>44930</v>
      </c>
      <c r="C3793">
        <v>56.539943695068359</v>
      </c>
      <c r="D3793">
        <f>_xlfn.XLOOKUP(B3793, Oil_Price!A:A, Oil_Price!B:B, "")</f>
        <v>72.839996337890625</v>
      </c>
      <c r="E3793">
        <f t="shared" si="236"/>
        <v>-1.8799406815347555E-2</v>
      </c>
      <c r="F3793">
        <f t="shared" si="237"/>
        <v>-5.3165266489801175E-2</v>
      </c>
      <c r="G3793">
        <f t="shared" si="238"/>
        <v>-1.0832824707031179</v>
      </c>
      <c r="H3793">
        <f t="shared" si="239"/>
        <v>-4.0900039672851562</v>
      </c>
    </row>
    <row r="3794" spans="1:8" x14ac:dyDescent="0.2">
      <c r="A3794" t="s">
        <v>14</v>
      </c>
      <c r="B3794" s="2">
        <v>44931</v>
      </c>
      <c r="C3794">
        <v>57.623226165771477</v>
      </c>
      <c r="D3794">
        <f>_xlfn.XLOOKUP(B3794, Oil_Price!A:A, Oil_Price!B:B, "")</f>
        <v>73.669998168945312</v>
      </c>
      <c r="E3794">
        <f t="shared" si="236"/>
        <v>1.9159595852190531E-2</v>
      </c>
      <c r="F3794">
        <f t="shared" si="237"/>
        <v>1.1394863712025326E-2</v>
      </c>
      <c r="G3794">
        <f t="shared" si="238"/>
        <v>1.0832824707031179</v>
      </c>
      <c r="H3794">
        <f t="shared" si="239"/>
        <v>0.8300018310546875</v>
      </c>
    </row>
    <row r="3795" spans="1:8" x14ac:dyDescent="0.2">
      <c r="A3795" t="s">
        <v>14</v>
      </c>
      <c r="B3795" s="2">
        <v>44932</v>
      </c>
      <c r="C3795">
        <v>59.079746246337891</v>
      </c>
      <c r="D3795">
        <f>_xlfn.XLOOKUP(B3795, Oil_Price!A:A, Oil_Price!B:B, "")</f>
        <v>73.769996643066406</v>
      </c>
      <c r="E3795">
        <f t="shared" si="236"/>
        <v>2.5276614613285824E-2</v>
      </c>
      <c r="F3795">
        <f t="shared" si="237"/>
        <v>1.3573839637103029E-3</v>
      </c>
      <c r="G3795">
        <f t="shared" si="238"/>
        <v>1.4565200805664134</v>
      </c>
      <c r="H3795">
        <f t="shared" si="239"/>
        <v>9.999847412109375E-2</v>
      </c>
    </row>
    <row r="3796" spans="1:8" x14ac:dyDescent="0.2">
      <c r="A3796" t="s">
        <v>14</v>
      </c>
      <c r="B3796" s="2">
        <v>44935</v>
      </c>
      <c r="C3796">
        <v>58.396995544433587</v>
      </c>
      <c r="D3796">
        <f>_xlfn.XLOOKUP(B3796, Oil_Price!A:A, Oil_Price!B:B, "")</f>
        <v>74.629997253417969</v>
      </c>
      <c r="E3796">
        <f t="shared" si="236"/>
        <v>-1.1556425768274604E-2</v>
      </c>
      <c r="F3796">
        <f t="shared" si="237"/>
        <v>1.1657864301019911E-2</v>
      </c>
      <c r="G3796">
        <f t="shared" si="238"/>
        <v>-0.68275070190430398</v>
      </c>
      <c r="H3796">
        <f t="shared" si="239"/>
        <v>0.8600006103515625</v>
      </c>
    </row>
    <row r="3797" spans="1:8" x14ac:dyDescent="0.2">
      <c r="A3797" t="s">
        <v>14</v>
      </c>
      <c r="B3797" s="2">
        <v>44936</v>
      </c>
      <c r="C3797">
        <v>58.42431640625</v>
      </c>
      <c r="D3797">
        <f>_xlfn.XLOOKUP(B3797, Oil_Price!A:A, Oil_Price!B:B, "")</f>
        <v>75.120002746582031</v>
      </c>
      <c r="E3797">
        <f t="shared" si="236"/>
        <v>4.6784704524097023E-4</v>
      </c>
      <c r="F3797">
        <f t="shared" si="237"/>
        <v>6.5657980865277445E-3</v>
      </c>
      <c r="G3797">
        <f t="shared" si="238"/>
        <v>2.7320861816413355E-2</v>
      </c>
      <c r="H3797">
        <f t="shared" si="239"/>
        <v>0.4900054931640625</v>
      </c>
    </row>
    <row r="3798" spans="1:8" x14ac:dyDescent="0.2">
      <c r="A3798" t="s">
        <v>14</v>
      </c>
      <c r="B3798" s="2">
        <v>44937</v>
      </c>
      <c r="C3798">
        <v>57.94183349609375</v>
      </c>
      <c r="D3798">
        <f>_xlfn.XLOOKUP(B3798, Oil_Price!A:A, Oil_Price!B:B, "")</f>
        <v>77.410003662109375</v>
      </c>
      <c r="E3798">
        <f t="shared" si="236"/>
        <v>-8.2582551210583933E-3</v>
      </c>
      <c r="F3798">
        <f t="shared" si="237"/>
        <v>3.0484569113404872E-2</v>
      </c>
      <c r="G3798">
        <f t="shared" si="238"/>
        <v>-0.48248291015625</v>
      </c>
      <c r="H3798">
        <f t="shared" si="239"/>
        <v>2.2900009155273438</v>
      </c>
    </row>
    <row r="3799" spans="1:8" x14ac:dyDescent="0.2">
      <c r="A3799" t="s">
        <v>14</v>
      </c>
      <c r="B3799" s="2">
        <v>44938</v>
      </c>
      <c r="C3799">
        <v>58.706512451171882</v>
      </c>
      <c r="D3799">
        <f>_xlfn.XLOOKUP(B3799, Oil_Price!A:A, Oil_Price!B:B, "")</f>
        <v>78.389999389648438</v>
      </c>
      <c r="E3799">
        <f t="shared" si="236"/>
        <v>1.319735515669666E-2</v>
      </c>
      <c r="F3799">
        <f t="shared" si="237"/>
        <v>1.2659807275254665E-2</v>
      </c>
      <c r="G3799">
        <f t="shared" si="238"/>
        <v>0.76467895507813211</v>
      </c>
      <c r="H3799">
        <f t="shared" si="239"/>
        <v>0.9799957275390625</v>
      </c>
    </row>
    <row r="3800" spans="1:8" x14ac:dyDescent="0.2">
      <c r="A3800" t="s">
        <v>14</v>
      </c>
      <c r="B3800" s="2">
        <v>44939</v>
      </c>
      <c r="C3800">
        <v>59.871711730957031</v>
      </c>
      <c r="D3800">
        <f>_xlfn.XLOOKUP(B3800, Oil_Price!A:A, Oil_Price!B:B, "")</f>
        <v>79.860000610351562</v>
      </c>
      <c r="E3800">
        <f t="shared" si="236"/>
        <v>1.9847870894294451E-2</v>
      </c>
      <c r="F3800">
        <f t="shared" si="237"/>
        <v>1.8752407604907338E-2</v>
      </c>
      <c r="G3800">
        <f t="shared" si="238"/>
        <v>1.1651992797851491</v>
      </c>
      <c r="H3800">
        <f t="shared" si="239"/>
        <v>1.470001220703125</v>
      </c>
    </row>
    <row r="3801" spans="1:8" x14ac:dyDescent="0.2">
      <c r="A3801" t="s">
        <v>14</v>
      </c>
      <c r="B3801" s="2">
        <v>44942</v>
      </c>
      <c r="C3801">
        <v>59.899036407470703</v>
      </c>
      <c r="D3801" t="str">
        <f>_xlfn.XLOOKUP(B3801, Oil_Price!A:A, Oil_Price!B:B, "")</f>
        <v/>
      </c>
      <c r="E3801">
        <f t="shared" si="236"/>
        <v>4.5638709373233916E-4</v>
      </c>
      <c r="F3801" t="str">
        <f t="shared" si="237"/>
        <v/>
      </c>
      <c r="G3801">
        <f t="shared" si="238"/>
        <v>2.7324676513671875E-2</v>
      </c>
      <c r="H3801" t="str">
        <f t="shared" si="239"/>
        <v/>
      </c>
    </row>
    <row r="3802" spans="1:8" x14ac:dyDescent="0.2">
      <c r="A3802" t="s">
        <v>14</v>
      </c>
      <c r="B3802" s="2">
        <v>44943</v>
      </c>
      <c r="C3802">
        <v>60.5362548828125</v>
      </c>
      <c r="D3802">
        <f>_xlfn.XLOOKUP(B3802, Oil_Price!A:A, Oil_Price!B:B, "")</f>
        <v>80.180000305175781</v>
      </c>
      <c r="E3802">
        <f t="shared" si="236"/>
        <v>1.0638209119209169E-2</v>
      </c>
      <c r="F3802" t="str">
        <f t="shared" si="237"/>
        <v/>
      </c>
      <c r="G3802">
        <f t="shared" si="238"/>
        <v>0.63721847534179688</v>
      </c>
      <c r="H3802" t="str">
        <f t="shared" si="239"/>
        <v/>
      </c>
    </row>
    <row r="3803" spans="1:8" x14ac:dyDescent="0.2">
      <c r="A3803" t="s">
        <v>14</v>
      </c>
      <c r="B3803" s="2">
        <v>44944</v>
      </c>
      <c r="C3803">
        <v>60.144813537597663</v>
      </c>
      <c r="D3803">
        <f>_xlfn.XLOOKUP(B3803, Oil_Price!A:A, Oil_Price!B:B, "")</f>
        <v>79.480003356933594</v>
      </c>
      <c r="E3803">
        <f t="shared" si="236"/>
        <v>-6.4662299637233585E-3</v>
      </c>
      <c r="F3803">
        <f t="shared" si="237"/>
        <v>-8.7303186028673697E-3</v>
      </c>
      <c r="G3803">
        <f t="shared" si="238"/>
        <v>-0.39144134521483664</v>
      </c>
      <c r="H3803">
        <f t="shared" si="239"/>
        <v>-0.6999969482421875</v>
      </c>
    </row>
    <row r="3804" spans="1:8" x14ac:dyDescent="0.2">
      <c r="A3804" t="s">
        <v>14</v>
      </c>
      <c r="B3804" s="2">
        <v>44945</v>
      </c>
      <c r="C3804">
        <v>62.211231231689453</v>
      </c>
      <c r="D3804">
        <f>_xlfn.XLOOKUP(B3804, Oil_Price!A:A, Oil_Price!B:B, "")</f>
        <v>80.330001831054688</v>
      </c>
      <c r="E3804">
        <f t="shared" si="236"/>
        <v>3.435737136004309E-2</v>
      </c>
      <c r="F3804">
        <f t="shared" si="237"/>
        <v>1.0694494693261012E-2</v>
      </c>
      <c r="G3804">
        <f t="shared" si="238"/>
        <v>2.0664176940917898</v>
      </c>
      <c r="H3804">
        <f t="shared" si="239"/>
        <v>0.84999847412109375</v>
      </c>
    </row>
    <row r="3805" spans="1:8" x14ac:dyDescent="0.2">
      <c r="A3805" t="s">
        <v>14</v>
      </c>
      <c r="B3805" s="2">
        <v>44946</v>
      </c>
      <c r="C3805">
        <v>62.092891693115227</v>
      </c>
      <c r="D3805">
        <f>_xlfn.XLOOKUP(B3805, Oil_Price!A:A, Oil_Price!B:B, "")</f>
        <v>81.30999755859375</v>
      </c>
      <c r="E3805">
        <f t="shared" si="236"/>
        <v>-1.9022214515173508E-3</v>
      </c>
      <c r="F3805">
        <f t="shared" si="237"/>
        <v>1.2199622870669561E-2</v>
      </c>
      <c r="G3805">
        <f t="shared" si="238"/>
        <v>-0.11833953857422586</v>
      </c>
      <c r="H3805">
        <f t="shared" si="239"/>
        <v>0.9799957275390625</v>
      </c>
    </row>
    <row r="3806" spans="1:8" x14ac:dyDescent="0.2">
      <c r="A3806" t="s">
        <v>14</v>
      </c>
      <c r="B3806" s="2">
        <v>44949</v>
      </c>
      <c r="C3806">
        <v>62.739223480224609</v>
      </c>
      <c r="D3806">
        <f>_xlfn.XLOOKUP(B3806, Oil_Price!A:A, Oil_Price!B:B, "")</f>
        <v>81.620002746582031</v>
      </c>
      <c r="E3806">
        <f t="shared" si="236"/>
        <v>1.0409110761080023E-2</v>
      </c>
      <c r="F3806">
        <f t="shared" si="237"/>
        <v>3.8126330992063404E-3</v>
      </c>
      <c r="G3806">
        <f t="shared" si="238"/>
        <v>0.64633178710938211</v>
      </c>
      <c r="H3806">
        <f t="shared" si="239"/>
        <v>0.31000518798828125</v>
      </c>
    </row>
    <row r="3807" spans="1:8" x14ac:dyDescent="0.2">
      <c r="A3807" t="s">
        <v>14</v>
      </c>
      <c r="B3807" s="2">
        <v>44950</v>
      </c>
      <c r="C3807">
        <v>63.258098602294922</v>
      </c>
      <c r="D3807">
        <f>_xlfn.XLOOKUP(B3807, Oil_Price!A:A, Oil_Price!B:B, "")</f>
        <v>80.129997253417969</v>
      </c>
      <c r="E3807">
        <f t="shared" si="236"/>
        <v>8.2703465756770456E-3</v>
      </c>
      <c r="F3807">
        <f t="shared" si="237"/>
        <v>-1.8255396263466298E-2</v>
      </c>
      <c r="G3807">
        <f t="shared" si="238"/>
        <v>0.5188751220703125</v>
      </c>
      <c r="H3807">
        <f t="shared" si="239"/>
        <v>-1.4900054931640625</v>
      </c>
    </row>
    <row r="3808" spans="1:8" x14ac:dyDescent="0.2">
      <c r="A3808" t="s">
        <v>14</v>
      </c>
      <c r="B3808" s="2">
        <v>44951</v>
      </c>
      <c r="C3808">
        <v>63.522087097167969</v>
      </c>
      <c r="D3808">
        <f>_xlfn.XLOOKUP(B3808, Oil_Price!A:A, Oil_Price!B:B, "")</f>
        <v>80.150001525878906</v>
      </c>
      <c r="E3808">
        <f t="shared" si="236"/>
        <v>4.1731968033492193E-3</v>
      </c>
      <c r="F3808">
        <f t="shared" si="237"/>
        <v>2.4964773676045785E-4</v>
      </c>
      <c r="G3808">
        <f t="shared" si="238"/>
        <v>0.26398849487304688</v>
      </c>
      <c r="H3808">
        <f t="shared" si="239"/>
        <v>2.00042724609375E-2</v>
      </c>
    </row>
    <row r="3809" spans="1:8" x14ac:dyDescent="0.2">
      <c r="A3809" t="s">
        <v>14</v>
      </c>
      <c r="B3809" s="2">
        <v>44952</v>
      </c>
      <c r="C3809">
        <v>65.597618103027344</v>
      </c>
      <c r="D3809">
        <f>_xlfn.XLOOKUP(B3809, Oil_Price!A:A, Oil_Price!B:B, "")</f>
        <v>81.010002136230469</v>
      </c>
      <c r="E3809">
        <f t="shared" si="236"/>
        <v>3.2674162652818584E-2</v>
      </c>
      <c r="F3809">
        <f t="shared" si="237"/>
        <v>1.0729888883082362E-2</v>
      </c>
      <c r="G3809">
        <f t="shared" si="238"/>
        <v>2.075531005859375</v>
      </c>
      <c r="H3809">
        <f t="shared" si="239"/>
        <v>0.8600006103515625</v>
      </c>
    </row>
    <row r="3810" spans="1:8" x14ac:dyDescent="0.2">
      <c r="A3810" t="s">
        <v>14</v>
      </c>
      <c r="B3810" s="2">
        <v>44953</v>
      </c>
      <c r="C3810">
        <v>66.171134948730469</v>
      </c>
      <c r="D3810">
        <f>_xlfn.XLOOKUP(B3810, Oil_Price!A:A, Oil_Price!B:B, "")</f>
        <v>79.680000305175781</v>
      </c>
      <c r="E3810">
        <f t="shared" si="236"/>
        <v>8.7429522944318175E-3</v>
      </c>
      <c r="F3810">
        <f t="shared" si="237"/>
        <v>-1.6417748376528738E-2</v>
      </c>
      <c r="G3810">
        <f t="shared" si="238"/>
        <v>0.573516845703125</v>
      </c>
      <c r="H3810">
        <f t="shared" si="239"/>
        <v>-1.3300018310546875</v>
      </c>
    </row>
    <row r="3811" spans="1:8" x14ac:dyDescent="0.2">
      <c r="A3811" t="s">
        <v>14</v>
      </c>
      <c r="B3811" s="2">
        <v>44956</v>
      </c>
      <c r="C3811">
        <v>64.314079284667969</v>
      </c>
      <c r="D3811">
        <f>_xlfn.XLOOKUP(B3811, Oil_Price!A:A, Oil_Price!B:B, "")</f>
        <v>77.900001525878906</v>
      </c>
      <c r="E3811">
        <f t="shared" si="236"/>
        <v>-2.8064437242936072E-2</v>
      </c>
      <c r="F3811">
        <f t="shared" si="237"/>
        <v>-2.2339342024089468E-2</v>
      </c>
      <c r="G3811">
        <f t="shared" si="238"/>
        <v>-1.8570556640625</v>
      </c>
      <c r="H3811">
        <f t="shared" si="239"/>
        <v>-1.779998779296875</v>
      </c>
    </row>
    <row r="3812" spans="1:8" x14ac:dyDescent="0.2">
      <c r="A3812" t="s">
        <v>14</v>
      </c>
      <c r="B3812" s="2">
        <v>44957</v>
      </c>
      <c r="C3812">
        <v>66.198448181152344</v>
      </c>
      <c r="D3812">
        <f>_xlfn.XLOOKUP(B3812, Oil_Price!A:A, Oil_Price!B:B, "")</f>
        <v>78.870002746582031</v>
      </c>
      <c r="E3812">
        <f t="shared" si="236"/>
        <v>2.9299477150932261E-2</v>
      </c>
      <c r="F3812">
        <f t="shared" si="237"/>
        <v>1.2451876786945685E-2</v>
      </c>
      <c r="G3812">
        <f t="shared" si="238"/>
        <v>1.884368896484375</v>
      </c>
      <c r="H3812">
        <f t="shared" si="239"/>
        <v>0.970001220703125</v>
      </c>
    </row>
    <row r="3813" spans="1:8" x14ac:dyDescent="0.2">
      <c r="A3813" t="s">
        <v>14</v>
      </c>
      <c r="B3813" s="2">
        <v>44958</v>
      </c>
      <c r="C3813">
        <v>64.022789001464844</v>
      </c>
      <c r="D3813">
        <f>_xlfn.XLOOKUP(B3813, Oil_Price!A:A, Oil_Price!B:B, "")</f>
        <v>76.410003662109375</v>
      </c>
      <c r="E3813">
        <f t="shared" si="236"/>
        <v>-3.2865712708760167E-2</v>
      </c>
      <c r="F3813">
        <f t="shared" si="237"/>
        <v>-3.1190554061179675E-2</v>
      </c>
      <c r="G3813">
        <f t="shared" si="238"/>
        <v>-2.1756591796875</v>
      </c>
      <c r="H3813">
        <f t="shared" si="239"/>
        <v>-2.4599990844726562</v>
      </c>
    </row>
    <row r="3814" spans="1:8" x14ac:dyDescent="0.2">
      <c r="A3814" t="s">
        <v>14</v>
      </c>
      <c r="B3814" s="2">
        <v>44959</v>
      </c>
      <c r="C3814">
        <v>61.710567474365227</v>
      </c>
      <c r="D3814">
        <f>_xlfn.XLOOKUP(B3814, Oil_Price!A:A, Oil_Price!B:B, "")</f>
        <v>75.879997253417969</v>
      </c>
      <c r="E3814">
        <f t="shared" si="236"/>
        <v>-3.6115601384480653E-2</v>
      </c>
      <c r="F3814">
        <f t="shared" si="237"/>
        <v>-6.9363484267731925E-3</v>
      </c>
      <c r="G3814">
        <f t="shared" si="238"/>
        <v>-2.3122215270996165</v>
      </c>
      <c r="H3814">
        <f t="shared" si="239"/>
        <v>-0.53000640869140625</v>
      </c>
    </row>
    <row r="3815" spans="1:8" x14ac:dyDescent="0.2">
      <c r="A3815" t="s">
        <v>14</v>
      </c>
      <c r="B3815" s="2">
        <v>44960</v>
      </c>
      <c r="C3815">
        <v>61.501174926757812</v>
      </c>
      <c r="D3815">
        <f>_xlfn.XLOOKUP(B3815, Oil_Price!A:A, Oil_Price!B:B, "")</f>
        <v>73.389999389648438</v>
      </c>
      <c r="E3815">
        <f t="shared" si="236"/>
        <v>-3.3931392333152199E-3</v>
      </c>
      <c r="F3815">
        <f t="shared" si="237"/>
        <v>-3.2814944041888075E-2</v>
      </c>
      <c r="G3815">
        <f t="shared" si="238"/>
        <v>-0.20939254760741477</v>
      </c>
      <c r="H3815">
        <f t="shared" si="239"/>
        <v>-2.4899978637695312</v>
      </c>
    </row>
    <row r="3816" spans="1:8" x14ac:dyDescent="0.2">
      <c r="A3816" t="s">
        <v>14</v>
      </c>
      <c r="B3816" s="2">
        <v>44963</v>
      </c>
      <c r="C3816">
        <v>61.109745025634773</v>
      </c>
      <c r="D3816">
        <f>_xlfn.XLOOKUP(B3816, Oil_Price!A:A, Oil_Price!B:B, "")</f>
        <v>74.110000610351562</v>
      </c>
      <c r="E3816">
        <f t="shared" si="236"/>
        <v>-6.3645922470456284E-3</v>
      </c>
      <c r="F3816">
        <f t="shared" si="237"/>
        <v>9.8106176139944237E-3</v>
      </c>
      <c r="G3816">
        <f t="shared" si="238"/>
        <v>-0.39142990112303977</v>
      </c>
      <c r="H3816">
        <f t="shared" si="239"/>
        <v>0.720001220703125</v>
      </c>
    </row>
    <row r="3817" spans="1:8" x14ac:dyDescent="0.2">
      <c r="A3817" t="s">
        <v>14</v>
      </c>
      <c r="B3817" s="2">
        <v>44964</v>
      </c>
      <c r="C3817">
        <v>62.420612335205078</v>
      </c>
      <c r="D3817">
        <f>_xlfn.XLOOKUP(B3817, Oil_Price!A:A, Oil_Price!B:B, "")</f>
        <v>77.139999389648438</v>
      </c>
      <c r="E3817">
        <f t="shared" si="236"/>
        <v>2.1451035493936572E-2</v>
      </c>
      <c r="F3817">
        <f t="shared" si="237"/>
        <v>4.0885153883990791E-2</v>
      </c>
      <c r="G3817">
        <f t="shared" si="238"/>
        <v>1.3108673095703054</v>
      </c>
      <c r="H3817">
        <f t="shared" si="239"/>
        <v>3.029998779296875</v>
      </c>
    </row>
    <row r="3818" spans="1:8" x14ac:dyDescent="0.2">
      <c r="A3818" t="s">
        <v>14</v>
      </c>
      <c r="B3818" s="2">
        <v>44965</v>
      </c>
      <c r="C3818">
        <v>63.330928802490227</v>
      </c>
      <c r="D3818">
        <f>_xlfn.XLOOKUP(B3818, Oil_Price!A:A, Oil_Price!B:B, "")</f>
        <v>78.470001220703125</v>
      </c>
      <c r="E3818">
        <f t="shared" si="236"/>
        <v>1.4583587587969444E-2</v>
      </c>
      <c r="F3818">
        <f t="shared" si="237"/>
        <v>1.724140318353649E-2</v>
      </c>
      <c r="G3818">
        <f t="shared" si="238"/>
        <v>0.91031646728514914</v>
      </c>
      <c r="H3818">
        <f t="shared" si="239"/>
        <v>1.3300018310546875</v>
      </c>
    </row>
    <row r="3819" spans="1:8" x14ac:dyDescent="0.2">
      <c r="A3819" t="s">
        <v>14</v>
      </c>
      <c r="B3819" s="2">
        <v>44966</v>
      </c>
      <c r="C3819">
        <v>63.349151611328118</v>
      </c>
      <c r="D3819">
        <f>_xlfn.XLOOKUP(B3819, Oil_Price!A:A, Oil_Price!B:B, "")</f>
        <v>78.05999755859375</v>
      </c>
      <c r="E3819">
        <f t="shared" si="236"/>
        <v>2.8773948499511169E-4</v>
      </c>
      <c r="F3819">
        <f t="shared" si="237"/>
        <v>-5.2249733112174554E-3</v>
      </c>
      <c r="G3819">
        <f t="shared" si="238"/>
        <v>1.8222808837890625E-2</v>
      </c>
      <c r="H3819">
        <f t="shared" si="239"/>
        <v>-0.410003662109375</v>
      </c>
    </row>
    <row r="3820" spans="1:8" x14ac:dyDescent="0.2">
      <c r="A3820" t="s">
        <v>14</v>
      </c>
      <c r="B3820" s="2">
        <v>44967</v>
      </c>
      <c r="C3820">
        <v>65.315437316894531</v>
      </c>
      <c r="D3820">
        <f>_xlfn.XLOOKUP(B3820, Oil_Price!A:A, Oil_Price!B:B, "")</f>
        <v>79.720001220703125</v>
      </c>
      <c r="E3820">
        <f t="shared" si="236"/>
        <v>3.103886406609432E-2</v>
      </c>
      <c r="F3820">
        <f t="shared" si="237"/>
        <v>2.126574063576335E-2</v>
      </c>
      <c r="G3820">
        <f t="shared" si="238"/>
        <v>1.9662857055664134</v>
      </c>
      <c r="H3820">
        <f t="shared" si="239"/>
        <v>1.660003662109375</v>
      </c>
    </row>
    <row r="3821" spans="1:8" x14ac:dyDescent="0.2">
      <c r="A3821" t="s">
        <v>14</v>
      </c>
      <c r="B3821" s="2">
        <v>44970</v>
      </c>
      <c r="C3821">
        <v>64.832954406738281</v>
      </c>
      <c r="D3821">
        <f>_xlfn.XLOOKUP(B3821, Oil_Price!A:A, Oil_Price!B:B, "")</f>
        <v>80.139999389648438</v>
      </c>
      <c r="E3821">
        <f t="shared" si="236"/>
        <v>-7.3869659298974131E-3</v>
      </c>
      <c r="F3821">
        <f t="shared" si="237"/>
        <v>5.2684164891387362E-3</v>
      </c>
      <c r="G3821">
        <f t="shared" si="238"/>
        <v>-0.48248291015625</v>
      </c>
      <c r="H3821">
        <f t="shared" si="239"/>
        <v>0.4199981689453125</v>
      </c>
    </row>
    <row r="3822" spans="1:8" x14ac:dyDescent="0.2">
      <c r="A3822" t="s">
        <v>14</v>
      </c>
      <c r="B3822" s="2">
        <v>44971</v>
      </c>
      <c r="C3822">
        <v>64.323196411132812</v>
      </c>
      <c r="D3822">
        <f>_xlfn.XLOOKUP(B3822, Oil_Price!A:A, Oil_Price!B:B, "")</f>
        <v>79.05999755859375</v>
      </c>
      <c r="E3822">
        <f t="shared" si="236"/>
        <v>-7.862637146032761E-3</v>
      </c>
      <c r="F3822">
        <f t="shared" si="237"/>
        <v>-1.3476439222361533E-2</v>
      </c>
      <c r="G3822">
        <f t="shared" si="238"/>
        <v>-0.50975799560546875</v>
      </c>
      <c r="H3822">
        <f t="shared" si="239"/>
        <v>-1.0800018310546875</v>
      </c>
    </row>
    <row r="3823" spans="1:8" x14ac:dyDescent="0.2">
      <c r="A3823" t="s">
        <v>14</v>
      </c>
      <c r="B3823" s="2">
        <v>44972</v>
      </c>
      <c r="C3823">
        <v>63.540302276611328</v>
      </c>
      <c r="D3823">
        <f>_xlfn.XLOOKUP(B3823, Oil_Price!A:A, Oil_Price!B:B, "")</f>
        <v>78.589996337890625</v>
      </c>
      <c r="E3823">
        <f t="shared" si="236"/>
        <v>-1.2171256688139087E-2</v>
      </c>
      <c r="F3823">
        <f t="shared" si="237"/>
        <v>-5.9448676349223625E-3</v>
      </c>
      <c r="G3823">
        <f t="shared" si="238"/>
        <v>-0.78289413452148438</v>
      </c>
      <c r="H3823">
        <f t="shared" si="239"/>
        <v>-0.470001220703125</v>
      </c>
    </row>
    <row r="3824" spans="1:8" x14ac:dyDescent="0.2">
      <c r="A3824" t="s">
        <v>14</v>
      </c>
      <c r="B3824" s="2">
        <v>44973</v>
      </c>
      <c r="C3824">
        <v>63.003223419189453</v>
      </c>
      <c r="D3824">
        <f>_xlfn.XLOOKUP(B3824, Oil_Price!A:A, Oil_Price!B:B, "")</f>
        <v>78.489997863769531</v>
      </c>
      <c r="E3824">
        <f t="shared" si="236"/>
        <v>-8.4525700725155244E-3</v>
      </c>
      <c r="F3824">
        <f t="shared" si="237"/>
        <v>-1.2724071609719805E-3</v>
      </c>
      <c r="G3824">
        <f t="shared" si="238"/>
        <v>-0.537078857421875</v>
      </c>
      <c r="H3824">
        <f t="shared" si="239"/>
        <v>-9.999847412109375E-2</v>
      </c>
    </row>
    <row r="3825" spans="1:8" x14ac:dyDescent="0.2">
      <c r="A3825" t="s">
        <v>14</v>
      </c>
      <c r="B3825" s="2">
        <v>44974</v>
      </c>
      <c r="C3825">
        <v>61.510288238525391</v>
      </c>
      <c r="D3825">
        <f>_xlfn.XLOOKUP(B3825, Oil_Price!A:A, Oil_Price!B:B, "")</f>
        <v>76.339996337890625</v>
      </c>
      <c r="E3825">
        <f t="shared" si="236"/>
        <v>-2.3696171396356616E-2</v>
      </c>
      <c r="F3825">
        <f t="shared" si="237"/>
        <v>-2.7392044647657366E-2</v>
      </c>
      <c r="G3825">
        <f t="shared" si="238"/>
        <v>-1.4929351806640625</v>
      </c>
      <c r="H3825">
        <f t="shared" si="239"/>
        <v>-2.1500015258789062</v>
      </c>
    </row>
    <row r="3826" spans="1:8" x14ac:dyDescent="0.2">
      <c r="A3826" t="s">
        <v>14</v>
      </c>
      <c r="B3826" s="2">
        <v>44978</v>
      </c>
      <c r="C3826">
        <v>61.965446472167969</v>
      </c>
      <c r="D3826">
        <f>_xlfn.XLOOKUP(B3826, Oil_Price!A:A, Oil_Price!B:B, "")</f>
        <v>76.160003662109375</v>
      </c>
      <c r="E3826">
        <f t="shared" si="236"/>
        <v>7.3997090027859997E-3</v>
      </c>
      <c r="F3826">
        <f t="shared" si="237"/>
        <v>-2.3577768458958172E-3</v>
      </c>
      <c r="G3826">
        <f t="shared" si="238"/>
        <v>0.45515823364257812</v>
      </c>
      <c r="H3826">
        <f t="shared" si="239"/>
        <v>-0.17999267578125</v>
      </c>
    </row>
    <row r="3827" spans="1:8" x14ac:dyDescent="0.2">
      <c r="A3827" t="s">
        <v>14</v>
      </c>
      <c r="B3827" s="2">
        <v>44979</v>
      </c>
      <c r="C3827">
        <v>60.709213256835938</v>
      </c>
      <c r="D3827">
        <f>_xlfn.XLOOKUP(B3827, Oil_Price!A:A, Oil_Price!B:B, "")</f>
        <v>73.949996948242188</v>
      </c>
      <c r="E3827">
        <f t="shared" si="236"/>
        <v>-2.0273124569452967E-2</v>
      </c>
      <c r="F3827">
        <f t="shared" si="237"/>
        <v>-2.9017943902314904E-2</v>
      </c>
      <c r="G3827">
        <f t="shared" si="238"/>
        <v>-1.2562332153320312</v>
      </c>
      <c r="H3827">
        <f t="shared" si="239"/>
        <v>-2.2100067138671875</v>
      </c>
    </row>
    <row r="3828" spans="1:8" x14ac:dyDescent="0.2">
      <c r="A3828" t="s">
        <v>14</v>
      </c>
      <c r="B3828" s="2">
        <v>44980</v>
      </c>
      <c r="C3828">
        <v>61.428367614746087</v>
      </c>
      <c r="D3828">
        <f>_xlfn.XLOOKUP(B3828, Oil_Price!A:A, Oil_Price!B:B, "")</f>
        <v>75.389999389648438</v>
      </c>
      <c r="E3828">
        <f t="shared" si="236"/>
        <v>1.184588498730333E-2</v>
      </c>
      <c r="F3828">
        <f t="shared" si="237"/>
        <v>1.9472650450737837E-2</v>
      </c>
      <c r="G3828">
        <f t="shared" si="238"/>
        <v>0.71915435791014914</v>
      </c>
      <c r="H3828">
        <f t="shared" si="239"/>
        <v>1.44000244140625</v>
      </c>
    </row>
    <row r="3829" spans="1:8" x14ac:dyDescent="0.2">
      <c r="A3829" t="s">
        <v>14</v>
      </c>
      <c r="B3829" s="2">
        <v>44981</v>
      </c>
      <c r="C3829">
        <v>61.819801330566413</v>
      </c>
      <c r="D3829">
        <f>_xlfn.XLOOKUP(B3829, Oil_Price!A:A, Oil_Price!B:B, "")</f>
        <v>76.319999694824219</v>
      </c>
      <c r="E3829">
        <f t="shared" si="236"/>
        <v>6.3721979114802606E-3</v>
      </c>
      <c r="F3829">
        <f t="shared" si="237"/>
        <v>1.2335857709311464E-2</v>
      </c>
      <c r="G3829">
        <f t="shared" si="238"/>
        <v>0.39143371582032671</v>
      </c>
      <c r="H3829">
        <f t="shared" si="239"/>
        <v>0.93000030517578125</v>
      </c>
    </row>
    <row r="3830" spans="1:8" x14ac:dyDescent="0.2">
      <c r="A3830" t="s">
        <v>14</v>
      </c>
      <c r="B3830" s="2">
        <v>44984</v>
      </c>
      <c r="C3830">
        <v>62.584468841552727</v>
      </c>
      <c r="D3830">
        <f>_xlfn.XLOOKUP(B3830, Oil_Price!A:A, Oil_Price!B:B, "")</f>
        <v>75.680000305175781</v>
      </c>
      <c r="E3830">
        <f t="shared" si="236"/>
        <v>1.2369297450463156E-2</v>
      </c>
      <c r="F3830">
        <f t="shared" si="237"/>
        <v>-8.3857362710634317E-3</v>
      </c>
      <c r="G3830">
        <f t="shared" si="238"/>
        <v>0.76466751098631391</v>
      </c>
      <c r="H3830">
        <f t="shared" si="239"/>
        <v>-0.6399993896484375</v>
      </c>
    </row>
    <row r="3831" spans="1:8" x14ac:dyDescent="0.2">
      <c r="A3831" t="s">
        <v>14</v>
      </c>
      <c r="B3831" s="2">
        <v>44985</v>
      </c>
      <c r="C3831">
        <v>61.437465667724609</v>
      </c>
      <c r="D3831">
        <f>_xlfn.XLOOKUP(B3831, Oil_Price!A:A, Oil_Price!B:B, "")</f>
        <v>77.050003051757812</v>
      </c>
      <c r="E3831">
        <f t="shared" si="236"/>
        <v>-1.8327281433545846E-2</v>
      </c>
      <c r="F3831">
        <f t="shared" si="237"/>
        <v>1.8102573216933988E-2</v>
      </c>
      <c r="G3831">
        <f t="shared" si="238"/>
        <v>-1.1470031738281179</v>
      </c>
      <c r="H3831">
        <f t="shared" si="239"/>
        <v>1.3700027465820312</v>
      </c>
    </row>
    <row r="3832" spans="1:8" x14ac:dyDescent="0.2">
      <c r="A3832" t="s">
        <v>14</v>
      </c>
      <c r="B3832" s="2">
        <v>44986</v>
      </c>
      <c r="C3832">
        <v>62.675506591796882</v>
      </c>
      <c r="D3832">
        <f>_xlfn.XLOOKUP(B3832, Oil_Price!A:A, Oil_Price!B:B, "")</f>
        <v>77.69000244140625</v>
      </c>
      <c r="E3832">
        <f t="shared" si="236"/>
        <v>2.0151236881547699E-2</v>
      </c>
      <c r="F3832">
        <f t="shared" si="237"/>
        <v>8.3062863633960177E-3</v>
      </c>
      <c r="G3832">
        <f t="shared" si="238"/>
        <v>1.2380409240722727</v>
      </c>
      <c r="H3832">
        <f t="shared" si="239"/>
        <v>0.6399993896484375</v>
      </c>
    </row>
    <row r="3833" spans="1:8" x14ac:dyDescent="0.2">
      <c r="A3833" t="s">
        <v>14</v>
      </c>
      <c r="B3833" s="2">
        <v>44987</v>
      </c>
      <c r="C3833">
        <v>63.784061431884773</v>
      </c>
      <c r="D3833">
        <f>_xlfn.XLOOKUP(B3833, Oil_Price!A:A, Oil_Price!B:B, "")</f>
        <v>78.160003662109375</v>
      </c>
      <c r="E3833">
        <f t="shared" si="236"/>
        <v>1.7687209890585566E-2</v>
      </c>
      <c r="F3833">
        <f t="shared" si="237"/>
        <v>6.0497001664737956E-3</v>
      </c>
      <c r="G3833">
        <f t="shared" si="238"/>
        <v>1.1085548400878906</v>
      </c>
      <c r="H3833">
        <f t="shared" si="239"/>
        <v>0.470001220703125</v>
      </c>
    </row>
    <row r="3834" spans="1:8" x14ac:dyDescent="0.2">
      <c r="A3834" t="s">
        <v>14</v>
      </c>
      <c r="B3834" s="2">
        <v>44988</v>
      </c>
      <c r="C3834">
        <v>64.196357727050781</v>
      </c>
      <c r="D3834">
        <f>_xlfn.XLOOKUP(B3834, Oil_Price!A:A, Oil_Price!B:B, "")</f>
        <v>79.680000305175781</v>
      </c>
      <c r="E3834">
        <f t="shared" si="236"/>
        <v>6.463939202214353E-3</v>
      </c>
      <c r="F3834">
        <f t="shared" si="237"/>
        <v>1.944724375445845E-2</v>
      </c>
      <c r="G3834">
        <f t="shared" si="238"/>
        <v>0.41229629516600852</v>
      </c>
      <c r="H3834">
        <f t="shared" si="239"/>
        <v>1.5199966430664062</v>
      </c>
    </row>
    <row r="3835" spans="1:8" x14ac:dyDescent="0.2">
      <c r="A3835" t="s">
        <v>14</v>
      </c>
      <c r="B3835" s="2">
        <v>44991</v>
      </c>
      <c r="C3835">
        <v>64.700225830078125</v>
      </c>
      <c r="D3835">
        <f>_xlfn.XLOOKUP(B3835, Oil_Price!A:A, Oil_Price!B:B, "")</f>
        <v>80.459999084472656</v>
      </c>
      <c r="E3835">
        <f t="shared" si="236"/>
        <v>7.8488581107620387E-3</v>
      </c>
      <c r="F3835">
        <f t="shared" si="237"/>
        <v>9.7891412689441043E-3</v>
      </c>
      <c r="G3835">
        <f t="shared" si="238"/>
        <v>0.50386810302734375</v>
      </c>
      <c r="H3835">
        <f t="shared" si="239"/>
        <v>0.779998779296875</v>
      </c>
    </row>
    <row r="3836" spans="1:8" x14ac:dyDescent="0.2">
      <c r="A3836" t="s">
        <v>14</v>
      </c>
      <c r="B3836" s="2">
        <v>44992</v>
      </c>
      <c r="C3836">
        <v>64.058914184570312</v>
      </c>
      <c r="D3836">
        <f>_xlfn.XLOOKUP(B3836, Oil_Price!A:A, Oil_Price!B:B, "")</f>
        <v>77.580001831054688</v>
      </c>
      <c r="E3836">
        <f t="shared" si="236"/>
        <v>-9.9120464771187359E-3</v>
      </c>
      <c r="F3836">
        <f t="shared" si="237"/>
        <v>-3.5794149716486347E-2</v>
      </c>
      <c r="G3836">
        <f t="shared" si="238"/>
        <v>-0.6413116455078125</v>
      </c>
      <c r="H3836">
        <f t="shared" si="239"/>
        <v>-2.8799972534179688</v>
      </c>
    </row>
    <row r="3837" spans="1:8" x14ac:dyDescent="0.2">
      <c r="A3837" t="s">
        <v>14</v>
      </c>
      <c r="B3837" s="2">
        <v>44993</v>
      </c>
      <c r="C3837">
        <v>64.626945495605469</v>
      </c>
      <c r="D3837">
        <f>_xlfn.XLOOKUP(B3837, Oil_Price!A:A, Oil_Price!B:B, "")</f>
        <v>76.660003662109375</v>
      </c>
      <c r="E3837">
        <f t="shared" si="236"/>
        <v>8.8673265581510011E-3</v>
      </c>
      <c r="F3837">
        <f t="shared" si="237"/>
        <v>-1.18587025938564E-2</v>
      </c>
      <c r="G3837">
        <f t="shared" si="238"/>
        <v>0.56803131103515625</v>
      </c>
      <c r="H3837">
        <f t="shared" si="239"/>
        <v>-0.9199981689453125</v>
      </c>
    </row>
    <row r="3838" spans="1:8" x14ac:dyDescent="0.2">
      <c r="A3838" t="s">
        <v>14</v>
      </c>
      <c r="B3838" s="2">
        <v>44994</v>
      </c>
      <c r="C3838">
        <v>64.251304626464844</v>
      </c>
      <c r="D3838">
        <f>_xlfn.XLOOKUP(B3838, Oil_Price!A:A, Oil_Price!B:B, "")</f>
        <v>75.720001220703125</v>
      </c>
      <c r="E3838">
        <f t="shared" si="236"/>
        <v>-5.8124496873547581E-3</v>
      </c>
      <c r="F3838">
        <f t="shared" si="237"/>
        <v>-1.2261967081940849E-2</v>
      </c>
      <c r="G3838">
        <f t="shared" si="238"/>
        <v>-0.375640869140625</v>
      </c>
      <c r="H3838">
        <f t="shared" si="239"/>
        <v>-0.94000244140625</v>
      </c>
    </row>
    <row r="3839" spans="1:8" x14ac:dyDescent="0.2">
      <c r="A3839" t="s">
        <v>14</v>
      </c>
      <c r="B3839" s="2">
        <v>44995</v>
      </c>
      <c r="C3839">
        <v>63.637481689453118</v>
      </c>
      <c r="D3839">
        <f>_xlfn.XLOOKUP(B3839, Oil_Price!A:A, Oil_Price!B:B, "")</f>
        <v>76.680000305175781</v>
      </c>
      <c r="E3839">
        <f t="shared" si="236"/>
        <v>-9.5534704015783484E-3</v>
      </c>
      <c r="F3839">
        <f t="shared" si="237"/>
        <v>1.2678276135713748E-2</v>
      </c>
      <c r="G3839">
        <f t="shared" si="238"/>
        <v>-0.61382293701172586</v>
      </c>
      <c r="H3839">
        <f t="shared" si="239"/>
        <v>0.95999908447265625</v>
      </c>
    </row>
    <row r="3840" spans="1:8" x14ac:dyDescent="0.2">
      <c r="A3840" t="s">
        <v>14</v>
      </c>
      <c r="B3840" s="2">
        <v>44998</v>
      </c>
      <c r="C3840">
        <v>61.035556793212891</v>
      </c>
      <c r="D3840">
        <f>_xlfn.XLOOKUP(B3840, Oil_Price!A:A, Oil_Price!B:B, "")</f>
        <v>74.800003051757812</v>
      </c>
      <c r="E3840">
        <f t="shared" si="236"/>
        <v>-4.088667287208906E-2</v>
      </c>
      <c r="F3840">
        <f t="shared" si="237"/>
        <v>-2.4517439305370894E-2</v>
      </c>
      <c r="G3840">
        <f t="shared" si="238"/>
        <v>-2.6019248962402273</v>
      </c>
      <c r="H3840">
        <f t="shared" si="239"/>
        <v>-1.8799972534179688</v>
      </c>
    </row>
    <row r="3841" spans="1:8" x14ac:dyDescent="0.2">
      <c r="A3841" t="s">
        <v>14</v>
      </c>
      <c r="B3841" s="2">
        <v>44999</v>
      </c>
      <c r="C3841">
        <v>59.752891540527337</v>
      </c>
      <c r="D3841">
        <f>_xlfn.XLOOKUP(B3841, Oil_Price!A:A, Oil_Price!B:B, "")</f>
        <v>71.330001831054688</v>
      </c>
      <c r="E3841">
        <f t="shared" si="236"/>
        <v>-2.1015049588737192E-2</v>
      </c>
      <c r="F3841">
        <f t="shared" si="237"/>
        <v>-4.639038875843441E-2</v>
      </c>
      <c r="G3841">
        <f t="shared" si="238"/>
        <v>-1.282665252685554</v>
      </c>
      <c r="H3841">
        <f t="shared" si="239"/>
        <v>-3.470001220703125</v>
      </c>
    </row>
    <row r="3842" spans="1:8" x14ac:dyDescent="0.2">
      <c r="A3842" t="s">
        <v>14</v>
      </c>
      <c r="B3842" s="2">
        <v>45000</v>
      </c>
      <c r="C3842">
        <v>57.673183441162109</v>
      </c>
      <c r="D3842">
        <f>_xlfn.XLOOKUP(B3842, Oil_Price!A:A, Oil_Price!B:B, "")</f>
        <v>67.610000610351562</v>
      </c>
      <c r="E3842">
        <f t="shared" si="236"/>
        <v>-3.4805145755242108E-2</v>
      </c>
      <c r="F3842">
        <f t="shared" si="237"/>
        <v>-5.2151985492920057E-2</v>
      </c>
      <c r="G3842">
        <f t="shared" si="238"/>
        <v>-2.0797080993652273</v>
      </c>
      <c r="H3842">
        <f t="shared" si="239"/>
        <v>-3.720001220703125</v>
      </c>
    </row>
    <row r="3843" spans="1:8" x14ac:dyDescent="0.2">
      <c r="A3843" t="s">
        <v>14</v>
      </c>
      <c r="B3843" s="2">
        <v>45001</v>
      </c>
      <c r="C3843">
        <v>57.581569671630859</v>
      </c>
      <c r="D3843">
        <f>_xlfn.XLOOKUP(B3843, Oil_Price!A:A, Oil_Price!B:B, "")</f>
        <v>68.349998474121094</v>
      </c>
      <c r="E3843">
        <f t="shared" ref="E3843:E3906" si="240">IFERROR(IF(AND(A3843=A3842, C3843&lt;&gt;"", C3842&lt;&gt;""), (C3843-C3842)/C3842, ""), "")</f>
        <v>-1.5884985718659678E-3</v>
      </c>
      <c r="F3843">
        <f t="shared" ref="F3843:F3906" si="241">IFERROR(IF(AND(A3843=A3842, D3843&lt;&gt;"", D3842&lt;&gt;""), (D3843-D3842)/D3842, ""), "")</f>
        <v>1.0945094765407122E-2</v>
      </c>
      <c r="G3843">
        <f t="shared" ref="G3843:G3906" si="242">IFERROR(IF(AND(A3843=A3842, C3843&lt;&gt;"", C3842&lt;&gt;""), C3843-C3842, ""), "")</f>
        <v>-9.161376953125E-2</v>
      </c>
      <c r="H3843">
        <f t="shared" ref="H3843:H3906" si="243">IFERROR(IF(AND(A3843=A3842, D3843&lt;&gt;"", D3842&lt;&gt;""), D3843-D3842, ""), "")</f>
        <v>0.73999786376953125</v>
      </c>
    </row>
    <row r="3844" spans="1:8" x14ac:dyDescent="0.2">
      <c r="A3844" t="s">
        <v>14</v>
      </c>
      <c r="B3844" s="2">
        <v>45002</v>
      </c>
      <c r="C3844">
        <v>56.399703979492188</v>
      </c>
      <c r="D3844">
        <f>_xlfn.XLOOKUP(B3844, Oil_Price!A:A, Oil_Price!B:B, "")</f>
        <v>66.739997863769531</v>
      </c>
      <c r="E3844">
        <f t="shared" si="240"/>
        <v>-2.0525069026052452E-2</v>
      </c>
      <c r="F3844">
        <f t="shared" si="241"/>
        <v>-2.3555239887256857E-2</v>
      </c>
      <c r="G3844">
        <f t="shared" si="242"/>
        <v>-1.1818656921386719</v>
      </c>
      <c r="H3844">
        <f t="shared" si="243"/>
        <v>-1.6100006103515625</v>
      </c>
    </row>
    <row r="3845" spans="1:8" x14ac:dyDescent="0.2">
      <c r="A3845" t="s">
        <v>14</v>
      </c>
      <c r="B3845" s="2">
        <v>45005</v>
      </c>
      <c r="C3845">
        <v>58.268695831298828</v>
      </c>
      <c r="D3845">
        <f>_xlfn.XLOOKUP(B3845, Oil_Price!A:A, Oil_Price!B:B, "")</f>
        <v>67.639999389648438</v>
      </c>
      <c r="E3845">
        <f t="shared" si="240"/>
        <v>3.3138327330339098E-2</v>
      </c>
      <c r="F3845">
        <f t="shared" si="241"/>
        <v>1.3485189611722792E-2</v>
      </c>
      <c r="G3845">
        <f t="shared" si="242"/>
        <v>1.8689918518066406</v>
      </c>
      <c r="H3845">
        <f t="shared" si="243"/>
        <v>0.90000152587890625</v>
      </c>
    </row>
    <row r="3846" spans="1:8" x14ac:dyDescent="0.2">
      <c r="A3846" t="s">
        <v>14</v>
      </c>
      <c r="B3846" s="2">
        <v>45006</v>
      </c>
      <c r="C3846">
        <v>60.000270843505859</v>
      </c>
      <c r="D3846">
        <f>_xlfn.XLOOKUP(B3846, Oil_Price!A:A, Oil_Price!B:B, "")</f>
        <v>69.330001831054688</v>
      </c>
      <c r="E3846">
        <f t="shared" si="240"/>
        <v>2.9717071705540415E-2</v>
      </c>
      <c r="F3846">
        <f t="shared" si="241"/>
        <v>2.4985252168185063E-2</v>
      </c>
      <c r="G3846">
        <f t="shared" si="242"/>
        <v>1.7315750122070312</v>
      </c>
      <c r="H3846">
        <f t="shared" si="243"/>
        <v>1.69000244140625</v>
      </c>
    </row>
    <row r="3847" spans="1:8" x14ac:dyDescent="0.2">
      <c r="A3847" t="s">
        <v>14</v>
      </c>
      <c r="B3847" s="2">
        <v>45007</v>
      </c>
      <c r="C3847">
        <v>59.349788665771477</v>
      </c>
      <c r="D3847">
        <f>_xlfn.XLOOKUP(B3847, Oil_Price!A:A, Oil_Price!B:B, "")</f>
        <v>70.900001525878906</v>
      </c>
      <c r="E3847">
        <f t="shared" si="240"/>
        <v>-1.0841320690551302E-2</v>
      </c>
      <c r="F3847">
        <f t="shared" si="241"/>
        <v>2.2645314486649495E-2</v>
      </c>
      <c r="G3847">
        <f t="shared" si="242"/>
        <v>-0.65048217773438211</v>
      </c>
      <c r="H3847">
        <f t="shared" si="243"/>
        <v>1.5699996948242188</v>
      </c>
    </row>
    <row r="3848" spans="1:8" x14ac:dyDescent="0.2">
      <c r="A3848" t="s">
        <v>14</v>
      </c>
      <c r="B3848" s="2">
        <v>45008</v>
      </c>
      <c r="C3848">
        <v>58.342002868652337</v>
      </c>
      <c r="D3848">
        <f>_xlfn.XLOOKUP(B3848, Oil_Price!A:A, Oil_Price!B:B, "")</f>
        <v>69.959999084472656</v>
      </c>
      <c r="E3848">
        <f t="shared" si="240"/>
        <v>-1.6980444577393349E-2</v>
      </c>
      <c r="F3848">
        <f t="shared" si="241"/>
        <v>-1.3258144163271191E-2</v>
      </c>
      <c r="G3848">
        <f t="shared" si="242"/>
        <v>-1.0077857971191406</v>
      </c>
      <c r="H3848">
        <f t="shared" si="243"/>
        <v>-0.94000244140625</v>
      </c>
    </row>
    <row r="3849" spans="1:8" x14ac:dyDescent="0.2">
      <c r="A3849" t="s">
        <v>14</v>
      </c>
      <c r="B3849" s="2">
        <v>45009</v>
      </c>
      <c r="C3849">
        <v>58.177082061767578</v>
      </c>
      <c r="D3849">
        <f>_xlfn.XLOOKUP(B3849, Oil_Price!A:A, Oil_Price!B:B, "")</f>
        <v>69.260002136230469</v>
      </c>
      <c r="E3849">
        <f t="shared" si="240"/>
        <v>-2.8267937125170568E-3</v>
      </c>
      <c r="F3849">
        <f t="shared" si="241"/>
        <v>-1.0005674062359287E-2</v>
      </c>
      <c r="G3849">
        <f t="shared" si="242"/>
        <v>-0.16492080688475852</v>
      </c>
      <c r="H3849">
        <f t="shared" si="243"/>
        <v>-0.6999969482421875</v>
      </c>
    </row>
    <row r="3850" spans="1:8" x14ac:dyDescent="0.2">
      <c r="A3850" t="s">
        <v>14</v>
      </c>
      <c r="B3850" s="2">
        <v>45012</v>
      </c>
      <c r="C3850">
        <v>59.368106842041023</v>
      </c>
      <c r="D3850">
        <f>_xlfn.XLOOKUP(B3850, Oil_Price!A:A, Oil_Price!B:B, "")</f>
        <v>72.80999755859375</v>
      </c>
      <c r="E3850">
        <f t="shared" si="240"/>
        <v>2.0472404906951396E-2</v>
      </c>
      <c r="F3850">
        <f t="shared" si="241"/>
        <v>5.1256068623570683E-2</v>
      </c>
      <c r="G3850">
        <f t="shared" si="242"/>
        <v>1.1910247802734446</v>
      </c>
      <c r="H3850">
        <f t="shared" si="243"/>
        <v>3.5499954223632812</v>
      </c>
    </row>
    <row r="3851" spans="1:8" x14ac:dyDescent="0.2">
      <c r="A3851" t="s">
        <v>14</v>
      </c>
      <c r="B3851" s="2">
        <v>45013</v>
      </c>
      <c r="C3851">
        <v>60.815658569335938</v>
      </c>
      <c r="D3851">
        <f>_xlfn.XLOOKUP(B3851, Oil_Price!A:A, Oil_Price!B:B, "")</f>
        <v>73.199996948242188</v>
      </c>
      <c r="E3851">
        <f t="shared" si="240"/>
        <v>2.4382649275752941E-2</v>
      </c>
      <c r="F3851">
        <f t="shared" si="241"/>
        <v>5.3563988837465075E-3</v>
      </c>
      <c r="G3851">
        <f t="shared" si="242"/>
        <v>1.4475517272949148</v>
      </c>
      <c r="H3851">
        <f t="shared" si="243"/>
        <v>0.3899993896484375</v>
      </c>
    </row>
    <row r="3852" spans="1:8" x14ac:dyDescent="0.2">
      <c r="A3852" t="s">
        <v>14</v>
      </c>
      <c r="B3852" s="2">
        <v>45014</v>
      </c>
      <c r="C3852">
        <v>62.391475677490227</v>
      </c>
      <c r="D3852">
        <f>_xlfn.XLOOKUP(B3852, Oil_Price!A:A, Oil_Price!B:B, "")</f>
        <v>72.970001220703125</v>
      </c>
      <c r="E3852">
        <f t="shared" si="240"/>
        <v>2.5911371268925759E-2</v>
      </c>
      <c r="F3852">
        <f t="shared" si="241"/>
        <v>-3.1420182667724222E-3</v>
      </c>
      <c r="G3852">
        <f t="shared" si="242"/>
        <v>1.5758171081542898</v>
      </c>
      <c r="H3852">
        <f t="shared" si="243"/>
        <v>-0.2299957275390625</v>
      </c>
    </row>
    <row r="3853" spans="1:8" x14ac:dyDescent="0.2">
      <c r="A3853" t="s">
        <v>14</v>
      </c>
      <c r="B3853" s="2">
        <v>45015</v>
      </c>
      <c r="C3853">
        <v>62.290706634521477</v>
      </c>
      <c r="D3853">
        <f>_xlfn.XLOOKUP(B3853, Oil_Price!A:A, Oil_Price!B:B, "")</f>
        <v>74.370002746582031</v>
      </c>
      <c r="E3853">
        <f t="shared" si="240"/>
        <v>-1.6151091455127377E-3</v>
      </c>
      <c r="F3853">
        <f t="shared" si="241"/>
        <v>1.9185987425771021E-2</v>
      </c>
      <c r="G3853">
        <f t="shared" si="242"/>
        <v>-0.10076904296875</v>
      </c>
      <c r="H3853">
        <f t="shared" si="243"/>
        <v>1.4000015258789062</v>
      </c>
    </row>
    <row r="3854" spans="1:8" x14ac:dyDescent="0.2">
      <c r="A3854" t="s">
        <v>14</v>
      </c>
      <c r="B3854" s="2">
        <v>45016</v>
      </c>
      <c r="C3854">
        <v>62.968673706054688</v>
      </c>
      <c r="D3854">
        <f>_xlfn.XLOOKUP(B3854, Oil_Price!A:A, Oil_Price!B:B, "")</f>
        <v>75.669998168945312</v>
      </c>
      <c r="E3854">
        <f t="shared" si="240"/>
        <v>1.0883920060676936E-2</v>
      </c>
      <c r="F3854">
        <f t="shared" si="241"/>
        <v>1.7480104536140115E-2</v>
      </c>
      <c r="G3854">
        <f t="shared" si="242"/>
        <v>0.67796707153321023</v>
      </c>
      <c r="H3854">
        <f t="shared" si="243"/>
        <v>1.2999954223632812</v>
      </c>
    </row>
    <row r="3855" spans="1:8" x14ac:dyDescent="0.2">
      <c r="A3855" t="s">
        <v>14</v>
      </c>
      <c r="B3855" s="2">
        <v>45019</v>
      </c>
      <c r="C3855">
        <v>66.752479553222656</v>
      </c>
      <c r="D3855">
        <f>_xlfn.XLOOKUP(B3855, Oil_Price!A:A, Oil_Price!B:B, "")</f>
        <v>80.419998168945312</v>
      </c>
      <c r="E3855">
        <f t="shared" si="240"/>
        <v>6.0090289734086311E-2</v>
      </c>
      <c r="F3855">
        <f t="shared" si="241"/>
        <v>6.2772566604202495E-2</v>
      </c>
      <c r="G3855">
        <f t="shared" si="242"/>
        <v>3.7838058471679688</v>
      </c>
      <c r="H3855">
        <f t="shared" si="243"/>
        <v>4.75</v>
      </c>
    </row>
    <row r="3856" spans="1:8" x14ac:dyDescent="0.2">
      <c r="A3856" t="s">
        <v>14</v>
      </c>
      <c r="B3856" s="2">
        <v>45020</v>
      </c>
      <c r="C3856">
        <v>66.569244384765625</v>
      </c>
      <c r="D3856">
        <f>_xlfn.XLOOKUP(B3856, Oil_Price!A:A, Oil_Price!B:B, "")</f>
        <v>80.709999084472656</v>
      </c>
      <c r="E3856">
        <f t="shared" si="240"/>
        <v>-2.7449941887317513E-3</v>
      </c>
      <c r="F3856">
        <f t="shared" si="241"/>
        <v>3.6060796086828241E-3</v>
      </c>
      <c r="G3856">
        <f t="shared" si="242"/>
        <v>-0.18323516845703125</v>
      </c>
      <c r="H3856">
        <f t="shared" si="243"/>
        <v>0.29000091552734375</v>
      </c>
    </row>
    <row r="3857" spans="1:8" x14ac:dyDescent="0.2">
      <c r="A3857" t="s">
        <v>14</v>
      </c>
      <c r="B3857" s="2">
        <v>45021</v>
      </c>
      <c r="C3857">
        <v>66.486770629882812</v>
      </c>
      <c r="D3857">
        <f>_xlfn.XLOOKUP(B3857, Oil_Price!A:A, Oil_Price!B:B, "")</f>
        <v>80.610000610351562</v>
      </c>
      <c r="E3857">
        <f t="shared" si="240"/>
        <v>-1.2389167947606541E-3</v>
      </c>
      <c r="F3857">
        <f t="shared" si="241"/>
        <v>-1.2389849492679761E-3</v>
      </c>
      <c r="G3857">
        <f t="shared" si="242"/>
        <v>-8.24737548828125E-2</v>
      </c>
      <c r="H3857">
        <f t="shared" si="243"/>
        <v>-9.999847412109375E-2</v>
      </c>
    </row>
    <row r="3858" spans="1:8" x14ac:dyDescent="0.2">
      <c r="A3858" t="s">
        <v>14</v>
      </c>
      <c r="B3858" s="2">
        <v>45022</v>
      </c>
      <c r="C3858">
        <v>66.184440612792969</v>
      </c>
      <c r="D3858">
        <f>_xlfn.XLOOKUP(B3858, Oil_Price!A:A, Oil_Price!B:B, "")</f>
        <v>80.699996948242188</v>
      </c>
      <c r="E3858">
        <f t="shared" si="240"/>
        <v>-4.5472206609770277E-3</v>
      </c>
      <c r="F3858">
        <f t="shared" si="241"/>
        <v>1.1164413498226432E-3</v>
      </c>
      <c r="G3858">
        <f t="shared" si="242"/>
        <v>-0.30233001708984375</v>
      </c>
      <c r="H3858">
        <f t="shared" si="243"/>
        <v>8.9996337890625E-2</v>
      </c>
    </row>
    <row r="3859" spans="1:8" x14ac:dyDescent="0.2">
      <c r="A3859" t="s">
        <v>14</v>
      </c>
      <c r="B3859" s="2">
        <v>45026</v>
      </c>
      <c r="C3859">
        <v>66.743309020996094</v>
      </c>
      <c r="D3859">
        <f>_xlfn.XLOOKUP(B3859, Oil_Price!A:A, Oil_Price!B:B, "")</f>
        <v>79.739997863769531</v>
      </c>
      <c r="E3859">
        <f t="shared" si="240"/>
        <v>8.4441056391598452E-3</v>
      </c>
      <c r="F3859">
        <f t="shared" si="241"/>
        <v>-1.1895899885700887E-2</v>
      </c>
      <c r="G3859">
        <f t="shared" si="242"/>
        <v>0.558868408203125</v>
      </c>
      <c r="H3859">
        <f t="shared" si="243"/>
        <v>-0.95999908447265625</v>
      </c>
    </row>
    <row r="3860" spans="1:8" x14ac:dyDescent="0.2">
      <c r="A3860" t="s">
        <v>14</v>
      </c>
      <c r="B3860" s="2">
        <v>45027</v>
      </c>
      <c r="C3860">
        <v>67.586196899414062</v>
      </c>
      <c r="D3860">
        <f>_xlfn.XLOOKUP(B3860, Oil_Price!A:A, Oil_Price!B:B, "")</f>
        <v>81.529998779296875</v>
      </c>
      <c r="E3860">
        <f t="shared" si="240"/>
        <v>1.2628799662192554E-2</v>
      </c>
      <c r="F3860">
        <f t="shared" si="241"/>
        <v>2.2447967939319999E-2</v>
      </c>
      <c r="G3860">
        <f t="shared" si="242"/>
        <v>0.84288787841796875</v>
      </c>
      <c r="H3860">
        <f t="shared" si="243"/>
        <v>1.7900009155273438</v>
      </c>
    </row>
    <row r="3861" spans="1:8" x14ac:dyDescent="0.2">
      <c r="A3861" t="s">
        <v>14</v>
      </c>
      <c r="B3861" s="2">
        <v>45028</v>
      </c>
      <c r="C3861">
        <v>67.99847412109375</v>
      </c>
      <c r="D3861">
        <f>_xlfn.XLOOKUP(B3861, Oil_Price!A:A, Oil_Price!B:B, "")</f>
        <v>83.260002136230469</v>
      </c>
      <c r="E3861">
        <f t="shared" si="240"/>
        <v>6.1000210189850424E-3</v>
      </c>
      <c r="F3861">
        <f t="shared" si="241"/>
        <v>2.1219224614693579E-2</v>
      </c>
      <c r="G3861">
        <f t="shared" si="242"/>
        <v>0.4122772216796875</v>
      </c>
      <c r="H3861">
        <f t="shared" si="243"/>
        <v>1.7300033569335938</v>
      </c>
    </row>
    <row r="3862" spans="1:8" x14ac:dyDescent="0.2">
      <c r="A3862" t="s">
        <v>14</v>
      </c>
      <c r="B3862" s="2">
        <v>45029</v>
      </c>
      <c r="C3862">
        <v>67.696144104003906</v>
      </c>
      <c r="D3862">
        <f>_xlfn.XLOOKUP(B3862, Oil_Price!A:A, Oil_Price!B:B, "")</f>
        <v>82.160003662109375</v>
      </c>
      <c r="E3862">
        <f t="shared" si="240"/>
        <v>-4.4461294315434972E-3</v>
      </c>
      <c r="F3862">
        <f t="shared" si="241"/>
        <v>-1.3211607565434243E-2</v>
      </c>
      <c r="G3862">
        <f t="shared" si="242"/>
        <v>-0.30233001708984375</v>
      </c>
      <c r="H3862">
        <f t="shared" si="243"/>
        <v>-1.0999984741210938</v>
      </c>
    </row>
    <row r="3863" spans="1:8" x14ac:dyDescent="0.2">
      <c r="A3863" t="s">
        <v>14</v>
      </c>
      <c r="B3863" s="2">
        <v>45030</v>
      </c>
      <c r="C3863">
        <v>68.35577392578125</v>
      </c>
      <c r="D3863">
        <f>_xlfn.XLOOKUP(B3863, Oil_Price!A:A, Oil_Price!B:B, "")</f>
        <v>82.519996643066406</v>
      </c>
      <c r="E3863">
        <f t="shared" si="240"/>
        <v>9.7439792252263565E-3</v>
      </c>
      <c r="F3863">
        <f t="shared" si="241"/>
        <v>4.3816086284213874E-3</v>
      </c>
      <c r="G3863">
        <f t="shared" si="242"/>
        <v>0.65962982177734375</v>
      </c>
      <c r="H3863">
        <f t="shared" si="243"/>
        <v>0.35999298095703125</v>
      </c>
    </row>
    <row r="3864" spans="1:8" x14ac:dyDescent="0.2">
      <c r="A3864" t="s">
        <v>14</v>
      </c>
      <c r="B3864" s="2">
        <v>45033</v>
      </c>
      <c r="C3864">
        <v>68.126739501953125</v>
      </c>
      <c r="D3864">
        <f>_xlfn.XLOOKUP(B3864, Oil_Price!A:A, Oil_Price!B:B, "")</f>
        <v>80.830001831054688</v>
      </c>
      <c r="E3864">
        <f t="shared" si="240"/>
        <v>-3.3506229346010191E-3</v>
      </c>
      <c r="F3864">
        <f t="shared" si="241"/>
        <v>-2.0479821628224915E-2</v>
      </c>
      <c r="G3864">
        <f t="shared" si="242"/>
        <v>-0.229034423828125</v>
      </c>
      <c r="H3864">
        <f t="shared" si="243"/>
        <v>-1.6899948120117188</v>
      </c>
    </row>
    <row r="3865" spans="1:8" x14ac:dyDescent="0.2">
      <c r="A3865" t="s">
        <v>14</v>
      </c>
      <c r="B3865" s="2">
        <v>45034</v>
      </c>
      <c r="C3865">
        <v>67.045654296875</v>
      </c>
      <c r="D3865">
        <f>_xlfn.XLOOKUP(B3865, Oil_Price!A:A, Oil_Price!B:B, "")</f>
        <v>80.860000610351562</v>
      </c>
      <c r="E3865">
        <f t="shared" si="240"/>
        <v>-1.5868735433128008E-2</v>
      </c>
      <c r="F3865">
        <f t="shared" si="241"/>
        <v>3.711342152333039E-4</v>
      </c>
      <c r="G3865">
        <f t="shared" si="242"/>
        <v>-1.081085205078125</v>
      </c>
      <c r="H3865">
        <f t="shared" si="243"/>
        <v>2.9998779296875E-2</v>
      </c>
    </row>
    <row r="3866" spans="1:8" x14ac:dyDescent="0.2">
      <c r="A3866" t="s">
        <v>14</v>
      </c>
      <c r="B3866" s="2">
        <v>45035</v>
      </c>
      <c r="C3866">
        <v>66.395164489746094</v>
      </c>
      <c r="D3866">
        <f>_xlfn.XLOOKUP(B3866, Oil_Price!A:A, Oil_Price!B:B, "")</f>
        <v>79.160003662109375</v>
      </c>
      <c r="E3866">
        <f t="shared" si="240"/>
        <v>-9.7021919459323643E-3</v>
      </c>
      <c r="F3866">
        <f t="shared" si="241"/>
        <v>-2.102395418513708E-2</v>
      </c>
      <c r="G3866">
        <f t="shared" si="242"/>
        <v>-0.65048980712890625</v>
      </c>
      <c r="H3866">
        <f t="shared" si="243"/>
        <v>-1.6999969482421875</v>
      </c>
    </row>
    <row r="3867" spans="1:8" x14ac:dyDescent="0.2">
      <c r="A3867" t="s">
        <v>14</v>
      </c>
      <c r="B3867" s="2">
        <v>45036</v>
      </c>
      <c r="C3867">
        <v>65.753822326660156</v>
      </c>
      <c r="D3867">
        <f>_xlfn.XLOOKUP(B3867, Oil_Price!A:A, Oil_Price!B:B, "")</f>
        <v>77.290000915527344</v>
      </c>
      <c r="E3867">
        <f t="shared" si="240"/>
        <v>-9.6594709571806974E-3</v>
      </c>
      <c r="F3867">
        <f t="shared" si="241"/>
        <v>-2.3623075544109966E-2</v>
      </c>
      <c r="G3867">
        <f t="shared" si="242"/>
        <v>-0.6413421630859375</v>
      </c>
      <c r="H3867">
        <f t="shared" si="243"/>
        <v>-1.8700027465820312</v>
      </c>
    </row>
    <row r="3868" spans="1:8" x14ac:dyDescent="0.2">
      <c r="A3868" t="s">
        <v>14</v>
      </c>
      <c r="B3868" s="2">
        <v>45037</v>
      </c>
      <c r="C3868">
        <v>65.909591674804688</v>
      </c>
      <c r="D3868">
        <f>_xlfn.XLOOKUP(B3868, Oil_Price!A:A, Oil_Price!B:B, "")</f>
        <v>77.870002746582031</v>
      </c>
      <c r="E3868">
        <f t="shared" si="240"/>
        <v>2.3689778423934137E-3</v>
      </c>
      <c r="F3868">
        <f t="shared" si="241"/>
        <v>7.5042285442406664E-3</v>
      </c>
      <c r="G3868">
        <f t="shared" si="242"/>
        <v>0.15576934814453125</v>
      </c>
      <c r="H3868">
        <f t="shared" si="243"/>
        <v>0.5800018310546875</v>
      </c>
    </row>
    <row r="3869" spans="1:8" x14ac:dyDescent="0.2">
      <c r="A3869" t="s">
        <v>14</v>
      </c>
      <c r="B3869" s="2">
        <v>45040</v>
      </c>
      <c r="C3869">
        <v>65.92791748046875</v>
      </c>
      <c r="D3869">
        <f>_xlfn.XLOOKUP(B3869, Oil_Price!A:A, Oil_Price!B:B, "")</f>
        <v>78.760002136230469</v>
      </c>
      <c r="E3869">
        <f t="shared" si="240"/>
        <v>2.7804459409309191E-4</v>
      </c>
      <c r="F3869">
        <f t="shared" si="241"/>
        <v>1.1429297011133115E-2</v>
      </c>
      <c r="G3869">
        <f t="shared" si="242"/>
        <v>1.83258056640625E-2</v>
      </c>
      <c r="H3869">
        <f t="shared" si="243"/>
        <v>0.8899993896484375</v>
      </c>
    </row>
    <row r="3870" spans="1:8" x14ac:dyDescent="0.2">
      <c r="A3870" t="s">
        <v>14</v>
      </c>
      <c r="B3870" s="2">
        <v>45041</v>
      </c>
      <c r="C3870">
        <v>64.581138610839844</v>
      </c>
      <c r="D3870">
        <f>_xlfn.XLOOKUP(B3870, Oil_Price!A:A, Oil_Price!B:B, "")</f>
        <v>77.069999694824219</v>
      </c>
      <c r="E3870">
        <f t="shared" si="240"/>
        <v>-2.0428051136726588E-2</v>
      </c>
      <c r="F3870">
        <f t="shared" si="241"/>
        <v>-2.145762310268946E-2</v>
      </c>
      <c r="G3870">
        <f t="shared" si="242"/>
        <v>-1.3467788696289062</v>
      </c>
      <c r="H3870">
        <f t="shared" si="243"/>
        <v>-1.69000244140625</v>
      </c>
    </row>
    <row r="3871" spans="1:8" x14ac:dyDescent="0.2">
      <c r="A3871" t="s">
        <v>14</v>
      </c>
      <c r="B3871" s="2">
        <v>45042</v>
      </c>
      <c r="C3871">
        <v>63.573333740234382</v>
      </c>
      <c r="D3871">
        <f>_xlfn.XLOOKUP(B3871, Oil_Price!A:A, Oil_Price!B:B, "")</f>
        <v>74.300003051757812</v>
      </c>
      <c r="E3871">
        <f t="shared" si="240"/>
        <v>-1.5605250887235102E-2</v>
      </c>
      <c r="F3871">
        <f t="shared" si="241"/>
        <v>-3.594130860302093E-2</v>
      </c>
      <c r="G3871">
        <f t="shared" si="242"/>
        <v>-1.0078048706054616</v>
      </c>
      <c r="H3871">
        <f t="shared" si="243"/>
        <v>-2.7699966430664062</v>
      </c>
    </row>
    <row r="3872" spans="1:8" x14ac:dyDescent="0.2">
      <c r="A3872" t="s">
        <v>14</v>
      </c>
      <c r="B3872" s="2">
        <v>45043</v>
      </c>
      <c r="C3872">
        <v>63.674129486083977</v>
      </c>
      <c r="D3872">
        <f>_xlfn.XLOOKUP(B3872, Oil_Price!A:A, Oil_Price!B:B, "")</f>
        <v>74.760002136230469</v>
      </c>
      <c r="E3872">
        <f t="shared" si="240"/>
        <v>1.5855035424358029E-3</v>
      </c>
      <c r="F3872">
        <f t="shared" si="241"/>
        <v>6.1911045165397669E-3</v>
      </c>
      <c r="G3872">
        <f t="shared" si="242"/>
        <v>0.10079574584959516</v>
      </c>
      <c r="H3872">
        <f t="shared" si="243"/>
        <v>0.45999908447265625</v>
      </c>
    </row>
    <row r="3873" spans="1:8" x14ac:dyDescent="0.2">
      <c r="A3873" t="s">
        <v>14</v>
      </c>
      <c r="B3873" s="2">
        <v>45044</v>
      </c>
      <c r="C3873">
        <v>63.271003723144531</v>
      </c>
      <c r="D3873">
        <f>_xlfn.XLOOKUP(B3873, Oil_Price!A:A, Oil_Price!B:B, "")</f>
        <v>76.779998779296875</v>
      </c>
      <c r="E3873">
        <f t="shared" si="240"/>
        <v>-6.3310761559378587E-3</v>
      </c>
      <c r="F3873">
        <f t="shared" si="241"/>
        <v>2.7019751007838294E-2</v>
      </c>
      <c r="G3873">
        <f t="shared" si="242"/>
        <v>-0.40312576293944602</v>
      </c>
      <c r="H3873">
        <f t="shared" si="243"/>
        <v>2.0199966430664062</v>
      </c>
    </row>
    <row r="3874" spans="1:8" x14ac:dyDescent="0.2">
      <c r="A3874" t="s">
        <v>14</v>
      </c>
      <c r="B3874" s="2">
        <v>45047</v>
      </c>
      <c r="C3874">
        <v>62.189922332763672</v>
      </c>
      <c r="D3874">
        <f>_xlfn.XLOOKUP(B3874, Oil_Price!A:A, Oil_Price!B:B, "")</f>
        <v>75.660003662109375</v>
      </c>
      <c r="E3874">
        <f t="shared" si="240"/>
        <v>-1.708652189415797E-2</v>
      </c>
      <c r="F3874">
        <f t="shared" si="241"/>
        <v>-1.4587068702708783E-2</v>
      </c>
      <c r="G3874">
        <f t="shared" si="242"/>
        <v>-1.0810813903808594</v>
      </c>
      <c r="H3874">
        <f t="shared" si="243"/>
        <v>-1.1199951171875</v>
      </c>
    </row>
    <row r="3875" spans="1:8" x14ac:dyDescent="0.2">
      <c r="A3875" t="s">
        <v>14</v>
      </c>
      <c r="B3875" s="2">
        <v>45048</v>
      </c>
      <c r="C3875">
        <v>58.003013610839837</v>
      </c>
      <c r="D3875">
        <f>_xlfn.XLOOKUP(B3875, Oil_Price!A:A, Oil_Price!B:B, "")</f>
        <v>71.660003662109375</v>
      </c>
      <c r="E3875">
        <f t="shared" si="240"/>
        <v>-6.7324552996234174E-2</v>
      </c>
      <c r="F3875">
        <f t="shared" si="241"/>
        <v>-5.2868091546276322E-2</v>
      </c>
      <c r="G3875">
        <f t="shared" si="242"/>
        <v>-4.1869087219238352</v>
      </c>
      <c r="H3875">
        <f t="shared" si="243"/>
        <v>-4</v>
      </c>
    </row>
    <row r="3876" spans="1:8" x14ac:dyDescent="0.2">
      <c r="A3876" t="s">
        <v>14</v>
      </c>
      <c r="B3876" s="2">
        <v>45049</v>
      </c>
      <c r="C3876">
        <v>57.004375457763672</v>
      </c>
      <c r="D3876">
        <f>_xlfn.XLOOKUP(B3876, Oil_Price!A:A, Oil_Price!B:B, "")</f>
        <v>68.599998474121094</v>
      </c>
      <c r="E3876">
        <f t="shared" si="240"/>
        <v>-1.7217004615938357E-2</v>
      </c>
      <c r="F3876">
        <f t="shared" si="241"/>
        <v>-4.2701716879848223E-2</v>
      </c>
      <c r="G3876">
        <f t="shared" si="242"/>
        <v>-0.99863815307616477</v>
      </c>
      <c r="H3876">
        <f t="shared" si="243"/>
        <v>-3.0600051879882812</v>
      </c>
    </row>
    <row r="3877" spans="1:8" x14ac:dyDescent="0.2">
      <c r="A3877" t="s">
        <v>14</v>
      </c>
      <c r="B3877" s="2">
        <v>45050</v>
      </c>
      <c r="C3877">
        <v>55.21783447265625</v>
      </c>
      <c r="D3877">
        <f>_xlfn.XLOOKUP(B3877, Oil_Price!A:A, Oil_Price!B:B, "")</f>
        <v>68.55999755859375</v>
      </c>
      <c r="E3877">
        <f t="shared" si="240"/>
        <v>-3.134041853385669E-2</v>
      </c>
      <c r="F3877">
        <f t="shared" si="241"/>
        <v>-5.8310373785844672E-4</v>
      </c>
      <c r="G3877">
        <f t="shared" si="242"/>
        <v>-1.7865409851074219</v>
      </c>
      <c r="H3877">
        <f t="shared" si="243"/>
        <v>-4.000091552734375E-2</v>
      </c>
    </row>
    <row r="3878" spans="1:8" x14ac:dyDescent="0.2">
      <c r="A3878" t="s">
        <v>14</v>
      </c>
      <c r="B3878" s="2">
        <v>45051</v>
      </c>
      <c r="C3878">
        <v>57.11431884765625</v>
      </c>
      <c r="D3878">
        <f>_xlfn.XLOOKUP(B3878, Oil_Price!A:A, Oil_Price!B:B, "")</f>
        <v>71.339996337890625</v>
      </c>
      <c r="E3878">
        <f t="shared" si="240"/>
        <v>3.4345504366693966E-2</v>
      </c>
      <c r="F3878">
        <f t="shared" si="241"/>
        <v>4.0548408376487932E-2</v>
      </c>
      <c r="G3878">
        <f t="shared" si="242"/>
        <v>1.896484375</v>
      </c>
      <c r="H3878">
        <f t="shared" si="243"/>
        <v>2.779998779296875</v>
      </c>
    </row>
    <row r="3879" spans="1:8" x14ac:dyDescent="0.2">
      <c r="A3879" t="s">
        <v>14</v>
      </c>
      <c r="B3879" s="2">
        <v>45054</v>
      </c>
      <c r="C3879">
        <v>57.325038909912109</v>
      </c>
      <c r="D3879">
        <f>_xlfn.XLOOKUP(B3879, Oil_Price!A:A, Oil_Price!B:B, "")</f>
        <v>73.160003662109375</v>
      </c>
      <c r="E3879">
        <f t="shared" si="240"/>
        <v>3.6894436720487389E-3</v>
      </c>
      <c r="F3879">
        <f t="shared" si="241"/>
        <v>2.5511738402656664E-2</v>
      </c>
      <c r="G3879">
        <f t="shared" si="242"/>
        <v>0.21072006225585938</v>
      </c>
      <c r="H3879">
        <f t="shared" si="243"/>
        <v>1.82000732421875</v>
      </c>
    </row>
    <row r="3880" spans="1:8" x14ac:dyDescent="0.2">
      <c r="A3880" t="s">
        <v>14</v>
      </c>
      <c r="B3880" s="2">
        <v>45055</v>
      </c>
      <c r="C3880">
        <v>57.98468017578125</v>
      </c>
      <c r="D3880">
        <f>_xlfn.XLOOKUP(B3880, Oil_Price!A:A, Oil_Price!B:B, "")</f>
        <v>73.709999084472656</v>
      </c>
      <c r="E3880">
        <f t="shared" si="240"/>
        <v>1.1507035641193113E-2</v>
      </c>
      <c r="F3880">
        <f t="shared" si="241"/>
        <v>7.517706326306977E-3</v>
      </c>
      <c r="G3880">
        <f t="shared" si="242"/>
        <v>0.65964126586914062</v>
      </c>
      <c r="H3880">
        <f t="shared" si="243"/>
        <v>0.54999542236328125</v>
      </c>
    </row>
    <row r="3881" spans="1:8" x14ac:dyDescent="0.2">
      <c r="A3881" t="s">
        <v>14</v>
      </c>
      <c r="B3881" s="2">
        <v>45056</v>
      </c>
      <c r="C3881">
        <v>56.931087493896477</v>
      </c>
      <c r="D3881">
        <f>_xlfn.XLOOKUP(B3881, Oil_Price!A:A, Oil_Price!B:B, "")</f>
        <v>72.55999755859375</v>
      </c>
      <c r="E3881">
        <f t="shared" si="240"/>
        <v>-1.8170190448421789E-2</v>
      </c>
      <c r="F3881">
        <f t="shared" si="241"/>
        <v>-1.5601703163243686E-2</v>
      </c>
      <c r="G3881">
        <f t="shared" si="242"/>
        <v>-1.0535926818847727</v>
      </c>
      <c r="H3881">
        <f t="shared" si="243"/>
        <v>-1.1500015258789062</v>
      </c>
    </row>
    <row r="3882" spans="1:8" x14ac:dyDescent="0.2">
      <c r="A3882" t="s">
        <v>14</v>
      </c>
      <c r="B3882" s="2">
        <v>45057</v>
      </c>
      <c r="C3882">
        <v>56.033233642578118</v>
      </c>
      <c r="D3882">
        <f>_xlfn.XLOOKUP(B3882, Oil_Price!A:A, Oil_Price!B:B, "")</f>
        <v>70.870002746582031</v>
      </c>
      <c r="E3882">
        <f t="shared" si="240"/>
        <v>-1.5770888820885731E-2</v>
      </c>
      <c r="F3882">
        <f t="shared" si="241"/>
        <v>-2.3290998744136007E-2</v>
      </c>
      <c r="G3882">
        <f t="shared" si="242"/>
        <v>-0.89785385131835938</v>
      </c>
      <c r="H3882">
        <f t="shared" si="243"/>
        <v>-1.6899948120117188</v>
      </c>
    </row>
    <row r="3883" spans="1:8" x14ac:dyDescent="0.2">
      <c r="A3883" t="s">
        <v>14</v>
      </c>
      <c r="B3883" s="2">
        <v>45058</v>
      </c>
      <c r="C3883">
        <v>56.152336120605469</v>
      </c>
      <c r="D3883">
        <f>_xlfn.XLOOKUP(B3883, Oil_Price!A:A, Oil_Price!B:B, "")</f>
        <v>70.040000915527344</v>
      </c>
      <c r="E3883">
        <f t="shared" si="240"/>
        <v>2.1255685293316384E-3</v>
      </c>
      <c r="F3883">
        <f t="shared" si="241"/>
        <v>-1.1711609974429096E-2</v>
      </c>
      <c r="G3883">
        <f t="shared" si="242"/>
        <v>0.11910247802735086</v>
      </c>
      <c r="H3883">
        <f t="shared" si="243"/>
        <v>-0.8300018310546875</v>
      </c>
    </row>
    <row r="3884" spans="1:8" x14ac:dyDescent="0.2">
      <c r="A3884" t="s">
        <v>14</v>
      </c>
      <c r="B3884" s="2">
        <v>45061</v>
      </c>
      <c r="C3884">
        <v>56.866950988769531</v>
      </c>
      <c r="D3884">
        <f>_xlfn.XLOOKUP(B3884, Oil_Price!A:A, Oil_Price!B:B, "")</f>
        <v>71.110000610351562</v>
      </c>
      <c r="E3884">
        <f t="shared" si="240"/>
        <v>1.2726360424777232E-2</v>
      </c>
      <c r="F3884">
        <f t="shared" si="241"/>
        <v>1.5276980023382722E-2</v>
      </c>
      <c r="G3884">
        <f t="shared" si="242"/>
        <v>0.7146148681640625</v>
      </c>
      <c r="H3884">
        <f t="shared" si="243"/>
        <v>1.0699996948242188</v>
      </c>
    </row>
    <row r="3885" spans="1:8" x14ac:dyDescent="0.2">
      <c r="A3885" t="s">
        <v>14</v>
      </c>
      <c r="B3885" s="2">
        <v>45062</v>
      </c>
      <c r="C3885">
        <v>56.051555633544922</v>
      </c>
      <c r="D3885">
        <f>_xlfn.XLOOKUP(B3885, Oil_Price!A:A, Oil_Price!B:B, "")</f>
        <v>70.860000610351562</v>
      </c>
      <c r="E3885">
        <f t="shared" si="240"/>
        <v>-1.4338650851628025E-2</v>
      </c>
      <c r="F3885">
        <f t="shared" si="241"/>
        <v>-3.5156799023231509E-3</v>
      </c>
      <c r="G3885">
        <f t="shared" si="242"/>
        <v>-0.81539535522460938</v>
      </c>
      <c r="H3885">
        <f t="shared" si="243"/>
        <v>-0.25</v>
      </c>
    </row>
    <row r="3886" spans="1:8" x14ac:dyDescent="0.2">
      <c r="A3886" t="s">
        <v>14</v>
      </c>
      <c r="B3886" s="2">
        <v>45063</v>
      </c>
      <c r="C3886">
        <v>56.729526519775391</v>
      </c>
      <c r="D3886">
        <f>_xlfn.XLOOKUP(B3886, Oil_Price!A:A, Oil_Price!B:B, "")</f>
        <v>72.830001831054688</v>
      </c>
      <c r="E3886">
        <f t="shared" si="240"/>
        <v>1.2095487423452109E-2</v>
      </c>
      <c r="F3886">
        <f t="shared" si="241"/>
        <v>2.7801315322248783E-2</v>
      </c>
      <c r="G3886">
        <f t="shared" si="242"/>
        <v>0.67797088623046875</v>
      </c>
      <c r="H3886">
        <f t="shared" si="243"/>
        <v>1.970001220703125</v>
      </c>
    </row>
    <row r="3887" spans="1:8" x14ac:dyDescent="0.2">
      <c r="A3887" t="s">
        <v>14</v>
      </c>
      <c r="B3887" s="2">
        <v>45064</v>
      </c>
      <c r="C3887">
        <v>57.572406768798828</v>
      </c>
      <c r="D3887">
        <f>_xlfn.XLOOKUP(B3887, Oil_Price!A:A, Oil_Price!B:B, "")</f>
        <v>71.860000610351562</v>
      </c>
      <c r="E3887">
        <f t="shared" si="240"/>
        <v>1.4857875620196076E-2</v>
      </c>
      <c r="F3887">
        <f t="shared" si="241"/>
        <v>-1.331870378025333E-2</v>
      </c>
      <c r="G3887">
        <f t="shared" si="242"/>
        <v>0.8428802490234375</v>
      </c>
      <c r="H3887">
        <f t="shared" si="243"/>
        <v>-0.970001220703125</v>
      </c>
    </row>
    <row r="3888" spans="1:8" x14ac:dyDescent="0.2">
      <c r="A3888" t="s">
        <v>14</v>
      </c>
      <c r="B3888" s="2">
        <v>45065</v>
      </c>
      <c r="C3888">
        <v>57.966361999511719</v>
      </c>
      <c r="D3888">
        <f>_xlfn.XLOOKUP(B3888, Oil_Price!A:A, Oil_Price!B:B, "")</f>
        <v>71.550003051757812</v>
      </c>
      <c r="E3888">
        <f t="shared" si="240"/>
        <v>6.8427785604820912E-3</v>
      </c>
      <c r="F3888">
        <f t="shared" si="241"/>
        <v>-4.313909768449046E-3</v>
      </c>
      <c r="G3888">
        <f t="shared" si="242"/>
        <v>0.39395523071289062</v>
      </c>
      <c r="H3888">
        <f t="shared" si="243"/>
        <v>-0.30999755859375</v>
      </c>
    </row>
    <row r="3889" spans="1:8" x14ac:dyDescent="0.2">
      <c r="A3889" t="s">
        <v>14</v>
      </c>
      <c r="B3889" s="2">
        <v>45069</v>
      </c>
      <c r="C3889">
        <v>59.203205108642578</v>
      </c>
      <c r="D3889">
        <f>_xlfn.XLOOKUP(B3889, Oil_Price!A:A, Oil_Price!B:B, "")</f>
        <v>72.910003662109375</v>
      </c>
      <c r="E3889">
        <f t="shared" si="240"/>
        <v>2.1337256064841156E-2</v>
      </c>
      <c r="F3889">
        <f t="shared" si="241"/>
        <v>1.9007694651917286E-2</v>
      </c>
      <c r="G3889">
        <f t="shared" si="242"/>
        <v>1.2368431091308594</v>
      </c>
      <c r="H3889">
        <f t="shared" si="243"/>
        <v>1.3600006103515625</v>
      </c>
    </row>
    <row r="3890" spans="1:8" x14ac:dyDescent="0.2">
      <c r="A3890" t="s">
        <v>14</v>
      </c>
      <c r="B3890" s="2">
        <v>45070</v>
      </c>
      <c r="C3890">
        <v>58.552707672119141</v>
      </c>
      <c r="D3890">
        <f>_xlfn.XLOOKUP(B3890, Oil_Price!A:A, Oil_Price!B:B, "")</f>
        <v>74.339996337890625</v>
      </c>
      <c r="E3890">
        <f t="shared" si="240"/>
        <v>-1.0987537504594948E-2</v>
      </c>
      <c r="F3890">
        <f t="shared" si="241"/>
        <v>1.9613120339539956E-2</v>
      </c>
      <c r="G3890">
        <f t="shared" si="242"/>
        <v>-0.6504974365234375</v>
      </c>
      <c r="H3890">
        <f t="shared" si="243"/>
        <v>1.42999267578125</v>
      </c>
    </row>
    <row r="3891" spans="1:8" x14ac:dyDescent="0.2">
      <c r="A3891" t="s">
        <v>14</v>
      </c>
      <c r="B3891" s="2">
        <v>45071</v>
      </c>
      <c r="C3891">
        <v>58.589359283447273</v>
      </c>
      <c r="D3891">
        <f>_xlfn.XLOOKUP(B3891, Oil_Price!A:A, Oil_Price!B:B, "")</f>
        <v>71.830001831054688</v>
      </c>
      <c r="E3891">
        <f t="shared" si="240"/>
        <v>6.2595929010443336E-4</v>
      </c>
      <c r="F3891">
        <f t="shared" si="241"/>
        <v>-3.3763715771890739E-2</v>
      </c>
      <c r="G3891">
        <f t="shared" si="242"/>
        <v>3.6651611328132105E-2</v>
      </c>
      <c r="H3891">
        <f t="shared" si="243"/>
        <v>-2.5099945068359375</v>
      </c>
    </row>
    <row r="3892" spans="1:8" x14ac:dyDescent="0.2">
      <c r="A3892" t="s">
        <v>14</v>
      </c>
      <c r="B3892" s="2">
        <v>45072</v>
      </c>
      <c r="C3892">
        <v>58.626007080078118</v>
      </c>
      <c r="D3892">
        <f>_xlfn.XLOOKUP(B3892, Oil_Price!A:A, Oil_Price!B:B, "")</f>
        <v>72.669998168945312</v>
      </c>
      <c r="E3892">
        <f t="shared" si="240"/>
        <v>6.2550260113868386E-4</v>
      </c>
      <c r="F3892">
        <f t="shared" si="241"/>
        <v>1.1694226875648838E-2</v>
      </c>
      <c r="G3892">
        <f t="shared" si="242"/>
        <v>3.6647796630845164E-2</v>
      </c>
      <c r="H3892">
        <f t="shared" si="243"/>
        <v>0.839996337890625</v>
      </c>
    </row>
    <row r="3893" spans="1:8" x14ac:dyDescent="0.2">
      <c r="A3893" t="s">
        <v>14</v>
      </c>
      <c r="B3893" s="2">
        <v>45075</v>
      </c>
      <c r="C3893">
        <v>58.479423522949219</v>
      </c>
      <c r="D3893" t="str">
        <f>_xlfn.XLOOKUP(B3893, Oil_Price!A:A, Oil_Price!B:B, "")</f>
        <v/>
      </c>
      <c r="E3893">
        <f t="shared" si="240"/>
        <v>-2.5003162321574884E-3</v>
      </c>
      <c r="F3893" t="str">
        <f t="shared" si="241"/>
        <v/>
      </c>
      <c r="G3893">
        <f t="shared" si="242"/>
        <v>-0.14658355712889914</v>
      </c>
      <c r="H3893" t="str">
        <f t="shared" si="243"/>
        <v/>
      </c>
    </row>
    <row r="3894" spans="1:8" x14ac:dyDescent="0.2">
      <c r="A3894" t="s">
        <v>14</v>
      </c>
      <c r="B3894" s="2">
        <v>45076</v>
      </c>
      <c r="C3894">
        <v>58.067138671875</v>
      </c>
      <c r="D3894">
        <f>_xlfn.XLOOKUP(B3894, Oil_Price!A:A, Oil_Price!B:B, "")</f>
        <v>69.459999084472656</v>
      </c>
      <c r="E3894">
        <f t="shared" si="240"/>
        <v>-7.0500840507161438E-3</v>
      </c>
      <c r="F3894" t="str">
        <f t="shared" si="241"/>
        <v/>
      </c>
      <c r="G3894">
        <f t="shared" si="242"/>
        <v>-0.41228485107421875</v>
      </c>
      <c r="H3894" t="str">
        <f t="shared" si="243"/>
        <v/>
      </c>
    </row>
    <row r="3895" spans="1:8" x14ac:dyDescent="0.2">
      <c r="A3895" t="s">
        <v>14</v>
      </c>
      <c r="B3895" s="2">
        <v>45077</v>
      </c>
      <c r="C3895">
        <v>56.454666137695312</v>
      </c>
      <c r="D3895">
        <f>_xlfn.XLOOKUP(B3895, Oil_Price!A:A, Oil_Price!B:B, "")</f>
        <v>68.089996337890625</v>
      </c>
      <c r="E3895">
        <f t="shared" si="240"/>
        <v>-2.7769106090992798E-2</v>
      </c>
      <c r="F3895">
        <f t="shared" si="241"/>
        <v>-1.9723621719544289E-2</v>
      </c>
      <c r="G3895">
        <f t="shared" si="242"/>
        <v>-1.6124725341796875</v>
      </c>
      <c r="H3895">
        <f t="shared" si="243"/>
        <v>-1.3700027465820312</v>
      </c>
    </row>
    <row r="3896" spans="1:8" x14ac:dyDescent="0.2">
      <c r="A3896" t="s">
        <v>14</v>
      </c>
      <c r="B3896" s="2">
        <v>45078</v>
      </c>
      <c r="C3896">
        <v>57.895606994628913</v>
      </c>
      <c r="D3896">
        <f>_xlfn.XLOOKUP(B3896, Oil_Price!A:A, Oil_Price!B:B, "")</f>
        <v>70.099998474121094</v>
      </c>
      <c r="E3896">
        <f t="shared" si="240"/>
        <v>2.5523857557125312E-2</v>
      </c>
      <c r="F3896">
        <f t="shared" si="241"/>
        <v>2.9519786229037372E-2</v>
      </c>
      <c r="G3896">
        <f t="shared" si="242"/>
        <v>1.4409408569336009</v>
      </c>
      <c r="H3896">
        <f t="shared" si="243"/>
        <v>2.0100021362304688</v>
      </c>
    </row>
    <row r="3897" spans="1:8" x14ac:dyDescent="0.2">
      <c r="A3897" t="s">
        <v>14</v>
      </c>
      <c r="B3897" s="2">
        <v>45079</v>
      </c>
      <c r="C3897">
        <v>59.521255493164062</v>
      </c>
      <c r="D3897">
        <f>_xlfn.XLOOKUP(B3897, Oil_Price!A:A, Oil_Price!B:B, "")</f>
        <v>71.739997863769531</v>
      </c>
      <c r="E3897">
        <f t="shared" si="240"/>
        <v>2.8078961132335371E-2</v>
      </c>
      <c r="F3897">
        <f t="shared" si="241"/>
        <v>2.339514158839644E-2</v>
      </c>
      <c r="G3897">
        <f t="shared" si="242"/>
        <v>1.6256484985351491</v>
      </c>
      <c r="H3897">
        <f t="shared" si="243"/>
        <v>1.6399993896484375</v>
      </c>
    </row>
    <row r="3898" spans="1:8" x14ac:dyDescent="0.2">
      <c r="A3898" t="s">
        <v>14</v>
      </c>
      <c r="B3898" s="2">
        <v>45082</v>
      </c>
      <c r="C3898">
        <v>59.327281951904297</v>
      </c>
      <c r="D3898">
        <f>_xlfn.XLOOKUP(B3898, Oil_Price!A:A, Oil_Price!B:B, "")</f>
        <v>72.150001525878906</v>
      </c>
      <c r="E3898">
        <f t="shared" si="240"/>
        <v>-3.2588953249153697E-3</v>
      </c>
      <c r="F3898">
        <f t="shared" si="241"/>
        <v>5.7151334585756513E-3</v>
      </c>
      <c r="G3898">
        <f t="shared" si="242"/>
        <v>-0.19397354125976562</v>
      </c>
      <c r="H3898">
        <f t="shared" si="243"/>
        <v>0.410003662109375</v>
      </c>
    </row>
    <row r="3899" spans="1:8" x14ac:dyDescent="0.2">
      <c r="A3899" t="s">
        <v>14</v>
      </c>
      <c r="B3899" s="2">
        <v>45083</v>
      </c>
      <c r="C3899">
        <v>60.241718292236328</v>
      </c>
      <c r="D3899">
        <f>_xlfn.XLOOKUP(B3899, Oil_Price!A:A, Oil_Price!B:B, "")</f>
        <v>71.739997863769531</v>
      </c>
      <c r="E3899">
        <f t="shared" si="240"/>
        <v>1.5413420440756928E-2</v>
      </c>
      <c r="F3899">
        <f t="shared" si="241"/>
        <v>-5.6826563193115671E-3</v>
      </c>
      <c r="G3899">
        <f t="shared" si="242"/>
        <v>0.91443634033203125</v>
      </c>
      <c r="H3899">
        <f t="shared" si="243"/>
        <v>-0.410003662109375</v>
      </c>
    </row>
    <row r="3900" spans="1:8" x14ac:dyDescent="0.2">
      <c r="A3900" t="s">
        <v>14</v>
      </c>
      <c r="B3900" s="2">
        <v>45084</v>
      </c>
      <c r="C3900">
        <v>61.303939819335938</v>
      </c>
      <c r="D3900">
        <f>_xlfn.XLOOKUP(B3900, Oil_Price!A:A, Oil_Price!B:B, "")</f>
        <v>72.529998779296875</v>
      </c>
      <c r="E3900">
        <f t="shared" si="240"/>
        <v>1.7632656524614827E-2</v>
      </c>
      <c r="F3900">
        <f t="shared" si="241"/>
        <v>1.1012000823132358E-2</v>
      </c>
      <c r="G3900">
        <f t="shared" si="242"/>
        <v>1.0622215270996094</v>
      </c>
      <c r="H3900">
        <f t="shared" si="243"/>
        <v>0.79000091552734375</v>
      </c>
    </row>
    <row r="3901" spans="1:8" x14ac:dyDescent="0.2">
      <c r="A3901" t="s">
        <v>14</v>
      </c>
      <c r="B3901" s="2">
        <v>45085</v>
      </c>
      <c r="C3901">
        <v>61.202346801757812</v>
      </c>
      <c r="D3901">
        <f>_xlfn.XLOOKUP(B3901, Oil_Price!A:A, Oil_Price!B:B, "")</f>
        <v>71.290000915527344</v>
      </c>
      <c r="E3901">
        <f t="shared" si="240"/>
        <v>-1.6572020962685573E-3</v>
      </c>
      <c r="F3901">
        <f t="shared" si="241"/>
        <v>-1.7096344748918968E-2</v>
      </c>
      <c r="G3901">
        <f t="shared" si="242"/>
        <v>-0.101593017578125</v>
      </c>
      <c r="H3901">
        <f t="shared" si="243"/>
        <v>-1.2399978637695312</v>
      </c>
    </row>
    <row r="3902" spans="1:8" x14ac:dyDescent="0.2">
      <c r="A3902" t="s">
        <v>14</v>
      </c>
      <c r="B3902" s="2">
        <v>45086</v>
      </c>
      <c r="C3902">
        <v>61.913555145263672</v>
      </c>
      <c r="D3902">
        <f>_xlfn.XLOOKUP(B3902, Oil_Price!A:A, Oil_Price!B:B, "")</f>
        <v>70.169998168945312</v>
      </c>
      <c r="E3902">
        <f t="shared" si="240"/>
        <v>1.1620605755683744E-2</v>
      </c>
      <c r="F3902">
        <f t="shared" si="241"/>
        <v>-1.571051665308772E-2</v>
      </c>
      <c r="G3902">
        <f t="shared" si="242"/>
        <v>0.71120834350585938</v>
      </c>
      <c r="H3902">
        <f t="shared" si="243"/>
        <v>-1.1200027465820312</v>
      </c>
    </row>
    <row r="3903" spans="1:8" x14ac:dyDescent="0.2">
      <c r="A3903" t="s">
        <v>14</v>
      </c>
      <c r="B3903" s="2">
        <v>45089</v>
      </c>
      <c r="C3903">
        <v>60.832874298095703</v>
      </c>
      <c r="D3903">
        <f>_xlfn.XLOOKUP(B3903, Oil_Price!A:A, Oil_Price!B:B, "")</f>
        <v>67.120002746582031</v>
      </c>
      <c r="E3903">
        <f t="shared" si="240"/>
        <v>-1.7454672803595899E-2</v>
      </c>
      <c r="F3903">
        <f t="shared" si="241"/>
        <v>-4.3465804502658488E-2</v>
      </c>
      <c r="G3903">
        <f t="shared" si="242"/>
        <v>-1.0806808471679688</v>
      </c>
      <c r="H3903">
        <f t="shared" si="243"/>
        <v>-3.0499954223632812</v>
      </c>
    </row>
    <row r="3904" spans="1:8" x14ac:dyDescent="0.2">
      <c r="A3904" t="s">
        <v>14</v>
      </c>
      <c r="B3904" s="2">
        <v>45090</v>
      </c>
      <c r="C3904">
        <v>61.691890716552727</v>
      </c>
      <c r="D3904">
        <f>_xlfn.XLOOKUP(B3904, Oil_Price!A:A, Oil_Price!B:B, "")</f>
        <v>69.419998168945312</v>
      </c>
      <c r="E3904">
        <f t="shared" si="240"/>
        <v>1.412092439110533E-2</v>
      </c>
      <c r="F3904">
        <f t="shared" si="241"/>
        <v>3.426691490235978E-2</v>
      </c>
      <c r="G3904">
        <f t="shared" si="242"/>
        <v>0.85901641845702414</v>
      </c>
      <c r="H3904">
        <f t="shared" si="243"/>
        <v>2.2999954223632812</v>
      </c>
    </row>
    <row r="3905" spans="1:8" x14ac:dyDescent="0.2">
      <c r="A3905" t="s">
        <v>14</v>
      </c>
      <c r="B3905" s="2">
        <v>45091</v>
      </c>
      <c r="C3905">
        <v>61.137672424316413</v>
      </c>
      <c r="D3905">
        <f>_xlfn.XLOOKUP(B3905, Oil_Price!A:A, Oil_Price!B:B, "")</f>
        <v>68.269996643066406</v>
      </c>
      <c r="E3905">
        <f t="shared" si="240"/>
        <v>-8.9836489982565906E-3</v>
      </c>
      <c r="F3905">
        <f t="shared" si="241"/>
        <v>-1.6565853589914869E-2</v>
      </c>
      <c r="G3905">
        <f t="shared" si="242"/>
        <v>-0.55421829223631391</v>
      </c>
      <c r="H3905">
        <f t="shared" si="243"/>
        <v>-1.1500015258789062</v>
      </c>
    </row>
    <row r="3906" spans="1:8" x14ac:dyDescent="0.2">
      <c r="A3906" t="s">
        <v>14</v>
      </c>
      <c r="B3906" s="2">
        <v>45092</v>
      </c>
      <c r="C3906">
        <v>61.14691162109375</v>
      </c>
      <c r="D3906">
        <f>_xlfn.XLOOKUP(B3906, Oil_Price!A:A, Oil_Price!B:B, "")</f>
        <v>70.620002746582031</v>
      </c>
      <c r="E3906">
        <f t="shared" si="240"/>
        <v>1.5112117309951629E-4</v>
      </c>
      <c r="F3906">
        <f t="shared" si="241"/>
        <v>3.4422238451278654E-2</v>
      </c>
      <c r="G3906">
        <f t="shared" si="242"/>
        <v>9.2391967773366446E-3</v>
      </c>
      <c r="H3906">
        <f t="shared" si="243"/>
        <v>2.350006103515625</v>
      </c>
    </row>
    <row r="3907" spans="1:8" x14ac:dyDescent="0.2">
      <c r="A3907" t="s">
        <v>14</v>
      </c>
      <c r="B3907" s="2">
        <v>45093</v>
      </c>
      <c r="C3907">
        <v>60.398738861083977</v>
      </c>
      <c r="D3907">
        <f>_xlfn.XLOOKUP(B3907, Oil_Price!A:A, Oil_Price!B:B, "")</f>
        <v>71.779998779296875</v>
      </c>
      <c r="E3907">
        <f t="shared" ref="E3907:E3970" si="244">IFERROR(IF(AND(A3907=A3906, C3907&lt;&gt;"", C3906&lt;&gt;""), (C3907-C3906)/C3906, ""), "")</f>
        <v>-1.2235659008355817E-2</v>
      </c>
      <c r="F3907">
        <f t="shared" ref="F3907:F3970" si="245">IFERROR(IF(AND(A3907=A3906, D3907&lt;&gt;"", D3906&lt;&gt;""), (D3907-D3906)/D3906, ""), "")</f>
        <v>1.6425884842817949E-2</v>
      </c>
      <c r="G3907">
        <f t="shared" ref="G3907:G3970" si="246">IFERROR(IF(AND(A3907=A3906, C3907&lt;&gt;"", C3906&lt;&gt;""), C3907-C3906, ""), "")</f>
        <v>-0.74817276000977273</v>
      </c>
      <c r="H3907">
        <f t="shared" ref="H3907:H3970" si="247">IFERROR(IF(AND(A3907=A3906, D3907&lt;&gt;"", D3906&lt;&gt;""), D3907-D3906, ""), "")</f>
        <v>1.1599960327148438</v>
      </c>
    </row>
    <row r="3908" spans="1:8" x14ac:dyDescent="0.2">
      <c r="A3908" t="s">
        <v>14</v>
      </c>
      <c r="B3908" s="2">
        <v>45096</v>
      </c>
      <c r="C3908">
        <v>60.223239898681641</v>
      </c>
      <c r="D3908" t="str">
        <f>_xlfn.XLOOKUP(B3908, Oil_Price!A:A, Oil_Price!B:B, "")</f>
        <v/>
      </c>
      <c r="E3908">
        <f t="shared" si="244"/>
        <v>-2.9056726301186706E-3</v>
      </c>
      <c r="F3908" t="str">
        <f t="shared" si="245"/>
        <v/>
      </c>
      <c r="G3908">
        <f t="shared" si="246"/>
        <v>-0.17549896240233664</v>
      </c>
      <c r="H3908" t="str">
        <f t="shared" si="247"/>
        <v/>
      </c>
    </row>
    <row r="3909" spans="1:8" x14ac:dyDescent="0.2">
      <c r="A3909" t="s">
        <v>14</v>
      </c>
      <c r="B3909" s="2">
        <v>45097</v>
      </c>
      <c r="C3909">
        <v>59.752166748046882</v>
      </c>
      <c r="D3909">
        <f>_xlfn.XLOOKUP(B3909, Oil_Price!A:A, Oil_Price!B:B, "")</f>
        <v>70.5</v>
      </c>
      <c r="E3909">
        <f t="shared" si="244"/>
        <v>-7.8221157052872359E-3</v>
      </c>
      <c r="F3909" t="str">
        <f t="shared" si="245"/>
        <v/>
      </c>
      <c r="G3909">
        <f t="shared" si="246"/>
        <v>-0.47107315063475852</v>
      </c>
      <c r="H3909" t="str">
        <f t="shared" si="247"/>
        <v/>
      </c>
    </row>
    <row r="3910" spans="1:8" x14ac:dyDescent="0.2">
      <c r="A3910" t="s">
        <v>14</v>
      </c>
      <c r="B3910" s="2">
        <v>45098</v>
      </c>
      <c r="C3910">
        <v>60.703556060791023</v>
      </c>
      <c r="D3910">
        <f>_xlfn.XLOOKUP(B3910, Oil_Price!A:A, Oil_Price!B:B, "")</f>
        <v>72.529998779296875</v>
      </c>
      <c r="E3910">
        <f t="shared" si="244"/>
        <v>1.5922256288308383E-2</v>
      </c>
      <c r="F3910">
        <f t="shared" si="245"/>
        <v>2.8794308926196808E-2</v>
      </c>
      <c r="G3910">
        <f t="shared" si="246"/>
        <v>0.95138931274414062</v>
      </c>
      <c r="H3910">
        <f t="shared" si="247"/>
        <v>2.029998779296875</v>
      </c>
    </row>
    <row r="3911" spans="1:8" x14ac:dyDescent="0.2">
      <c r="A3911" t="s">
        <v>14</v>
      </c>
      <c r="B3911" s="2">
        <v>45099</v>
      </c>
      <c r="C3911">
        <v>59.419654846191413</v>
      </c>
      <c r="D3911">
        <f>_xlfn.XLOOKUP(B3911, Oil_Price!A:A, Oil_Price!B:B, "")</f>
        <v>69.510002136230469</v>
      </c>
      <c r="E3911">
        <f t="shared" si="244"/>
        <v>-2.1150346007964643E-2</v>
      </c>
      <c r="F3911">
        <f t="shared" si="245"/>
        <v>-4.1637897337569528E-2</v>
      </c>
      <c r="G3911">
        <f t="shared" si="246"/>
        <v>-1.2839012145996094</v>
      </c>
      <c r="H3911">
        <f t="shared" si="247"/>
        <v>-3.0199966430664062</v>
      </c>
    </row>
    <row r="3912" spans="1:8" x14ac:dyDescent="0.2">
      <c r="A3912" t="s">
        <v>14</v>
      </c>
      <c r="B3912" s="2">
        <v>45100</v>
      </c>
      <c r="C3912">
        <v>58.542167663574219</v>
      </c>
      <c r="D3912">
        <f>_xlfn.XLOOKUP(B3912, Oil_Price!A:A, Oil_Price!B:B, "")</f>
        <v>69.160003662109375</v>
      </c>
      <c r="E3912">
        <f t="shared" si="244"/>
        <v>-1.4767625037348032E-2</v>
      </c>
      <c r="F3912">
        <f t="shared" si="245"/>
        <v>-5.0352246204099192E-3</v>
      </c>
      <c r="G3912">
        <f t="shared" si="246"/>
        <v>-0.87748718261719461</v>
      </c>
      <c r="H3912">
        <f t="shared" si="247"/>
        <v>-0.34999847412109375</v>
      </c>
    </row>
    <row r="3913" spans="1:8" x14ac:dyDescent="0.2">
      <c r="A3913" t="s">
        <v>14</v>
      </c>
      <c r="B3913" s="2">
        <v>45103</v>
      </c>
      <c r="C3913">
        <v>60.795917510986328</v>
      </c>
      <c r="D3913">
        <f>_xlfn.XLOOKUP(B3913, Oil_Price!A:A, Oil_Price!B:B, "")</f>
        <v>69.370002746582031</v>
      </c>
      <c r="E3913">
        <f t="shared" si="244"/>
        <v>3.8497888570915101E-2</v>
      </c>
      <c r="F3913">
        <f t="shared" si="245"/>
        <v>3.0364238483652399E-3</v>
      </c>
      <c r="G3913">
        <f t="shared" si="246"/>
        <v>2.2537498474121094</v>
      </c>
      <c r="H3913">
        <f t="shared" si="247"/>
        <v>0.20999908447265625</v>
      </c>
    </row>
    <row r="3914" spans="1:8" x14ac:dyDescent="0.2">
      <c r="A3914" t="s">
        <v>14</v>
      </c>
      <c r="B3914" s="2">
        <v>45104</v>
      </c>
      <c r="C3914">
        <v>60.675849914550781</v>
      </c>
      <c r="D3914">
        <f>_xlfn.XLOOKUP(B3914, Oil_Price!A:A, Oil_Price!B:B, "")</f>
        <v>67.699996948242188</v>
      </c>
      <c r="E3914">
        <f t="shared" si="244"/>
        <v>-1.9749286029584084E-3</v>
      </c>
      <c r="F3914">
        <f t="shared" si="245"/>
        <v>-2.4073889753768642E-2</v>
      </c>
      <c r="G3914">
        <f t="shared" si="246"/>
        <v>-0.12006759643554688</v>
      </c>
      <c r="H3914">
        <f t="shared" si="247"/>
        <v>-1.6700057983398438</v>
      </c>
    </row>
    <row r="3915" spans="1:8" x14ac:dyDescent="0.2">
      <c r="A3915" t="s">
        <v>14</v>
      </c>
      <c r="B3915" s="2">
        <v>45105</v>
      </c>
      <c r="C3915">
        <v>61.682643890380859</v>
      </c>
      <c r="D3915">
        <f>_xlfn.XLOOKUP(B3915, Oil_Price!A:A, Oil_Price!B:B, "")</f>
        <v>69.55999755859375</v>
      </c>
      <c r="E3915">
        <f t="shared" si="244"/>
        <v>1.6592993377891475E-2</v>
      </c>
      <c r="F3915">
        <f t="shared" si="245"/>
        <v>2.7474160918700852E-2</v>
      </c>
      <c r="G3915">
        <f t="shared" si="246"/>
        <v>1.0067939758300781</v>
      </c>
      <c r="H3915">
        <f t="shared" si="247"/>
        <v>1.8600006103515625</v>
      </c>
    </row>
    <row r="3916" spans="1:8" x14ac:dyDescent="0.2">
      <c r="A3916" t="s">
        <v>14</v>
      </c>
      <c r="B3916" s="2">
        <v>45106</v>
      </c>
      <c r="C3916">
        <v>62.347686767578118</v>
      </c>
      <c r="D3916">
        <f>_xlfn.XLOOKUP(B3916, Oil_Price!A:A, Oil_Price!B:B, "")</f>
        <v>69.860000610351562</v>
      </c>
      <c r="E3916">
        <f t="shared" si="244"/>
        <v>1.0781685661515055E-2</v>
      </c>
      <c r="F3916">
        <f t="shared" si="245"/>
        <v>4.3128674854409736E-3</v>
      </c>
      <c r="G3916">
        <f t="shared" si="246"/>
        <v>0.66504287719725852</v>
      </c>
      <c r="H3916">
        <f t="shared" si="247"/>
        <v>0.3000030517578125</v>
      </c>
    </row>
    <row r="3917" spans="1:8" x14ac:dyDescent="0.2">
      <c r="A3917" t="s">
        <v>14</v>
      </c>
      <c r="B3917" s="2">
        <v>45107</v>
      </c>
      <c r="C3917">
        <v>62.606304168701172</v>
      </c>
      <c r="D3917">
        <f>_xlfn.XLOOKUP(B3917, Oil_Price!A:A, Oil_Price!B:B, "")</f>
        <v>70.639999389648438</v>
      </c>
      <c r="E3917">
        <f t="shared" si="244"/>
        <v>4.1479871111680042E-3</v>
      </c>
      <c r="F3917">
        <f t="shared" si="245"/>
        <v>1.1165169946782079E-2</v>
      </c>
      <c r="G3917">
        <f t="shared" si="246"/>
        <v>0.25861740112305398</v>
      </c>
      <c r="H3917">
        <f t="shared" si="247"/>
        <v>0.779998779296875</v>
      </c>
    </row>
    <row r="3918" spans="1:8" x14ac:dyDescent="0.2">
      <c r="A3918" t="s">
        <v>14</v>
      </c>
      <c r="B3918" s="2">
        <v>45111</v>
      </c>
      <c r="C3918">
        <v>62.920360565185547</v>
      </c>
      <c r="D3918" t="str">
        <f>_xlfn.XLOOKUP(B3918, Oil_Price!A:A, Oil_Price!B:B, "")</f>
        <v/>
      </c>
      <c r="E3918">
        <f t="shared" si="244"/>
        <v>5.0163701667823657E-3</v>
      </c>
      <c r="F3918" t="str">
        <f t="shared" si="245"/>
        <v/>
      </c>
      <c r="G3918">
        <f t="shared" si="246"/>
        <v>0.314056396484375</v>
      </c>
      <c r="H3918" t="str">
        <f t="shared" si="247"/>
        <v/>
      </c>
    </row>
    <row r="3919" spans="1:8" x14ac:dyDescent="0.2">
      <c r="A3919" t="s">
        <v>14</v>
      </c>
      <c r="B3919" s="2">
        <v>45112</v>
      </c>
      <c r="C3919">
        <v>62.846466064453118</v>
      </c>
      <c r="D3919">
        <f>_xlfn.XLOOKUP(B3919, Oil_Price!A:A, Oil_Price!B:B, "")</f>
        <v>71.790000915527344</v>
      </c>
      <c r="E3919">
        <f t="shared" si="244"/>
        <v>-1.174413179909772E-3</v>
      </c>
      <c r="F3919" t="str">
        <f t="shared" si="245"/>
        <v/>
      </c>
      <c r="G3919">
        <f t="shared" si="246"/>
        <v>-7.389450073242898E-2</v>
      </c>
      <c r="H3919" t="str">
        <f t="shared" si="247"/>
        <v/>
      </c>
    </row>
    <row r="3920" spans="1:8" x14ac:dyDescent="0.2">
      <c r="A3920" t="s">
        <v>14</v>
      </c>
      <c r="B3920" s="2">
        <v>45113</v>
      </c>
      <c r="C3920">
        <v>60.601943969726562</v>
      </c>
      <c r="D3920">
        <f>_xlfn.XLOOKUP(B3920, Oil_Price!A:A, Oil_Price!B:B, "")</f>
        <v>71.800003051757812</v>
      </c>
      <c r="E3920">
        <f t="shared" si="244"/>
        <v>-3.5714372426679533E-2</v>
      </c>
      <c r="F3920">
        <f t="shared" si="245"/>
        <v>1.3932492133880727E-4</v>
      </c>
      <c r="G3920">
        <f t="shared" si="246"/>
        <v>-2.2445220947265554</v>
      </c>
      <c r="H3920">
        <f t="shared" si="247"/>
        <v>1.000213623046875E-2</v>
      </c>
    </row>
    <row r="3921" spans="1:8" x14ac:dyDescent="0.2">
      <c r="A3921" t="s">
        <v>14</v>
      </c>
      <c r="B3921" s="2">
        <v>45114</v>
      </c>
      <c r="C3921">
        <v>60.426445007324219</v>
      </c>
      <c r="D3921">
        <f>_xlfn.XLOOKUP(B3921, Oil_Price!A:A, Oil_Price!B:B, "")</f>
        <v>73.860000610351562</v>
      </c>
      <c r="E3921">
        <f t="shared" si="244"/>
        <v>-2.8959295842063003E-3</v>
      </c>
      <c r="F3921">
        <f t="shared" si="245"/>
        <v>2.8690772577109478E-2</v>
      </c>
      <c r="G3921">
        <f t="shared" si="246"/>
        <v>-0.17549896240234375</v>
      </c>
      <c r="H3921">
        <f t="shared" si="247"/>
        <v>2.05999755859375</v>
      </c>
    </row>
    <row r="3922" spans="1:8" x14ac:dyDescent="0.2">
      <c r="A3922" t="s">
        <v>14</v>
      </c>
      <c r="B3922" s="2">
        <v>45117</v>
      </c>
      <c r="C3922">
        <v>59.641334533691413</v>
      </c>
      <c r="D3922">
        <f>_xlfn.XLOOKUP(B3922, Oil_Price!A:A, Oil_Price!B:B, "")</f>
        <v>72.989997863769531</v>
      </c>
      <c r="E3922">
        <f t="shared" si="244"/>
        <v>-1.2992829108805641E-2</v>
      </c>
      <c r="F3922">
        <f t="shared" si="245"/>
        <v>-1.1779078518719906E-2</v>
      </c>
      <c r="G3922">
        <f t="shared" si="246"/>
        <v>-0.78511047363280539</v>
      </c>
      <c r="H3922">
        <f t="shared" si="247"/>
        <v>-0.87000274658203125</v>
      </c>
    </row>
    <row r="3923" spans="1:8" x14ac:dyDescent="0.2">
      <c r="A3923" t="s">
        <v>14</v>
      </c>
      <c r="B3923" s="2">
        <v>45118</v>
      </c>
      <c r="C3923">
        <v>60.601943969726562</v>
      </c>
      <c r="D3923">
        <f>_xlfn.XLOOKUP(B3923, Oil_Price!A:A, Oil_Price!B:B, "")</f>
        <v>74.830001831054688</v>
      </c>
      <c r="E3923">
        <f t="shared" si="244"/>
        <v>1.6106437650091489E-2</v>
      </c>
      <c r="F3923">
        <f t="shared" si="245"/>
        <v>2.5208987822131306E-2</v>
      </c>
      <c r="G3923">
        <f t="shared" si="246"/>
        <v>0.96060943603514914</v>
      </c>
      <c r="H3923">
        <f t="shared" si="247"/>
        <v>1.8400039672851562</v>
      </c>
    </row>
    <row r="3924" spans="1:8" x14ac:dyDescent="0.2">
      <c r="A3924" t="s">
        <v>14</v>
      </c>
      <c r="B3924" s="2">
        <v>45119</v>
      </c>
      <c r="C3924">
        <v>59.863006591796882</v>
      </c>
      <c r="D3924">
        <f>_xlfn.XLOOKUP(B3924, Oil_Price!A:A, Oil_Price!B:B, "")</f>
        <v>75.75</v>
      </c>
      <c r="E3924">
        <f t="shared" si="244"/>
        <v>-1.2193294959297236E-2</v>
      </c>
      <c r="F3924">
        <f t="shared" si="245"/>
        <v>1.2294509507328522E-2</v>
      </c>
      <c r="G3924">
        <f t="shared" si="246"/>
        <v>-0.73893737792968039</v>
      </c>
      <c r="H3924">
        <f t="shared" si="247"/>
        <v>0.9199981689453125</v>
      </c>
    </row>
    <row r="3925" spans="1:8" x14ac:dyDescent="0.2">
      <c r="A3925" t="s">
        <v>14</v>
      </c>
      <c r="B3925" s="2">
        <v>45120</v>
      </c>
      <c r="C3925">
        <v>60.749725341796882</v>
      </c>
      <c r="D3925">
        <f>_xlfn.XLOOKUP(B3925, Oil_Price!A:A, Oil_Price!B:B, "")</f>
        <v>76.889999389648438</v>
      </c>
      <c r="E3925">
        <f t="shared" si="244"/>
        <v>1.4812466003361556E-2</v>
      </c>
      <c r="F3925">
        <f t="shared" si="245"/>
        <v>1.5049496893048679E-2</v>
      </c>
      <c r="G3925">
        <f t="shared" si="246"/>
        <v>0.88671875</v>
      </c>
      <c r="H3925">
        <f t="shared" si="247"/>
        <v>1.1399993896484375</v>
      </c>
    </row>
    <row r="3926" spans="1:8" x14ac:dyDescent="0.2">
      <c r="A3926" t="s">
        <v>14</v>
      </c>
      <c r="B3926" s="2">
        <v>45121</v>
      </c>
      <c r="C3926">
        <v>59.807594299316413</v>
      </c>
      <c r="D3926">
        <f>_xlfn.XLOOKUP(B3926, Oil_Price!A:A, Oil_Price!B:B, "")</f>
        <v>75.419998168945312</v>
      </c>
      <c r="E3926">
        <f t="shared" si="244"/>
        <v>-1.5508400032753169E-2</v>
      </c>
      <c r="F3926">
        <f t="shared" si="245"/>
        <v>-1.9118236862686575E-2</v>
      </c>
      <c r="G3926">
        <f t="shared" si="246"/>
        <v>-0.94213104248046875</v>
      </c>
      <c r="H3926">
        <f t="shared" si="247"/>
        <v>-1.470001220703125</v>
      </c>
    </row>
    <row r="3927" spans="1:8" x14ac:dyDescent="0.2">
      <c r="A3927" t="s">
        <v>14</v>
      </c>
      <c r="B3927" s="2">
        <v>45124</v>
      </c>
      <c r="C3927">
        <v>59.364227294921882</v>
      </c>
      <c r="D3927">
        <f>_xlfn.XLOOKUP(B3927, Oil_Price!A:A, Oil_Price!B:B, "")</f>
        <v>74.150001525878906</v>
      </c>
      <c r="E3927">
        <f t="shared" si="244"/>
        <v>-7.4132225111017188E-3</v>
      </c>
      <c r="F3927">
        <f t="shared" si="245"/>
        <v>-1.6838990637755489E-2</v>
      </c>
      <c r="G3927">
        <f t="shared" si="246"/>
        <v>-0.44336700439453125</v>
      </c>
      <c r="H3927">
        <f t="shared" si="247"/>
        <v>-1.2699966430664062</v>
      </c>
    </row>
    <row r="3928" spans="1:8" x14ac:dyDescent="0.2">
      <c r="A3928" t="s">
        <v>14</v>
      </c>
      <c r="B3928" s="2">
        <v>45125</v>
      </c>
      <c r="C3928">
        <v>59.964622497558587</v>
      </c>
      <c r="D3928">
        <f>_xlfn.XLOOKUP(B3928, Oil_Price!A:A, Oil_Price!B:B, "")</f>
        <v>75.75</v>
      </c>
      <c r="E3928">
        <f t="shared" si="244"/>
        <v>1.0113754191626839E-2</v>
      </c>
      <c r="F3928">
        <f t="shared" si="245"/>
        <v>2.157786164795536E-2</v>
      </c>
      <c r="G3928">
        <f t="shared" si="246"/>
        <v>0.60039520263670454</v>
      </c>
      <c r="H3928">
        <f t="shared" si="247"/>
        <v>1.5999984741210938</v>
      </c>
    </row>
    <row r="3929" spans="1:8" x14ac:dyDescent="0.2">
      <c r="A3929" t="s">
        <v>14</v>
      </c>
      <c r="B3929" s="2">
        <v>45126</v>
      </c>
      <c r="C3929">
        <v>59.040939331054688</v>
      </c>
      <c r="D3929">
        <f>_xlfn.XLOOKUP(B3929, Oil_Price!A:A, Oil_Price!B:B, "")</f>
        <v>75.349998474121094</v>
      </c>
      <c r="E3929">
        <f t="shared" si="244"/>
        <v>-1.5403801909059066E-2</v>
      </c>
      <c r="F3929">
        <f t="shared" si="245"/>
        <v>-5.2805481964212043E-3</v>
      </c>
      <c r="G3929">
        <f t="shared" si="246"/>
        <v>-0.92368316650389914</v>
      </c>
      <c r="H3929">
        <f t="shared" si="247"/>
        <v>-0.40000152587890625</v>
      </c>
    </row>
    <row r="3930" spans="1:8" x14ac:dyDescent="0.2">
      <c r="A3930" t="s">
        <v>14</v>
      </c>
      <c r="B3930" s="2">
        <v>45127</v>
      </c>
      <c r="C3930">
        <v>60.269424438476562</v>
      </c>
      <c r="D3930">
        <f>_xlfn.XLOOKUP(B3930, Oil_Price!A:A, Oil_Price!B:B, "")</f>
        <v>75.629997253417969</v>
      </c>
      <c r="E3930">
        <f t="shared" si="244"/>
        <v>2.0807343537227727E-2</v>
      </c>
      <c r="F3930">
        <f t="shared" si="245"/>
        <v>3.7159759119708593E-3</v>
      </c>
      <c r="G3930">
        <f t="shared" si="246"/>
        <v>1.228485107421875</v>
      </c>
      <c r="H3930">
        <f t="shared" si="247"/>
        <v>0.279998779296875</v>
      </c>
    </row>
    <row r="3931" spans="1:8" x14ac:dyDescent="0.2">
      <c r="A3931" t="s">
        <v>14</v>
      </c>
      <c r="B3931" s="2">
        <v>45128</v>
      </c>
      <c r="C3931">
        <v>62.042873382568359</v>
      </c>
      <c r="D3931">
        <f>_xlfn.XLOOKUP(B3931, Oil_Price!A:A, Oil_Price!B:B, "")</f>
        <v>77.069999694824219</v>
      </c>
      <c r="E3931">
        <f t="shared" si="244"/>
        <v>2.9425350592191993E-2</v>
      </c>
      <c r="F3931">
        <f t="shared" si="245"/>
        <v>1.9040096439262685E-2</v>
      </c>
      <c r="G3931">
        <f t="shared" si="246"/>
        <v>1.7734489440917969</v>
      </c>
      <c r="H3931">
        <f t="shared" si="247"/>
        <v>1.44000244140625</v>
      </c>
    </row>
    <row r="3932" spans="1:8" x14ac:dyDescent="0.2">
      <c r="A3932" t="s">
        <v>14</v>
      </c>
      <c r="B3932" s="2">
        <v>45131</v>
      </c>
      <c r="C3932">
        <v>63.714714050292969</v>
      </c>
      <c r="D3932">
        <f>_xlfn.XLOOKUP(B3932, Oil_Price!A:A, Oil_Price!B:B, "")</f>
        <v>78.739997863769531</v>
      </c>
      <c r="E3932">
        <f t="shared" si="244"/>
        <v>2.694653836252419E-2</v>
      </c>
      <c r="F3932">
        <f t="shared" si="245"/>
        <v>2.1668589276735969E-2</v>
      </c>
      <c r="G3932">
        <f t="shared" si="246"/>
        <v>1.6718406677246094</v>
      </c>
      <c r="H3932">
        <f t="shared" si="247"/>
        <v>1.6699981689453125</v>
      </c>
    </row>
    <row r="3933" spans="1:8" x14ac:dyDescent="0.2">
      <c r="A3933" t="s">
        <v>14</v>
      </c>
      <c r="B3933" s="2">
        <v>45132</v>
      </c>
      <c r="C3933">
        <v>63.566932678222663</v>
      </c>
      <c r="D3933">
        <f>_xlfn.XLOOKUP(B3933, Oil_Price!A:A, Oil_Price!B:B, "")</f>
        <v>79.629997253417969</v>
      </c>
      <c r="E3933">
        <f t="shared" si="244"/>
        <v>-2.319422982164759E-3</v>
      </c>
      <c r="F3933">
        <f t="shared" si="245"/>
        <v>1.1303015161217714E-2</v>
      </c>
      <c r="G3933">
        <f t="shared" si="246"/>
        <v>-0.14778137207030539</v>
      </c>
      <c r="H3933">
        <f t="shared" si="247"/>
        <v>0.8899993896484375</v>
      </c>
    </row>
    <row r="3934" spans="1:8" x14ac:dyDescent="0.2">
      <c r="A3934" t="s">
        <v>14</v>
      </c>
      <c r="B3934" s="2">
        <v>45133</v>
      </c>
      <c r="C3934">
        <v>63.622341156005859</v>
      </c>
      <c r="D3934">
        <f>_xlfn.XLOOKUP(B3934, Oil_Price!A:A, Oil_Price!B:B, "")</f>
        <v>78.779998779296875</v>
      </c>
      <c r="E3934">
        <f t="shared" si="244"/>
        <v>8.7165567770392611E-4</v>
      </c>
      <c r="F3934">
        <f t="shared" si="245"/>
        <v>-1.0674350162489916E-2</v>
      </c>
      <c r="G3934">
        <f t="shared" si="246"/>
        <v>5.540847778319602E-2</v>
      </c>
      <c r="H3934">
        <f t="shared" si="247"/>
        <v>-0.84999847412109375</v>
      </c>
    </row>
    <row r="3935" spans="1:8" x14ac:dyDescent="0.2">
      <c r="A3935" t="s">
        <v>14</v>
      </c>
      <c r="B3935" s="2">
        <v>45134</v>
      </c>
      <c r="C3935">
        <v>63.040435791015618</v>
      </c>
      <c r="D3935">
        <f>_xlfn.XLOOKUP(B3935, Oil_Price!A:A, Oil_Price!B:B, "")</f>
        <v>80.089996337890625</v>
      </c>
      <c r="E3935">
        <f t="shared" si="244"/>
        <v>-9.146242568524381E-3</v>
      </c>
      <c r="F3935">
        <f t="shared" si="245"/>
        <v>1.6628555202999228E-2</v>
      </c>
      <c r="G3935">
        <f t="shared" si="246"/>
        <v>-0.58190536499024148</v>
      </c>
      <c r="H3935">
        <f t="shared" si="247"/>
        <v>1.30999755859375</v>
      </c>
    </row>
    <row r="3936" spans="1:8" x14ac:dyDescent="0.2">
      <c r="A3936" t="s">
        <v>14</v>
      </c>
      <c r="B3936" s="2">
        <v>45135</v>
      </c>
      <c r="C3936">
        <v>66.162429809570312</v>
      </c>
      <c r="D3936">
        <f>_xlfn.XLOOKUP(B3936, Oil_Price!A:A, Oil_Price!B:B, "")</f>
        <v>80.580001831054688</v>
      </c>
      <c r="E3936">
        <f t="shared" si="244"/>
        <v>4.9523674438171225E-2</v>
      </c>
      <c r="F3936">
        <f t="shared" si="245"/>
        <v>6.1181859853855509E-3</v>
      </c>
      <c r="G3936">
        <f t="shared" si="246"/>
        <v>3.1219940185546946</v>
      </c>
      <c r="H3936">
        <f t="shared" si="247"/>
        <v>0.4900054931640625</v>
      </c>
    </row>
    <row r="3937" spans="1:8" x14ac:dyDescent="0.2">
      <c r="A3937" t="s">
        <v>14</v>
      </c>
      <c r="B3937" s="2">
        <v>45138</v>
      </c>
      <c r="C3937">
        <v>65.617477416992188</v>
      </c>
      <c r="D3937">
        <f>_xlfn.XLOOKUP(B3937, Oil_Price!A:A, Oil_Price!B:B, "")</f>
        <v>81.800003051757812</v>
      </c>
      <c r="E3937">
        <f t="shared" si="244"/>
        <v>-8.2365837250326975E-3</v>
      </c>
      <c r="F3937">
        <f t="shared" si="245"/>
        <v>1.5140248113433888E-2</v>
      </c>
      <c r="G3937">
        <f t="shared" si="246"/>
        <v>-0.544952392578125</v>
      </c>
      <c r="H3937">
        <f t="shared" si="247"/>
        <v>1.220001220703125</v>
      </c>
    </row>
    <row r="3938" spans="1:8" x14ac:dyDescent="0.2">
      <c r="A3938" t="s">
        <v>14</v>
      </c>
      <c r="B3938" s="2">
        <v>45139</v>
      </c>
      <c r="C3938">
        <v>65.635940551757812</v>
      </c>
      <c r="D3938">
        <f>_xlfn.XLOOKUP(B3938, Oil_Price!A:A, Oil_Price!B:B, "")</f>
        <v>81.370002746582031</v>
      </c>
      <c r="E3938">
        <f t="shared" si="244"/>
        <v>2.8137525995237082E-4</v>
      </c>
      <c r="F3938">
        <f t="shared" si="245"/>
        <v>-5.2567272510210608E-3</v>
      </c>
      <c r="G3938">
        <f t="shared" si="246"/>
        <v>1.8463134765625E-2</v>
      </c>
      <c r="H3938">
        <f t="shared" si="247"/>
        <v>-0.43000030517578125</v>
      </c>
    </row>
    <row r="3939" spans="1:8" x14ac:dyDescent="0.2">
      <c r="A3939" t="s">
        <v>14</v>
      </c>
      <c r="B3939" s="2">
        <v>45140</v>
      </c>
      <c r="C3939">
        <v>64.416709899902344</v>
      </c>
      <c r="D3939">
        <f>_xlfn.XLOOKUP(B3939, Oil_Price!A:A, Oil_Price!B:B, "")</f>
        <v>79.489997863769531</v>
      </c>
      <c r="E3939">
        <f t="shared" si="244"/>
        <v>-1.8575655983691337E-2</v>
      </c>
      <c r="F3939">
        <f t="shared" si="245"/>
        <v>-2.3104397435840938E-2</v>
      </c>
      <c r="G3939">
        <f t="shared" si="246"/>
        <v>-1.2192306518554688</v>
      </c>
      <c r="H3939">
        <f t="shared" si="247"/>
        <v>-1.8800048828125</v>
      </c>
    </row>
    <row r="3940" spans="1:8" x14ac:dyDescent="0.2">
      <c r="A3940" t="s">
        <v>14</v>
      </c>
      <c r="B3940" s="2">
        <v>45141</v>
      </c>
      <c r="C3940">
        <v>64.619911193847656</v>
      </c>
      <c r="D3940">
        <f>_xlfn.XLOOKUP(B3940, Oil_Price!A:A, Oil_Price!B:B, "")</f>
        <v>81.550003051757812</v>
      </c>
      <c r="E3940">
        <f t="shared" si="244"/>
        <v>3.1544811006502609E-3</v>
      </c>
      <c r="F3940">
        <f t="shared" si="245"/>
        <v>2.5915275422685648E-2</v>
      </c>
      <c r="G3940">
        <f t="shared" si="246"/>
        <v>0.2032012939453125</v>
      </c>
      <c r="H3940">
        <f t="shared" si="247"/>
        <v>2.0600051879882812</v>
      </c>
    </row>
    <row r="3941" spans="1:8" x14ac:dyDescent="0.2">
      <c r="A3941" t="s">
        <v>14</v>
      </c>
      <c r="B3941" s="2">
        <v>45142</v>
      </c>
      <c r="C3941">
        <v>65.68212890625</v>
      </c>
      <c r="D3941">
        <f>_xlfn.XLOOKUP(B3941, Oil_Price!A:A, Oil_Price!B:B, "")</f>
        <v>82.819999694824219</v>
      </c>
      <c r="E3941">
        <f t="shared" si="244"/>
        <v>1.6437932098295357E-2</v>
      </c>
      <c r="F3941">
        <f t="shared" si="245"/>
        <v>1.5573226186887695E-2</v>
      </c>
      <c r="G3941">
        <f t="shared" si="246"/>
        <v>1.0622177124023438</v>
      </c>
      <c r="H3941">
        <f t="shared" si="247"/>
        <v>1.2699966430664062</v>
      </c>
    </row>
    <row r="3942" spans="1:8" x14ac:dyDescent="0.2">
      <c r="A3942" t="s">
        <v>14</v>
      </c>
      <c r="B3942" s="2">
        <v>45146</v>
      </c>
      <c r="C3942">
        <v>66.97528076171875</v>
      </c>
      <c r="D3942">
        <f>_xlfn.XLOOKUP(B3942, Oil_Price!A:A, Oil_Price!B:B, "")</f>
        <v>82.919998168945312</v>
      </c>
      <c r="E3942">
        <f t="shared" si="244"/>
        <v>1.9688031995955903E-2</v>
      </c>
      <c r="F3942">
        <f t="shared" si="245"/>
        <v>1.2074193973625805E-3</v>
      </c>
      <c r="G3942">
        <f t="shared" si="246"/>
        <v>1.29315185546875</v>
      </c>
      <c r="H3942">
        <f t="shared" si="247"/>
        <v>9.999847412109375E-2</v>
      </c>
    </row>
    <row r="3943" spans="1:8" x14ac:dyDescent="0.2">
      <c r="A3943" t="s">
        <v>14</v>
      </c>
      <c r="B3943" s="2">
        <v>45147</v>
      </c>
      <c r="C3943">
        <v>67.224655151367188</v>
      </c>
      <c r="D3943">
        <f>_xlfn.XLOOKUP(B3943, Oil_Price!A:A, Oil_Price!B:B, "")</f>
        <v>84.400001525878906</v>
      </c>
      <c r="E3943">
        <f t="shared" si="244"/>
        <v>3.7233795336468842E-3</v>
      </c>
      <c r="F3943">
        <f t="shared" si="245"/>
        <v>1.7848569580502904E-2</v>
      </c>
      <c r="G3943">
        <f t="shared" si="246"/>
        <v>0.2493743896484375</v>
      </c>
      <c r="H3943">
        <f t="shared" si="247"/>
        <v>1.4800033569335938</v>
      </c>
    </row>
    <row r="3944" spans="1:8" x14ac:dyDescent="0.2">
      <c r="A3944" t="s">
        <v>14</v>
      </c>
      <c r="B3944" s="2">
        <v>45148</v>
      </c>
      <c r="C3944">
        <v>67.889694213867188</v>
      </c>
      <c r="D3944">
        <f>_xlfn.XLOOKUP(B3944, Oil_Price!A:A, Oil_Price!B:B, "")</f>
        <v>82.819999694824219</v>
      </c>
      <c r="E3944">
        <f t="shared" si="244"/>
        <v>9.8927850355283627E-3</v>
      </c>
      <c r="F3944">
        <f t="shared" si="245"/>
        <v>-1.8720400503431555E-2</v>
      </c>
      <c r="G3944">
        <f t="shared" si="246"/>
        <v>0.6650390625</v>
      </c>
      <c r="H3944">
        <f t="shared" si="247"/>
        <v>-1.5800018310546875</v>
      </c>
    </row>
    <row r="3945" spans="1:8" x14ac:dyDescent="0.2">
      <c r="A3945" t="s">
        <v>14</v>
      </c>
      <c r="B3945" s="2">
        <v>45149</v>
      </c>
      <c r="C3945">
        <v>68.924217224121094</v>
      </c>
      <c r="D3945">
        <f>_xlfn.XLOOKUP(B3945, Oil_Price!A:A, Oil_Price!B:B, "")</f>
        <v>83.19000244140625</v>
      </c>
      <c r="E3945">
        <f t="shared" si="244"/>
        <v>1.5238292383449769E-2</v>
      </c>
      <c r="F3945">
        <f t="shared" si="245"/>
        <v>4.4675531024561729E-3</v>
      </c>
      <c r="G3945">
        <f t="shared" si="246"/>
        <v>1.0345230102539062</v>
      </c>
      <c r="H3945">
        <f t="shared" si="247"/>
        <v>0.37000274658203125</v>
      </c>
    </row>
    <row r="3946" spans="1:8" x14ac:dyDescent="0.2">
      <c r="A3946" t="s">
        <v>14</v>
      </c>
      <c r="B3946" s="2">
        <v>45152</v>
      </c>
      <c r="C3946">
        <v>68.720993041992188</v>
      </c>
      <c r="D3946">
        <f>_xlfn.XLOOKUP(B3946, Oil_Price!A:A, Oil_Price!B:B, "")</f>
        <v>82.510002136230469</v>
      </c>
      <c r="E3946">
        <f t="shared" si="244"/>
        <v>-2.9485163606295527E-3</v>
      </c>
      <c r="F3946">
        <f t="shared" si="245"/>
        <v>-8.174062810669229E-3</v>
      </c>
      <c r="G3946">
        <f t="shared" si="246"/>
        <v>-0.20322418212890625</v>
      </c>
      <c r="H3946">
        <f t="shared" si="247"/>
        <v>-0.68000030517578125</v>
      </c>
    </row>
    <row r="3947" spans="1:8" x14ac:dyDescent="0.2">
      <c r="A3947" t="s">
        <v>14</v>
      </c>
      <c r="B3947" s="2">
        <v>45153</v>
      </c>
      <c r="C3947">
        <v>67.464820861816406</v>
      </c>
      <c r="D3947">
        <f>_xlfn.XLOOKUP(B3947, Oil_Price!A:A, Oil_Price!B:B, "")</f>
        <v>80.989997863769531</v>
      </c>
      <c r="E3947">
        <f t="shared" si="244"/>
        <v>-1.8279307742369105E-2</v>
      </c>
      <c r="F3947">
        <f t="shared" si="245"/>
        <v>-1.842206075757084E-2</v>
      </c>
      <c r="G3947">
        <f t="shared" si="246"/>
        <v>-1.2561721801757812</v>
      </c>
      <c r="H3947">
        <f t="shared" si="247"/>
        <v>-1.5200042724609375</v>
      </c>
    </row>
    <row r="3948" spans="1:8" x14ac:dyDescent="0.2">
      <c r="A3948" t="s">
        <v>14</v>
      </c>
      <c r="B3948" s="2">
        <v>45154</v>
      </c>
      <c r="C3948">
        <v>67.852760314941406</v>
      </c>
      <c r="D3948">
        <f>_xlfn.XLOOKUP(B3948, Oil_Price!A:A, Oil_Price!B:B, "")</f>
        <v>79.379997253417969</v>
      </c>
      <c r="E3948">
        <f t="shared" si="244"/>
        <v>5.7502480280736228E-3</v>
      </c>
      <c r="F3948">
        <f t="shared" si="245"/>
        <v>-1.987900546756019E-2</v>
      </c>
      <c r="G3948">
        <f t="shared" si="246"/>
        <v>0.387939453125</v>
      </c>
      <c r="H3948">
        <f t="shared" si="247"/>
        <v>-1.6100006103515625</v>
      </c>
    </row>
    <row r="3949" spans="1:8" x14ac:dyDescent="0.2">
      <c r="A3949" t="s">
        <v>14</v>
      </c>
      <c r="B3949" s="2">
        <v>45155</v>
      </c>
      <c r="C3949">
        <v>69.367568969726562</v>
      </c>
      <c r="D3949">
        <f>_xlfn.XLOOKUP(B3949, Oil_Price!A:A, Oil_Price!B:B, "")</f>
        <v>80.389999389648438</v>
      </c>
      <c r="E3949">
        <f t="shared" si="244"/>
        <v>2.2324937817623174E-2</v>
      </c>
      <c r="F3949">
        <f t="shared" si="245"/>
        <v>1.2723635313390991E-2</v>
      </c>
      <c r="G3949">
        <f t="shared" si="246"/>
        <v>1.5148086547851562</v>
      </c>
      <c r="H3949">
        <f t="shared" si="247"/>
        <v>1.0100021362304688</v>
      </c>
    </row>
    <row r="3950" spans="1:8" x14ac:dyDescent="0.2">
      <c r="A3950" t="s">
        <v>14</v>
      </c>
      <c r="B3950" s="2">
        <v>45156</v>
      </c>
      <c r="C3950">
        <v>70.309707641601562</v>
      </c>
      <c r="D3950">
        <f>_xlfn.XLOOKUP(B3950, Oil_Price!A:A, Oil_Price!B:B, "")</f>
        <v>81.25</v>
      </c>
      <c r="E3950">
        <f t="shared" si="244"/>
        <v>1.3581832055930471E-2</v>
      </c>
      <c r="F3950">
        <f t="shared" si="245"/>
        <v>1.0697855664647536E-2</v>
      </c>
      <c r="G3950">
        <f t="shared" si="246"/>
        <v>0.942138671875</v>
      </c>
      <c r="H3950">
        <f t="shared" si="247"/>
        <v>0.8600006103515625</v>
      </c>
    </row>
    <row r="3951" spans="1:8" x14ac:dyDescent="0.2">
      <c r="A3951" t="s">
        <v>14</v>
      </c>
      <c r="B3951" s="2">
        <v>45159</v>
      </c>
      <c r="C3951">
        <v>69.96795654296875</v>
      </c>
      <c r="D3951">
        <f>_xlfn.XLOOKUP(B3951, Oil_Price!A:A, Oil_Price!B:B, "")</f>
        <v>80.720001220703125</v>
      </c>
      <c r="E3951">
        <f t="shared" si="244"/>
        <v>-4.860653103193985E-3</v>
      </c>
      <c r="F3951">
        <f t="shared" si="245"/>
        <v>-6.5230618990384619E-3</v>
      </c>
      <c r="G3951">
        <f t="shared" si="246"/>
        <v>-0.3417510986328125</v>
      </c>
      <c r="H3951">
        <f t="shared" si="247"/>
        <v>-0.529998779296875</v>
      </c>
    </row>
    <row r="3952" spans="1:8" x14ac:dyDescent="0.2">
      <c r="A3952" t="s">
        <v>14</v>
      </c>
      <c r="B3952" s="2">
        <v>45160</v>
      </c>
      <c r="C3952">
        <v>69.570785522460938</v>
      </c>
      <c r="D3952">
        <f>_xlfn.XLOOKUP(B3952, Oil_Price!A:A, Oil_Price!B:B, "")</f>
        <v>80.349998474121094</v>
      </c>
      <c r="E3952">
        <f t="shared" si="244"/>
        <v>-5.6764702033837685E-3</v>
      </c>
      <c r="F3952">
        <f t="shared" si="245"/>
        <v>-4.583780240170917E-3</v>
      </c>
      <c r="G3952">
        <f t="shared" si="246"/>
        <v>-0.3971710205078125</v>
      </c>
      <c r="H3952">
        <f t="shared" si="247"/>
        <v>-0.37000274658203125</v>
      </c>
    </row>
    <row r="3953" spans="1:8" x14ac:dyDescent="0.2">
      <c r="A3953" t="s">
        <v>14</v>
      </c>
      <c r="B3953" s="2">
        <v>45161</v>
      </c>
      <c r="C3953">
        <v>69.229019165039062</v>
      </c>
      <c r="D3953">
        <f>_xlfn.XLOOKUP(B3953, Oil_Price!A:A, Oil_Price!B:B, "")</f>
        <v>78.889999389648438</v>
      </c>
      <c r="E3953">
        <f t="shared" si="244"/>
        <v>-4.9124981823230338E-3</v>
      </c>
      <c r="F3953">
        <f t="shared" si="245"/>
        <v>-1.8170492995626984E-2</v>
      </c>
      <c r="G3953">
        <f t="shared" si="246"/>
        <v>-0.341766357421875</v>
      </c>
      <c r="H3953">
        <f t="shared" si="247"/>
        <v>-1.4599990844726562</v>
      </c>
    </row>
    <row r="3954" spans="1:8" x14ac:dyDescent="0.2">
      <c r="A3954" t="s">
        <v>14</v>
      </c>
      <c r="B3954" s="2">
        <v>45162</v>
      </c>
      <c r="C3954">
        <v>68.628639221191406</v>
      </c>
      <c r="D3954">
        <f>_xlfn.XLOOKUP(B3954, Oil_Price!A:A, Oil_Price!B:B, "")</f>
        <v>79.050003051757812</v>
      </c>
      <c r="E3954">
        <f t="shared" si="244"/>
        <v>-8.6723739710420529E-3</v>
      </c>
      <c r="F3954">
        <f t="shared" si="245"/>
        <v>2.0281868848685768E-3</v>
      </c>
      <c r="G3954">
        <f t="shared" si="246"/>
        <v>-0.60037994384765625</v>
      </c>
      <c r="H3954">
        <f t="shared" si="247"/>
        <v>0.160003662109375</v>
      </c>
    </row>
    <row r="3955" spans="1:8" x14ac:dyDescent="0.2">
      <c r="A3955" t="s">
        <v>14</v>
      </c>
      <c r="B3955" s="2">
        <v>45163</v>
      </c>
      <c r="C3955">
        <v>69.302925109863281</v>
      </c>
      <c r="D3955">
        <f>_xlfn.XLOOKUP(B3955, Oil_Price!A:A, Oil_Price!B:B, "")</f>
        <v>79.830001831054688</v>
      </c>
      <c r="E3955">
        <f t="shared" si="244"/>
        <v>9.8251385474603225E-3</v>
      </c>
      <c r="F3955">
        <f t="shared" si="245"/>
        <v>9.8671568524313982E-3</v>
      </c>
      <c r="G3955">
        <f t="shared" si="246"/>
        <v>0.674285888671875</v>
      </c>
      <c r="H3955">
        <f t="shared" si="247"/>
        <v>0.779998779296875</v>
      </c>
    </row>
    <row r="3956" spans="1:8" x14ac:dyDescent="0.2">
      <c r="A3956" t="s">
        <v>14</v>
      </c>
      <c r="B3956" s="2">
        <v>45166</v>
      </c>
      <c r="C3956">
        <v>69.99566650390625</v>
      </c>
      <c r="D3956">
        <f>_xlfn.XLOOKUP(B3956, Oil_Price!A:A, Oil_Price!B:B, "")</f>
        <v>80.099998474121094</v>
      </c>
      <c r="E3956">
        <f t="shared" si="244"/>
        <v>9.9958463938541169E-3</v>
      </c>
      <c r="F3956">
        <f t="shared" si="245"/>
        <v>3.3821450190844767E-3</v>
      </c>
      <c r="G3956">
        <f t="shared" si="246"/>
        <v>0.69274139404296875</v>
      </c>
      <c r="H3956">
        <f t="shared" si="247"/>
        <v>0.26999664306640625</v>
      </c>
    </row>
    <row r="3957" spans="1:8" x14ac:dyDescent="0.2">
      <c r="A3957" t="s">
        <v>14</v>
      </c>
      <c r="B3957" s="2">
        <v>45167</v>
      </c>
      <c r="C3957">
        <v>70.77154541015625</v>
      </c>
      <c r="D3957">
        <f>_xlfn.XLOOKUP(B3957, Oil_Price!A:A, Oil_Price!B:B, "")</f>
        <v>81.160003662109375</v>
      </c>
      <c r="E3957">
        <f t="shared" si="244"/>
        <v>1.1084670594667464E-2</v>
      </c>
      <c r="F3957">
        <f t="shared" si="245"/>
        <v>1.3233523198265108E-2</v>
      </c>
      <c r="G3957">
        <f t="shared" si="246"/>
        <v>0.77587890625</v>
      </c>
      <c r="H3957">
        <f t="shared" si="247"/>
        <v>1.0600051879882812</v>
      </c>
    </row>
    <row r="3958" spans="1:8" x14ac:dyDescent="0.2">
      <c r="A3958" t="s">
        <v>14</v>
      </c>
      <c r="B3958" s="2">
        <v>45168</v>
      </c>
      <c r="C3958">
        <v>71.344230651855469</v>
      </c>
      <c r="D3958">
        <f>_xlfn.XLOOKUP(B3958, Oil_Price!A:A, Oil_Price!B:B, "")</f>
        <v>81.629997253417969</v>
      </c>
      <c r="E3958">
        <f t="shared" si="244"/>
        <v>8.0920267938226209E-3</v>
      </c>
      <c r="F3958">
        <f t="shared" si="245"/>
        <v>5.7909508391017547E-3</v>
      </c>
      <c r="G3958">
        <f t="shared" si="246"/>
        <v>0.57268524169921875</v>
      </c>
      <c r="H3958">
        <f t="shared" si="247"/>
        <v>0.46999359130859375</v>
      </c>
    </row>
    <row r="3959" spans="1:8" x14ac:dyDescent="0.2">
      <c r="A3959" t="s">
        <v>14</v>
      </c>
      <c r="B3959" s="2">
        <v>45169</v>
      </c>
      <c r="C3959">
        <v>71.334938049316406</v>
      </c>
      <c r="D3959">
        <f>_xlfn.XLOOKUP(B3959, Oil_Price!A:A, Oil_Price!B:B, "")</f>
        <v>83.629997253417969</v>
      </c>
      <c r="E3959">
        <f t="shared" si="244"/>
        <v>-1.3025023122624176E-4</v>
      </c>
      <c r="F3959">
        <f t="shared" si="245"/>
        <v>2.4500797100250511E-2</v>
      </c>
      <c r="G3959">
        <f t="shared" si="246"/>
        <v>-9.2926025390625E-3</v>
      </c>
      <c r="H3959">
        <f t="shared" si="247"/>
        <v>2</v>
      </c>
    </row>
    <row r="3960" spans="1:8" x14ac:dyDescent="0.2">
      <c r="A3960" t="s">
        <v>14</v>
      </c>
      <c r="B3960" s="2">
        <v>45170</v>
      </c>
      <c r="C3960">
        <v>73.2686767578125</v>
      </c>
      <c r="D3960">
        <f>_xlfn.XLOOKUP(B3960, Oil_Price!A:A, Oil_Price!B:B, "")</f>
        <v>85.550003051757812</v>
      </c>
      <c r="E3960">
        <f t="shared" si="244"/>
        <v>2.7107876748406659E-2</v>
      </c>
      <c r="F3960">
        <f t="shared" si="245"/>
        <v>2.2958338651163507E-2</v>
      </c>
      <c r="G3960">
        <f t="shared" si="246"/>
        <v>1.9337387084960938</v>
      </c>
      <c r="H3960">
        <f t="shared" si="247"/>
        <v>1.9200057983398438</v>
      </c>
    </row>
    <row r="3961" spans="1:8" x14ac:dyDescent="0.2">
      <c r="A3961" t="s">
        <v>14</v>
      </c>
      <c r="B3961" s="2">
        <v>45174</v>
      </c>
      <c r="C3961">
        <v>73.250083923339844</v>
      </c>
      <c r="D3961">
        <f>_xlfn.XLOOKUP(B3961, Oil_Price!A:A, Oil_Price!B:B, "")</f>
        <v>86.69000244140625</v>
      </c>
      <c r="E3961">
        <f t="shared" si="244"/>
        <v>-2.5376238926921429E-4</v>
      </c>
      <c r="F3961">
        <f t="shared" si="245"/>
        <v>1.3325533009726919E-2</v>
      </c>
      <c r="G3961">
        <f t="shared" si="246"/>
        <v>-1.859283447265625E-2</v>
      </c>
      <c r="H3961">
        <f t="shared" si="247"/>
        <v>1.1399993896484375</v>
      </c>
    </row>
    <row r="3962" spans="1:8" x14ac:dyDescent="0.2">
      <c r="A3962" t="s">
        <v>14</v>
      </c>
      <c r="B3962" s="2">
        <v>45175</v>
      </c>
      <c r="C3962">
        <v>73.594062805175781</v>
      </c>
      <c r="D3962">
        <f>_xlfn.XLOOKUP(B3962, Oil_Price!A:A, Oil_Price!B:B, "")</f>
        <v>87.540000915527344</v>
      </c>
      <c r="E3962">
        <f t="shared" si="244"/>
        <v>4.6959520510028345E-3</v>
      </c>
      <c r="F3962">
        <f t="shared" si="245"/>
        <v>9.8050346081788101E-3</v>
      </c>
      <c r="G3962">
        <f t="shared" si="246"/>
        <v>0.3439788818359375</v>
      </c>
      <c r="H3962">
        <f t="shared" si="247"/>
        <v>0.84999847412109375</v>
      </c>
    </row>
    <row r="3963" spans="1:8" x14ac:dyDescent="0.2">
      <c r="A3963" t="s">
        <v>14</v>
      </c>
      <c r="B3963" s="2">
        <v>45176</v>
      </c>
      <c r="C3963">
        <v>73.175697326660156</v>
      </c>
      <c r="D3963">
        <f>_xlfn.XLOOKUP(B3963, Oil_Price!A:A, Oil_Price!B:B, "")</f>
        <v>86.870002746582031</v>
      </c>
      <c r="E3963">
        <f t="shared" si="244"/>
        <v>-5.6847721483070761E-3</v>
      </c>
      <c r="F3963">
        <f t="shared" si="245"/>
        <v>-7.6536230516131062E-3</v>
      </c>
      <c r="G3963">
        <f t="shared" si="246"/>
        <v>-0.418365478515625</v>
      </c>
      <c r="H3963">
        <f t="shared" si="247"/>
        <v>-0.6699981689453125</v>
      </c>
    </row>
    <row r="3964" spans="1:8" x14ac:dyDescent="0.2">
      <c r="A3964" t="s">
        <v>14</v>
      </c>
      <c r="B3964" s="2">
        <v>45177</v>
      </c>
      <c r="C3964">
        <v>73.454627990722656</v>
      </c>
      <c r="D3964">
        <f>_xlfn.XLOOKUP(B3964, Oil_Price!A:A, Oil_Price!B:B, "")</f>
        <v>87.510002136230469</v>
      </c>
      <c r="E3964">
        <f t="shared" si="244"/>
        <v>3.8117937273264217E-3</v>
      </c>
      <c r="F3964">
        <f t="shared" si="245"/>
        <v>7.367323234873718E-3</v>
      </c>
      <c r="G3964">
        <f t="shared" si="246"/>
        <v>0.2789306640625</v>
      </c>
      <c r="H3964">
        <f t="shared" si="247"/>
        <v>0.6399993896484375</v>
      </c>
    </row>
    <row r="3965" spans="1:8" x14ac:dyDescent="0.2">
      <c r="A3965" t="s">
        <v>14</v>
      </c>
      <c r="B3965" s="2">
        <v>45180</v>
      </c>
      <c r="C3965">
        <v>72.692268371582031</v>
      </c>
      <c r="D3965">
        <f>_xlfn.XLOOKUP(B3965, Oil_Price!A:A, Oil_Price!B:B, "")</f>
        <v>87.290000915527344</v>
      </c>
      <c r="E3965">
        <f t="shared" si="244"/>
        <v>-1.0378646519548248E-2</v>
      </c>
      <c r="F3965">
        <f t="shared" si="245"/>
        <v>-2.5140122881112483E-3</v>
      </c>
      <c r="G3965">
        <f t="shared" si="246"/>
        <v>-0.762359619140625</v>
      </c>
      <c r="H3965">
        <f t="shared" si="247"/>
        <v>-0.220001220703125</v>
      </c>
    </row>
    <row r="3966" spans="1:8" x14ac:dyDescent="0.2">
      <c r="A3966" t="s">
        <v>14</v>
      </c>
      <c r="B3966" s="2">
        <v>45181</v>
      </c>
      <c r="C3966">
        <v>73.780006408691406</v>
      </c>
      <c r="D3966">
        <f>_xlfn.XLOOKUP(B3966, Oil_Price!A:A, Oil_Price!B:B, "")</f>
        <v>88.839996337890625</v>
      </c>
      <c r="E3966">
        <f t="shared" si="244"/>
        <v>1.4963600139001993E-2</v>
      </c>
      <c r="F3966">
        <f t="shared" si="245"/>
        <v>1.7756849651808911E-2</v>
      </c>
      <c r="G3966">
        <f t="shared" si="246"/>
        <v>1.087738037109375</v>
      </c>
      <c r="H3966">
        <f t="shared" si="247"/>
        <v>1.5499954223632812</v>
      </c>
    </row>
    <row r="3967" spans="1:8" x14ac:dyDescent="0.2">
      <c r="A3967" t="s">
        <v>14</v>
      </c>
      <c r="B3967" s="2">
        <v>45182</v>
      </c>
      <c r="C3967">
        <v>73.175697326660156</v>
      </c>
      <c r="D3967">
        <f>_xlfn.XLOOKUP(B3967, Oil_Price!A:A, Oil_Price!B:B, "")</f>
        <v>88.519996643066406</v>
      </c>
      <c r="E3967">
        <f t="shared" si="244"/>
        <v>-8.1906889338526998E-3</v>
      </c>
      <c r="F3967">
        <f t="shared" si="245"/>
        <v>-3.6019778029610021E-3</v>
      </c>
      <c r="G3967">
        <f t="shared" si="246"/>
        <v>-0.60430908203125</v>
      </c>
      <c r="H3967">
        <f t="shared" si="247"/>
        <v>-0.31999969482421875</v>
      </c>
    </row>
    <row r="3968" spans="1:8" x14ac:dyDescent="0.2">
      <c r="A3968" t="s">
        <v>14</v>
      </c>
      <c r="B3968" s="2">
        <v>45183</v>
      </c>
      <c r="C3968">
        <v>75.10015869140625</v>
      </c>
      <c r="D3968">
        <f>_xlfn.XLOOKUP(B3968, Oil_Price!A:A, Oil_Price!B:B, "")</f>
        <v>90.160003662109375</v>
      </c>
      <c r="E3968">
        <f t="shared" si="244"/>
        <v>2.6299187230908058E-2</v>
      </c>
      <c r="F3968">
        <f t="shared" si="245"/>
        <v>1.8526966575200692E-2</v>
      </c>
      <c r="G3968">
        <f t="shared" si="246"/>
        <v>1.9244613647460938</v>
      </c>
      <c r="H3968">
        <f t="shared" si="247"/>
        <v>1.6400070190429688</v>
      </c>
    </row>
    <row r="3969" spans="1:8" x14ac:dyDescent="0.2">
      <c r="A3969" t="s">
        <v>14</v>
      </c>
      <c r="B3969" s="2">
        <v>45184</v>
      </c>
      <c r="C3969">
        <v>74.402885437011719</v>
      </c>
      <c r="D3969">
        <f>_xlfn.XLOOKUP(B3969, Oil_Price!A:A, Oil_Price!B:B, "")</f>
        <v>90.769996643066406</v>
      </c>
      <c r="E3969">
        <f t="shared" si="244"/>
        <v>-9.2845776433002469E-3</v>
      </c>
      <c r="F3969">
        <f t="shared" si="245"/>
        <v>6.7656716524001955E-3</v>
      </c>
      <c r="G3969">
        <f t="shared" si="246"/>
        <v>-0.69727325439453125</v>
      </c>
      <c r="H3969">
        <f t="shared" si="247"/>
        <v>0.60999298095703125</v>
      </c>
    </row>
    <row r="3970" spans="1:8" x14ac:dyDescent="0.2">
      <c r="A3970" t="s">
        <v>14</v>
      </c>
      <c r="B3970" s="2">
        <v>45187</v>
      </c>
      <c r="C3970">
        <v>73.696334838867188</v>
      </c>
      <c r="D3970">
        <f>_xlfn.XLOOKUP(B3970, Oil_Price!A:A, Oil_Price!B:B, "")</f>
        <v>91.480003356933594</v>
      </c>
      <c r="E3970">
        <f t="shared" si="244"/>
        <v>-9.496279532635675E-3</v>
      </c>
      <c r="F3970">
        <f t="shared" si="245"/>
        <v>7.8220418654320004E-3</v>
      </c>
      <c r="G3970">
        <f t="shared" si="246"/>
        <v>-0.70655059814453125</v>
      </c>
      <c r="H3970">
        <f t="shared" si="247"/>
        <v>0.7100067138671875</v>
      </c>
    </row>
    <row r="3971" spans="1:8" x14ac:dyDescent="0.2">
      <c r="A3971" t="s">
        <v>14</v>
      </c>
      <c r="B3971" s="2">
        <v>45188</v>
      </c>
      <c r="C3971">
        <v>73.101325988769531</v>
      </c>
      <c r="D3971">
        <f>_xlfn.XLOOKUP(B3971, Oil_Price!A:A, Oil_Price!B:B, "")</f>
        <v>91.199996948242188</v>
      </c>
      <c r="E3971">
        <f t="shared" ref="E3971:E4034" si="248">IFERROR(IF(AND(A3971=A3970, C3971&lt;&gt;"", C3970&lt;&gt;""), (C3971-C3970)/C3970, ""), "")</f>
        <v>-8.0737916125491038E-3</v>
      </c>
      <c r="F3971">
        <f t="shared" ref="F3971:F4034" si="249">IFERROR(IF(AND(A3971=A3970, D3971&lt;&gt;"", D3970&lt;&gt;""), (D3971-D3970)/D3970, ""), "")</f>
        <v>-3.0608482555350013E-3</v>
      </c>
      <c r="G3971">
        <f t="shared" ref="G3971:G4034" si="250">IFERROR(IF(AND(A3971=A3970, C3971&lt;&gt;"", C3970&lt;&gt;""), C3971-C3970, ""), "")</f>
        <v>-0.59500885009765625</v>
      </c>
      <c r="H3971">
        <f t="shared" ref="H3971:H4034" si="251">IFERROR(IF(AND(A3971=A3970, D3971&lt;&gt;"", D3970&lt;&gt;""), D3971-D3970, ""), "")</f>
        <v>-0.28000640869140625</v>
      </c>
    </row>
    <row r="3972" spans="1:8" x14ac:dyDescent="0.2">
      <c r="A3972" t="s">
        <v>14</v>
      </c>
      <c r="B3972" s="2">
        <v>45189</v>
      </c>
      <c r="C3972">
        <v>72.757354736328125</v>
      </c>
      <c r="D3972">
        <f>_xlfn.XLOOKUP(B3972, Oil_Price!A:A, Oil_Price!B:B, "")</f>
        <v>90.279998779296875</v>
      </c>
      <c r="E3972">
        <f t="shared" si="248"/>
        <v>-4.7054037363734027E-3</v>
      </c>
      <c r="F3972">
        <f t="shared" si="249"/>
        <v>-1.0087699558448777E-2</v>
      </c>
      <c r="G3972">
        <f t="shared" si="250"/>
        <v>-0.34397125244140625</v>
      </c>
      <c r="H3972">
        <f t="shared" si="251"/>
        <v>-0.9199981689453125</v>
      </c>
    </row>
    <row r="3973" spans="1:8" x14ac:dyDescent="0.2">
      <c r="A3973" t="s">
        <v>14</v>
      </c>
      <c r="B3973" s="2">
        <v>45190</v>
      </c>
      <c r="C3973">
        <v>72.36688232421875</v>
      </c>
      <c r="D3973">
        <f>_xlfn.XLOOKUP(B3973, Oil_Price!A:A, Oil_Price!B:B, "")</f>
        <v>89.629997253417969</v>
      </c>
      <c r="E3973">
        <f t="shared" si="248"/>
        <v>-5.366775819770288E-3</v>
      </c>
      <c r="F3973">
        <f t="shared" si="249"/>
        <v>-7.1998397725717006E-3</v>
      </c>
      <c r="G3973">
        <f t="shared" si="250"/>
        <v>-0.390472412109375</v>
      </c>
      <c r="H3973">
        <f t="shared" si="251"/>
        <v>-0.65000152587890625</v>
      </c>
    </row>
    <row r="3974" spans="1:8" x14ac:dyDescent="0.2">
      <c r="A3974" t="s">
        <v>14</v>
      </c>
      <c r="B3974" s="2">
        <v>45191</v>
      </c>
      <c r="C3974">
        <v>73.231491088867188</v>
      </c>
      <c r="D3974">
        <f>_xlfn.XLOOKUP(B3974, Oil_Price!A:A, Oil_Price!B:B, "")</f>
        <v>90.029998779296875</v>
      </c>
      <c r="E3974">
        <f t="shared" si="248"/>
        <v>1.1947575145973674E-2</v>
      </c>
      <c r="F3974">
        <f t="shared" si="249"/>
        <v>4.4628086370230536E-3</v>
      </c>
      <c r="G3974">
        <f t="shared" si="250"/>
        <v>0.8646087646484375</v>
      </c>
      <c r="H3974">
        <f t="shared" si="251"/>
        <v>0.40000152587890625</v>
      </c>
    </row>
    <row r="3975" spans="1:8" x14ac:dyDescent="0.2">
      <c r="A3975" t="s">
        <v>14</v>
      </c>
      <c r="B3975" s="2">
        <v>45194</v>
      </c>
      <c r="C3975">
        <v>75.444145202636719</v>
      </c>
      <c r="D3975">
        <f>_xlfn.XLOOKUP(B3975, Oil_Price!A:A, Oil_Price!B:B, "")</f>
        <v>89.680000305175781</v>
      </c>
      <c r="E3975">
        <f t="shared" si="248"/>
        <v>3.021451674504964E-2</v>
      </c>
      <c r="F3975">
        <f t="shared" si="249"/>
        <v>-3.8875761286978794E-3</v>
      </c>
      <c r="G3975">
        <f t="shared" si="250"/>
        <v>2.2126541137695312</v>
      </c>
      <c r="H3975">
        <f t="shared" si="251"/>
        <v>-0.34999847412109375</v>
      </c>
    </row>
    <row r="3976" spans="1:8" x14ac:dyDescent="0.2">
      <c r="A3976" t="s">
        <v>14</v>
      </c>
      <c r="B3976" s="2">
        <v>45195</v>
      </c>
      <c r="C3976">
        <v>75.890388488769531</v>
      </c>
      <c r="D3976">
        <f>_xlfn.XLOOKUP(B3976, Oil_Price!A:A, Oil_Price!B:B, "")</f>
        <v>90.389999389648438</v>
      </c>
      <c r="E3976">
        <f t="shared" si="248"/>
        <v>5.9148829234427673E-3</v>
      </c>
      <c r="F3976">
        <f t="shared" si="249"/>
        <v>7.9170281228431207E-3</v>
      </c>
      <c r="G3976">
        <f t="shared" si="250"/>
        <v>0.4462432861328125</v>
      </c>
      <c r="H3976">
        <f t="shared" si="251"/>
        <v>0.70999908447265625</v>
      </c>
    </row>
    <row r="3977" spans="1:8" x14ac:dyDescent="0.2">
      <c r="A3977" t="s">
        <v>14</v>
      </c>
      <c r="B3977" s="2">
        <v>45196</v>
      </c>
      <c r="C3977">
        <v>78.409858703613281</v>
      </c>
      <c r="D3977">
        <f>_xlfn.XLOOKUP(B3977, Oil_Price!A:A, Oil_Price!B:B, "")</f>
        <v>93.680000305175781</v>
      </c>
      <c r="E3977">
        <f t="shared" si="248"/>
        <v>3.3198805079467847E-2</v>
      </c>
      <c r="F3977">
        <f t="shared" si="249"/>
        <v>3.6397841992950805E-2</v>
      </c>
      <c r="G3977">
        <f t="shared" si="250"/>
        <v>2.51947021484375</v>
      </c>
      <c r="H3977">
        <f t="shared" si="251"/>
        <v>3.2900009155273438</v>
      </c>
    </row>
    <row r="3978" spans="1:8" x14ac:dyDescent="0.2">
      <c r="A3978" t="s">
        <v>14</v>
      </c>
      <c r="B3978" s="2">
        <v>45197</v>
      </c>
      <c r="C3978">
        <v>78.075172424316406</v>
      </c>
      <c r="D3978">
        <f>_xlfn.XLOOKUP(B3978, Oil_Price!A:A, Oil_Price!B:B, "")</f>
        <v>91.709999084472656</v>
      </c>
      <c r="E3978">
        <f t="shared" si="248"/>
        <v>-4.2684208954128873E-3</v>
      </c>
      <c r="F3978">
        <f t="shared" si="249"/>
        <v>-2.1029047974867304E-2</v>
      </c>
      <c r="G3978">
        <f t="shared" si="250"/>
        <v>-0.334686279296875</v>
      </c>
      <c r="H3978">
        <f t="shared" si="251"/>
        <v>-1.970001220703125</v>
      </c>
    </row>
    <row r="3979" spans="1:8" x14ac:dyDescent="0.2">
      <c r="A3979" t="s">
        <v>14</v>
      </c>
      <c r="B3979" s="2">
        <v>45198</v>
      </c>
      <c r="C3979">
        <v>77.777671813964844</v>
      </c>
      <c r="D3979">
        <f>_xlfn.XLOOKUP(B3979, Oil_Price!A:A, Oil_Price!B:B, "")</f>
        <v>90.790000915527344</v>
      </c>
      <c r="E3979">
        <f t="shared" si="248"/>
        <v>-3.8104380831172693E-3</v>
      </c>
      <c r="F3979">
        <f t="shared" si="249"/>
        <v>-1.0031601549771214E-2</v>
      </c>
      <c r="G3979">
        <f t="shared" si="250"/>
        <v>-0.2975006103515625</v>
      </c>
      <c r="H3979">
        <f t="shared" si="251"/>
        <v>-0.9199981689453125</v>
      </c>
    </row>
    <row r="3980" spans="1:8" x14ac:dyDescent="0.2">
      <c r="A3980" t="s">
        <v>14</v>
      </c>
      <c r="B3980" s="2">
        <v>45201</v>
      </c>
      <c r="C3980">
        <v>76.141410827636719</v>
      </c>
      <c r="D3980">
        <f>_xlfn.XLOOKUP(B3980, Oil_Price!A:A, Oil_Price!B:B, "")</f>
        <v>88.819999694824219</v>
      </c>
      <c r="E3980">
        <f t="shared" si="248"/>
        <v>-2.1037669914340855E-2</v>
      </c>
      <c r="F3980">
        <f t="shared" si="249"/>
        <v>-2.1698438163207528E-2</v>
      </c>
      <c r="G3980">
        <f t="shared" si="250"/>
        <v>-1.636260986328125</v>
      </c>
      <c r="H3980">
        <f t="shared" si="251"/>
        <v>-1.970001220703125</v>
      </c>
    </row>
    <row r="3981" spans="1:8" x14ac:dyDescent="0.2">
      <c r="A3981" t="s">
        <v>14</v>
      </c>
      <c r="B3981" s="2">
        <v>45202</v>
      </c>
      <c r="C3981">
        <v>76.029838562011719</v>
      </c>
      <c r="D3981">
        <f>_xlfn.XLOOKUP(B3981, Oil_Price!A:A, Oil_Price!B:B, "")</f>
        <v>89.230003356933594</v>
      </c>
      <c r="E3981">
        <f t="shared" si="248"/>
        <v>-1.4653296335363291E-3</v>
      </c>
      <c r="F3981">
        <f t="shared" si="249"/>
        <v>4.6161187065762513E-3</v>
      </c>
      <c r="G3981">
        <f t="shared" si="250"/>
        <v>-0.111572265625</v>
      </c>
      <c r="H3981">
        <f t="shared" si="251"/>
        <v>0.410003662109375</v>
      </c>
    </row>
    <row r="3982" spans="1:8" x14ac:dyDescent="0.2">
      <c r="A3982" t="s">
        <v>14</v>
      </c>
      <c r="B3982" s="2">
        <v>45203</v>
      </c>
      <c r="C3982">
        <v>73.082733154296875</v>
      </c>
      <c r="D3982">
        <f>_xlfn.XLOOKUP(B3982, Oil_Price!A:A, Oil_Price!B:B, "")</f>
        <v>84.220001220703125</v>
      </c>
      <c r="E3982">
        <f t="shared" si="248"/>
        <v>-3.8762484091178433E-2</v>
      </c>
      <c r="F3982">
        <f t="shared" si="249"/>
        <v>-5.6147057578712599E-2</v>
      </c>
      <c r="G3982">
        <f t="shared" si="250"/>
        <v>-2.9471054077148438</v>
      </c>
      <c r="H3982">
        <f t="shared" si="251"/>
        <v>-5.0100021362304688</v>
      </c>
    </row>
    <row r="3983" spans="1:8" x14ac:dyDescent="0.2">
      <c r="A3983" t="s">
        <v>14</v>
      </c>
      <c r="B3983" s="2">
        <v>45204</v>
      </c>
      <c r="C3983">
        <v>72.301788330078125</v>
      </c>
      <c r="D3983">
        <f>_xlfn.XLOOKUP(B3983, Oil_Price!A:A, Oil_Price!B:B, "")</f>
        <v>82.30999755859375</v>
      </c>
      <c r="E3983">
        <f t="shared" si="248"/>
        <v>-1.0685763798269148E-2</v>
      </c>
      <c r="F3983">
        <f t="shared" si="249"/>
        <v>-2.2678741800348658E-2</v>
      </c>
      <c r="G3983">
        <f t="shared" si="250"/>
        <v>-0.78094482421875</v>
      </c>
      <c r="H3983">
        <f t="shared" si="251"/>
        <v>-1.910003662109375</v>
      </c>
    </row>
    <row r="3984" spans="1:8" x14ac:dyDescent="0.2">
      <c r="A3984" t="s">
        <v>14</v>
      </c>
      <c r="B3984" s="2">
        <v>45205</v>
      </c>
      <c r="C3984">
        <v>72.831718444824219</v>
      </c>
      <c r="D3984">
        <f>_xlfn.XLOOKUP(B3984, Oil_Price!A:A, Oil_Price!B:B, "")</f>
        <v>82.790000915527344</v>
      </c>
      <c r="E3984">
        <f t="shared" si="248"/>
        <v>7.3294191884551016E-3</v>
      </c>
      <c r="F3984">
        <f t="shared" si="249"/>
        <v>5.8316531547931991E-3</v>
      </c>
      <c r="G3984">
        <f t="shared" si="250"/>
        <v>0.52993011474609375</v>
      </c>
      <c r="H3984">
        <f t="shared" si="251"/>
        <v>0.48000335693359375</v>
      </c>
    </row>
    <row r="3985" spans="1:8" x14ac:dyDescent="0.2">
      <c r="A3985" t="s">
        <v>14</v>
      </c>
      <c r="B3985" s="2">
        <v>45209</v>
      </c>
      <c r="C3985">
        <v>76.178596496582031</v>
      </c>
      <c r="D3985">
        <f>_xlfn.XLOOKUP(B3985, Oil_Price!A:A, Oil_Price!B:B, "")</f>
        <v>85.970001220703125</v>
      </c>
      <c r="E3985">
        <f t="shared" si="248"/>
        <v>4.5953577963333887E-2</v>
      </c>
      <c r="F3985">
        <f t="shared" si="249"/>
        <v>3.8410439304384272E-2</v>
      </c>
      <c r="G3985">
        <f t="shared" si="250"/>
        <v>3.3468780517578125</v>
      </c>
      <c r="H3985">
        <f t="shared" si="251"/>
        <v>3.1800003051757812</v>
      </c>
    </row>
    <row r="3986" spans="1:8" x14ac:dyDescent="0.2">
      <c r="A3986" t="s">
        <v>14</v>
      </c>
      <c r="B3986" s="2">
        <v>45210</v>
      </c>
      <c r="C3986">
        <v>76.187889099121094</v>
      </c>
      <c r="D3986">
        <f>_xlfn.XLOOKUP(B3986, Oil_Price!A:A, Oil_Price!B:B, "")</f>
        <v>83.489997863769531</v>
      </c>
      <c r="E3986">
        <f t="shared" si="248"/>
        <v>1.2198442825708189E-4</v>
      </c>
      <c r="F3986">
        <f t="shared" si="249"/>
        <v>-2.884731094241702E-2</v>
      </c>
      <c r="G3986">
        <f t="shared" si="250"/>
        <v>9.2926025390625E-3</v>
      </c>
      <c r="H3986">
        <f t="shared" si="251"/>
        <v>-2.4800033569335938</v>
      </c>
    </row>
    <row r="3987" spans="1:8" x14ac:dyDescent="0.2">
      <c r="A3987" t="s">
        <v>14</v>
      </c>
      <c r="B3987" s="2">
        <v>45211</v>
      </c>
      <c r="C3987">
        <v>77.275619506835938</v>
      </c>
      <c r="D3987">
        <f>_xlfn.XLOOKUP(B3987, Oil_Price!A:A, Oil_Price!B:B, "")</f>
        <v>82.910003662109375</v>
      </c>
      <c r="E3987">
        <f t="shared" si="248"/>
        <v>1.4276946383167241E-2</v>
      </c>
      <c r="F3987">
        <f t="shared" si="249"/>
        <v>-6.9468704814980549E-3</v>
      </c>
      <c r="G3987">
        <f t="shared" si="250"/>
        <v>1.0877304077148438</v>
      </c>
      <c r="H3987">
        <f t="shared" si="251"/>
        <v>-0.57999420166015625</v>
      </c>
    </row>
    <row r="3988" spans="1:8" x14ac:dyDescent="0.2">
      <c r="A3988" t="s">
        <v>14</v>
      </c>
      <c r="B3988" s="2">
        <v>45212</v>
      </c>
      <c r="C3988">
        <v>77.154762268066406</v>
      </c>
      <c r="D3988">
        <f>_xlfn.XLOOKUP(B3988, Oil_Price!A:A, Oil_Price!B:B, "")</f>
        <v>87.69000244140625</v>
      </c>
      <c r="E3988">
        <f t="shared" si="248"/>
        <v>-1.5639763167326016E-3</v>
      </c>
      <c r="F3988">
        <f t="shared" si="249"/>
        <v>5.7652859343454328E-2</v>
      </c>
      <c r="G3988">
        <f t="shared" si="250"/>
        <v>-0.12085723876953125</v>
      </c>
      <c r="H3988">
        <f t="shared" si="251"/>
        <v>4.779998779296875</v>
      </c>
    </row>
    <row r="3989" spans="1:8" x14ac:dyDescent="0.2">
      <c r="A3989" t="s">
        <v>14</v>
      </c>
      <c r="B3989" s="2">
        <v>45215</v>
      </c>
      <c r="C3989">
        <v>77.238449096679688</v>
      </c>
      <c r="D3989">
        <f>_xlfn.XLOOKUP(B3989, Oil_Price!A:A, Oil_Price!B:B, "")</f>
        <v>86.660003662109375</v>
      </c>
      <c r="E3989">
        <f t="shared" si="248"/>
        <v>1.084661868602742E-3</v>
      </c>
      <c r="F3989">
        <f t="shared" si="249"/>
        <v>-1.1745908890641346E-2</v>
      </c>
      <c r="G3989">
        <f t="shared" si="250"/>
        <v>8.368682861328125E-2</v>
      </c>
      <c r="H3989">
        <f t="shared" si="251"/>
        <v>-1.029998779296875</v>
      </c>
    </row>
    <row r="3990" spans="1:8" x14ac:dyDescent="0.2">
      <c r="A3990" t="s">
        <v>14</v>
      </c>
      <c r="B3990" s="2">
        <v>45216</v>
      </c>
      <c r="C3990">
        <v>77.470863342285156</v>
      </c>
      <c r="D3990">
        <f>_xlfn.XLOOKUP(B3990, Oil_Price!A:A, Oil_Price!B:B, "")</f>
        <v>86.660003662109375</v>
      </c>
      <c r="E3990">
        <f t="shared" si="248"/>
        <v>3.0090485803845554E-3</v>
      </c>
      <c r="F3990">
        <f t="shared" si="249"/>
        <v>0</v>
      </c>
      <c r="G3990">
        <f t="shared" si="250"/>
        <v>0.23241424560546875</v>
      </c>
      <c r="H3990">
        <f t="shared" si="251"/>
        <v>0</v>
      </c>
    </row>
    <row r="3991" spans="1:8" x14ac:dyDescent="0.2">
      <c r="A3991" t="s">
        <v>14</v>
      </c>
      <c r="B3991" s="2">
        <v>45217</v>
      </c>
      <c r="C3991">
        <v>77.759063720703125</v>
      </c>
      <c r="D3991">
        <f>_xlfn.XLOOKUP(B3991, Oil_Price!A:A, Oil_Price!B:B, "")</f>
        <v>88.319999694824219</v>
      </c>
      <c r="E3991">
        <f t="shared" si="248"/>
        <v>3.7201131623463292E-3</v>
      </c>
      <c r="F3991">
        <f t="shared" si="249"/>
        <v>1.9155273050613188E-2</v>
      </c>
      <c r="G3991">
        <f t="shared" si="250"/>
        <v>0.28820037841796875</v>
      </c>
      <c r="H3991">
        <f t="shared" si="251"/>
        <v>1.6599960327148438</v>
      </c>
    </row>
    <row r="3992" spans="1:8" x14ac:dyDescent="0.2">
      <c r="A3992" t="s">
        <v>14</v>
      </c>
      <c r="B3992" s="2">
        <v>45218</v>
      </c>
      <c r="C3992">
        <v>77.703292846679688</v>
      </c>
      <c r="D3992">
        <f>_xlfn.XLOOKUP(B3992, Oil_Price!A:A, Oil_Price!B:B, "")</f>
        <v>89.370002746582031</v>
      </c>
      <c r="E3992">
        <f t="shared" si="248"/>
        <v>-7.1722666599686265E-4</v>
      </c>
      <c r="F3992">
        <f t="shared" si="249"/>
        <v>1.188862155101825E-2</v>
      </c>
      <c r="G3992">
        <f t="shared" si="250"/>
        <v>-5.57708740234375E-2</v>
      </c>
      <c r="H3992">
        <f t="shared" si="251"/>
        <v>1.0500030517578125</v>
      </c>
    </row>
    <row r="3993" spans="1:8" x14ac:dyDescent="0.2">
      <c r="A3993" t="s">
        <v>14</v>
      </c>
      <c r="B3993" s="2">
        <v>45219</v>
      </c>
      <c r="C3993">
        <v>76.262260437011719</v>
      </c>
      <c r="D3993">
        <f>_xlfn.XLOOKUP(B3993, Oil_Price!A:A, Oil_Price!B:B, "")</f>
        <v>88.75</v>
      </c>
      <c r="E3993">
        <f t="shared" si="248"/>
        <v>-1.8545319726814447E-2</v>
      </c>
      <c r="F3993">
        <f t="shared" si="249"/>
        <v>-6.9374815657118616E-3</v>
      </c>
      <c r="G3993">
        <f t="shared" si="250"/>
        <v>-1.4410324096679688</v>
      </c>
      <c r="H3993">
        <f t="shared" si="251"/>
        <v>-0.62000274658203125</v>
      </c>
    </row>
    <row r="3994" spans="1:8" x14ac:dyDescent="0.2">
      <c r="A3994" t="s">
        <v>14</v>
      </c>
      <c r="B3994" s="2">
        <v>45222</v>
      </c>
      <c r="C3994">
        <v>74.737594604492188</v>
      </c>
      <c r="D3994">
        <f>_xlfn.XLOOKUP(B3994, Oil_Price!A:A, Oil_Price!B:B, "")</f>
        <v>85.489997863769531</v>
      </c>
      <c r="E3994">
        <f t="shared" si="248"/>
        <v>-1.9992402844901488E-2</v>
      </c>
      <c r="F3994">
        <f t="shared" si="249"/>
        <v>-3.6732418436399648E-2</v>
      </c>
      <c r="G3994">
        <f t="shared" si="250"/>
        <v>-1.5246658325195312</v>
      </c>
      <c r="H3994">
        <f t="shared" si="251"/>
        <v>-3.2600021362304688</v>
      </c>
    </row>
    <row r="3995" spans="1:8" x14ac:dyDescent="0.2">
      <c r="A3995" t="s">
        <v>14</v>
      </c>
      <c r="B3995" s="2">
        <v>45223</v>
      </c>
      <c r="C3995">
        <v>73.845062255859375</v>
      </c>
      <c r="D3995">
        <f>_xlfn.XLOOKUP(B3995, Oil_Price!A:A, Oil_Price!B:B, "")</f>
        <v>83.739997863769531</v>
      </c>
      <c r="E3995">
        <f t="shared" si="248"/>
        <v>-1.1942214000277255E-2</v>
      </c>
      <c r="F3995">
        <f t="shared" si="249"/>
        <v>-2.0470230947819992E-2</v>
      </c>
      <c r="G3995">
        <f t="shared" si="250"/>
        <v>-0.8925323486328125</v>
      </c>
      <c r="H3995">
        <f t="shared" si="251"/>
        <v>-1.75</v>
      </c>
    </row>
    <row r="3996" spans="1:8" x14ac:dyDescent="0.2">
      <c r="A3996" t="s">
        <v>14</v>
      </c>
      <c r="B3996" s="2">
        <v>45224</v>
      </c>
      <c r="C3996">
        <v>75.165245056152344</v>
      </c>
      <c r="D3996">
        <f>_xlfn.XLOOKUP(B3996, Oil_Price!A:A, Oil_Price!B:B, "")</f>
        <v>85.389999389648438</v>
      </c>
      <c r="E3996">
        <f t="shared" si="248"/>
        <v>1.7877739688522184E-2</v>
      </c>
      <c r="F3996">
        <f t="shared" si="249"/>
        <v>1.9703863959528313E-2</v>
      </c>
      <c r="G3996">
        <f t="shared" si="250"/>
        <v>1.3201828002929688</v>
      </c>
      <c r="H3996">
        <f t="shared" si="251"/>
        <v>1.6500015258789062</v>
      </c>
    </row>
    <row r="3997" spans="1:8" x14ac:dyDescent="0.2">
      <c r="A3997" t="s">
        <v>14</v>
      </c>
      <c r="B3997" s="2">
        <v>45225</v>
      </c>
      <c r="C3997">
        <v>75.583610534667969</v>
      </c>
      <c r="D3997">
        <f>_xlfn.XLOOKUP(B3997, Oil_Price!A:A, Oil_Price!B:B, "")</f>
        <v>83.209999084472656</v>
      </c>
      <c r="E3997">
        <f t="shared" si="248"/>
        <v>5.5659431190982515E-3</v>
      </c>
      <c r="F3997">
        <f t="shared" si="249"/>
        <v>-2.5529925292868148E-2</v>
      </c>
      <c r="G3997">
        <f t="shared" si="250"/>
        <v>0.418365478515625</v>
      </c>
      <c r="H3997">
        <f t="shared" si="251"/>
        <v>-2.1800003051757812</v>
      </c>
    </row>
    <row r="3998" spans="1:8" x14ac:dyDescent="0.2">
      <c r="A3998" t="s">
        <v>14</v>
      </c>
      <c r="B3998" s="2">
        <v>45226</v>
      </c>
      <c r="C3998">
        <v>74.133277893066406</v>
      </c>
      <c r="D3998">
        <f>_xlfn.XLOOKUP(B3998, Oil_Price!A:A, Oil_Price!B:B, "")</f>
        <v>85.540000915527344</v>
      </c>
      <c r="E3998">
        <f t="shared" si="248"/>
        <v>-1.918845410191589E-2</v>
      </c>
      <c r="F3998">
        <f t="shared" si="249"/>
        <v>2.800146444767208E-2</v>
      </c>
      <c r="G3998">
        <f t="shared" si="250"/>
        <v>-1.4503326416015625</v>
      </c>
      <c r="H3998">
        <f t="shared" si="251"/>
        <v>2.3300018310546875</v>
      </c>
    </row>
    <row r="3999" spans="1:8" x14ac:dyDescent="0.2">
      <c r="A3999" t="s">
        <v>14</v>
      </c>
      <c r="B3999" s="2">
        <v>45229</v>
      </c>
      <c r="C3999">
        <v>74.282035827636719</v>
      </c>
      <c r="D3999">
        <f>_xlfn.XLOOKUP(B3999, Oil_Price!A:A, Oil_Price!B:B, "")</f>
        <v>82.30999755859375</v>
      </c>
      <c r="E3999">
        <f t="shared" si="248"/>
        <v>2.0066283158946307E-3</v>
      </c>
      <c r="F3999">
        <f t="shared" si="249"/>
        <v>-3.7760151068075086E-2</v>
      </c>
      <c r="G3999">
        <f t="shared" si="250"/>
        <v>0.1487579345703125</v>
      </c>
      <c r="H3999">
        <f t="shared" si="251"/>
        <v>-3.2300033569335938</v>
      </c>
    </row>
    <row r="4000" spans="1:8" x14ac:dyDescent="0.2">
      <c r="A4000" t="s">
        <v>14</v>
      </c>
      <c r="B4000" s="2">
        <v>45230</v>
      </c>
      <c r="C4000">
        <v>73.473190307617188</v>
      </c>
      <c r="D4000">
        <f>_xlfn.XLOOKUP(B4000, Oil_Price!A:A, Oil_Price!B:B, "")</f>
        <v>81.019996643066406</v>
      </c>
      <c r="E4000">
        <f t="shared" si="248"/>
        <v>-1.0888844267763046E-2</v>
      </c>
      <c r="F4000">
        <f t="shared" si="249"/>
        <v>-1.5672469369337971E-2</v>
      </c>
      <c r="G4000">
        <f t="shared" si="250"/>
        <v>-0.80884552001953125</v>
      </c>
      <c r="H4000">
        <f t="shared" si="251"/>
        <v>-1.2900009155273438</v>
      </c>
    </row>
    <row r="4001" spans="1:8" x14ac:dyDescent="0.2">
      <c r="A4001" t="s">
        <v>14</v>
      </c>
      <c r="B4001" s="2">
        <v>45231</v>
      </c>
      <c r="C4001">
        <v>74.756179809570312</v>
      </c>
      <c r="D4001">
        <f>_xlfn.XLOOKUP(B4001, Oil_Price!A:A, Oil_Price!B:B, "")</f>
        <v>80.44000244140625</v>
      </c>
      <c r="E4001">
        <f t="shared" si="248"/>
        <v>1.7462008884894079E-2</v>
      </c>
      <c r="F4001">
        <f t="shared" si="249"/>
        <v>-7.1586549702701259E-3</v>
      </c>
      <c r="G4001">
        <f t="shared" si="250"/>
        <v>1.282989501953125</v>
      </c>
      <c r="H4001">
        <f t="shared" si="251"/>
        <v>-0.57999420166015625</v>
      </c>
    </row>
    <row r="4002" spans="1:8" x14ac:dyDescent="0.2">
      <c r="A4002" t="s">
        <v>14</v>
      </c>
      <c r="B4002" s="2">
        <v>45232</v>
      </c>
      <c r="C4002">
        <v>74.802658081054688</v>
      </c>
      <c r="D4002">
        <f>_xlfn.XLOOKUP(B4002, Oil_Price!A:A, Oil_Price!B:B, "")</f>
        <v>82.459999084472656</v>
      </c>
      <c r="E4002">
        <f t="shared" si="248"/>
        <v>6.217314956806398E-4</v>
      </c>
      <c r="F4002">
        <f t="shared" si="249"/>
        <v>2.5111842140206338E-2</v>
      </c>
      <c r="G4002">
        <f t="shared" si="250"/>
        <v>4.6478271484375E-2</v>
      </c>
      <c r="H4002">
        <f t="shared" si="251"/>
        <v>2.0199966430664062</v>
      </c>
    </row>
    <row r="4003" spans="1:8" x14ac:dyDescent="0.2">
      <c r="A4003" t="s">
        <v>14</v>
      </c>
      <c r="B4003" s="2">
        <v>45233</v>
      </c>
      <c r="C4003">
        <v>72.980476379394531</v>
      </c>
      <c r="D4003">
        <f>_xlfn.XLOOKUP(B4003, Oil_Price!A:A, Oil_Price!B:B, "")</f>
        <v>80.510002136230469</v>
      </c>
      <c r="E4003">
        <f t="shared" si="248"/>
        <v>-2.4359852288747225E-2</v>
      </c>
      <c r="F4003">
        <f t="shared" si="249"/>
        <v>-2.3647792504152172E-2</v>
      </c>
      <c r="G4003">
        <f t="shared" si="250"/>
        <v>-1.8221817016601562</v>
      </c>
      <c r="H4003">
        <f t="shared" si="251"/>
        <v>-1.9499969482421875</v>
      </c>
    </row>
    <row r="4004" spans="1:8" x14ac:dyDescent="0.2">
      <c r="A4004" t="s">
        <v>14</v>
      </c>
      <c r="B4004" s="2">
        <v>45236</v>
      </c>
      <c r="C4004">
        <v>72.961875915527344</v>
      </c>
      <c r="D4004">
        <f>_xlfn.XLOOKUP(B4004, Oil_Price!A:A, Oil_Price!B:B, "")</f>
        <v>80.819999694824219</v>
      </c>
      <c r="E4004">
        <f t="shared" si="248"/>
        <v>-2.5486903881651279E-4</v>
      </c>
      <c r="F4004">
        <f t="shared" si="249"/>
        <v>3.8504229334040394E-3</v>
      </c>
      <c r="G4004">
        <f t="shared" si="250"/>
        <v>-1.86004638671875E-2</v>
      </c>
      <c r="H4004">
        <f t="shared" si="251"/>
        <v>0.30999755859375</v>
      </c>
    </row>
    <row r="4005" spans="1:8" x14ac:dyDescent="0.2">
      <c r="A4005" t="s">
        <v>14</v>
      </c>
      <c r="B4005" s="2">
        <v>45237</v>
      </c>
      <c r="C4005">
        <v>71.520866394042969</v>
      </c>
      <c r="D4005">
        <f>_xlfn.XLOOKUP(B4005, Oil_Price!A:A, Oil_Price!B:B, "")</f>
        <v>77.370002746582031</v>
      </c>
      <c r="E4005">
        <f t="shared" si="248"/>
        <v>-1.9750170940680368E-2</v>
      </c>
      <c r="F4005">
        <f t="shared" si="249"/>
        <v>-4.2687416001847972E-2</v>
      </c>
      <c r="G4005">
        <f t="shared" si="250"/>
        <v>-1.441009521484375</v>
      </c>
      <c r="H4005">
        <f t="shared" si="251"/>
        <v>-3.4499969482421875</v>
      </c>
    </row>
    <row r="4006" spans="1:8" x14ac:dyDescent="0.2">
      <c r="A4006" t="s">
        <v>14</v>
      </c>
      <c r="B4006" s="2">
        <v>45238</v>
      </c>
      <c r="C4006">
        <v>70.209991455078125</v>
      </c>
      <c r="D4006">
        <f>_xlfn.XLOOKUP(B4006, Oil_Price!A:A, Oil_Price!B:B, "")</f>
        <v>75.330001831054688</v>
      </c>
      <c r="E4006">
        <f t="shared" si="248"/>
        <v>-1.8328566264041057E-2</v>
      </c>
      <c r="F4006">
        <f t="shared" si="249"/>
        <v>-2.6366819737736982E-2</v>
      </c>
      <c r="G4006">
        <f t="shared" si="250"/>
        <v>-1.3108749389648438</v>
      </c>
      <c r="H4006">
        <f t="shared" si="251"/>
        <v>-2.0400009155273438</v>
      </c>
    </row>
    <row r="4007" spans="1:8" x14ac:dyDescent="0.2">
      <c r="A4007" t="s">
        <v>14</v>
      </c>
      <c r="B4007" s="2">
        <v>45239</v>
      </c>
      <c r="C4007">
        <v>70.275070190429688</v>
      </c>
      <c r="D4007">
        <f>_xlfn.XLOOKUP(B4007, Oil_Price!A:A, Oil_Price!B:B, "")</f>
        <v>75.739997863769531</v>
      </c>
      <c r="E4007">
        <f t="shared" si="248"/>
        <v>9.2691558569981151E-4</v>
      </c>
      <c r="F4007">
        <f t="shared" si="249"/>
        <v>5.442665906664341E-3</v>
      </c>
      <c r="G4007">
        <f t="shared" si="250"/>
        <v>6.50787353515625E-2</v>
      </c>
      <c r="H4007">
        <f t="shared" si="251"/>
        <v>0.40999603271484375</v>
      </c>
    </row>
    <row r="4008" spans="1:8" x14ac:dyDescent="0.2">
      <c r="A4008" t="s">
        <v>14</v>
      </c>
      <c r="B4008" s="2">
        <v>45240</v>
      </c>
      <c r="C4008">
        <v>71.846237182617188</v>
      </c>
      <c r="D4008">
        <f>_xlfn.XLOOKUP(B4008, Oil_Price!A:A, Oil_Price!B:B, "")</f>
        <v>77.169998168945312</v>
      </c>
      <c r="E4008">
        <f t="shared" si="248"/>
        <v>2.2357387732662375E-2</v>
      </c>
      <c r="F4008">
        <f t="shared" si="249"/>
        <v>1.8880384809989895E-2</v>
      </c>
      <c r="G4008">
        <f t="shared" si="250"/>
        <v>1.5711669921875</v>
      </c>
      <c r="H4008">
        <f t="shared" si="251"/>
        <v>1.4300003051757812</v>
      </c>
    </row>
    <row r="4009" spans="1:8" x14ac:dyDescent="0.2">
      <c r="A4009" t="s">
        <v>14</v>
      </c>
      <c r="B4009" s="2">
        <v>45243</v>
      </c>
      <c r="C4009">
        <v>72.841011047363281</v>
      </c>
      <c r="D4009">
        <f>_xlfn.XLOOKUP(B4009, Oil_Price!A:A, Oil_Price!B:B, "")</f>
        <v>78.260002136230469</v>
      </c>
      <c r="E4009">
        <f t="shared" si="248"/>
        <v>1.3845872849507753E-2</v>
      </c>
      <c r="F4009">
        <f t="shared" si="249"/>
        <v>1.4124711586734166E-2</v>
      </c>
      <c r="G4009">
        <f t="shared" si="250"/>
        <v>0.99477386474609375</v>
      </c>
      <c r="H4009">
        <f t="shared" si="251"/>
        <v>1.0900039672851562</v>
      </c>
    </row>
    <row r="4010" spans="1:8" x14ac:dyDescent="0.2">
      <c r="A4010" t="s">
        <v>14</v>
      </c>
      <c r="B4010" s="2">
        <v>45244</v>
      </c>
      <c r="C4010">
        <v>72.329696655273438</v>
      </c>
      <c r="D4010">
        <f>_xlfn.XLOOKUP(B4010, Oil_Price!A:A, Oil_Price!B:B, "")</f>
        <v>78.260002136230469</v>
      </c>
      <c r="E4010">
        <f t="shared" si="248"/>
        <v>-7.019594933373079E-3</v>
      </c>
      <c r="F4010">
        <f t="shared" si="249"/>
        <v>0</v>
      </c>
      <c r="G4010">
        <f t="shared" si="250"/>
        <v>-0.51131439208984375</v>
      </c>
      <c r="H4010">
        <f t="shared" si="251"/>
        <v>0</v>
      </c>
    </row>
    <row r="4011" spans="1:8" x14ac:dyDescent="0.2">
      <c r="A4011" t="s">
        <v>14</v>
      </c>
      <c r="B4011" s="2">
        <v>45245</v>
      </c>
      <c r="C4011">
        <v>71.678909301757812</v>
      </c>
      <c r="D4011">
        <f>_xlfn.XLOOKUP(B4011, Oil_Price!A:A, Oil_Price!B:B, "")</f>
        <v>76.660003662109375</v>
      </c>
      <c r="E4011">
        <f t="shared" si="248"/>
        <v>-8.9975125516882307E-3</v>
      </c>
      <c r="F4011">
        <f t="shared" si="249"/>
        <v>-2.0444651551834989E-2</v>
      </c>
      <c r="G4011">
        <f t="shared" si="250"/>
        <v>-0.650787353515625</v>
      </c>
      <c r="H4011">
        <f t="shared" si="251"/>
        <v>-1.5999984741210938</v>
      </c>
    </row>
    <row r="4012" spans="1:8" x14ac:dyDescent="0.2">
      <c r="A4012" t="s">
        <v>14</v>
      </c>
      <c r="B4012" s="2">
        <v>45246</v>
      </c>
      <c r="C4012">
        <v>71.093215942382812</v>
      </c>
      <c r="D4012">
        <f>_xlfn.XLOOKUP(B4012, Oil_Price!A:A, Oil_Price!B:B, "")</f>
        <v>72.900001525878906</v>
      </c>
      <c r="E4012">
        <f t="shared" si="248"/>
        <v>-8.1710696365274744E-3</v>
      </c>
      <c r="F4012">
        <f t="shared" si="249"/>
        <v>-4.9047768805272306E-2</v>
      </c>
      <c r="G4012">
        <f t="shared" si="250"/>
        <v>-0.585693359375</v>
      </c>
      <c r="H4012">
        <f t="shared" si="251"/>
        <v>-3.7600021362304688</v>
      </c>
    </row>
    <row r="4013" spans="1:8" x14ac:dyDescent="0.2">
      <c r="A4013" t="s">
        <v>14</v>
      </c>
      <c r="B4013" s="2">
        <v>45247</v>
      </c>
      <c r="C4013">
        <v>73.547569274902344</v>
      </c>
      <c r="D4013">
        <f>_xlfn.XLOOKUP(B4013, Oil_Price!A:A, Oil_Price!B:B, "")</f>
        <v>75.889999389648438</v>
      </c>
      <c r="E4013">
        <f t="shared" si="248"/>
        <v>3.4523031487401712E-2</v>
      </c>
      <c r="F4013">
        <f t="shared" si="249"/>
        <v>4.1015059001173082E-2</v>
      </c>
      <c r="G4013">
        <f t="shared" si="250"/>
        <v>2.4543533325195312</v>
      </c>
      <c r="H4013">
        <f t="shared" si="251"/>
        <v>2.9899978637695312</v>
      </c>
    </row>
    <row r="4014" spans="1:8" x14ac:dyDescent="0.2">
      <c r="A4014" t="s">
        <v>14</v>
      </c>
      <c r="B4014" s="2">
        <v>45250</v>
      </c>
      <c r="C4014">
        <v>73.687034606933594</v>
      </c>
      <c r="D4014">
        <f>_xlfn.XLOOKUP(B4014, Oil_Price!A:A, Oil_Price!B:B, "")</f>
        <v>77.599998474121094</v>
      </c>
      <c r="E4014">
        <f t="shared" si="248"/>
        <v>1.8962602490636177E-3</v>
      </c>
      <c r="F4014">
        <f t="shared" si="249"/>
        <v>2.253260110983614E-2</v>
      </c>
      <c r="G4014">
        <f t="shared" si="250"/>
        <v>0.13946533203125</v>
      </c>
      <c r="H4014">
        <f t="shared" si="251"/>
        <v>1.7099990844726562</v>
      </c>
    </row>
    <row r="4015" spans="1:8" x14ac:dyDescent="0.2">
      <c r="A4015" t="s">
        <v>14</v>
      </c>
      <c r="B4015" s="2">
        <v>45251</v>
      </c>
      <c r="C4015">
        <v>73.333755493164062</v>
      </c>
      <c r="D4015">
        <f>_xlfn.XLOOKUP(B4015, Oil_Price!A:A, Oil_Price!B:B, "")</f>
        <v>77.769996643066406</v>
      </c>
      <c r="E4015">
        <f t="shared" si="248"/>
        <v>-4.7943185073740149E-3</v>
      </c>
      <c r="F4015">
        <f t="shared" si="249"/>
        <v>2.1906980964955221E-3</v>
      </c>
      <c r="G4015">
        <f t="shared" si="250"/>
        <v>-0.35327911376953125</v>
      </c>
      <c r="H4015">
        <f t="shared" si="251"/>
        <v>0.1699981689453125</v>
      </c>
    </row>
    <row r="4016" spans="1:8" x14ac:dyDescent="0.2">
      <c r="A4016" t="s">
        <v>14</v>
      </c>
      <c r="B4016" s="2">
        <v>45252</v>
      </c>
      <c r="C4016">
        <v>72.534217834472656</v>
      </c>
      <c r="D4016">
        <f>_xlfn.XLOOKUP(B4016, Oil_Price!A:A, Oil_Price!B:B, "")</f>
        <v>77.099998474121094</v>
      </c>
      <c r="E4016">
        <f t="shared" si="248"/>
        <v>-1.0902723490902311E-2</v>
      </c>
      <c r="F4016">
        <f t="shared" si="249"/>
        <v>-8.615124056393364E-3</v>
      </c>
      <c r="G4016">
        <f t="shared" si="250"/>
        <v>-0.79953765869140625</v>
      </c>
      <c r="H4016">
        <f t="shared" si="251"/>
        <v>-0.6699981689453125</v>
      </c>
    </row>
    <row r="4017" spans="1:8" x14ac:dyDescent="0.2">
      <c r="A4017" t="s">
        <v>14</v>
      </c>
      <c r="B4017" s="2">
        <v>45253</v>
      </c>
      <c r="C4017">
        <v>73.259361267089844</v>
      </c>
      <c r="D4017" t="str">
        <f>_xlfn.XLOOKUP(B4017, Oil_Price!A:A, Oil_Price!B:B, "")</f>
        <v/>
      </c>
      <c r="E4017">
        <f t="shared" si="248"/>
        <v>9.9972599728311313E-3</v>
      </c>
      <c r="F4017" t="str">
        <f t="shared" si="249"/>
        <v/>
      </c>
      <c r="G4017">
        <f t="shared" si="250"/>
        <v>0.7251434326171875</v>
      </c>
      <c r="H4017" t="str">
        <f t="shared" si="251"/>
        <v/>
      </c>
    </row>
    <row r="4018" spans="1:8" x14ac:dyDescent="0.2">
      <c r="A4018" t="s">
        <v>14</v>
      </c>
      <c r="B4018" s="2">
        <v>45254</v>
      </c>
      <c r="C4018">
        <v>73.324478149414062</v>
      </c>
      <c r="D4018">
        <f>_xlfn.XLOOKUP(B4018, Oil_Price!A:A, Oil_Price!B:B, "")</f>
        <v>75.540000915527344</v>
      </c>
      <c r="E4018">
        <f t="shared" si="248"/>
        <v>8.888540822355091E-4</v>
      </c>
      <c r="F4018" t="str">
        <f t="shared" si="249"/>
        <v/>
      </c>
      <c r="G4018">
        <f t="shared" si="250"/>
        <v>6.511688232421875E-2</v>
      </c>
      <c r="H4018" t="str">
        <f t="shared" si="251"/>
        <v/>
      </c>
    </row>
    <row r="4019" spans="1:8" x14ac:dyDescent="0.2">
      <c r="A4019" t="s">
        <v>14</v>
      </c>
      <c r="B4019" s="2">
        <v>45257</v>
      </c>
      <c r="C4019">
        <v>72.664390563964844</v>
      </c>
      <c r="D4019">
        <f>_xlfn.XLOOKUP(B4019, Oil_Price!A:A, Oil_Price!B:B, "")</f>
        <v>74.860000610351562</v>
      </c>
      <c r="E4019">
        <f t="shared" si="248"/>
        <v>-9.0022813950908914E-3</v>
      </c>
      <c r="F4019">
        <f t="shared" si="249"/>
        <v>-9.0018572535654588E-3</v>
      </c>
      <c r="G4019">
        <f t="shared" si="250"/>
        <v>-0.66008758544921875</v>
      </c>
      <c r="H4019">
        <f t="shared" si="251"/>
        <v>-0.68000030517578125</v>
      </c>
    </row>
    <row r="4020" spans="1:8" x14ac:dyDescent="0.2">
      <c r="A4020" t="s">
        <v>14</v>
      </c>
      <c r="B4020" s="2">
        <v>45258</v>
      </c>
      <c r="C4020">
        <v>72.961875915527344</v>
      </c>
      <c r="D4020">
        <f>_xlfn.XLOOKUP(B4020, Oil_Price!A:A, Oil_Price!B:B, "")</f>
        <v>76.410003662109375</v>
      </c>
      <c r="E4020">
        <f t="shared" si="248"/>
        <v>4.0939633464706525E-3</v>
      </c>
      <c r="F4020">
        <f t="shared" si="249"/>
        <v>2.0705357188355134E-2</v>
      </c>
      <c r="G4020">
        <f t="shared" si="250"/>
        <v>0.2974853515625</v>
      </c>
      <c r="H4020">
        <f t="shared" si="251"/>
        <v>1.5500030517578125</v>
      </c>
    </row>
    <row r="4021" spans="1:8" x14ac:dyDescent="0.2">
      <c r="A4021" t="s">
        <v>14</v>
      </c>
      <c r="B4021" s="2">
        <v>45259</v>
      </c>
      <c r="C4021">
        <v>72.729446411132812</v>
      </c>
      <c r="D4021">
        <f>_xlfn.XLOOKUP(B4021, Oil_Price!A:A, Oil_Price!B:B, "")</f>
        <v>77.860000610351562</v>
      </c>
      <c r="E4021">
        <f t="shared" si="248"/>
        <v>-3.1856295014074179E-3</v>
      </c>
      <c r="F4021">
        <f t="shared" si="249"/>
        <v>1.8976532898155325E-2</v>
      </c>
      <c r="G4021">
        <f t="shared" si="250"/>
        <v>-0.23242950439453125</v>
      </c>
      <c r="H4021">
        <f t="shared" si="251"/>
        <v>1.4499969482421875</v>
      </c>
    </row>
    <row r="4022" spans="1:8" x14ac:dyDescent="0.2">
      <c r="A4022" t="s">
        <v>14</v>
      </c>
      <c r="B4022" s="2">
        <v>45260</v>
      </c>
      <c r="C4022">
        <v>71.531791687011719</v>
      </c>
      <c r="D4022">
        <f>_xlfn.XLOOKUP(B4022, Oil_Price!A:A, Oil_Price!B:B, "")</f>
        <v>75.959999084472656</v>
      </c>
      <c r="E4022">
        <f t="shared" si="248"/>
        <v>-1.6467260280669024E-2</v>
      </c>
      <c r="F4022">
        <f t="shared" si="249"/>
        <v>-2.4402793616550515E-2</v>
      </c>
      <c r="G4022">
        <f t="shared" si="250"/>
        <v>-1.1976547241210938</v>
      </c>
      <c r="H4022">
        <f t="shared" si="251"/>
        <v>-1.9000015258789062</v>
      </c>
    </row>
    <row r="4023" spans="1:8" x14ac:dyDescent="0.2">
      <c r="A4023" t="s">
        <v>14</v>
      </c>
      <c r="B4023" s="2">
        <v>45261</v>
      </c>
      <c r="C4023">
        <v>72.130615234375</v>
      </c>
      <c r="D4023">
        <f>_xlfn.XLOOKUP(B4023, Oil_Price!A:A, Oil_Price!B:B, "")</f>
        <v>74.069999694824219</v>
      </c>
      <c r="E4023">
        <f t="shared" si="248"/>
        <v>8.3714322434902989E-3</v>
      </c>
      <c r="F4023">
        <f t="shared" si="249"/>
        <v>-2.488150885239783E-2</v>
      </c>
      <c r="G4023">
        <f t="shared" si="250"/>
        <v>0.59882354736328125</v>
      </c>
      <c r="H4023">
        <f t="shared" si="251"/>
        <v>-1.8899993896484375</v>
      </c>
    </row>
    <row r="4024" spans="1:8" x14ac:dyDescent="0.2">
      <c r="A4024" t="s">
        <v>14</v>
      </c>
      <c r="B4024" s="2">
        <v>45264</v>
      </c>
      <c r="C4024">
        <v>72.158699035644531</v>
      </c>
      <c r="D4024">
        <f>_xlfn.XLOOKUP(B4024, Oil_Price!A:A, Oil_Price!B:B, "")</f>
        <v>73.040000915527344</v>
      </c>
      <c r="E4024">
        <f t="shared" si="248"/>
        <v>3.8934648177168835E-4</v>
      </c>
      <c r="F4024">
        <f t="shared" si="249"/>
        <v>-1.3905748393959399E-2</v>
      </c>
      <c r="G4024">
        <f t="shared" si="250"/>
        <v>2.808380126953125E-2</v>
      </c>
      <c r="H4024">
        <f t="shared" si="251"/>
        <v>-1.029998779296875</v>
      </c>
    </row>
    <row r="4025" spans="1:8" x14ac:dyDescent="0.2">
      <c r="A4025" t="s">
        <v>14</v>
      </c>
      <c r="B4025" s="2">
        <v>45265</v>
      </c>
      <c r="C4025">
        <v>71.90606689453125</v>
      </c>
      <c r="D4025">
        <f>_xlfn.XLOOKUP(B4025, Oil_Price!A:A, Oil_Price!B:B, "")</f>
        <v>72.319999694824219</v>
      </c>
      <c r="E4025">
        <f t="shared" si="248"/>
        <v>-3.5010628585264198E-3</v>
      </c>
      <c r="F4025">
        <f t="shared" si="249"/>
        <v>-9.8576288564922818E-3</v>
      </c>
      <c r="G4025">
        <f t="shared" si="250"/>
        <v>-0.25263214111328125</v>
      </c>
      <c r="H4025">
        <f t="shared" si="251"/>
        <v>-0.720001220703125</v>
      </c>
    </row>
    <row r="4026" spans="1:8" x14ac:dyDescent="0.2">
      <c r="A4026" t="s">
        <v>14</v>
      </c>
      <c r="B4026" s="2">
        <v>45266</v>
      </c>
      <c r="C4026">
        <v>70.053459167480469</v>
      </c>
      <c r="D4026">
        <f>_xlfn.XLOOKUP(B4026, Oil_Price!A:A, Oil_Price!B:B, "")</f>
        <v>69.379997253417969</v>
      </c>
      <c r="E4026">
        <f t="shared" si="248"/>
        <v>-2.5764275631541732E-2</v>
      </c>
      <c r="F4026">
        <f t="shared" si="249"/>
        <v>-4.065268879718565E-2</v>
      </c>
      <c r="G4026">
        <f t="shared" si="250"/>
        <v>-1.8526077270507812</v>
      </c>
      <c r="H4026">
        <f t="shared" si="251"/>
        <v>-2.94000244140625</v>
      </c>
    </row>
    <row r="4027" spans="1:8" x14ac:dyDescent="0.2">
      <c r="A4027" t="s">
        <v>14</v>
      </c>
      <c r="B4027" s="2">
        <v>45267</v>
      </c>
      <c r="C4027">
        <v>68.069831848144531</v>
      </c>
      <c r="D4027">
        <f>_xlfn.XLOOKUP(B4027, Oil_Price!A:A, Oil_Price!B:B, "")</f>
        <v>69.339996337890625</v>
      </c>
      <c r="E4027">
        <f t="shared" si="248"/>
        <v>-2.831590820652519E-2</v>
      </c>
      <c r="F4027">
        <f t="shared" si="249"/>
        <v>-5.7654824316634185E-4</v>
      </c>
      <c r="G4027">
        <f t="shared" si="250"/>
        <v>-1.9836273193359375</v>
      </c>
      <c r="H4027">
        <f t="shared" si="251"/>
        <v>-4.000091552734375E-2</v>
      </c>
    </row>
    <row r="4028" spans="1:8" x14ac:dyDescent="0.2">
      <c r="A4028" t="s">
        <v>14</v>
      </c>
      <c r="B4028" s="2">
        <v>45268</v>
      </c>
      <c r="C4028">
        <v>70.474502563476562</v>
      </c>
      <c r="D4028">
        <f>_xlfn.XLOOKUP(B4028, Oil_Price!A:A, Oil_Price!B:B, "")</f>
        <v>71.230003356933594</v>
      </c>
      <c r="E4028">
        <f t="shared" si="248"/>
        <v>3.5326526451491133E-2</v>
      </c>
      <c r="F4028">
        <f t="shared" si="249"/>
        <v>2.7257097185772135E-2</v>
      </c>
      <c r="G4028">
        <f t="shared" si="250"/>
        <v>2.4046707153320312</v>
      </c>
      <c r="H4028">
        <f t="shared" si="251"/>
        <v>1.8900070190429688</v>
      </c>
    </row>
    <row r="4029" spans="1:8" x14ac:dyDescent="0.2">
      <c r="A4029" t="s">
        <v>14</v>
      </c>
      <c r="B4029" s="2">
        <v>45271</v>
      </c>
      <c r="C4029">
        <v>68.996139526367188</v>
      </c>
      <c r="D4029">
        <f>_xlfn.XLOOKUP(B4029, Oil_Price!A:A, Oil_Price!B:B, "")</f>
        <v>71.319999694824219</v>
      </c>
      <c r="E4029">
        <f t="shared" si="248"/>
        <v>-2.0977275231957963E-2</v>
      </c>
      <c r="F4029">
        <f t="shared" si="249"/>
        <v>1.2634610929281203E-3</v>
      </c>
      <c r="G4029">
        <f t="shared" si="250"/>
        <v>-1.478363037109375</v>
      </c>
      <c r="H4029">
        <f t="shared" si="251"/>
        <v>8.9996337890625E-2</v>
      </c>
    </row>
    <row r="4030" spans="1:8" x14ac:dyDescent="0.2">
      <c r="A4030" t="s">
        <v>14</v>
      </c>
      <c r="B4030" s="2">
        <v>45272</v>
      </c>
      <c r="C4030">
        <v>68.032402038574219</v>
      </c>
      <c r="D4030">
        <f>_xlfn.XLOOKUP(B4030, Oil_Price!A:A, Oil_Price!B:B, "")</f>
        <v>68.610000610351562</v>
      </c>
      <c r="E4030">
        <f t="shared" si="248"/>
        <v>-1.3967991461676954E-2</v>
      </c>
      <c r="F4030">
        <f t="shared" si="249"/>
        <v>-3.799774391571295E-2</v>
      </c>
      <c r="G4030">
        <f t="shared" si="250"/>
        <v>-0.96373748779296875</v>
      </c>
      <c r="H4030">
        <f t="shared" si="251"/>
        <v>-2.7099990844726562</v>
      </c>
    </row>
    <row r="4031" spans="1:8" x14ac:dyDescent="0.2">
      <c r="A4031" t="s">
        <v>14</v>
      </c>
      <c r="B4031" s="2">
        <v>45273</v>
      </c>
      <c r="C4031">
        <v>69.145835876464844</v>
      </c>
      <c r="D4031">
        <f>_xlfn.XLOOKUP(B4031, Oil_Price!A:A, Oil_Price!B:B, "")</f>
        <v>69.470001220703125</v>
      </c>
      <c r="E4031">
        <f t="shared" si="248"/>
        <v>1.6366228510633955E-2</v>
      </c>
      <c r="F4031">
        <f t="shared" si="249"/>
        <v>1.2534624729646331E-2</v>
      </c>
      <c r="G4031">
        <f t="shared" si="250"/>
        <v>1.113433837890625</v>
      </c>
      <c r="H4031">
        <f t="shared" si="251"/>
        <v>0.8600006103515625</v>
      </c>
    </row>
    <row r="4032" spans="1:8" x14ac:dyDescent="0.2">
      <c r="A4032" t="s">
        <v>14</v>
      </c>
      <c r="B4032" s="2">
        <v>45274</v>
      </c>
      <c r="C4032">
        <v>70.8768310546875</v>
      </c>
      <c r="D4032">
        <f>_xlfn.XLOOKUP(B4032, Oil_Price!A:A, Oil_Price!B:B, "")</f>
        <v>71.580001831054688</v>
      </c>
      <c r="E4032">
        <f t="shared" si="248"/>
        <v>2.5033975745339637E-2</v>
      </c>
      <c r="F4032">
        <f t="shared" si="249"/>
        <v>3.0372831053337452E-2</v>
      </c>
      <c r="G4032">
        <f t="shared" si="250"/>
        <v>1.7309951782226562</v>
      </c>
      <c r="H4032">
        <f t="shared" si="251"/>
        <v>2.1100006103515625</v>
      </c>
    </row>
    <row r="4033" spans="1:8" x14ac:dyDescent="0.2">
      <c r="A4033" t="s">
        <v>14</v>
      </c>
      <c r="B4033" s="2">
        <v>45275</v>
      </c>
      <c r="C4033">
        <v>69.220687866210938</v>
      </c>
      <c r="D4033">
        <f>_xlfn.XLOOKUP(B4033, Oil_Price!A:A, Oil_Price!B:B, "")</f>
        <v>71.430000305175781</v>
      </c>
      <c r="E4033">
        <f t="shared" si="248"/>
        <v>-2.3366495987930207E-2</v>
      </c>
      <c r="F4033">
        <f t="shared" si="249"/>
        <v>-2.0955786817796465E-3</v>
      </c>
      <c r="G4033">
        <f t="shared" si="250"/>
        <v>-1.6561431884765625</v>
      </c>
      <c r="H4033">
        <f t="shared" si="251"/>
        <v>-0.15000152587890625</v>
      </c>
    </row>
    <row r="4034" spans="1:8" x14ac:dyDescent="0.2">
      <c r="A4034" t="s">
        <v>14</v>
      </c>
      <c r="B4034" s="2">
        <v>45278</v>
      </c>
      <c r="C4034">
        <v>70.9049072265625</v>
      </c>
      <c r="D4034">
        <f>_xlfn.XLOOKUP(B4034, Oil_Price!A:A, Oil_Price!B:B, "")</f>
        <v>72.470001220703125</v>
      </c>
      <c r="E4034">
        <f t="shared" si="248"/>
        <v>2.4331156078755026E-2</v>
      </c>
      <c r="F4034">
        <f t="shared" si="249"/>
        <v>1.4559721560745757E-2</v>
      </c>
      <c r="G4034">
        <f t="shared" si="250"/>
        <v>1.6842193603515625</v>
      </c>
      <c r="H4034">
        <f t="shared" si="251"/>
        <v>1.0400009155273438</v>
      </c>
    </row>
    <row r="4035" spans="1:8" x14ac:dyDescent="0.2">
      <c r="A4035" t="s">
        <v>14</v>
      </c>
      <c r="B4035" s="2">
        <v>45279</v>
      </c>
      <c r="C4035">
        <v>71.494384765625</v>
      </c>
      <c r="D4035">
        <f>_xlfn.XLOOKUP(B4035, Oil_Price!A:A, Oil_Price!B:B, "")</f>
        <v>73.44000244140625</v>
      </c>
      <c r="E4035">
        <f t="shared" ref="E4035:E4098" si="252">IFERROR(IF(AND(A4035=A4034, C4035&lt;&gt;"", C4034&lt;&gt;""), (C4035-C4034)/C4034, ""), "")</f>
        <v>8.3136352915453657E-3</v>
      </c>
      <c r="F4035">
        <f t="shared" ref="F4035:F4098" si="253">IFERROR(IF(AND(A4035=A4034, D4035&lt;&gt;"", D4034&lt;&gt;""), (D4035-D4034)/D4034, ""), "")</f>
        <v>1.338486552179078E-2</v>
      </c>
      <c r="G4035">
        <f t="shared" ref="G4035:G4098" si="254">IFERROR(IF(AND(A4035=A4034, C4035&lt;&gt;"", C4034&lt;&gt;""), C4035-C4034, ""), "")</f>
        <v>0.5894775390625</v>
      </c>
      <c r="H4035">
        <f t="shared" ref="H4035:H4098" si="255">IFERROR(IF(AND(A4035=A4034, D4035&lt;&gt;"", D4034&lt;&gt;""), D4035-D4034, ""), "")</f>
        <v>0.970001220703125</v>
      </c>
    </row>
    <row r="4036" spans="1:8" x14ac:dyDescent="0.2">
      <c r="A4036" t="s">
        <v>14</v>
      </c>
      <c r="B4036" s="2">
        <v>45280</v>
      </c>
      <c r="C4036">
        <v>70.053459167480469</v>
      </c>
      <c r="D4036">
        <f>_xlfn.XLOOKUP(B4036, Oil_Price!A:A, Oil_Price!B:B, "")</f>
        <v>74.220001220703125</v>
      </c>
      <c r="E4036">
        <f t="shared" si="252"/>
        <v>-2.0154388388237986E-2</v>
      </c>
      <c r="F4036">
        <f t="shared" si="253"/>
        <v>1.0620898057828815E-2</v>
      </c>
      <c r="G4036">
        <f t="shared" si="254"/>
        <v>-1.4409255981445312</v>
      </c>
      <c r="H4036">
        <f t="shared" si="255"/>
        <v>0.779998779296875</v>
      </c>
    </row>
    <row r="4037" spans="1:8" x14ac:dyDescent="0.2">
      <c r="A4037" t="s">
        <v>14</v>
      </c>
      <c r="B4037" s="2">
        <v>45281</v>
      </c>
      <c r="C4037">
        <v>69.959884643554688</v>
      </c>
      <c r="D4037">
        <f>_xlfn.XLOOKUP(B4037, Oil_Price!A:A, Oil_Price!B:B, "")</f>
        <v>73.889999389648438</v>
      </c>
      <c r="E4037">
        <f t="shared" si="252"/>
        <v>-1.3357587910408212E-3</v>
      </c>
      <c r="F4037">
        <f t="shared" si="253"/>
        <v>-4.4462655029253208E-3</v>
      </c>
      <c r="G4037">
        <f t="shared" si="254"/>
        <v>-9.357452392578125E-2</v>
      </c>
      <c r="H4037">
        <f t="shared" si="255"/>
        <v>-0.3300018310546875</v>
      </c>
    </row>
    <row r="4038" spans="1:8" x14ac:dyDescent="0.2">
      <c r="A4038" t="s">
        <v>14</v>
      </c>
      <c r="B4038" s="2">
        <v>45282</v>
      </c>
      <c r="C4038">
        <v>70.231231689453125</v>
      </c>
      <c r="D4038">
        <f>_xlfn.XLOOKUP(B4038, Oil_Price!A:A, Oil_Price!B:B, "")</f>
        <v>73.55999755859375</v>
      </c>
      <c r="E4038">
        <f t="shared" si="252"/>
        <v>3.8786091097912688E-3</v>
      </c>
      <c r="F4038">
        <f t="shared" si="253"/>
        <v>-4.4661230718716022E-3</v>
      </c>
      <c r="G4038">
        <f t="shared" si="254"/>
        <v>0.2713470458984375</v>
      </c>
      <c r="H4038">
        <f t="shared" si="255"/>
        <v>-0.3300018310546875</v>
      </c>
    </row>
    <row r="4039" spans="1:8" x14ac:dyDescent="0.2">
      <c r="A4039" t="s">
        <v>14</v>
      </c>
      <c r="B4039" s="2">
        <v>45287</v>
      </c>
      <c r="C4039">
        <v>70.914268493652344</v>
      </c>
      <c r="D4039">
        <f>_xlfn.XLOOKUP(B4039, Oil_Price!A:A, Oil_Price!B:B, "")</f>
        <v>74.110000610351562</v>
      </c>
      <c r="E4039">
        <f t="shared" si="252"/>
        <v>9.7255421522358526E-3</v>
      </c>
      <c r="F4039">
        <f t="shared" si="253"/>
        <v>7.476931348722668E-3</v>
      </c>
      <c r="G4039">
        <f t="shared" si="254"/>
        <v>0.68303680419921875</v>
      </c>
      <c r="H4039">
        <f t="shared" si="255"/>
        <v>0.5500030517578125</v>
      </c>
    </row>
    <row r="4040" spans="1:8" x14ac:dyDescent="0.2">
      <c r="A4040" t="s">
        <v>14</v>
      </c>
      <c r="B4040" s="2">
        <v>45288</v>
      </c>
      <c r="C4040">
        <v>69.997306823730469</v>
      </c>
      <c r="D4040">
        <f>_xlfn.XLOOKUP(B4040, Oil_Price!A:A, Oil_Price!B:B, "")</f>
        <v>71.769996643066406</v>
      </c>
      <c r="E4040">
        <f t="shared" si="252"/>
        <v>-1.2930566575666698E-2</v>
      </c>
      <c r="F4040">
        <f t="shared" si="253"/>
        <v>-3.1574739549500262E-2</v>
      </c>
      <c r="G4040">
        <f t="shared" si="254"/>
        <v>-0.916961669921875</v>
      </c>
      <c r="H4040">
        <f t="shared" si="255"/>
        <v>-2.3400039672851562</v>
      </c>
    </row>
    <row r="4041" spans="1:8" x14ac:dyDescent="0.2">
      <c r="A4041" t="s">
        <v>14</v>
      </c>
      <c r="B4041" s="2">
        <v>45289</v>
      </c>
      <c r="C4041">
        <v>70.624214172363281</v>
      </c>
      <c r="D4041">
        <f>_xlfn.XLOOKUP(B4041, Oil_Price!A:A, Oil_Price!B:B, "")</f>
        <v>71.650001525878906</v>
      </c>
      <c r="E4041">
        <f t="shared" si="252"/>
        <v>8.956163845153518E-3</v>
      </c>
      <c r="F4041">
        <f t="shared" si="253"/>
        <v>-1.6719398467338865E-3</v>
      </c>
      <c r="G4041">
        <f t="shared" si="254"/>
        <v>0.6269073486328125</v>
      </c>
      <c r="H4041">
        <f t="shared" si="255"/>
        <v>-0.1199951171875</v>
      </c>
    </row>
    <row r="4042" spans="1:8" x14ac:dyDescent="0.2">
      <c r="A4042" t="s">
        <v>14</v>
      </c>
      <c r="B4042" s="2">
        <v>45293</v>
      </c>
      <c r="C4042">
        <v>72.196136474609375</v>
      </c>
      <c r="D4042">
        <f>_xlfn.XLOOKUP(B4042, Oil_Price!A:A, Oil_Price!B:B, "")</f>
        <v>70.379997253417969</v>
      </c>
      <c r="E4042">
        <f t="shared" si="252"/>
        <v>2.2257554588992787E-2</v>
      </c>
      <c r="F4042">
        <f t="shared" si="253"/>
        <v>-1.7725111589875279E-2</v>
      </c>
      <c r="G4042">
        <f t="shared" si="254"/>
        <v>1.5719223022460938</v>
      </c>
      <c r="H4042">
        <f t="shared" si="255"/>
        <v>-1.2700042724609375</v>
      </c>
    </row>
    <row r="4043" spans="1:8" x14ac:dyDescent="0.2">
      <c r="A4043" t="s">
        <v>14</v>
      </c>
      <c r="B4043" s="2">
        <v>45294</v>
      </c>
      <c r="C4043">
        <v>74.666297912597656</v>
      </c>
      <c r="D4043">
        <f>_xlfn.XLOOKUP(B4043, Oil_Price!A:A, Oil_Price!B:B, "")</f>
        <v>72.699996948242188</v>
      </c>
      <c r="E4043">
        <f t="shared" si="252"/>
        <v>3.4214593170882643E-2</v>
      </c>
      <c r="F4043">
        <f t="shared" si="253"/>
        <v>3.2963907152064417E-2</v>
      </c>
      <c r="G4043">
        <f t="shared" si="254"/>
        <v>2.4701614379882812</v>
      </c>
      <c r="H4043">
        <f t="shared" si="255"/>
        <v>2.3199996948242188</v>
      </c>
    </row>
    <row r="4044" spans="1:8" x14ac:dyDescent="0.2">
      <c r="A4044" t="s">
        <v>14</v>
      </c>
      <c r="B4044" s="2">
        <v>45295</v>
      </c>
      <c r="C4044">
        <v>73.702552795410156</v>
      </c>
      <c r="D4044">
        <f>_xlfn.XLOOKUP(B4044, Oil_Price!A:A, Oil_Price!B:B, "")</f>
        <v>72.19000244140625</v>
      </c>
      <c r="E4044">
        <f t="shared" si="252"/>
        <v>-1.2907364421839073E-2</v>
      </c>
      <c r="F4044">
        <f t="shared" si="253"/>
        <v>-7.0150554091360064E-3</v>
      </c>
      <c r="G4044">
        <f t="shared" si="254"/>
        <v>-0.9637451171875</v>
      </c>
      <c r="H4044">
        <f t="shared" si="255"/>
        <v>-0.5099945068359375</v>
      </c>
    </row>
    <row r="4045" spans="1:8" x14ac:dyDescent="0.2">
      <c r="A4045" t="s">
        <v>14</v>
      </c>
      <c r="B4045" s="2">
        <v>45296</v>
      </c>
      <c r="C4045">
        <v>73.543487548828125</v>
      </c>
      <c r="D4045">
        <f>_xlfn.XLOOKUP(B4045, Oil_Price!A:A, Oil_Price!B:B, "")</f>
        <v>73.80999755859375</v>
      </c>
      <c r="E4045">
        <f t="shared" si="252"/>
        <v>-2.1582053884019207E-3</v>
      </c>
      <c r="F4045">
        <f t="shared" si="253"/>
        <v>2.2440712874367687E-2</v>
      </c>
      <c r="G4045">
        <f t="shared" si="254"/>
        <v>-0.15906524658203125</v>
      </c>
      <c r="H4045">
        <f t="shared" si="255"/>
        <v>1.6199951171875</v>
      </c>
    </row>
    <row r="4046" spans="1:8" x14ac:dyDescent="0.2">
      <c r="A4046" t="s">
        <v>14</v>
      </c>
      <c r="B4046" s="2">
        <v>45299</v>
      </c>
      <c r="C4046">
        <v>71.840576171875</v>
      </c>
      <c r="D4046">
        <f>_xlfn.XLOOKUP(B4046, Oil_Price!A:A, Oil_Price!B:B, "")</f>
        <v>70.769996643066406</v>
      </c>
      <c r="E4046">
        <f t="shared" si="252"/>
        <v>-2.3155162118501681E-2</v>
      </c>
      <c r="F4046">
        <f t="shared" si="253"/>
        <v>-4.1186844818875003E-2</v>
      </c>
      <c r="G4046">
        <f t="shared" si="254"/>
        <v>-1.702911376953125</v>
      </c>
      <c r="H4046">
        <f t="shared" si="255"/>
        <v>-3.0400009155273438</v>
      </c>
    </row>
    <row r="4047" spans="1:8" x14ac:dyDescent="0.2">
      <c r="A4047" t="s">
        <v>14</v>
      </c>
      <c r="B4047" s="2">
        <v>45300</v>
      </c>
      <c r="C4047">
        <v>72.907218933105469</v>
      </c>
      <c r="D4047">
        <f>_xlfn.XLOOKUP(B4047, Oil_Price!A:A, Oil_Price!B:B, "")</f>
        <v>72.239997863769531</v>
      </c>
      <c r="E4047">
        <f t="shared" si="252"/>
        <v>1.4847358109692482E-2</v>
      </c>
      <c r="F4047">
        <f t="shared" si="253"/>
        <v>2.0771531587279599E-2</v>
      </c>
      <c r="G4047">
        <f t="shared" si="254"/>
        <v>1.0666427612304688</v>
      </c>
      <c r="H4047">
        <f t="shared" si="255"/>
        <v>1.470001220703125</v>
      </c>
    </row>
    <row r="4048" spans="1:8" x14ac:dyDescent="0.2">
      <c r="A4048" t="s">
        <v>14</v>
      </c>
      <c r="B4048" s="2">
        <v>45301</v>
      </c>
      <c r="C4048">
        <v>72.467475891113281</v>
      </c>
      <c r="D4048">
        <f>_xlfn.XLOOKUP(B4048, Oil_Price!A:A, Oil_Price!B:B, "")</f>
        <v>71.370002746582031</v>
      </c>
      <c r="E4048">
        <f t="shared" si="252"/>
        <v>-6.0315432192752372E-3</v>
      </c>
      <c r="F4048">
        <f t="shared" si="253"/>
        <v>-1.204312213336634E-2</v>
      </c>
      <c r="G4048">
        <f t="shared" si="254"/>
        <v>-0.4397430419921875</v>
      </c>
      <c r="H4048">
        <f t="shared" si="255"/>
        <v>-0.8699951171875</v>
      </c>
    </row>
    <row r="4049" spans="1:8" x14ac:dyDescent="0.2">
      <c r="A4049" t="s">
        <v>14</v>
      </c>
      <c r="B4049" s="2">
        <v>45302</v>
      </c>
      <c r="C4049">
        <v>73.244064331054688</v>
      </c>
      <c r="D4049">
        <f>_xlfn.XLOOKUP(B4049, Oil_Price!A:A, Oil_Price!B:B, "")</f>
        <v>72.019996643066406</v>
      </c>
      <c r="E4049">
        <f t="shared" si="252"/>
        <v>1.071637214339129E-2</v>
      </c>
      <c r="F4049">
        <f t="shared" si="253"/>
        <v>9.1073822540311405E-3</v>
      </c>
      <c r="G4049">
        <f t="shared" si="254"/>
        <v>0.77658843994140625</v>
      </c>
      <c r="H4049">
        <f t="shared" si="255"/>
        <v>0.649993896484375</v>
      </c>
    </row>
    <row r="4050" spans="1:8" x14ac:dyDescent="0.2">
      <c r="A4050" t="s">
        <v>14</v>
      </c>
      <c r="B4050" s="2">
        <v>45303</v>
      </c>
      <c r="C4050">
        <v>72.94464111328125</v>
      </c>
      <c r="D4050">
        <f>_xlfn.XLOOKUP(B4050, Oil_Price!A:A, Oil_Price!B:B, "")</f>
        <v>72.680000305175781</v>
      </c>
      <c r="E4050">
        <f t="shared" si="252"/>
        <v>-4.0880202444812351E-3</v>
      </c>
      <c r="F4050">
        <f t="shared" si="253"/>
        <v>9.1641723531365321E-3</v>
      </c>
      <c r="G4050">
        <f t="shared" si="254"/>
        <v>-0.2994232177734375</v>
      </c>
      <c r="H4050">
        <f t="shared" si="255"/>
        <v>0.660003662109375</v>
      </c>
    </row>
    <row r="4051" spans="1:8" x14ac:dyDescent="0.2">
      <c r="A4051" t="s">
        <v>14</v>
      </c>
      <c r="B4051" s="2">
        <v>45306</v>
      </c>
      <c r="C4051">
        <v>73.4686279296875</v>
      </c>
      <c r="D4051" t="str">
        <f>_xlfn.XLOOKUP(B4051, Oil_Price!A:A, Oil_Price!B:B, "")</f>
        <v/>
      </c>
      <c r="E4051">
        <f t="shared" si="252"/>
        <v>7.1833490220688211E-3</v>
      </c>
      <c r="F4051" t="str">
        <f t="shared" si="253"/>
        <v/>
      </c>
      <c r="G4051">
        <f t="shared" si="254"/>
        <v>0.52398681640625</v>
      </c>
      <c r="H4051" t="str">
        <f t="shared" si="255"/>
        <v/>
      </c>
    </row>
    <row r="4052" spans="1:8" x14ac:dyDescent="0.2">
      <c r="A4052" t="s">
        <v>14</v>
      </c>
      <c r="B4052" s="2">
        <v>45307</v>
      </c>
      <c r="C4052">
        <v>72.766860961914062</v>
      </c>
      <c r="D4052">
        <f>_xlfn.XLOOKUP(B4052, Oil_Price!A:A, Oil_Price!B:B, "")</f>
        <v>72.400001525878906</v>
      </c>
      <c r="E4052">
        <f t="shared" si="252"/>
        <v>-9.5519269591512902E-3</v>
      </c>
      <c r="F4052" t="str">
        <f t="shared" si="253"/>
        <v/>
      </c>
      <c r="G4052">
        <f t="shared" si="254"/>
        <v>-0.7017669677734375</v>
      </c>
      <c r="H4052" t="str">
        <f t="shared" si="255"/>
        <v/>
      </c>
    </row>
    <row r="4053" spans="1:8" x14ac:dyDescent="0.2">
      <c r="A4053" t="s">
        <v>14</v>
      </c>
      <c r="B4053" s="2">
        <v>45308</v>
      </c>
      <c r="C4053">
        <v>69.819534301757812</v>
      </c>
      <c r="D4053">
        <f>_xlfn.XLOOKUP(B4053, Oil_Price!A:A, Oil_Price!B:B, "")</f>
        <v>72.55999755859375</v>
      </c>
      <c r="E4053">
        <f t="shared" si="252"/>
        <v>-4.0503693868268839E-2</v>
      </c>
      <c r="F4053">
        <f t="shared" si="253"/>
        <v>2.2098899080499911E-3</v>
      </c>
      <c r="G4053">
        <f t="shared" si="254"/>
        <v>-2.94732666015625</v>
      </c>
      <c r="H4053">
        <f t="shared" si="255"/>
        <v>0.15999603271484375</v>
      </c>
    </row>
    <row r="4054" spans="1:8" x14ac:dyDescent="0.2">
      <c r="A4054" t="s">
        <v>14</v>
      </c>
      <c r="B4054" s="2">
        <v>45309</v>
      </c>
      <c r="C4054">
        <v>70.100234985351562</v>
      </c>
      <c r="D4054">
        <f>_xlfn.XLOOKUP(B4054, Oil_Price!A:A, Oil_Price!B:B, "")</f>
        <v>74.080001831054688</v>
      </c>
      <c r="E4054">
        <f t="shared" si="252"/>
        <v>4.0203746186643205E-3</v>
      </c>
      <c r="F4054">
        <f t="shared" si="253"/>
        <v>2.094824040248212E-2</v>
      </c>
      <c r="G4054">
        <f t="shared" si="254"/>
        <v>0.28070068359375</v>
      </c>
      <c r="H4054">
        <f t="shared" si="255"/>
        <v>1.5200042724609375</v>
      </c>
    </row>
    <row r="4055" spans="1:8" x14ac:dyDescent="0.2">
      <c r="A4055" t="s">
        <v>14</v>
      </c>
      <c r="B4055" s="2">
        <v>45310</v>
      </c>
      <c r="C4055">
        <v>70.09088134765625</v>
      </c>
      <c r="D4055">
        <f>_xlfn.XLOOKUP(B4055, Oil_Price!A:A, Oil_Price!B:B, "")</f>
        <v>73.410003662109375</v>
      </c>
      <c r="E4055">
        <f t="shared" si="252"/>
        <v>-1.3343233010940797E-4</v>
      </c>
      <c r="F4055">
        <f t="shared" si="253"/>
        <v>-9.0442515170733439E-3</v>
      </c>
      <c r="G4055">
        <f t="shared" si="254"/>
        <v>-9.3536376953125E-3</v>
      </c>
      <c r="H4055">
        <f t="shared" si="255"/>
        <v>-0.6699981689453125</v>
      </c>
    </row>
    <row r="4056" spans="1:8" x14ac:dyDescent="0.2">
      <c r="A4056" t="s">
        <v>14</v>
      </c>
      <c r="B4056" s="2">
        <v>45313</v>
      </c>
      <c r="C4056">
        <v>69.604331970214844</v>
      </c>
      <c r="D4056">
        <f>_xlfn.XLOOKUP(B4056, Oil_Price!A:A, Oil_Price!B:B, "")</f>
        <v>75.19000244140625</v>
      </c>
      <c r="E4056">
        <f t="shared" si="252"/>
        <v>-6.9416929575772252E-3</v>
      </c>
      <c r="F4056">
        <f t="shared" si="253"/>
        <v>2.4247359903288256E-2</v>
      </c>
      <c r="G4056">
        <f t="shared" si="254"/>
        <v>-0.48654937744140625</v>
      </c>
      <c r="H4056">
        <f t="shared" si="255"/>
        <v>1.779998779296875</v>
      </c>
    </row>
    <row r="4057" spans="1:8" x14ac:dyDescent="0.2">
      <c r="A4057" t="s">
        <v>14</v>
      </c>
      <c r="B4057" s="2">
        <v>45314</v>
      </c>
      <c r="C4057">
        <v>69.463973999023438</v>
      </c>
      <c r="D4057">
        <f>_xlfn.XLOOKUP(B4057, Oil_Price!A:A, Oil_Price!B:B, "")</f>
        <v>74.370002746582031</v>
      </c>
      <c r="E4057">
        <f t="shared" si="252"/>
        <v>-2.0165120074921252E-3</v>
      </c>
      <c r="F4057">
        <f t="shared" si="253"/>
        <v>-1.0905701133115731E-2</v>
      </c>
      <c r="G4057">
        <f t="shared" si="254"/>
        <v>-0.14035797119140625</v>
      </c>
      <c r="H4057">
        <f t="shared" si="255"/>
        <v>-0.81999969482421875</v>
      </c>
    </row>
    <row r="4058" spans="1:8" x14ac:dyDescent="0.2">
      <c r="A4058" t="s">
        <v>14</v>
      </c>
      <c r="B4058" s="2">
        <v>45315</v>
      </c>
      <c r="C4058">
        <v>70.390281677246094</v>
      </c>
      <c r="D4058">
        <f>_xlfn.XLOOKUP(B4058, Oil_Price!A:A, Oil_Price!B:B, "")</f>
        <v>75.089996337890625</v>
      </c>
      <c r="E4058">
        <f t="shared" si="252"/>
        <v>1.3335080400607066E-2</v>
      </c>
      <c r="F4058">
        <f t="shared" si="253"/>
        <v>9.6812365835455601E-3</v>
      </c>
      <c r="G4058">
        <f t="shared" si="254"/>
        <v>0.92630767822265625</v>
      </c>
      <c r="H4058">
        <f t="shared" si="255"/>
        <v>0.71999359130859375</v>
      </c>
    </row>
    <row r="4059" spans="1:8" x14ac:dyDescent="0.2">
      <c r="A4059" t="s">
        <v>14</v>
      </c>
      <c r="B4059" s="2">
        <v>45316</v>
      </c>
      <c r="C4059">
        <v>71.569221496582031</v>
      </c>
      <c r="D4059">
        <f>_xlfn.XLOOKUP(B4059, Oil_Price!A:A, Oil_Price!B:B, "")</f>
        <v>77.360000610351562</v>
      </c>
      <c r="E4059">
        <f t="shared" si="252"/>
        <v>1.6748616303904264E-2</v>
      </c>
      <c r="F4059">
        <f t="shared" si="253"/>
        <v>3.0230448570623875E-2</v>
      </c>
      <c r="G4059">
        <f t="shared" si="254"/>
        <v>1.1789398193359375</v>
      </c>
      <c r="H4059">
        <f t="shared" si="255"/>
        <v>2.2700042724609375</v>
      </c>
    </row>
    <row r="4060" spans="1:8" x14ac:dyDescent="0.2">
      <c r="A4060" t="s">
        <v>14</v>
      </c>
      <c r="B4060" s="2">
        <v>45317</v>
      </c>
      <c r="C4060">
        <v>72.158699035644531</v>
      </c>
      <c r="D4060">
        <f>_xlfn.XLOOKUP(B4060, Oil_Price!A:A, Oil_Price!B:B, "")</f>
        <v>78.010002136230469</v>
      </c>
      <c r="E4060">
        <f t="shared" si="252"/>
        <v>8.2364671116431244E-3</v>
      </c>
      <c r="F4060">
        <f t="shared" si="253"/>
        <v>8.402294735658641E-3</v>
      </c>
      <c r="G4060">
        <f t="shared" si="254"/>
        <v>0.5894775390625</v>
      </c>
      <c r="H4060">
        <f t="shared" si="255"/>
        <v>0.65000152587890625</v>
      </c>
    </row>
    <row r="4061" spans="1:8" x14ac:dyDescent="0.2">
      <c r="A4061" t="s">
        <v>14</v>
      </c>
      <c r="B4061" s="2">
        <v>45320</v>
      </c>
      <c r="C4061">
        <v>71.747001647949219</v>
      </c>
      <c r="D4061">
        <f>_xlfn.XLOOKUP(B4061, Oil_Price!A:A, Oil_Price!B:B, "")</f>
        <v>76.779998779296875</v>
      </c>
      <c r="E4061">
        <f t="shared" si="252"/>
        <v>-5.7054436013590634E-3</v>
      </c>
      <c r="F4061">
        <f t="shared" si="253"/>
        <v>-1.5767251932458783E-2</v>
      </c>
      <c r="G4061">
        <f t="shared" si="254"/>
        <v>-0.4116973876953125</v>
      </c>
      <c r="H4061">
        <f t="shared" si="255"/>
        <v>-1.2300033569335938</v>
      </c>
    </row>
    <row r="4062" spans="1:8" x14ac:dyDescent="0.2">
      <c r="A4062" t="s">
        <v>14</v>
      </c>
      <c r="B4062" s="2">
        <v>45321</v>
      </c>
      <c r="C4062">
        <v>73.786758422851562</v>
      </c>
      <c r="D4062">
        <f>_xlfn.XLOOKUP(B4062, Oil_Price!A:A, Oil_Price!B:B, "")</f>
        <v>77.819999694824219</v>
      </c>
      <c r="E4062">
        <f t="shared" si="252"/>
        <v>2.8429853904015336E-2</v>
      </c>
      <c r="F4062">
        <f t="shared" si="253"/>
        <v>1.3545206200338882E-2</v>
      </c>
      <c r="G4062">
        <f t="shared" si="254"/>
        <v>2.0397567749023438</v>
      </c>
      <c r="H4062">
        <f t="shared" si="255"/>
        <v>1.0400009155273438</v>
      </c>
    </row>
    <row r="4063" spans="1:8" x14ac:dyDescent="0.2">
      <c r="A4063" t="s">
        <v>14</v>
      </c>
      <c r="B4063" s="2">
        <v>45322</v>
      </c>
      <c r="C4063">
        <v>72.561042785644531</v>
      </c>
      <c r="D4063">
        <f>_xlfn.XLOOKUP(B4063, Oil_Price!A:A, Oil_Price!B:B, "")</f>
        <v>75.849998474121094</v>
      </c>
      <c r="E4063">
        <f t="shared" si="252"/>
        <v>-1.6611593508184665E-2</v>
      </c>
      <c r="F4063">
        <f t="shared" si="253"/>
        <v>-2.531484487829096E-2</v>
      </c>
      <c r="G4063">
        <f t="shared" si="254"/>
        <v>-1.2257156372070312</v>
      </c>
      <c r="H4063">
        <f t="shared" si="255"/>
        <v>-1.970001220703125</v>
      </c>
    </row>
    <row r="4064" spans="1:8" x14ac:dyDescent="0.2">
      <c r="A4064" t="s">
        <v>14</v>
      </c>
      <c r="B4064" s="2">
        <v>45323</v>
      </c>
      <c r="C4064">
        <v>71.681510925292969</v>
      </c>
      <c r="D4064">
        <f>_xlfn.XLOOKUP(B4064, Oil_Price!A:A, Oil_Price!B:B, "")</f>
        <v>73.819999694824219</v>
      </c>
      <c r="E4064">
        <f t="shared" si="252"/>
        <v>-1.2121268198278553E-2</v>
      </c>
      <c r="F4064">
        <f t="shared" si="253"/>
        <v>-2.6763333159320772E-2</v>
      </c>
      <c r="G4064">
        <f t="shared" si="254"/>
        <v>-0.8795318603515625</v>
      </c>
      <c r="H4064">
        <f t="shared" si="255"/>
        <v>-2.029998779296875</v>
      </c>
    </row>
    <row r="4065" spans="1:8" x14ac:dyDescent="0.2">
      <c r="A4065" t="s">
        <v>14</v>
      </c>
      <c r="B4065" s="2">
        <v>45324</v>
      </c>
      <c r="C4065">
        <v>71.045265197753906</v>
      </c>
      <c r="D4065">
        <f>_xlfn.XLOOKUP(B4065, Oil_Price!A:A, Oil_Price!B:B, "")</f>
        <v>72.279998779296875</v>
      </c>
      <c r="E4065">
        <f t="shared" si="252"/>
        <v>-8.8760088804791352E-3</v>
      </c>
      <c r="F4065">
        <f t="shared" si="253"/>
        <v>-2.0861567622511366E-2</v>
      </c>
      <c r="G4065">
        <f t="shared" si="254"/>
        <v>-0.6362457275390625</v>
      </c>
      <c r="H4065">
        <f t="shared" si="255"/>
        <v>-1.5400009155273438</v>
      </c>
    </row>
    <row r="4066" spans="1:8" x14ac:dyDescent="0.2">
      <c r="A4066" t="s">
        <v>14</v>
      </c>
      <c r="B4066" s="2">
        <v>45327</v>
      </c>
      <c r="C4066">
        <v>71.485015869140625</v>
      </c>
      <c r="D4066">
        <f>_xlfn.XLOOKUP(B4066, Oil_Price!A:A, Oil_Price!B:B, "")</f>
        <v>72.779998779296875</v>
      </c>
      <c r="E4066">
        <f t="shared" si="252"/>
        <v>6.1897252429514681E-3</v>
      </c>
      <c r="F4066">
        <f t="shared" si="253"/>
        <v>6.9175430055930598E-3</v>
      </c>
      <c r="G4066">
        <f t="shared" si="254"/>
        <v>0.43975067138671875</v>
      </c>
      <c r="H4066">
        <f t="shared" si="255"/>
        <v>0.5</v>
      </c>
    </row>
    <row r="4067" spans="1:8" x14ac:dyDescent="0.2">
      <c r="A4067" t="s">
        <v>14</v>
      </c>
      <c r="B4067" s="2">
        <v>45328</v>
      </c>
      <c r="C4067">
        <v>72.486175537109375</v>
      </c>
      <c r="D4067">
        <f>_xlfn.XLOOKUP(B4067, Oil_Price!A:A, Oil_Price!B:B, "")</f>
        <v>73.30999755859375</v>
      </c>
      <c r="E4067">
        <f t="shared" si="252"/>
        <v>1.4005168157218535E-2</v>
      </c>
      <c r="F4067">
        <f t="shared" si="253"/>
        <v>7.2822037398500121E-3</v>
      </c>
      <c r="G4067">
        <f t="shared" si="254"/>
        <v>1.00115966796875</v>
      </c>
      <c r="H4067">
        <f t="shared" si="255"/>
        <v>0.529998779296875</v>
      </c>
    </row>
    <row r="4068" spans="1:8" x14ac:dyDescent="0.2">
      <c r="A4068" t="s">
        <v>14</v>
      </c>
      <c r="B4068" s="2">
        <v>45329</v>
      </c>
      <c r="C4068">
        <v>71.980934143066406</v>
      </c>
      <c r="D4068">
        <f>_xlfn.XLOOKUP(B4068, Oil_Price!A:A, Oil_Price!B:B, "")</f>
        <v>73.860000610351562</v>
      </c>
      <c r="E4068">
        <f t="shared" si="252"/>
        <v>-6.9701759031873586E-3</v>
      </c>
      <c r="F4068">
        <f t="shared" si="253"/>
        <v>7.5024290011497692E-3</v>
      </c>
      <c r="G4068">
        <f t="shared" si="254"/>
        <v>-0.50524139404296875</v>
      </c>
      <c r="H4068">
        <f t="shared" si="255"/>
        <v>0.5500030517578125</v>
      </c>
    </row>
    <row r="4069" spans="1:8" x14ac:dyDescent="0.2">
      <c r="A4069" t="s">
        <v>14</v>
      </c>
      <c r="B4069" s="2">
        <v>45330</v>
      </c>
      <c r="C4069">
        <v>74.170379638671875</v>
      </c>
      <c r="D4069">
        <f>_xlfn.XLOOKUP(B4069, Oil_Price!A:A, Oil_Price!B:B, "")</f>
        <v>76.220001220703125</v>
      </c>
      <c r="E4069">
        <f t="shared" si="252"/>
        <v>3.0417019752116789E-2</v>
      </c>
      <c r="F4069">
        <f t="shared" si="253"/>
        <v>3.1952350268743511E-2</v>
      </c>
      <c r="G4069">
        <f t="shared" si="254"/>
        <v>2.1894454956054688</v>
      </c>
      <c r="H4069">
        <f t="shared" si="255"/>
        <v>2.3600006103515625</v>
      </c>
    </row>
    <row r="4070" spans="1:8" x14ac:dyDescent="0.2">
      <c r="A4070" t="s">
        <v>14</v>
      </c>
      <c r="B4070" s="2">
        <v>45331</v>
      </c>
      <c r="C4070">
        <v>73.449920654296875</v>
      </c>
      <c r="D4070">
        <f>_xlfn.XLOOKUP(B4070, Oil_Price!A:A, Oil_Price!B:B, "")</f>
        <v>76.839996337890625</v>
      </c>
      <c r="E4070">
        <f t="shared" si="252"/>
        <v>-9.7135674360140142E-3</v>
      </c>
      <c r="F4070">
        <f t="shared" si="253"/>
        <v>8.1342837478083751E-3</v>
      </c>
      <c r="G4070">
        <f t="shared" si="254"/>
        <v>-0.720458984375</v>
      </c>
      <c r="H4070">
        <f t="shared" si="255"/>
        <v>0.6199951171875</v>
      </c>
    </row>
    <row r="4071" spans="1:8" x14ac:dyDescent="0.2">
      <c r="A4071" t="s">
        <v>14</v>
      </c>
      <c r="B4071" s="2">
        <v>45334</v>
      </c>
      <c r="C4071">
        <v>75.3118896484375</v>
      </c>
      <c r="D4071">
        <f>_xlfn.XLOOKUP(B4071, Oil_Price!A:A, Oil_Price!B:B, "")</f>
        <v>76.919998168945312</v>
      </c>
      <c r="E4071">
        <f t="shared" si="252"/>
        <v>2.5350183874319795E-2</v>
      </c>
      <c r="F4071">
        <f t="shared" si="253"/>
        <v>1.0411482934342324E-3</v>
      </c>
      <c r="G4071">
        <f t="shared" si="254"/>
        <v>1.861968994140625</v>
      </c>
      <c r="H4071">
        <f t="shared" si="255"/>
        <v>8.00018310546875E-2</v>
      </c>
    </row>
    <row r="4072" spans="1:8" x14ac:dyDescent="0.2">
      <c r="A4072" t="s">
        <v>14</v>
      </c>
      <c r="B4072" s="2">
        <v>45335</v>
      </c>
      <c r="C4072">
        <v>74.394950866699219</v>
      </c>
      <c r="D4072">
        <f>_xlfn.XLOOKUP(B4072, Oil_Price!A:A, Oil_Price!B:B, "")</f>
        <v>77.870002746582031</v>
      </c>
      <c r="E4072">
        <f t="shared" si="252"/>
        <v>-1.2175219424431279E-2</v>
      </c>
      <c r="F4072">
        <f t="shared" si="253"/>
        <v>1.2350553825419374E-2</v>
      </c>
      <c r="G4072">
        <f t="shared" si="254"/>
        <v>-0.91693878173828125</v>
      </c>
      <c r="H4072">
        <f t="shared" si="255"/>
        <v>0.95000457763671875</v>
      </c>
    </row>
    <row r="4073" spans="1:8" x14ac:dyDescent="0.2">
      <c r="A4073" t="s">
        <v>14</v>
      </c>
      <c r="B4073" s="2">
        <v>45336</v>
      </c>
      <c r="C4073">
        <v>74.741127014160156</v>
      </c>
      <c r="D4073">
        <f>_xlfn.XLOOKUP(B4073, Oil_Price!A:A, Oil_Price!B:B, "")</f>
        <v>76.639999389648438</v>
      </c>
      <c r="E4073">
        <f t="shared" si="252"/>
        <v>4.6532209972315929E-3</v>
      </c>
      <c r="F4073">
        <f t="shared" si="253"/>
        <v>-1.579559924938596E-2</v>
      </c>
      <c r="G4073">
        <f t="shared" si="254"/>
        <v>0.3461761474609375</v>
      </c>
      <c r="H4073">
        <f t="shared" si="255"/>
        <v>-1.2300033569335938</v>
      </c>
    </row>
    <row r="4074" spans="1:8" x14ac:dyDescent="0.2">
      <c r="A4074" t="s">
        <v>14</v>
      </c>
      <c r="B4074" s="2">
        <v>45337</v>
      </c>
      <c r="C4074">
        <v>76.069793701171875</v>
      </c>
      <c r="D4074">
        <f>_xlfn.XLOOKUP(B4074, Oil_Price!A:A, Oil_Price!B:B, "")</f>
        <v>78.029998779296875</v>
      </c>
      <c r="E4074">
        <f t="shared" si="252"/>
        <v>1.7776915335515276E-2</v>
      </c>
      <c r="F4074">
        <f t="shared" si="253"/>
        <v>1.8136735395592671E-2</v>
      </c>
      <c r="G4074">
        <f t="shared" si="254"/>
        <v>1.3286666870117188</v>
      </c>
      <c r="H4074">
        <f t="shared" si="255"/>
        <v>1.3899993896484375</v>
      </c>
    </row>
    <row r="4075" spans="1:8" x14ac:dyDescent="0.2">
      <c r="A4075" t="s">
        <v>14</v>
      </c>
      <c r="B4075" s="2">
        <v>45338</v>
      </c>
      <c r="C4075">
        <v>75.55517578125</v>
      </c>
      <c r="D4075">
        <f>_xlfn.XLOOKUP(B4075, Oil_Price!A:A, Oil_Price!B:B, "")</f>
        <v>79.19000244140625</v>
      </c>
      <c r="E4075">
        <f t="shared" si="252"/>
        <v>-6.765075792678891E-3</v>
      </c>
      <c r="F4075">
        <f t="shared" si="253"/>
        <v>1.4866124314449563E-2</v>
      </c>
      <c r="G4075">
        <f t="shared" si="254"/>
        <v>-0.514617919921875</v>
      </c>
      <c r="H4075">
        <f t="shared" si="255"/>
        <v>1.160003662109375</v>
      </c>
    </row>
    <row r="4076" spans="1:8" x14ac:dyDescent="0.2">
      <c r="A4076" t="s">
        <v>14</v>
      </c>
      <c r="B4076" s="2">
        <v>45342</v>
      </c>
      <c r="C4076">
        <v>74.703712463378906</v>
      </c>
      <c r="D4076">
        <f>_xlfn.XLOOKUP(B4076, Oil_Price!A:A, Oil_Price!B:B, "")</f>
        <v>78.180000305175781</v>
      </c>
      <c r="E4076">
        <f t="shared" si="252"/>
        <v>-1.126942408732236E-2</v>
      </c>
      <c r="F4076">
        <f t="shared" si="253"/>
        <v>-1.275416220599037E-2</v>
      </c>
      <c r="G4076">
        <f t="shared" si="254"/>
        <v>-0.85146331787109375</v>
      </c>
      <c r="H4076">
        <f t="shared" si="255"/>
        <v>-1.0100021362304688</v>
      </c>
    </row>
    <row r="4077" spans="1:8" x14ac:dyDescent="0.2">
      <c r="A4077" t="s">
        <v>14</v>
      </c>
      <c r="B4077" s="2">
        <v>45343</v>
      </c>
      <c r="C4077">
        <v>76.996101379394531</v>
      </c>
      <c r="D4077">
        <f>_xlfn.XLOOKUP(B4077, Oil_Price!A:A, Oil_Price!B:B, "")</f>
        <v>77.910003662109375</v>
      </c>
      <c r="E4077">
        <f t="shared" si="252"/>
        <v>3.0686412233386594E-2</v>
      </c>
      <c r="F4077">
        <f t="shared" si="253"/>
        <v>-3.4535257356417734E-3</v>
      </c>
      <c r="G4077">
        <f t="shared" si="254"/>
        <v>2.292388916015625</v>
      </c>
      <c r="H4077">
        <f t="shared" si="255"/>
        <v>-0.26999664306640625</v>
      </c>
    </row>
    <row r="4078" spans="1:8" x14ac:dyDescent="0.2">
      <c r="A4078" t="s">
        <v>14</v>
      </c>
      <c r="B4078" s="2">
        <v>45344</v>
      </c>
      <c r="C4078">
        <v>77.716552734375</v>
      </c>
      <c r="D4078">
        <f>_xlfn.XLOOKUP(B4078, Oil_Price!A:A, Oil_Price!B:B, "")</f>
        <v>78.610000610351562</v>
      </c>
      <c r="E4078">
        <f t="shared" si="252"/>
        <v>9.3569848612266721E-3</v>
      </c>
      <c r="F4078">
        <f t="shared" si="253"/>
        <v>8.9846863732419881E-3</v>
      </c>
      <c r="G4078">
        <f t="shared" si="254"/>
        <v>0.72045135498046875</v>
      </c>
      <c r="H4078">
        <f t="shared" si="255"/>
        <v>0.6999969482421875</v>
      </c>
    </row>
    <row r="4079" spans="1:8" x14ac:dyDescent="0.2">
      <c r="A4079" t="s">
        <v>14</v>
      </c>
      <c r="B4079" s="2">
        <v>45345</v>
      </c>
      <c r="C4079">
        <v>77.884994506835938</v>
      </c>
      <c r="D4079">
        <f>_xlfn.XLOOKUP(B4079, Oil_Price!A:A, Oil_Price!B:B, "")</f>
        <v>76.489997863769531</v>
      </c>
      <c r="E4079">
        <f t="shared" si="252"/>
        <v>2.167386052706808E-3</v>
      </c>
      <c r="F4079">
        <f t="shared" si="253"/>
        <v>-2.6968613791142293E-2</v>
      </c>
      <c r="G4079">
        <f t="shared" si="254"/>
        <v>0.1684417724609375</v>
      </c>
      <c r="H4079">
        <f t="shared" si="255"/>
        <v>-2.1200027465820312</v>
      </c>
    </row>
    <row r="4080" spans="1:8" x14ac:dyDescent="0.2">
      <c r="A4080" t="s">
        <v>14</v>
      </c>
      <c r="B4080" s="2">
        <v>45348</v>
      </c>
      <c r="C4080">
        <v>79.129417419433594</v>
      </c>
      <c r="D4080">
        <f>_xlfn.XLOOKUP(B4080, Oil_Price!A:A, Oil_Price!B:B, "")</f>
        <v>77.580001831054688</v>
      </c>
      <c r="E4080">
        <f t="shared" si="252"/>
        <v>1.5977697892607976E-2</v>
      </c>
      <c r="F4080">
        <f t="shared" si="253"/>
        <v>1.4250281052778674E-2</v>
      </c>
      <c r="G4080">
        <f t="shared" si="254"/>
        <v>1.2444229125976562</v>
      </c>
      <c r="H4080">
        <f t="shared" si="255"/>
        <v>1.0900039672851562</v>
      </c>
    </row>
    <row r="4081" spans="1:8" x14ac:dyDescent="0.2">
      <c r="A4081" t="s">
        <v>14</v>
      </c>
      <c r="B4081" s="2">
        <v>45349</v>
      </c>
      <c r="C4081">
        <v>79.831169128417969</v>
      </c>
      <c r="D4081">
        <f>_xlfn.XLOOKUP(B4081, Oil_Price!A:A, Oil_Price!B:B, "")</f>
        <v>78.870002746582031</v>
      </c>
      <c r="E4081">
        <f t="shared" si="252"/>
        <v>8.8684048470200165E-3</v>
      </c>
      <c r="F4081">
        <f t="shared" si="253"/>
        <v>1.662800831503675E-2</v>
      </c>
      <c r="G4081">
        <f t="shared" si="254"/>
        <v>0.701751708984375</v>
      </c>
      <c r="H4081">
        <f t="shared" si="255"/>
        <v>1.2900009155273438</v>
      </c>
    </row>
    <row r="4082" spans="1:8" x14ac:dyDescent="0.2">
      <c r="A4082" t="s">
        <v>14</v>
      </c>
      <c r="B4082" s="2">
        <v>45350</v>
      </c>
      <c r="C4082">
        <v>78.876792907714844</v>
      </c>
      <c r="D4082">
        <f>_xlfn.XLOOKUP(B4082, Oil_Price!A:A, Oil_Price!B:B, "")</f>
        <v>78.540000915527344</v>
      </c>
      <c r="E4082">
        <f t="shared" si="252"/>
        <v>-1.1954932279244174E-2</v>
      </c>
      <c r="F4082">
        <f t="shared" si="253"/>
        <v>-4.1841234888125916E-3</v>
      </c>
      <c r="G4082">
        <f t="shared" si="254"/>
        <v>-0.954376220703125</v>
      </c>
      <c r="H4082">
        <f t="shared" si="255"/>
        <v>-0.3300018310546875</v>
      </c>
    </row>
    <row r="4083" spans="1:8" x14ac:dyDescent="0.2">
      <c r="A4083" t="s">
        <v>14</v>
      </c>
      <c r="B4083" s="2">
        <v>45351</v>
      </c>
      <c r="C4083">
        <v>79.456916809082031</v>
      </c>
      <c r="D4083">
        <f>_xlfn.XLOOKUP(B4083, Oil_Price!A:A, Oil_Price!B:B, "")</f>
        <v>78.260002136230469</v>
      </c>
      <c r="E4083">
        <f t="shared" si="252"/>
        <v>7.3548109650696291E-3</v>
      </c>
      <c r="F4083">
        <f t="shared" si="253"/>
        <v>-3.5650468045960934E-3</v>
      </c>
      <c r="G4083">
        <f t="shared" si="254"/>
        <v>0.5801239013671875</v>
      </c>
      <c r="H4083">
        <f t="shared" si="255"/>
        <v>-0.279998779296875</v>
      </c>
    </row>
    <row r="4084" spans="1:8" x14ac:dyDescent="0.2">
      <c r="A4084" t="s">
        <v>14</v>
      </c>
      <c r="B4084" s="2">
        <v>45352</v>
      </c>
      <c r="C4084">
        <v>81.200210571289062</v>
      </c>
      <c r="D4084">
        <f>_xlfn.XLOOKUP(B4084, Oil_Price!A:A, Oil_Price!B:B, "")</f>
        <v>79.970001220703125</v>
      </c>
      <c r="E4084">
        <f t="shared" si="252"/>
        <v>2.1940113362261378E-2</v>
      </c>
      <c r="F4084">
        <f t="shared" si="253"/>
        <v>2.1850230485503809E-2</v>
      </c>
      <c r="G4084">
        <f t="shared" si="254"/>
        <v>1.7432937622070312</v>
      </c>
      <c r="H4084">
        <f t="shared" si="255"/>
        <v>1.7099990844726562</v>
      </c>
    </row>
    <row r="4085" spans="1:8" x14ac:dyDescent="0.2">
      <c r="A4085" t="s">
        <v>14</v>
      </c>
      <c r="B4085" s="2">
        <v>45355</v>
      </c>
      <c r="C4085">
        <v>79.918632507324219</v>
      </c>
      <c r="D4085">
        <f>_xlfn.XLOOKUP(B4085, Oil_Price!A:A, Oil_Price!B:B, "")</f>
        <v>78.739997863769531</v>
      </c>
      <c r="E4085">
        <f t="shared" si="252"/>
        <v>-1.5782940154320076E-2</v>
      </c>
      <c r="F4085">
        <f t="shared" si="253"/>
        <v>-1.538080953055135E-2</v>
      </c>
      <c r="G4085">
        <f t="shared" si="254"/>
        <v>-1.2815780639648438</v>
      </c>
      <c r="H4085">
        <f t="shared" si="255"/>
        <v>-1.2300033569335938</v>
      </c>
    </row>
    <row r="4086" spans="1:8" x14ac:dyDescent="0.2">
      <c r="A4086" t="s">
        <v>14</v>
      </c>
      <c r="B4086" s="2">
        <v>45356</v>
      </c>
      <c r="C4086">
        <v>81.096549987792969</v>
      </c>
      <c r="D4086">
        <f>_xlfn.XLOOKUP(B4086, Oil_Price!A:A, Oil_Price!B:B, "")</f>
        <v>78.150001525878906</v>
      </c>
      <c r="E4086">
        <f t="shared" si="252"/>
        <v>1.4738959408005368E-2</v>
      </c>
      <c r="F4086">
        <f t="shared" si="253"/>
        <v>-7.49296868043349E-3</v>
      </c>
      <c r="G4086">
        <f t="shared" si="254"/>
        <v>1.17791748046875</v>
      </c>
      <c r="H4086">
        <f t="shared" si="255"/>
        <v>-0.589996337890625</v>
      </c>
    </row>
    <row r="4087" spans="1:8" x14ac:dyDescent="0.2">
      <c r="A4087" t="s">
        <v>14</v>
      </c>
      <c r="B4087" s="2">
        <v>45357</v>
      </c>
      <c r="C4087">
        <v>81.303855895996094</v>
      </c>
      <c r="D4087">
        <f>_xlfn.XLOOKUP(B4087, Oil_Price!A:A, Oil_Price!B:B, "")</f>
        <v>79.129997253417969</v>
      </c>
      <c r="E4087">
        <f t="shared" si="252"/>
        <v>2.5562851716174075E-3</v>
      </c>
      <c r="F4087">
        <f t="shared" si="253"/>
        <v>1.2539932289246889E-2</v>
      </c>
      <c r="G4087">
        <f t="shared" si="254"/>
        <v>0.207305908203125</v>
      </c>
      <c r="H4087">
        <f t="shared" si="255"/>
        <v>0.9799957275390625</v>
      </c>
    </row>
    <row r="4088" spans="1:8" x14ac:dyDescent="0.2">
      <c r="A4088" t="s">
        <v>14</v>
      </c>
      <c r="B4088" s="2">
        <v>45358</v>
      </c>
      <c r="C4088">
        <v>81.756172180175781</v>
      </c>
      <c r="D4088">
        <f>_xlfn.XLOOKUP(B4088, Oil_Price!A:A, Oil_Price!B:B, "")</f>
        <v>78.930000305175781</v>
      </c>
      <c r="E4088">
        <f t="shared" si="252"/>
        <v>5.5632820755548247E-3</v>
      </c>
      <c r="F4088">
        <f t="shared" si="253"/>
        <v>-2.5274479361055298E-3</v>
      </c>
      <c r="G4088">
        <f t="shared" si="254"/>
        <v>0.4523162841796875</v>
      </c>
      <c r="H4088">
        <f t="shared" si="255"/>
        <v>-0.1999969482421875</v>
      </c>
    </row>
    <row r="4089" spans="1:8" x14ac:dyDescent="0.2">
      <c r="A4089" t="s">
        <v>14</v>
      </c>
      <c r="B4089" s="2">
        <v>45359</v>
      </c>
      <c r="C4089">
        <v>81.652519226074219</v>
      </c>
      <c r="D4089">
        <f>_xlfn.XLOOKUP(B4089, Oil_Price!A:A, Oil_Price!B:B, "")</f>
        <v>78.010002136230469</v>
      </c>
      <c r="E4089">
        <f t="shared" si="252"/>
        <v>-1.267830322010798E-3</v>
      </c>
      <c r="F4089">
        <f t="shared" si="253"/>
        <v>-1.165587438728268E-2</v>
      </c>
      <c r="G4089">
        <f t="shared" si="254"/>
        <v>-0.1036529541015625</v>
      </c>
      <c r="H4089">
        <f t="shared" si="255"/>
        <v>-0.9199981689453125</v>
      </c>
    </row>
    <row r="4090" spans="1:8" x14ac:dyDescent="0.2">
      <c r="A4090" t="s">
        <v>14</v>
      </c>
      <c r="B4090" s="2">
        <v>45362</v>
      </c>
      <c r="C4090">
        <v>83.254486083984375</v>
      </c>
      <c r="D4090">
        <f>_xlfn.XLOOKUP(B4090, Oil_Price!A:A, Oil_Price!B:B, "")</f>
        <v>77.930000305175781</v>
      </c>
      <c r="E4090">
        <f t="shared" si="252"/>
        <v>1.9619319441629646E-2</v>
      </c>
      <c r="F4090">
        <f t="shared" si="253"/>
        <v>-1.0255329940252874E-3</v>
      </c>
      <c r="G4090">
        <f t="shared" si="254"/>
        <v>1.6019668579101562</v>
      </c>
      <c r="H4090">
        <f t="shared" si="255"/>
        <v>-8.00018310546875E-2</v>
      </c>
    </row>
    <row r="4091" spans="1:8" x14ac:dyDescent="0.2">
      <c r="A4091" t="s">
        <v>14</v>
      </c>
      <c r="B4091" s="2">
        <v>45363</v>
      </c>
      <c r="C4091">
        <v>84.093154907226562</v>
      </c>
      <c r="D4091">
        <f>_xlfn.XLOOKUP(B4091, Oil_Price!A:A, Oil_Price!B:B, "")</f>
        <v>77.55999755859375</v>
      </c>
      <c r="E4091">
        <f t="shared" si="252"/>
        <v>1.0073557146171872E-2</v>
      </c>
      <c r="F4091">
        <f t="shared" si="253"/>
        <v>-4.747885860812158E-3</v>
      </c>
      <c r="G4091">
        <f t="shared" si="254"/>
        <v>0.8386688232421875</v>
      </c>
      <c r="H4091">
        <f t="shared" si="255"/>
        <v>-0.37000274658203125</v>
      </c>
    </row>
    <row r="4092" spans="1:8" x14ac:dyDescent="0.2">
      <c r="A4092" t="s">
        <v>14</v>
      </c>
      <c r="B4092" s="2">
        <v>45364</v>
      </c>
      <c r="C4092">
        <v>85.167396545410156</v>
      </c>
      <c r="D4092">
        <f>_xlfn.XLOOKUP(B4092, Oil_Price!A:A, Oil_Price!B:B, "")</f>
        <v>79.720001220703125</v>
      </c>
      <c r="E4092">
        <f t="shared" si="252"/>
        <v>1.2774424260437381E-2</v>
      </c>
      <c r="F4092">
        <f t="shared" si="253"/>
        <v>2.7849455003883555E-2</v>
      </c>
      <c r="G4092">
        <f t="shared" si="254"/>
        <v>1.0742416381835938</v>
      </c>
      <c r="H4092">
        <f t="shared" si="255"/>
        <v>2.160003662109375</v>
      </c>
    </row>
    <row r="4093" spans="1:8" x14ac:dyDescent="0.2">
      <c r="A4093" t="s">
        <v>14</v>
      </c>
      <c r="B4093" s="2">
        <v>45365</v>
      </c>
      <c r="C4093">
        <v>86.458389282226562</v>
      </c>
      <c r="D4093">
        <f>_xlfn.XLOOKUP(B4093, Oil_Price!A:A, Oil_Price!B:B, "")</f>
        <v>81.260002136230469</v>
      </c>
      <c r="E4093">
        <f t="shared" si="252"/>
        <v>1.5158297531474565E-2</v>
      </c>
      <c r="F4093">
        <f t="shared" si="253"/>
        <v>1.9317622829230573E-2</v>
      </c>
      <c r="G4093">
        <f t="shared" si="254"/>
        <v>1.2909927368164062</v>
      </c>
      <c r="H4093">
        <f t="shared" si="255"/>
        <v>1.5400009155273438</v>
      </c>
    </row>
    <row r="4094" spans="1:8" x14ac:dyDescent="0.2">
      <c r="A4094" t="s">
        <v>14</v>
      </c>
      <c r="B4094" s="2">
        <v>45366</v>
      </c>
      <c r="C4094">
        <v>86.090866088867188</v>
      </c>
      <c r="D4094">
        <f>_xlfn.XLOOKUP(B4094, Oil_Price!A:A, Oil_Price!B:B, "")</f>
        <v>81.040000915527344</v>
      </c>
      <c r="E4094">
        <f t="shared" si="252"/>
        <v>-4.250867919360227E-3</v>
      </c>
      <c r="F4094">
        <f t="shared" si="253"/>
        <v>-2.707374045281197E-3</v>
      </c>
      <c r="G4094">
        <f t="shared" si="254"/>
        <v>-0.367523193359375</v>
      </c>
      <c r="H4094">
        <f t="shared" si="255"/>
        <v>-0.220001220703125</v>
      </c>
    </row>
    <row r="4095" spans="1:8" x14ac:dyDescent="0.2">
      <c r="A4095" t="s">
        <v>14</v>
      </c>
      <c r="B4095" s="2">
        <v>45369</v>
      </c>
      <c r="C4095">
        <v>86.279342651367188</v>
      </c>
      <c r="D4095">
        <f>_xlfn.XLOOKUP(B4095, Oil_Price!A:A, Oil_Price!B:B, "")</f>
        <v>82.720001220703125</v>
      </c>
      <c r="E4095">
        <f t="shared" si="252"/>
        <v>2.1892747867752345E-3</v>
      </c>
      <c r="F4095">
        <f t="shared" si="253"/>
        <v>2.073050698662926E-2</v>
      </c>
      <c r="G4095">
        <f t="shared" si="254"/>
        <v>0.1884765625</v>
      </c>
      <c r="H4095">
        <f t="shared" si="255"/>
        <v>1.6800003051757812</v>
      </c>
    </row>
    <row r="4096" spans="1:8" x14ac:dyDescent="0.2">
      <c r="A4096" t="s">
        <v>14</v>
      </c>
      <c r="B4096" s="2">
        <v>45370</v>
      </c>
      <c r="C4096">
        <v>86.006072998046875</v>
      </c>
      <c r="D4096">
        <f>_xlfn.XLOOKUP(B4096, Oil_Price!A:A, Oil_Price!B:B, "")</f>
        <v>83.470001220703125</v>
      </c>
      <c r="E4096">
        <f t="shared" si="252"/>
        <v>-3.1672662878822044E-3</v>
      </c>
      <c r="F4096">
        <f t="shared" si="253"/>
        <v>9.0667310074010292E-3</v>
      </c>
      <c r="G4096">
        <f t="shared" si="254"/>
        <v>-0.2732696533203125</v>
      </c>
      <c r="H4096">
        <f t="shared" si="255"/>
        <v>0.75</v>
      </c>
    </row>
    <row r="4097" spans="1:8" x14ac:dyDescent="0.2">
      <c r="A4097" t="s">
        <v>14</v>
      </c>
      <c r="B4097" s="2">
        <v>45371</v>
      </c>
      <c r="C4097">
        <v>85.525482177734375</v>
      </c>
      <c r="D4097">
        <f>_xlfn.XLOOKUP(B4097, Oil_Price!A:A, Oil_Price!B:B, "")</f>
        <v>81.680000305175781</v>
      </c>
      <c r="E4097">
        <f t="shared" si="252"/>
        <v>-5.5878707579569854E-3</v>
      </c>
      <c r="F4097">
        <f t="shared" si="253"/>
        <v>-2.1444841132737022E-2</v>
      </c>
      <c r="G4097">
        <f t="shared" si="254"/>
        <v>-0.4805908203125</v>
      </c>
      <c r="H4097">
        <f t="shared" si="255"/>
        <v>-1.7900009155273438</v>
      </c>
    </row>
    <row r="4098" spans="1:8" x14ac:dyDescent="0.2">
      <c r="A4098" t="s">
        <v>14</v>
      </c>
      <c r="B4098" s="2">
        <v>45372</v>
      </c>
      <c r="C4098">
        <v>86.109725952148438</v>
      </c>
      <c r="D4098">
        <f>_xlfn.XLOOKUP(B4098, Oil_Price!A:A, Oil_Price!B:B, "")</f>
        <v>81.069999694824219</v>
      </c>
      <c r="E4098">
        <f t="shared" si="252"/>
        <v>6.8312245606510476E-3</v>
      </c>
      <c r="F4098">
        <f t="shared" si="253"/>
        <v>-7.4681759068616071E-3</v>
      </c>
      <c r="G4098">
        <f t="shared" si="254"/>
        <v>0.5842437744140625</v>
      </c>
      <c r="H4098">
        <f t="shared" si="255"/>
        <v>-0.6100006103515625</v>
      </c>
    </row>
    <row r="4099" spans="1:8" x14ac:dyDescent="0.2">
      <c r="A4099" t="s">
        <v>14</v>
      </c>
      <c r="B4099" s="2">
        <v>45373</v>
      </c>
      <c r="C4099">
        <v>86.844749450683594</v>
      </c>
      <c r="D4099">
        <f>_xlfn.XLOOKUP(B4099, Oil_Price!A:A, Oil_Price!B:B, "")</f>
        <v>80.629997253417969</v>
      </c>
      <c r="E4099">
        <f t="shared" ref="E4099:E4162" si="256">IFERROR(IF(AND(A4099=A4098, C4099&lt;&gt;"", C4098&lt;&gt;""), (C4099-C4098)/C4098, ""), "")</f>
        <v>8.5358940631585813E-3</v>
      </c>
      <c r="F4099">
        <f t="shared" ref="F4099:F4162" si="257">IFERROR(IF(AND(A4099=A4098, D4099&lt;&gt;"", D4098&lt;&gt;""), (D4099-D4098)/D4098, ""), "")</f>
        <v>-5.4274385477065847E-3</v>
      </c>
      <c r="G4099">
        <f t="shared" ref="G4099:G4162" si="258">IFERROR(IF(AND(A4099=A4098, C4099&lt;&gt;"", C4098&lt;&gt;""), C4099-C4098, ""), "")</f>
        <v>0.73502349853515625</v>
      </c>
      <c r="H4099">
        <f t="shared" ref="H4099:H4162" si="259">IFERROR(IF(AND(A4099=A4098, D4099&lt;&gt;"", D4098&lt;&gt;""), D4099-D4098, ""), "")</f>
        <v>-0.44000244140625</v>
      </c>
    </row>
    <row r="4100" spans="1:8" x14ac:dyDescent="0.2">
      <c r="A4100" t="s">
        <v>14</v>
      </c>
      <c r="B4100" s="2">
        <v>45376</v>
      </c>
      <c r="C4100">
        <v>88.295921325683594</v>
      </c>
      <c r="D4100">
        <f>_xlfn.XLOOKUP(B4100, Oil_Price!A:A, Oil_Price!B:B, "")</f>
        <v>81.949996948242188</v>
      </c>
      <c r="E4100">
        <f t="shared" si="256"/>
        <v>1.6709955226758701E-2</v>
      </c>
      <c r="F4100">
        <f t="shared" si="257"/>
        <v>1.6371074535392757E-2</v>
      </c>
      <c r="G4100">
        <f t="shared" si="258"/>
        <v>1.451171875</v>
      </c>
      <c r="H4100">
        <f t="shared" si="259"/>
        <v>1.3199996948242188</v>
      </c>
    </row>
    <row r="4101" spans="1:8" x14ac:dyDescent="0.2">
      <c r="A4101" t="s">
        <v>14</v>
      </c>
      <c r="B4101" s="2">
        <v>45377</v>
      </c>
      <c r="C4101">
        <v>87.721092224121094</v>
      </c>
      <c r="D4101">
        <f>_xlfn.XLOOKUP(B4101, Oil_Price!A:A, Oil_Price!B:B, "")</f>
        <v>81.620002746582031</v>
      </c>
      <c r="E4101">
        <f t="shared" si="256"/>
        <v>-6.5102565660107477E-3</v>
      </c>
      <c r="F4101">
        <f t="shared" si="257"/>
        <v>-4.0267750329334769E-3</v>
      </c>
      <c r="G4101">
        <f t="shared" si="258"/>
        <v>-0.5748291015625</v>
      </c>
      <c r="H4101">
        <f t="shared" si="259"/>
        <v>-0.32999420166015625</v>
      </c>
    </row>
    <row r="4102" spans="1:8" x14ac:dyDescent="0.2">
      <c r="A4102" t="s">
        <v>14</v>
      </c>
      <c r="B4102" s="2">
        <v>45378</v>
      </c>
      <c r="C4102">
        <v>87.909568786621094</v>
      </c>
      <c r="D4102">
        <f>_xlfn.XLOOKUP(B4102, Oil_Price!A:A, Oil_Price!B:B, "")</f>
        <v>81.349998474121094</v>
      </c>
      <c r="E4102">
        <f t="shared" si="256"/>
        <v>2.1485888709462933E-3</v>
      </c>
      <c r="F4102">
        <f t="shared" si="257"/>
        <v>-3.308064976415899E-3</v>
      </c>
      <c r="G4102">
        <f t="shared" si="258"/>
        <v>0.1884765625</v>
      </c>
      <c r="H4102">
        <f t="shared" si="259"/>
        <v>-0.2700042724609375</v>
      </c>
    </row>
    <row r="4103" spans="1:8" x14ac:dyDescent="0.2">
      <c r="A4103" t="s">
        <v>14</v>
      </c>
      <c r="B4103" s="2">
        <v>45379</v>
      </c>
      <c r="C4103">
        <v>88.04150390625</v>
      </c>
      <c r="D4103">
        <f>_xlfn.XLOOKUP(B4103, Oil_Price!A:A, Oil_Price!B:B, "")</f>
        <v>83.169998168945312</v>
      </c>
      <c r="E4103">
        <f t="shared" si="256"/>
        <v>1.5008049914241575E-3</v>
      </c>
      <c r="F4103">
        <f t="shared" si="257"/>
        <v>2.2372461327128279E-2</v>
      </c>
      <c r="G4103">
        <f t="shared" si="258"/>
        <v>0.13193511962890625</v>
      </c>
      <c r="H4103">
        <f t="shared" si="259"/>
        <v>1.8199996948242188</v>
      </c>
    </row>
    <row r="4104" spans="1:8" x14ac:dyDescent="0.2">
      <c r="A4104" t="s">
        <v>14</v>
      </c>
      <c r="B4104" s="2">
        <v>45383</v>
      </c>
      <c r="C4104">
        <v>89.228836059570312</v>
      </c>
      <c r="D4104">
        <f>_xlfn.XLOOKUP(B4104, Oil_Price!A:A, Oil_Price!B:B, "")</f>
        <v>83.709999084472656</v>
      </c>
      <c r="E4104">
        <f t="shared" si="256"/>
        <v>1.348605033581241E-2</v>
      </c>
      <c r="F4104">
        <f t="shared" si="257"/>
        <v>6.492736893301672E-3</v>
      </c>
      <c r="G4104">
        <f t="shared" si="258"/>
        <v>1.1873321533203125</v>
      </c>
      <c r="H4104">
        <f t="shared" si="259"/>
        <v>0.54000091552734375</v>
      </c>
    </row>
    <row r="4105" spans="1:8" x14ac:dyDescent="0.2">
      <c r="A4105" t="s">
        <v>14</v>
      </c>
      <c r="B4105" s="2">
        <v>45384</v>
      </c>
      <c r="C4105">
        <v>90.86846923828125</v>
      </c>
      <c r="D4105">
        <f>_xlfn.XLOOKUP(B4105, Oil_Price!A:A, Oil_Price!B:B, "")</f>
        <v>85.150001525878906</v>
      </c>
      <c r="E4105">
        <f t="shared" si="256"/>
        <v>1.8375597521145488E-2</v>
      </c>
      <c r="F4105">
        <f t="shared" si="257"/>
        <v>1.7202275201952017E-2</v>
      </c>
      <c r="G4105">
        <f t="shared" si="258"/>
        <v>1.6396331787109375</v>
      </c>
      <c r="H4105">
        <f t="shared" si="259"/>
        <v>1.44000244140625</v>
      </c>
    </row>
    <row r="4106" spans="1:8" x14ac:dyDescent="0.2">
      <c r="A4106" t="s">
        <v>14</v>
      </c>
      <c r="B4106" s="2">
        <v>45385</v>
      </c>
      <c r="C4106">
        <v>92.197158813476562</v>
      </c>
      <c r="D4106">
        <f>_xlfn.XLOOKUP(B4106, Oil_Price!A:A, Oil_Price!B:B, "")</f>
        <v>85.430000305175781</v>
      </c>
      <c r="E4106">
        <f t="shared" si="256"/>
        <v>1.4622119051121416E-2</v>
      </c>
      <c r="F4106">
        <f t="shared" si="257"/>
        <v>3.2883003438558644E-3</v>
      </c>
      <c r="G4106">
        <f t="shared" si="258"/>
        <v>1.3286895751953125</v>
      </c>
      <c r="H4106">
        <f t="shared" si="259"/>
        <v>0.279998779296875</v>
      </c>
    </row>
    <row r="4107" spans="1:8" x14ac:dyDescent="0.2">
      <c r="A4107" t="s">
        <v>14</v>
      </c>
      <c r="B4107" s="2">
        <v>45386</v>
      </c>
      <c r="C4107">
        <v>92.065223693847656</v>
      </c>
      <c r="D4107">
        <f>_xlfn.XLOOKUP(B4107, Oil_Price!A:A, Oil_Price!B:B, "")</f>
        <v>86.589996337890625</v>
      </c>
      <c r="E4107">
        <f t="shared" si="256"/>
        <v>-1.4310106876050627E-3</v>
      </c>
      <c r="F4107">
        <f t="shared" si="257"/>
        <v>1.3578321767190317E-2</v>
      </c>
      <c r="G4107">
        <f t="shared" si="258"/>
        <v>-0.13193511962890625</v>
      </c>
      <c r="H4107">
        <f t="shared" si="259"/>
        <v>1.1599960327148438</v>
      </c>
    </row>
    <row r="4108" spans="1:8" x14ac:dyDescent="0.2">
      <c r="A4108" t="s">
        <v>14</v>
      </c>
      <c r="B4108" s="2">
        <v>45387</v>
      </c>
      <c r="C4108">
        <v>93.327949523925781</v>
      </c>
      <c r="D4108">
        <f>_xlfn.XLOOKUP(B4108, Oil_Price!A:A, Oil_Price!B:B, "")</f>
        <v>86.910003662109375</v>
      </c>
      <c r="E4108">
        <f t="shared" si="256"/>
        <v>1.3715557073723895E-2</v>
      </c>
      <c r="F4108">
        <f t="shared" si="257"/>
        <v>3.6956615977903565E-3</v>
      </c>
      <c r="G4108">
        <f t="shared" si="258"/>
        <v>1.262725830078125</v>
      </c>
      <c r="H4108">
        <f t="shared" si="259"/>
        <v>0.32000732421875</v>
      </c>
    </row>
    <row r="4109" spans="1:8" x14ac:dyDescent="0.2">
      <c r="A4109" t="s">
        <v>14</v>
      </c>
      <c r="B4109" s="2">
        <v>45390</v>
      </c>
      <c r="C4109">
        <v>93.572944641113281</v>
      </c>
      <c r="D4109">
        <f>_xlfn.XLOOKUP(B4109, Oil_Price!A:A, Oil_Price!B:B, "")</f>
        <v>86.430000305175781</v>
      </c>
      <c r="E4109">
        <f t="shared" si="256"/>
        <v>2.6250991095083734E-3</v>
      </c>
      <c r="F4109">
        <f t="shared" si="257"/>
        <v>-5.5229931734873854E-3</v>
      </c>
      <c r="G4109">
        <f t="shared" si="258"/>
        <v>0.2449951171875</v>
      </c>
      <c r="H4109">
        <f t="shared" si="259"/>
        <v>-0.48000335693359375</v>
      </c>
    </row>
    <row r="4110" spans="1:8" x14ac:dyDescent="0.2">
      <c r="A4110" t="s">
        <v>14</v>
      </c>
      <c r="B4110" s="2">
        <v>45391</v>
      </c>
      <c r="C4110">
        <v>92.875625610351562</v>
      </c>
      <c r="D4110">
        <f>_xlfn.XLOOKUP(B4110, Oil_Price!A:A, Oil_Price!B:B, "")</f>
        <v>85.230003356933594</v>
      </c>
      <c r="E4110">
        <f t="shared" si="256"/>
        <v>-7.4521437092334129E-3</v>
      </c>
      <c r="F4110">
        <f t="shared" si="257"/>
        <v>-1.3884032673899305E-2</v>
      </c>
      <c r="G4110">
        <f t="shared" si="258"/>
        <v>-0.69731903076171875</v>
      </c>
      <c r="H4110">
        <f t="shared" si="259"/>
        <v>-1.1999969482421875</v>
      </c>
    </row>
    <row r="4111" spans="1:8" x14ac:dyDescent="0.2">
      <c r="A4111" t="s">
        <v>14</v>
      </c>
      <c r="B4111" s="2">
        <v>45392</v>
      </c>
      <c r="C4111">
        <v>95.16546630859375</v>
      </c>
      <c r="D4111">
        <f>_xlfn.XLOOKUP(B4111, Oil_Price!A:A, Oil_Price!B:B, "")</f>
        <v>86.209999084472656</v>
      </c>
      <c r="E4111">
        <f t="shared" si="256"/>
        <v>2.4654915465645817E-2</v>
      </c>
      <c r="F4111">
        <f t="shared" si="257"/>
        <v>1.1498248139624629E-2</v>
      </c>
      <c r="G4111">
        <f t="shared" si="258"/>
        <v>2.2898406982421875</v>
      </c>
      <c r="H4111">
        <f t="shared" si="259"/>
        <v>0.9799957275390625</v>
      </c>
    </row>
    <row r="4112" spans="1:8" x14ac:dyDescent="0.2">
      <c r="A4112" t="s">
        <v>14</v>
      </c>
      <c r="B4112" s="2">
        <v>45393</v>
      </c>
      <c r="C4112">
        <v>91.810798645019531</v>
      </c>
      <c r="D4112">
        <f>_xlfn.XLOOKUP(B4112, Oil_Price!A:A, Oil_Price!B:B, "")</f>
        <v>85.019996643066406</v>
      </c>
      <c r="E4112">
        <f t="shared" si="256"/>
        <v>-3.5250892931013585E-2</v>
      </c>
      <c r="F4112">
        <f t="shared" si="257"/>
        <v>-1.3803531539772191E-2</v>
      </c>
      <c r="G4112">
        <f t="shared" si="258"/>
        <v>-3.3546676635742188</v>
      </c>
      <c r="H4112">
        <f t="shared" si="259"/>
        <v>-1.19000244140625</v>
      </c>
    </row>
    <row r="4113" spans="1:8" x14ac:dyDescent="0.2">
      <c r="A4113" t="s">
        <v>14</v>
      </c>
      <c r="B4113" s="2">
        <v>45394</v>
      </c>
      <c r="C4113">
        <v>90.7930908203125</v>
      </c>
      <c r="D4113">
        <f>_xlfn.XLOOKUP(B4113, Oil_Price!A:A, Oil_Price!B:B, "")</f>
        <v>85.660003662109375</v>
      </c>
      <c r="E4113">
        <f t="shared" si="256"/>
        <v>-1.1084837946371997E-2</v>
      </c>
      <c r="F4113">
        <f t="shared" si="257"/>
        <v>7.5277234099392657E-3</v>
      </c>
      <c r="G4113">
        <f t="shared" si="258"/>
        <v>-1.0177078247070312</v>
      </c>
      <c r="H4113">
        <f t="shared" si="259"/>
        <v>0.64000701904296875</v>
      </c>
    </row>
    <row r="4114" spans="1:8" x14ac:dyDescent="0.2">
      <c r="A4114" t="s">
        <v>14</v>
      </c>
      <c r="B4114" s="2">
        <v>45397</v>
      </c>
      <c r="C4114">
        <v>89.125167846679688</v>
      </c>
      <c r="D4114">
        <f>_xlfn.XLOOKUP(B4114, Oil_Price!A:A, Oil_Price!B:B, "")</f>
        <v>85.410003662109375</v>
      </c>
      <c r="E4114">
        <f t="shared" si="256"/>
        <v>-1.8370593605341386E-2</v>
      </c>
      <c r="F4114">
        <f t="shared" si="257"/>
        <v>-2.9185149347662749E-3</v>
      </c>
      <c r="G4114">
        <f t="shared" si="258"/>
        <v>-1.6679229736328125</v>
      </c>
      <c r="H4114">
        <f t="shared" si="259"/>
        <v>-0.25</v>
      </c>
    </row>
    <row r="4115" spans="1:8" x14ac:dyDescent="0.2">
      <c r="A4115" t="s">
        <v>14</v>
      </c>
      <c r="B4115" s="2">
        <v>45398</v>
      </c>
      <c r="C4115">
        <v>90.604629516601562</v>
      </c>
      <c r="D4115">
        <f>_xlfn.XLOOKUP(B4115, Oil_Price!A:A, Oil_Price!B:B, "")</f>
        <v>85.360000610351562</v>
      </c>
      <c r="E4115">
        <f t="shared" si="256"/>
        <v>1.6599819171919702E-2</v>
      </c>
      <c r="F4115">
        <f t="shared" si="257"/>
        <v>-5.8544724989861418E-4</v>
      </c>
      <c r="G4115">
        <f t="shared" si="258"/>
        <v>1.479461669921875</v>
      </c>
      <c r="H4115">
        <f t="shared" si="259"/>
        <v>-5.00030517578125E-2</v>
      </c>
    </row>
    <row r="4116" spans="1:8" x14ac:dyDescent="0.2">
      <c r="A4116" t="s">
        <v>14</v>
      </c>
      <c r="B4116" s="2">
        <v>45399</v>
      </c>
      <c r="C4116">
        <v>89.954414367675781</v>
      </c>
      <c r="D4116">
        <f>_xlfn.XLOOKUP(B4116, Oil_Price!A:A, Oil_Price!B:B, "")</f>
        <v>82.69000244140625</v>
      </c>
      <c r="E4116">
        <f t="shared" si="256"/>
        <v>-7.1764009454576691E-3</v>
      </c>
      <c r="F4116">
        <f t="shared" si="257"/>
        <v>-3.1279266047961149E-2</v>
      </c>
      <c r="G4116">
        <f t="shared" si="258"/>
        <v>-0.65021514892578125</v>
      </c>
      <c r="H4116">
        <f t="shared" si="259"/>
        <v>-2.6699981689453125</v>
      </c>
    </row>
    <row r="4117" spans="1:8" x14ac:dyDescent="0.2">
      <c r="A4117" t="s">
        <v>14</v>
      </c>
      <c r="B4117" s="2">
        <v>45400</v>
      </c>
      <c r="C4117">
        <v>89.059226989746094</v>
      </c>
      <c r="D4117">
        <f>_xlfn.XLOOKUP(B4117, Oil_Price!A:A, Oil_Price!B:B, "")</f>
        <v>82.730003356933594</v>
      </c>
      <c r="E4117">
        <f t="shared" si="256"/>
        <v>-9.9515669600241888E-3</v>
      </c>
      <c r="F4117">
        <f t="shared" si="257"/>
        <v>4.837454873179888E-4</v>
      </c>
      <c r="G4117">
        <f t="shared" si="258"/>
        <v>-0.8951873779296875</v>
      </c>
      <c r="H4117">
        <f t="shared" si="259"/>
        <v>4.000091552734375E-2</v>
      </c>
    </row>
    <row r="4118" spans="1:8" x14ac:dyDescent="0.2">
      <c r="A4118" t="s">
        <v>14</v>
      </c>
      <c r="B4118" s="2">
        <v>45401</v>
      </c>
      <c r="C4118">
        <v>90.114601135253906</v>
      </c>
      <c r="D4118">
        <f>_xlfn.XLOOKUP(B4118, Oil_Price!A:A, Oil_Price!B:B, "")</f>
        <v>83.139999389648438</v>
      </c>
      <c r="E4118">
        <f t="shared" si="256"/>
        <v>1.1850250458936994E-2</v>
      </c>
      <c r="F4118">
        <f t="shared" si="257"/>
        <v>4.9558324196596571E-3</v>
      </c>
      <c r="G4118">
        <f t="shared" si="258"/>
        <v>1.0553741455078125</v>
      </c>
      <c r="H4118">
        <f t="shared" si="259"/>
        <v>0.40999603271484375</v>
      </c>
    </row>
    <row r="4119" spans="1:8" x14ac:dyDescent="0.2">
      <c r="A4119" t="s">
        <v>14</v>
      </c>
      <c r="B4119" s="2">
        <v>45404</v>
      </c>
      <c r="C4119">
        <v>90.925010681152344</v>
      </c>
      <c r="D4119">
        <f>_xlfn.XLOOKUP(B4119, Oil_Price!A:A, Oil_Price!B:B, "")</f>
        <v>82.849998474121094</v>
      </c>
      <c r="E4119">
        <f t="shared" si="256"/>
        <v>8.9930991835838643E-3</v>
      </c>
      <c r="F4119">
        <f t="shared" si="257"/>
        <v>-3.4881034117911127E-3</v>
      </c>
      <c r="G4119">
        <f t="shared" si="258"/>
        <v>0.8104095458984375</v>
      </c>
      <c r="H4119">
        <f t="shared" si="259"/>
        <v>-0.29000091552734375</v>
      </c>
    </row>
    <row r="4120" spans="1:8" x14ac:dyDescent="0.2">
      <c r="A4120" t="s">
        <v>14</v>
      </c>
      <c r="B4120" s="2">
        <v>45405</v>
      </c>
      <c r="C4120">
        <v>90.943855285644531</v>
      </c>
      <c r="D4120">
        <f>_xlfn.XLOOKUP(B4120, Oil_Price!A:A, Oil_Price!B:B, "")</f>
        <v>83.360000610351562</v>
      </c>
      <c r="E4120">
        <f t="shared" si="256"/>
        <v>2.0725435555097227E-4</v>
      </c>
      <c r="F4120">
        <f t="shared" si="257"/>
        <v>6.155728975538512E-3</v>
      </c>
      <c r="G4120">
        <f t="shared" si="258"/>
        <v>1.88446044921875E-2</v>
      </c>
      <c r="H4120">
        <f t="shared" si="259"/>
        <v>0.51000213623046875</v>
      </c>
    </row>
    <row r="4121" spans="1:8" x14ac:dyDescent="0.2">
      <c r="A4121" t="s">
        <v>14</v>
      </c>
      <c r="B4121" s="2">
        <v>45406</v>
      </c>
      <c r="C4121">
        <v>91.320793151855469</v>
      </c>
      <c r="D4121">
        <f>_xlfn.XLOOKUP(B4121, Oil_Price!A:A, Oil_Price!B:B, "")</f>
        <v>82.80999755859375</v>
      </c>
      <c r="E4121">
        <f t="shared" si="256"/>
        <v>4.1447315492291106E-3</v>
      </c>
      <c r="F4121">
        <f t="shared" si="257"/>
        <v>-6.5979252366933604E-3</v>
      </c>
      <c r="G4121">
        <f t="shared" si="258"/>
        <v>0.3769378662109375</v>
      </c>
      <c r="H4121">
        <f t="shared" si="259"/>
        <v>-0.5500030517578125</v>
      </c>
    </row>
    <row r="4122" spans="1:8" x14ac:dyDescent="0.2">
      <c r="A4122" t="s">
        <v>14</v>
      </c>
      <c r="B4122" s="2">
        <v>45407</v>
      </c>
      <c r="C4122">
        <v>91.744834899902344</v>
      </c>
      <c r="D4122">
        <f>_xlfn.XLOOKUP(B4122, Oil_Price!A:A, Oil_Price!B:B, "")</f>
        <v>83.569999694824219</v>
      </c>
      <c r="E4122">
        <f t="shared" si="256"/>
        <v>4.6434304106595381E-3</v>
      </c>
      <c r="F4122">
        <f t="shared" si="257"/>
        <v>9.1776616186072836E-3</v>
      </c>
      <c r="G4122">
        <f t="shared" si="258"/>
        <v>0.424041748046875</v>
      </c>
      <c r="H4122">
        <f t="shared" si="259"/>
        <v>0.76000213623046875</v>
      </c>
    </row>
    <row r="4123" spans="1:8" x14ac:dyDescent="0.2">
      <c r="A4123" t="s">
        <v>14</v>
      </c>
      <c r="B4123" s="2">
        <v>45408</v>
      </c>
      <c r="C4123">
        <v>90.990966796875</v>
      </c>
      <c r="D4123">
        <f>_xlfn.XLOOKUP(B4123, Oil_Price!A:A, Oil_Price!B:B, "")</f>
        <v>83.849998474121094</v>
      </c>
      <c r="E4123">
        <f t="shared" si="256"/>
        <v>-8.2170086615758493E-3</v>
      </c>
      <c r="F4123">
        <f t="shared" si="257"/>
        <v>3.3504700289500697E-3</v>
      </c>
      <c r="G4123">
        <f t="shared" si="258"/>
        <v>-0.75386810302734375</v>
      </c>
      <c r="H4123">
        <f t="shared" si="259"/>
        <v>0.279998779296875</v>
      </c>
    </row>
    <row r="4124" spans="1:8" x14ac:dyDescent="0.2">
      <c r="A4124" t="s">
        <v>14</v>
      </c>
      <c r="B4124" s="2">
        <v>45411</v>
      </c>
      <c r="C4124">
        <v>91.612907409667969</v>
      </c>
      <c r="D4124">
        <f>_xlfn.XLOOKUP(B4124, Oil_Price!A:A, Oil_Price!B:B, "")</f>
        <v>82.629997253417969</v>
      </c>
      <c r="E4124">
        <f t="shared" si="256"/>
        <v>6.8351907303212511E-3</v>
      </c>
      <c r="F4124">
        <f t="shared" si="257"/>
        <v>-1.4549806116927457E-2</v>
      </c>
      <c r="G4124">
        <f t="shared" si="258"/>
        <v>0.62194061279296875</v>
      </c>
      <c r="H4124">
        <f t="shared" si="259"/>
        <v>-1.220001220703125</v>
      </c>
    </row>
    <row r="4125" spans="1:8" x14ac:dyDescent="0.2">
      <c r="A4125" t="s">
        <v>14</v>
      </c>
      <c r="B4125" s="2">
        <v>45412</v>
      </c>
      <c r="C4125">
        <v>89.191131591796875</v>
      </c>
      <c r="D4125">
        <f>_xlfn.XLOOKUP(B4125, Oil_Price!A:A, Oil_Price!B:B, "")</f>
        <v>81.930000305175781</v>
      </c>
      <c r="E4125">
        <f t="shared" si="256"/>
        <v>-2.643487567796066E-2</v>
      </c>
      <c r="F4125">
        <f t="shared" si="257"/>
        <v>-8.4714628041843761E-3</v>
      </c>
      <c r="G4125">
        <f t="shared" si="258"/>
        <v>-2.4217758178710938</v>
      </c>
      <c r="H4125">
        <f t="shared" si="259"/>
        <v>-0.6999969482421875</v>
      </c>
    </row>
    <row r="4126" spans="1:8" x14ac:dyDescent="0.2">
      <c r="A4126" t="s">
        <v>14</v>
      </c>
      <c r="B4126" s="2">
        <v>45413</v>
      </c>
      <c r="C4126">
        <v>87.353599548339844</v>
      </c>
      <c r="D4126">
        <f>_xlfn.XLOOKUP(B4126, Oil_Price!A:A, Oil_Price!B:B, "")</f>
        <v>79</v>
      </c>
      <c r="E4126">
        <f t="shared" si="256"/>
        <v>-2.0602183318706023E-2</v>
      </c>
      <c r="F4126">
        <f t="shared" si="257"/>
        <v>-3.5762239646796187E-2</v>
      </c>
      <c r="G4126">
        <f t="shared" si="258"/>
        <v>-1.8375320434570312</v>
      </c>
      <c r="H4126">
        <f t="shared" si="259"/>
        <v>-2.9300003051757812</v>
      </c>
    </row>
    <row r="4127" spans="1:8" x14ac:dyDescent="0.2">
      <c r="A4127" t="s">
        <v>14</v>
      </c>
      <c r="B4127" s="2">
        <v>45414</v>
      </c>
      <c r="C4127">
        <v>87.853042602539062</v>
      </c>
      <c r="D4127">
        <f>_xlfn.XLOOKUP(B4127, Oil_Price!A:A, Oil_Price!B:B, "")</f>
        <v>78.949996948242188</v>
      </c>
      <c r="E4127">
        <f t="shared" si="256"/>
        <v>5.717486821167986E-3</v>
      </c>
      <c r="F4127">
        <f t="shared" si="257"/>
        <v>-6.3295002225079112E-4</v>
      </c>
      <c r="G4127">
        <f t="shared" si="258"/>
        <v>0.49944305419921875</v>
      </c>
      <c r="H4127">
        <f t="shared" si="259"/>
        <v>-5.00030517578125E-2</v>
      </c>
    </row>
    <row r="4128" spans="1:8" x14ac:dyDescent="0.2">
      <c r="A4128" t="s">
        <v>14</v>
      </c>
      <c r="B4128" s="2">
        <v>45415</v>
      </c>
      <c r="C4128">
        <v>87.739959716796875</v>
      </c>
      <c r="D4128">
        <f>_xlfn.XLOOKUP(B4128, Oil_Price!A:A, Oil_Price!B:B, "")</f>
        <v>78.110000610351562</v>
      </c>
      <c r="E4128">
        <f t="shared" si="256"/>
        <v>-1.2871823489801282E-3</v>
      </c>
      <c r="F4128">
        <f t="shared" si="257"/>
        <v>-1.0639599371248962E-2</v>
      </c>
      <c r="G4128">
        <f t="shared" si="258"/>
        <v>-0.1130828857421875</v>
      </c>
      <c r="H4128">
        <f t="shared" si="259"/>
        <v>-0.839996337890625</v>
      </c>
    </row>
    <row r="4129" spans="1:8" x14ac:dyDescent="0.2">
      <c r="A4129" t="s">
        <v>14</v>
      </c>
      <c r="B4129" s="2">
        <v>45418</v>
      </c>
      <c r="C4129">
        <v>89.209983825683594</v>
      </c>
      <c r="D4129">
        <f>_xlfn.XLOOKUP(B4129, Oil_Price!A:A, Oil_Price!B:B, "")</f>
        <v>78.480003356933594</v>
      </c>
      <c r="E4129">
        <f t="shared" si="256"/>
        <v>1.675432851384474E-2</v>
      </c>
      <c r="F4129">
        <f t="shared" si="257"/>
        <v>4.7369446126082409E-3</v>
      </c>
      <c r="G4129">
        <f t="shared" si="258"/>
        <v>1.4700241088867188</v>
      </c>
      <c r="H4129">
        <f t="shared" si="259"/>
        <v>0.37000274658203125</v>
      </c>
    </row>
    <row r="4130" spans="1:8" x14ac:dyDescent="0.2">
      <c r="A4130" t="s">
        <v>14</v>
      </c>
      <c r="B4130" s="2">
        <v>45419</v>
      </c>
      <c r="C4130">
        <v>89.37017822265625</v>
      </c>
      <c r="D4130">
        <f>_xlfn.XLOOKUP(B4130, Oil_Price!A:A, Oil_Price!B:B, "")</f>
        <v>78.379997253417969</v>
      </c>
      <c r="E4130">
        <f t="shared" si="256"/>
        <v>1.7957003252648972E-3</v>
      </c>
      <c r="F4130">
        <f t="shared" si="257"/>
        <v>-1.2742877069052726E-3</v>
      </c>
      <c r="G4130">
        <f t="shared" si="258"/>
        <v>0.16019439697265625</v>
      </c>
      <c r="H4130">
        <f t="shared" si="259"/>
        <v>-0.100006103515625</v>
      </c>
    </row>
    <row r="4131" spans="1:8" x14ac:dyDescent="0.2">
      <c r="A4131" t="s">
        <v>14</v>
      </c>
      <c r="B4131" s="2">
        <v>45420</v>
      </c>
      <c r="C4131">
        <v>90.161727905273438</v>
      </c>
      <c r="D4131">
        <f>_xlfn.XLOOKUP(B4131, Oil_Price!A:A, Oil_Price!B:B, "")</f>
        <v>78.989997863769531</v>
      </c>
      <c r="E4131">
        <f t="shared" si="256"/>
        <v>8.856977778931201E-3</v>
      </c>
      <c r="F4131">
        <f t="shared" si="257"/>
        <v>7.7826056612289793E-3</v>
      </c>
      <c r="G4131">
        <f t="shared" si="258"/>
        <v>0.7915496826171875</v>
      </c>
      <c r="H4131">
        <f t="shared" si="259"/>
        <v>0.6100006103515625</v>
      </c>
    </row>
    <row r="4132" spans="1:8" x14ac:dyDescent="0.2">
      <c r="A4132" t="s">
        <v>14</v>
      </c>
      <c r="B4132" s="2">
        <v>45421</v>
      </c>
      <c r="C4132">
        <v>90.321914672851562</v>
      </c>
      <c r="D4132">
        <f>_xlfn.XLOOKUP(B4132, Oil_Price!A:A, Oil_Price!B:B, "")</f>
        <v>79.260002136230469</v>
      </c>
      <c r="E4132">
        <f t="shared" si="256"/>
        <v>1.7766603557822442E-3</v>
      </c>
      <c r="F4132">
        <f t="shared" si="257"/>
        <v>3.4182083778075503E-3</v>
      </c>
      <c r="G4132">
        <f t="shared" si="258"/>
        <v>0.160186767578125</v>
      </c>
      <c r="H4132">
        <f t="shared" si="259"/>
        <v>0.2700042724609375</v>
      </c>
    </row>
    <row r="4133" spans="1:8" x14ac:dyDescent="0.2">
      <c r="A4133" t="s">
        <v>14</v>
      </c>
      <c r="B4133" s="2">
        <v>45422</v>
      </c>
      <c r="C4133">
        <v>89.935569763183594</v>
      </c>
      <c r="D4133">
        <f>_xlfn.XLOOKUP(B4133, Oil_Price!A:A, Oil_Price!B:B, "")</f>
        <v>78.260002136230469</v>
      </c>
      <c r="E4133">
        <f t="shared" si="256"/>
        <v>-4.2774216098863775E-3</v>
      </c>
      <c r="F4133">
        <f t="shared" si="257"/>
        <v>-1.2616704176732427E-2</v>
      </c>
      <c r="G4133">
        <f t="shared" si="258"/>
        <v>-0.38634490966796875</v>
      </c>
      <c r="H4133">
        <f t="shared" si="259"/>
        <v>-1</v>
      </c>
    </row>
    <row r="4134" spans="1:8" x14ac:dyDescent="0.2">
      <c r="A4134" t="s">
        <v>14</v>
      </c>
      <c r="B4134" s="2">
        <v>45425</v>
      </c>
      <c r="C4134">
        <v>89.643440246582031</v>
      </c>
      <c r="D4134">
        <f>_xlfn.XLOOKUP(B4134, Oil_Price!A:A, Oil_Price!B:B, "")</f>
        <v>79.120002746582031</v>
      </c>
      <c r="E4134">
        <f t="shared" si="256"/>
        <v>-3.2482088829902524E-3</v>
      </c>
      <c r="F4134">
        <f t="shared" si="257"/>
        <v>1.0989018488071638E-2</v>
      </c>
      <c r="G4134">
        <f t="shared" si="258"/>
        <v>-0.2921295166015625</v>
      </c>
      <c r="H4134">
        <f t="shared" si="259"/>
        <v>0.8600006103515625</v>
      </c>
    </row>
    <row r="4135" spans="1:8" x14ac:dyDescent="0.2">
      <c r="A4135" t="s">
        <v>14</v>
      </c>
      <c r="B4135" s="2">
        <v>45426</v>
      </c>
      <c r="C4135">
        <v>88.748237609863281</v>
      </c>
      <c r="D4135">
        <f>_xlfn.XLOOKUP(B4135, Oil_Price!A:A, Oil_Price!B:B, "")</f>
        <v>78.019996643066406</v>
      </c>
      <c r="E4135">
        <f t="shared" si="256"/>
        <v>-9.9862592762651452E-3</v>
      </c>
      <c r="F4135">
        <f t="shared" si="257"/>
        <v>-1.3903008914684916E-2</v>
      </c>
      <c r="G4135">
        <f t="shared" si="258"/>
        <v>-0.89520263671875</v>
      </c>
      <c r="H4135">
        <f t="shared" si="259"/>
        <v>-1.100006103515625</v>
      </c>
    </row>
    <row r="4136" spans="1:8" x14ac:dyDescent="0.2">
      <c r="A4136" t="s">
        <v>14</v>
      </c>
      <c r="B4136" s="2">
        <v>45427</v>
      </c>
      <c r="C4136">
        <v>88.710548400878906</v>
      </c>
      <c r="D4136">
        <f>_xlfn.XLOOKUP(B4136, Oil_Price!A:A, Oil_Price!B:B, "")</f>
        <v>78.629997253417969</v>
      </c>
      <c r="E4136">
        <f t="shared" si="256"/>
        <v>-4.2467557665828293E-4</v>
      </c>
      <c r="F4136">
        <f t="shared" si="257"/>
        <v>7.8185162342707289E-3</v>
      </c>
      <c r="G4136">
        <f t="shared" si="258"/>
        <v>-3.7689208984375E-2</v>
      </c>
      <c r="H4136">
        <f t="shared" si="259"/>
        <v>0.6100006103515625</v>
      </c>
    </row>
    <row r="4137" spans="1:8" x14ac:dyDescent="0.2">
      <c r="A4137" t="s">
        <v>14</v>
      </c>
      <c r="B4137" s="2">
        <v>45428</v>
      </c>
      <c r="C4137">
        <v>88.870742797851562</v>
      </c>
      <c r="D4137">
        <f>_xlfn.XLOOKUP(B4137, Oil_Price!A:A, Oil_Price!B:B, "")</f>
        <v>79.230003356933594</v>
      </c>
      <c r="E4137">
        <f t="shared" si="256"/>
        <v>1.8058100176401245E-3</v>
      </c>
      <c r="F4137">
        <f t="shared" si="257"/>
        <v>7.6307532045544278E-3</v>
      </c>
      <c r="G4137">
        <f t="shared" si="258"/>
        <v>0.16019439697265625</v>
      </c>
      <c r="H4137">
        <f t="shared" si="259"/>
        <v>0.600006103515625</v>
      </c>
    </row>
    <row r="4138" spans="1:8" x14ac:dyDescent="0.2">
      <c r="A4138" t="s">
        <v>14</v>
      </c>
      <c r="B4138" s="2">
        <v>45429</v>
      </c>
      <c r="C4138">
        <v>89.747116088867188</v>
      </c>
      <c r="D4138">
        <f>_xlfn.XLOOKUP(B4138, Oil_Price!A:A, Oil_Price!B:B, "")</f>
        <v>80.05999755859375</v>
      </c>
      <c r="E4138">
        <f t="shared" si="256"/>
        <v>9.8612126266239691E-3</v>
      </c>
      <c r="F4138">
        <f t="shared" si="257"/>
        <v>1.0475756234932958E-2</v>
      </c>
      <c r="G4138">
        <f t="shared" si="258"/>
        <v>0.876373291015625</v>
      </c>
      <c r="H4138">
        <f t="shared" si="259"/>
        <v>0.82999420166015625</v>
      </c>
    </row>
    <row r="4139" spans="1:8" x14ac:dyDescent="0.2">
      <c r="A4139" t="s">
        <v>14</v>
      </c>
      <c r="B4139" s="2">
        <v>45433</v>
      </c>
      <c r="C4139">
        <v>89.586898803710938</v>
      </c>
      <c r="D4139">
        <f>_xlfn.XLOOKUP(B4139, Oil_Price!A:A, Oil_Price!B:B, "")</f>
        <v>79.260002136230469</v>
      </c>
      <c r="E4139">
        <f t="shared" si="256"/>
        <v>-1.785208173125068E-3</v>
      </c>
      <c r="F4139">
        <f t="shared" si="257"/>
        <v>-9.9924487479254066E-3</v>
      </c>
      <c r="G4139">
        <f t="shared" si="258"/>
        <v>-0.16021728515625</v>
      </c>
      <c r="H4139">
        <f t="shared" si="259"/>
        <v>-0.79999542236328125</v>
      </c>
    </row>
    <row r="4140" spans="1:8" x14ac:dyDescent="0.2">
      <c r="A4140" t="s">
        <v>14</v>
      </c>
      <c r="B4140" s="2">
        <v>45434</v>
      </c>
      <c r="C4140">
        <v>87.871871948242188</v>
      </c>
      <c r="D4140">
        <f>_xlfn.XLOOKUP(B4140, Oil_Price!A:A, Oil_Price!B:B, "")</f>
        <v>77.569999694824219</v>
      </c>
      <c r="E4140">
        <f t="shared" si="256"/>
        <v>-1.9143723896799393E-2</v>
      </c>
      <c r="F4140">
        <f t="shared" si="257"/>
        <v>-2.1322260861178232E-2</v>
      </c>
      <c r="G4140">
        <f t="shared" si="258"/>
        <v>-1.71502685546875</v>
      </c>
      <c r="H4140">
        <f t="shared" si="259"/>
        <v>-1.69000244140625</v>
      </c>
    </row>
    <row r="4141" spans="1:8" x14ac:dyDescent="0.2">
      <c r="A4141" t="s">
        <v>14</v>
      </c>
      <c r="B4141" s="2">
        <v>45435</v>
      </c>
      <c r="C4141">
        <v>88.0980224609375</v>
      </c>
      <c r="D4141">
        <f>_xlfn.XLOOKUP(B4141, Oil_Price!A:A, Oil_Price!B:B, "")</f>
        <v>76.870002746582031</v>
      </c>
      <c r="E4141">
        <f t="shared" si="256"/>
        <v>2.5736394102144362E-3</v>
      </c>
      <c r="F4141">
        <f t="shared" si="257"/>
        <v>-9.0240679514775619E-3</v>
      </c>
      <c r="G4141">
        <f t="shared" si="258"/>
        <v>0.2261505126953125</v>
      </c>
      <c r="H4141">
        <f t="shared" si="259"/>
        <v>-0.6999969482421875</v>
      </c>
    </row>
    <row r="4142" spans="1:8" x14ac:dyDescent="0.2">
      <c r="A4142" t="s">
        <v>14</v>
      </c>
      <c r="B4142" s="2">
        <v>45436</v>
      </c>
      <c r="C4142">
        <v>88.993240356445312</v>
      </c>
      <c r="D4142">
        <f>_xlfn.XLOOKUP(B4142, Oil_Price!A:A, Oil_Price!B:B, "")</f>
        <v>77.720001220703125</v>
      </c>
      <c r="E4142">
        <f t="shared" si="256"/>
        <v>1.0161611696843143E-2</v>
      </c>
      <c r="F4142">
        <f t="shared" si="257"/>
        <v>1.1057609519324342E-2</v>
      </c>
      <c r="G4142">
        <f t="shared" si="258"/>
        <v>0.8952178955078125</v>
      </c>
      <c r="H4142">
        <f t="shared" si="259"/>
        <v>0.84999847412109375</v>
      </c>
    </row>
    <row r="4143" spans="1:8" x14ac:dyDescent="0.2">
      <c r="A4143" t="s">
        <v>14</v>
      </c>
      <c r="B4143" s="2">
        <v>45439</v>
      </c>
      <c r="C4143">
        <v>88.93670654296875</v>
      </c>
      <c r="D4143" t="str">
        <f>_xlfn.XLOOKUP(B4143, Oil_Price!A:A, Oil_Price!B:B, "")</f>
        <v/>
      </c>
      <c r="E4143">
        <f t="shared" si="256"/>
        <v>-6.3525963601423184E-4</v>
      </c>
      <c r="F4143" t="str">
        <f t="shared" si="257"/>
        <v/>
      </c>
      <c r="G4143">
        <f t="shared" si="258"/>
        <v>-5.65338134765625E-2</v>
      </c>
      <c r="H4143" t="str">
        <f t="shared" si="259"/>
        <v/>
      </c>
    </row>
    <row r="4144" spans="1:8" x14ac:dyDescent="0.2">
      <c r="A4144" t="s">
        <v>14</v>
      </c>
      <c r="B4144" s="2">
        <v>45440</v>
      </c>
      <c r="C4144">
        <v>90.990966796875</v>
      </c>
      <c r="D4144">
        <f>_xlfn.XLOOKUP(B4144, Oil_Price!A:A, Oil_Price!B:B, "")</f>
        <v>79.830001831054688</v>
      </c>
      <c r="E4144">
        <f t="shared" si="256"/>
        <v>2.3098002318241429E-2</v>
      </c>
      <c r="F4144" t="str">
        <f t="shared" si="257"/>
        <v/>
      </c>
      <c r="G4144">
        <f t="shared" si="258"/>
        <v>2.05426025390625</v>
      </c>
      <c r="H4144" t="str">
        <f t="shared" si="259"/>
        <v/>
      </c>
    </row>
    <row r="4145" spans="1:8" x14ac:dyDescent="0.2">
      <c r="A4145" t="s">
        <v>14</v>
      </c>
      <c r="B4145" s="2">
        <v>45441</v>
      </c>
      <c r="C4145">
        <v>89.483245849609375</v>
      </c>
      <c r="D4145">
        <f>_xlfn.XLOOKUP(B4145, Oil_Price!A:A, Oil_Price!B:B, "")</f>
        <v>79.230003356933594</v>
      </c>
      <c r="E4145">
        <f t="shared" si="256"/>
        <v>-1.6570006895645011E-2</v>
      </c>
      <c r="F4145">
        <f t="shared" si="257"/>
        <v>-7.5159521528119048E-3</v>
      </c>
      <c r="G4145">
        <f t="shared" si="258"/>
        <v>-1.507720947265625</v>
      </c>
      <c r="H4145">
        <f t="shared" si="259"/>
        <v>-0.59999847412109375</v>
      </c>
    </row>
    <row r="4146" spans="1:8" x14ac:dyDescent="0.2">
      <c r="A4146" t="s">
        <v>14</v>
      </c>
      <c r="B4146" s="2">
        <v>45442</v>
      </c>
      <c r="C4146">
        <v>89.454978942871094</v>
      </c>
      <c r="D4146">
        <f>_xlfn.XLOOKUP(B4146, Oil_Price!A:A, Oil_Price!B:B, "")</f>
        <v>77.910003662109375</v>
      </c>
      <c r="E4146">
        <f t="shared" si="256"/>
        <v>-3.1589049402374405E-4</v>
      </c>
      <c r="F4146">
        <f t="shared" si="257"/>
        <v>-1.6660351368124771E-2</v>
      </c>
      <c r="G4146">
        <f t="shared" si="258"/>
        <v>-2.826690673828125E-2</v>
      </c>
      <c r="H4146">
        <f t="shared" si="259"/>
        <v>-1.3199996948242188</v>
      </c>
    </row>
    <row r="4147" spans="1:8" x14ac:dyDescent="0.2">
      <c r="A4147" t="s">
        <v>14</v>
      </c>
      <c r="B4147" s="2">
        <v>45443</v>
      </c>
      <c r="C4147">
        <v>90.7459716796875</v>
      </c>
      <c r="D4147">
        <f>_xlfn.XLOOKUP(B4147, Oil_Price!A:A, Oil_Price!B:B, "")</f>
        <v>76.989997863769531</v>
      </c>
      <c r="E4147">
        <f t="shared" si="256"/>
        <v>1.4431759440029345E-2</v>
      </c>
      <c r="F4147">
        <f t="shared" si="257"/>
        <v>-1.180857085220852E-2</v>
      </c>
      <c r="G4147">
        <f t="shared" si="258"/>
        <v>1.2909927368164062</v>
      </c>
      <c r="H4147">
        <f t="shared" si="259"/>
        <v>-0.92000579833984375</v>
      </c>
    </row>
    <row r="4148" spans="1:8" x14ac:dyDescent="0.2">
      <c r="A4148" t="s">
        <v>14</v>
      </c>
      <c r="B4148" s="2">
        <v>45446</v>
      </c>
      <c r="C4148">
        <v>86.033256530761719</v>
      </c>
      <c r="D4148">
        <f>_xlfn.XLOOKUP(B4148, Oil_Price!A:A, Oil_Price!B:B, "")</f>
        <v>74.220001220703125</v>
      </c>
      <c r="E4148">
        <f t="shared" si="256"/>
        <v>-5.1933050709518945E-2</v>
      </c>
      <c r="F4148">
        <f t="shared" si="257"/>
        <v>-3.5978655928368714E-2</v>
      </c>
      <c r="G4148">
        <f t="shared" si="258"/>
        <v>-4.7127151489257812</v>
      </c>
      <c r="H4148">
        <f t="shared" si="259"/>
        <v>-2.7699966430664062</v>
      </c>
    </row>
    <row r="4149" spans="1:8" x14ac:dyDescent="0.2">
      <c r="A4149" t="s">
        <v>14</v>
      </c>
      <c r="B4149" s="2">
        <v>45447</v>
      </c>
      <c r="C4149">
        <v>84.478134155273438</v>
      </c>
      <c r="D4149">
        <f>_xlfn.XLOOKUP(B4149, Oil_Price!A:A, Oil_Price!B:B, "")</f>
        <v>73.25</v>
      </c>
      <c r="E4149">
        <f t="shared" si="256"/>
        <v>-1.8075828327296175E-2</v>
      </c>
      <c r="F4149">
        <f t="shared" si="257"/>
        <v>-1.3069269802606124E-2</v>
      </c>
      <c r="G4149">
        <f t="shared" si="258"/>
        <v>-1.5551223754882812</v>
      </c>
      <c r="H4149">
        <f t="shared" si="259"/>
        <v>-0.970001220703125</v>
      </c>
    </row>
    <row r="4150" spans="1:8" x14ac:dyDescent="0.2">
      <c r="A4150" t="s">
        <v>14</v>
      </c>
      <c r="B4150" s="2">
        <v>45448</v>
      </c>
      <c r="C4150">
        <v>84.383308410644531</v>
      </c>
      <c r="D4150">
        <f>_xlfn.XLOOKUP(B4150, Oil_Price!A:A, Oil_Price!B:B, "")</f>
        <v>74.069999694824219</v>
      </c>
      <c r="E4150">
        <f t="shared" si="256"/>
        <v>-1.1224886247441686E-3</v>
      </c>
      <c r="F4150">
        <f t="shared" si="257"/>
        <v>1.1194535082924489E-2</v>
      </c>
      <c r="G4150">
        <f t="shared" si="258"/>
        <v>-9.482574462890625E-2</v>
      </c>
      <c r="H4150">
        <f t="shared" si="259"/>
        <v>0.81999969482421875</v>
      </c>
    </row>
    <row r="4151" spans="1:8" x14ac:dyDescent="0.2">
      <c r="A4151" t="s">
        <v>14</v>
      </c>
      <c r="B4151" s="2">
        <v>45449</v>
      </c>
      <c r="C4151">
        <v>85.217765808105469</v>
      </c>
      <c r="D4151">
        <f>_xlfn.XLOOKUP(B4151, Oil_Price!A:A, Oil_Price!B:B, "")</f>
        <v>75.550003051757812</v>
      </c>
      <c r="E4151">
        <f t="shared" si="256"/>
        <v>9.8888916917089596E-3</v>
      </c>
      <c r="F4151">
        <f t="shared" si="257"/>
        <v>1.9981144363863307E-2</v>
      </c>
      <c r="G4151">
        <f t="shared" si="258"/>
        <v>0.8344573974609375</v>
      </c>
      <c r="H4151">
        <f t="shared" si="259"/>
        <v>1.4800033569335938</v>
      </c>
    </row>
    <row r="4152" spans="1:8" x14ac:dyDescent="0.2">
      <c r="A4152" t="s">
        <v>14</v>
      </c>
      <c r="B4152" s="2">
        <v>45450</v>
      </c>
      <c r="C4152">
        <v>84.288505554199219</v>
      </c>
      <c r="D4152">
        <f>_xlfn.XLOOKUP(B4152, Oil_Price!A:A, Oil_Price!B:B, "")</f>
        <v>75.529998779296875</v>
      </c>
      <c r="E4152">
        <f t="shared" si="256"/>
        <v>-1.0904536690140069E-2</v>
      </c>
      <c r="F4152">
        <f t="shared" si="257"/>
        <v>-2.6478188819175784E-4</v>
      </c>
      <c r="G4152">
        <f t="shared" si="258"/>
        <v>-0.92926025390625</v>
      </c>
      <c r="H4152">
        <f t="shared" si="259"/>
        <v>-2.00042724609375E-2</v>
      </c>
    </row>
    <row r="4153" spans="1:8" x14ac:dyDescent="0.2">
      <c r="A4153" t="s">
        <v>14</v>
      </c>
      <c r="B4153" s="2">
        <v>45453</v>
      </c>
      <c r="C4153">
        <v>85.8056640625</v>
      </c>
      <c r="D4153">
        <f>_xlfn.XLOOKUP(B4153, Oil_Price!A:A, Oil_Price!B:B, "")</f>
        <v>77.739997863769531</v>
      </c>
      <c r="E4153">
        <f t="shared" si="256"/>
        <v>1.799958960388991E-2</v>
      </c>
      <c r="F4153">
        <f t="shared" si="257"/>
        <v>2.9259885081296032E-2</v>
      </c>
      <c r="G4153">
        <f t="shared" si="258"/>
        <v>1.5171585083007812</v>
      </c>
      <c r="H4153">
        <f t="shared" si="259"/>
        <v>2.2099990844726562</v>
      </c>
    </row>
    <row r="4154" spans="1:8" x14ac:dyDescent="0.2">
      <c r="A4154" t="s">
        <v>14</v>
      </c>
      <c r="B4154" s="2">
        <v>45454</v>
      </c>
      <c r="C4154">
        <v>85.616035461425781</v>
      </c>
      <c r="D4154">
        <f>_xlfn.XLOOKUP(B4154, Oil_Price!A:A, Oil_Price!B:B, "")</f>
        <v>77.900001525878906</v>
      </c>
      <c r="E4154">
        <f t="shared" si="256"/>
        <v>-2.2099776645991007E-3</v>
      </c>
      <c r="F4154">
        <f t="shared" si="257"/>
        <v>2.0581896900712959E-3</v>
      </c>
      <c r="G4154">
        <f t="shared" si="258"/>
        <v>-0.18962860107421875</v>
      </c>
      <c r="H4154">
        <f t="shared" si="259"/>
        <v>0.160003662109375</v>
      </c>
    </row>
    <row r="4155" spans="1:8" x14ac:dyDescent="0.2">
      <c r="A4155" t="s">
        <v>14</v>
      </c>
      <c r="B4155" s="2">
        <v>45455</v>
      </c>
      <c r="C4155">
        <v>85.464302062988281</v>
      </c>
      <c r="D4155">
        <f>_xlfn.XLOOKUP(B4155, Oil_Price!A:A, Oil_Price!B:B, "")</f>
        <v>78.5</v>
      </c>
      <c r="E4155">
        <f t="shared" si="256"/>
        <v>-1.7722544336436056E-3</v>
      </c>
      <c r="F4155">
        <f t="shared" si="257"/>
        <v>7.702162546450916E-3</v>
      </c>
      <c r="G4155">
        <f t="shared" si="258"/>
        <v>-0.1517333984375</v>
      </c>
      <c r="H4155">
        <f t="shared" si="259"/>
        <v>0.59999847412109375</v>
      </c>
    </row>
    <row r="4156" spans="1:8" x14ac:dyDescent="0.2">
      <c r="A4156" t="s">
        <v>14</v>
      </c>
      <c r="B4156" s="2">
        <v>45456</v>
      </c>
      <c r="C4156">
        <v>83.880752563476562</v>
      </c>
      <c r="D4156">
        <f>_xlfn.XLOOKUP(B4156, Oil_Price!A:A, Oil_Price!B:B, "")</f>
        <v>78.620002746582031</v>
      </c>
      <c r="E4156">
        <f t="shared" si="256"/>
        <v>-1.8528782910373767E-2</v>
      </c>
      <c r="F4156">
        <f t="shared" si="257"/>
        <v>1.5286974086882962E-3</v>
      </c>
      <c r="G4156">
        <f t="shared" si="258"/>
        <v>-1.5835494995117188</v>
      </c>
      <c r="H4156">
        <f t="shared" si="259"/>
        <v>0.12000274658203125</v>
      </c>
    </row>
    <row r="4157" spans="1:8" x14ac:dyDescent="0.2">
      <c r="A4157" t="s">
        <v>14</v>
      </c>
      <c r="B4157" s="2">
        <v>45457</v>
      </c>
      <c r="C4157">
        <v>83.548873901367188</v>
      </c>
      <c r="D4157">
        <f>_xlfn.XLOOKUP(B4157, Oil_Price!A:A, Oil_Price!B:B, "")</f>
        <v>78.449996948242188</v>
      </c>
      <c r="E4157">
        <f t="shared" si="256"/>
        <v>-3.9565532254640491E-3</v>
      </c>
      <c r="F4157">
        <f t="shared" si="257"/>
        <v>-2.1623733452137877E-3</v>
      </c>
      <c r="G4157">
        <f t="shared" si="258"/>
        <v>-0.331878662109375</v>
      </c>
      <c r="H4157">
        <f t="shared" si="259"/>
        <v>-0.17000579833984375</v>
      </c>
    </row>
    <row r="4158" spans="1:8" x14ac:dyDescent="0.2">
      <c r="A4158" t="s">
        <v>14</v>
      </c>
      <c r="B4158" s="2">
        <v>45460</v>
      </c>
      <c r="C4158">
        <v>83.947120666503906</v>
      </c>
      <c r="D4158">
        <f>_xlfn.XLOOKUP(B4158, Oil_Price!A:A, Oil_Price!B:B, "")</f>
        <v>80.330001831054688</v>
      </c>
      <c r="E4158">
        <f t="shared" si="256"/>
        <v>4.7666323499089298E-3</v>
      </c>
      <c r="F4158">
        <f t="shared" si="257"/>
        <v>2.3964371650044083E-2</v>
      </c>
      <c r="G4158">
        <f t="shared" si="258"/>
        <v>0.39824676513671875</v>
      </c>
      <c r="H4158">
        <f t="shared" si="259"/>
        <v>1.8800048828125</v>
      </c>
    </row>
    <row r="4159" spans="1:8" x14ac:dyDescent="0.2">
      <c r="A4159" t="s">
        <v>14</v>
      </c>
      <c r="B4159" s="2">
        <v>45461</v>
      </c>
      <c r="C4159">
        <v>85.227249145507812</v>
      </c>
      <c r="D4159">
        <f>_xlfn.XLOOKUP(B4159, Oil_Price!A:A, Oil_Price!B:B, "")</f>
        <v>81.569999694824219</v>
      </c>
      <c r="E4159">
        <f t="shared" si="256"/>
        <v>1.5249224378873731E-2</v>
      </c>
      <c r="F4159">
        <f t="shared" si="257"/>
        <v>1.5436298213678888E-2</v>
      </c>
      <c r="G4159">
        <f t="shared" si="258"/>
        <v>1.2801284790039062</v>
      </c>
      <c r="H4159">
        <f t="shared" si="259"/>
        <v>1.2399978637695312</v>
      </c>
    </row>
    <row r="4160" spans="1:8" x14ac:dyDescent="0.2">
      <c r="A4160" t="s">
        <v>14</v>
      </c>
      <c r="B4160" s="2">
        <v>45462</v>
      </c>
      <c r="C4160">
        <v>85.341026306152344</v>
      </c>
      <c r="D4160" t="str">
        <f>_xlfn.XLOOKUP(B4160, Oil_Price!A:A, Oil_Price!B:B, "")</f>
        <v/>
      </c>
      <c r="E4160">
        <f t="shared" si="256"/>
        <v>1.3349857209433147E-3</v>
      </c>
      <c r="F4160" t="str">
        <f t="shared" si="257"/>
        <v/>
      </c>
      <c r="G4160">
        <f t="shared" si="258"/>
        <v>0.11377716064453125</v>
      </c>
      <c r="H4160" t="str">
        <f t="shared" si="259"/>
        <v/>
      </c>
    </row>
    <row r="4161" spans="1:8" x14ac:dyDescent="0.2">
      <c r="A4161" t="s">
        <v>14</v>
      </c>
      <c r="B4161" s="2">
        <v>45463</v>
      </c>
      <c r="C4161">
        <v>86.365127563476562</v>
      </c>
      <c r="D4161">
        <f>_xlfn.XLOOKUP(B4161, Oil_Price!A:A, Oil_Price!B:B, "")</f>
        <v>82.169998168945312</v>
      </c>
      <c r="E4161">
        <f t="shared" si="256"/>
        <v>1.200010477551979E-2</v>
      </c>
      <c r="F4161" t="str">
        <f t="shared" si="257"/>
        <v/>
      </c>
      <c r="G4161">
        <f t="shared" si="258"/>
        <v>1.0241012573242188</v>
      </c>
      <c r="H4161" t="str">
        <f t="shared" si="259"/>
        <v/>
      </c>
    </row>
    <row r="4162" spans="1:8" x14ac:dyDescent="0.2">
      <c r="A4162" t="s">
        <v>14</v>
      </c>
      <c r="B4162" s="2">
        <v>45464</v>
      </c>
      <c r="C4162">
        <v>85.862564086914062</v>
      </c>
      <c r="D4162">
        <f>_xlfn.XLOOKUP(B4162, Oil_Price!A:A, Oil_Price!B:B, "")</f>
        <v>80.730003356933594</v>
      </c>
      <c r="E4162">
        <f t="shared" si="256"/>
        <v>-5.8190555695425373E-3</v>
      </c>
      <c r="F4162">
        <f t="shared" si="257"/>
        <v>-1.7524581283925832E-2</v>
      </c>
      <c r="G4162">
        <f t="shared" si="258"/>
        <v>-0.5025634765625</v>
      </c>
      <c r="H4162">
        <f t="shared" si="259"/>
        <v>-1.4399948120117188</v>
      </c>
    </row>
    <row r="4163" spans="1:8" x14ac:dyDescent="0.2">
      <c r="A4163" t="s">
        <v>14</v>
      </c>
      <c r="B4163" s="2">
        <v>45467</v>
      </c>
      <c r="C4163">
        <v>89.086563110351562</v>
      </c>
      <c r="D4163">
        <f>_xlfn.XLOOKUP(B4163, Oil_Price!A:A, Oil_Price!B:B, "")</f>
        <v>81.629997253417969</v>
      </c>
      <c r="E4163">
        <f t="shared" ref="E4163:E4226" si="260">IFERROR(IF(AND(A4163=A4162, C4163&lt;&gt;"", C4162&lt;&gt;""), (C4163-C4162)/C4162, ""), "")</f>
        <v>3.7548366482207766E-2</v>
      </c>
      <c r="F4163">
        <f t="shared" ref="F4163:F4226" si="261">IFERROR(IF(AND(A4163=A4162, D4163&lt;&gt;"", D4162&lt;&gt;""), (D4163-D4162)/D4162, ""), "")</f>
        <v>1.1148195950212084E-2</v>
      </c>
      <c r="G4163">
        <f t="shared" ref="G4163:G4226" si="262">IFERROR(IF(AND(A4163=A4162, C4163&lt;&gt;"", C4162&lt;&gt;""), C4163-C4162, ""), "")</f>
        <v>3.2239990234375</v>
      </c>
      <c r="H4163">
        <f t="shared" ref="H4163:H4226" si="263">IFERROR(IF(AND(A4163=A4162, D4163&lt;&gt;"", D4162&lt;&gt;""), D4163-D4162, ""), "")</f>
        <v>0.899993896484375</v>
      </c>
    </row>
    <row r="4164" spans="1:8" x14ac:dyDescent="0.2">
      <c r="A4164" t="s">
        <v>14</v>
      </c>
      <c r="B4164" s="2">
        <v>45468</v>
      </c>
      <c r="C4164">
        <v>88.745185852050781</v>
      </c>
      <c r="D4164">
        <f>_xlfn.XLOOKUP(B4164, Oil_Price!A:A, Oil_Price!B:B, "")</f>
        <v>80.830001831054688</v>
      </c>
      <c r="E4164">
        <f t="shared" si="260"/>
        <v>-3.8319724813933734E-3</v>
      </c>
      <c r="F4164">
        <f t="shared" si="261"/>
        <v>-9.8002627622259808E-3</v>
      </c>
      <c r="G4164">
        <f t="shared" si="262"/>
        <v>-0.34137725830078125</v>
      </c>
      <c r="H4164">
        <f t="shared" si="263"/>
        <v>-0.79999542236328125</v>
      </c>
    </row>
    <row r="4165" spans="1:8" x14ac:dyDescent="0.2">
      <c r="A4165" t="s">
        <v>14</v>
      </c>
      <c r="B4165" s="2">
        <v>45469</v>
      </c>
      <c r="C4165">
        <v>88.233154296875</v>
      </c>
      <c r="D4165">
        <f>_xlfn.XLOOKUP(B4165, Oil_Price!A:A, Oil_Price!B:B, "")</f>
        <v>80.900001525878906</v>
      </c>
      <c r="E4165">
        <f t="shared" si="260"/>
        <v>-5.7696826059883549E-3</v>
      </c>
      <c r="F4165">
        <f t="shared" si="261"/>
        <v>8.6601129826184217E-4</v>
      </c>
      <c r="G4165">
        <f t="shared" si="262"/>
        <v>-0.51203155517578125</v>
      </c>
      <c r="H4165">
        <f t="shared" si="263"/>
        <v>6.999969482421875E-2</v>
      </c>
    </row>
    <row r="4166" spans="1:8" x14ac:dyDescent="0.2">
      <c r="A4166" t="s">
        <v>14</v>
      </c>
      <c r="B4166" s="2">
        <v>45470</v>
      </c>
      <c r="C4166">
        <v>89.589126586914062</v>
      </c>
      <c r="D4166">
        <f>_xlfn.XLOOKUP(B4166, Oil_Price!A:A, Oil_Price!B:B, "")</f>
        <v>81.739997863769531</v>
      </c>
      <c r="E4166">
        <f t="shared" si="260"/>
        <v>1.5368058649208777E-2</v>
      </c>
      <c r="F4166">
        <f t="shared" si="261"/>
        <v>1.038314365942157E-2</v>
      </c>
      <c r="G4166">
        <f t="shared" si="262"/>
        <v>1.3559722900390625</v>
      </c>
      <c r="H4166">
        <f t="shared" si="263"/>
        <v>0.839996337890625</v>
      </c>
    </row>
    <row r="4167" spans="1:8" x14ac:dyDescent="0.2">
      <c r="A4167" t="s">
        <v>14</v>
      </c>
      <c r="B4167" s="2">
        <v>45471</v>
      </c>
      <c r="C4167">
        <v>88.451240539550781</v>
      </c>
      <c r="D4167">
        <f>_xlfn.XLOOKUP(B4167, Oil_Price!A:A, Oil_Price!B:B, "")</f>
        <v>81.540000915527344</v>
      </c>
      <c r="E4167">
        <f t="shared" si="260"/>
        <v>-1.2701162414608112E-2</v>
      </c>
      <c r="F4167">
        <f t="shared" si="261"/>
        <v>-2.4467452100440318E-3</v>
      </c>
      <c r="G4167">
        <f t="shared" si="262"/>
        <v>-1.1378860473632812</v>
      </c>
      <c r="H4167">
        <f t="shared" si="263"/>
        <v>-0.1999969482421875</v>
      </c>
    </row>
    <row r="4168" spans="1:8" x14ac:dyDescent="0.2">
      <c r="A4168" t="s">
        <v>14</v>
      </c>
      <c r="B4168" s="2">
        <v>45475</v>
      </c>
      <c r="C4168">
        <v>89.048629760742188</v>
      </c>
      <c r="D4168">
        <f>_xlfn.XLOOKUP(B4168, Oil_Price!A:A, Oil_Price!B:B, "")</f>
        <v>82.80999755859375</v>
      </c>
      <c r="E4168">
        <f t="shared" si="260"/>
        <v>6.7538817720061818E-3</v>
      </c>
      <c r="F4168">
        <f t="shared" si="261"/>
        <v>1.5575136482793021E-2</v>
      </c>
      <c r="G4168">
        <f t="shared" si="262"/>
        <v>0.59738922119140625</v>
      </c>
      <c r="H4168">
        <f t="shared" si="263"/>
        <v>1.2699966430664062</v>
      </c>
    </row>
    <row r="4169" spans="1:8" x14ac:dyDescent="0.2">
      <c r="A4169" t="s">
        <v>14</v>
      </c>
      <c r="B4169" s="2">
        <v>45476</v>
      </c>
      <c r="C4169">
        <v>90.452018737792969</v>
      </c>
      <c r="D4169">
        <f>_xlfn.XLOOKUP(B4169, Oil_Price!A:A, Oil_Price!B:B, "")</f>
        <v>83.879997253417969</v>
      </c>
      <c r="E4169">
        <f t="shared" si="260"/>
        <v>1.5759804286954639E-2</v>
      </c>
      <c r="F4169">
        <f t="shared" si="261"/>
        <v>1.2921141484965273E-2</v>
      </c>
      <c r="G4169">
        <f t="shared" si="262"/>
        <v>1.4033889770507812</v>
      </c>
      <c r="H4169">
        <f t="shared" si="263"/>
        <v>1.0699996948242188</v>
      </c>
    </row>
    <row r="4170" spans="1:8" x14ac:dyDescent="0.2">
      <c r="A4170" t="s">
        <v>14</v>
      </c>
      <c r="B4170" s="2">
        <v>45477</v>
      </c>
      <c r="C4170">
        <v>91.362327575683594</v>
      </c>
      <c r="D4170" t="str">
        <f>_xlfn.XLOOKUP(B4170, Oil_Price!A:A, Oil_Price!B:B, "")</f>
        <v/>
      </c>
      <c r="E4170">
        <f t="shared" si="260"/>
        <v>1.0063996918957395E-2</v>
      </c>
      <c r="F4170" t="str">
        <f t="shared" si="261"/>
        <v/>
      </c>
      <c r="G4170">
        <f t="shared" si="262"/>
        <v>0.910308837890625</v>
      </c>
      <c r="H4170" t="str">
        <f t="shared" si="263"/>
        <v/>
      </c>
    </row>
    <row r="4171" spans="1:8" x14ac:dyDescent="0.2">
      <c r="A4171" t="s">
        <v>14</v>
      </c>
      <c r="B4171" s="2">
        <v>45478</v>
      </c>
      <c r="C4171">
        <v>88.745185852050781</v>
      </c>
      <c r="D4171">
        <f>_xlfn.XLOOKUP(B4171, Oil_Price!A:A, Oil_Price!B:B, "")</f>
        <v>83.160003662109375</v>
      </c>
      <c r="E4171">
        <f t="shared" si="260"/>
        <v>-2.8645742649942886E-2</v>
      </c>
      <c r="F4171" t="str">
        <f t="shared" si="261"/>
        <v/>
      </c>
      <c r="G4171">
        <f t="shared" si="262"/>
        <v>-2.6171417236328125</v>
      </c>
      <c r="H4171" t="str">
        <f t="shared" si="263"/>
        <v/>
      </c>
    </row>
    <row r="4172" spans="1:8" x14ac:dyDescent="0.2">
      <c r="A4172" t="s">
        <v>14</v>
      </c>
      <c r="B4172" s="2">
        <v>45481</v>
      </c>
      <c r="C4172">
        <v>88.422798156738281</v>
      </c>
      <c r="D4172">
        <f>_xlfn.XLOOKUP(B4172, Oil_Price!A:A, Oil_Price!B:B, "")</f>
        <v>82.330001831054688</v>
      </c>
      <c r="E4172">
        <f t="shared" si="260"/>
        <v>-3.632734465731586E-3</v>
      </c>
      <c r="F4172">
        <f t="shared" si="261"/>
        <v>-9.9807815596918443E-3</v>
      </c>
      <c r="G4172">
        <f t="shared" si="262"/>
        <v>-0.3223876953125</v>
      </c>
      <c r="H4172">
        <f t="shared" si="263"/>
        <v>-0.8300018310546875</v>
      </c>
    </row>
    <row r="4173" spans="1:8" x14ac:dyDescent="0.2">
      <c r="A4173" t="s">
        <v>14</v>
      </c>
      <c r="B4173" s="2">
        <v>45482</v>
      </c>
      <c r="C4173">
        <v>87.417671203613281</v>
      </c>
      <c r="D4173">
        <f>_xlfn.XLOOKUP(B4173, Oil_Price!A:A, Oil_Price!B:B, "")</f>
        <v>81.410003662109375</v>
      </c>
      <c r="E4173">
        <f t="shared" si="260"/>
        <v>-1.1367282805768165E-2</v>
      </c>
      <c r="F4173">
        <f t="shared" si="261"/>
        <v>-1.1174518990454962E-2</v>
      </c>
      <c r="G4173">
        <f t="shared" si="262"/>
        <v>-1.005126953125</v>
      </c>
      <c r="H4173">
        <f t="shared" si="263"/>
        <v>-0.9199981689453125</v>
      </c>
    </row>
    <row r="4174" spans="1:8" x14ac:dyDescent="0.2">
      <c r="A4174" t="s">
        <v>14</v>
      </c>
      <c r="B4174" s="2">
        <v>45483</v>
      </c>
      <c r="C4174">
        <v>89.257232666015625</v>
      </c>
      <c r="D4174">
        <f>_xlfn.XLOOKUP(B4174, Oil_Price!A:A, Oil_Price!B:B, "")</f>
        <v>82.099998474121094</v>
      </c>
      <c r="E4174">
        <f t="shared" si="260"/>
        <v>2.1043359278213169E-2</v>
      </c>
      <c r="F4174">
        <f t="shared" si="261"/>
        <v>8.4755531381073106E-3</v>
      </c>
      <c r="G4174">
        <f t="shared" si="262"/>
        <v>1.8395614624023438</v>
      </c>
      <c r="H4174">
        <f t="shared" si="263"/>
        <v>0.68999481201171875</v>
      </c>
    </row>
    <row r="4175" spans="1:8" x14ac:dyDescent="0.2">
      <c r="A4175" t="s">
        <v>14</v>
      </c>
      <c r="B4175" s="2">
        <v>45484</v>
      </c>
      <c r="C4175">
        <v>90.632186889648438</v>
      </c>
      <c r="D4175">
        <f>_xlfn.XLOOKUP(B4175, Oil_Price!A:A, Oil_Price!B:B, "")</f>
        <v>82.620002746582031</v>
      </c>
      <c r="E4175">
        <f t="shared" si="260"/>
        <v>1.5404401218416011E-2</v>
      </c>
      <c r="F4175">
        <f t="shared" si="261"/>
        <v>6.3337914997020264E-3</v>
      </c>
      <c r="G4175">
        <f t="shared" si="262"/>
        <v>1.3749542236328125</v>
      </c>
      <c r="H4175">
        <f t="shared" si="263"/>
        <v>0.5200042724609375</v>
      </c>
    </row>
    <row r="4176" spans="1:8" x14ac:dyDescent="0.2">
      <c r="A4176" t="s">
        <v>14</v>
      </c>
      <c r="B4176" s="2">
        <v>45485</v>
      </c>
      <c r="C4176">
        <v>91.001991271972656</v>
      </c>
      <c r="D4176">
        <f>_xlfn.XLOOKUP(B4176, Oil_Price!A:A, Oil_Price!B:B, "")</f>
        <v>82.209999084472656</v>
      </c>
      <c r="E4176">
        <f t="shared" si="260"/>
        <v>4.0802765001630558E-3</v>
      </c>
      <c r="F4176">
        <f t="shared" si="261"/>
        <v>-4.9625229784483003E-3</v>
      </c>
      <c r="G4176">
        <f t="shared" si="262"/>
        <v>0.36980438232421875</v>
      </c>
      <c r="H4176">
        <f t="shared" si="263"/>
        <v>-0.410003662109375</v>
      </c>
    </row>
    <row r="4177" spans="1:8" x14ac:dyDescent="0.2">
      <c r="A4177" t="s">
        <v>14</v>
      </c>
      <c r="B4177" s="2">
        <v>45488</v>
      </c>
      <c r="C4177">
        <v>92.803642272949219</v>
      </c>
      <c r="D4177">
        <f>_xlfn.XLOOKUP(B4177, Oil_Price!A:A, Oil_Price!B:B, "")</f>
        <v>81.910003662109375</v>
      </c>
      <c r="E4177">
        <f t="shared" si="260"/>
        <v>1.9797929427632709E-2</v>
      </c>
      <c r="F4177">
        <f t="shared" si="261"/>
        <v>-3.6491354543749487E-3</v>
      </c>
      <c r="G4177">
        <f t="shared" si="262"/>
        <v>1.8016510009765625</v>
      </c>
      <c r="H4177">
        <f t="shared" si="263"/>
        <v>-0.29999542236328125</v>
      </c>
    </row>
    <row r="4178" spans="1:8" x14ac:dyDescent="0.2">
      <c r="A4178" t="s">
        <v>14</v>
      </c>
      <c r="B4178" s="2">
        <v>45489</v>
      </c>
      <c r="C4178">
        <v>91.599372863769531</v>
      </c>
      <c r="D4178">
        <f>_xlfn.XLOOKUP(B4178, Oil_Price!A:A, Oil_Price!B:B, "")</f>
        <v>80.760002136230469</v>
      </c>
      <c r="E4178">
        <f t="shared" si="260"/>
        <v>-1.2976531736090199E-2</v>
      </c>
      <c r="F4178">
        <f t="shared" si="261"/>
        <v>-1.4039817781266731E-2</v>
      </c>
      <c r="G4178">
        <f t="shared" si="262"/>
        <v>-1.2042694091796875</v>
      </c>
      <c r="H4178">
        <f t="shared" si="263"/>
        <v>-1.1500015258789062</v>
      </c>
    </row>
    <row r="4179" spans="1:8" x14ac:dyDescent="0.2">
      <c r="A4179" t="s">
        <v>14</v>
      </c>
      <c r="B4179" s="2">
        <v>45490</v>
      </c>
      <c r="C4179">
        <v>91.580421447753906</v>
      </c>
      <c r="D4179">
        <f>_xlfn.XLOOKUP(B4179, Oil_Price!A:A, Oil_Price!B:B, "")</f>
        <v>82.849998474121094</v>
      </c>
      <c r="E4179">
        <f t="shared" si="260"/>
        <v>-2.0689460444025474E-4</v>
      </c>
      <c r="F4179">
        <f t="shared" si="261"/>
        <v>2.5879102062987849E-2</v>
      </c>
      <c r="G4179">
        <f t="shared" si="262"/>
        <v>-1.8951416015625E-2</v>
      </c>
      <c r="H4179">
        <f t="shared" si="263"/>
        <v>2.089996337890625</v>
      </c>
    </row>
    <row r="4180" spans="1:8" x14ac:dyDescent="0.2">
      <c r="A4180" t="s">
        <v>14</v>
      </c>
      <c r="B4180" s="2">
        <v>45491</v>
      </c>
      <c r="C4180">
        <v>90.698562622070312</v>
      </c>
      <c r="D4180">
        <f>_xlfn.XLOOKUP(B4180, Oil_Price!A:A, Oil_Price!B:B, "")</f>
        <v>82.819999694824219</v>
      </c>
      <c r="E4180">
        <f t="shared" si="260"/>
        <v>-9.6293379277216911E-3</v>
      </c>
      <c r="F4180">
        <f t="shared" si="261"/>
        <v>-3.6208545382466573E-4</v>
      </c>
      <c r="G4180">
        <f t="shared" si="262"/>
        <v>-0.88185882568359375</v>
      </c>
      <c r="H4180">
        <f t="shared" si="263"/>
        <v>-2.9998779296875E-2</v>
      </c>
    </row>
    <row r="4181" spans="1:8" x14ac:dyDescent="0.2">
      <c r="A4181" t="s">
        <v>14</v>
      </c>
      <c r="B4181" s="2">
        <v>45492</v>
      </c>
      <c r="C4181">
        <v>90.319267272949219</v>
      </c>
      <c r="D4181">
        <f>_xlfn.XLOOKUP(B4181, Oil_Price!A:A, Oil_Price!B:B, "")</f>
        <v>80.129997253417969</v>
      </c>
      <c r="E4181">
        <f t="shared" si="260"/>
        <v>-4.181933408377931E-3</v>
      </c>
      <c r="F4181">
        <f t="shared" si="261"/>
        <v>-3.2480106874165561E-2</v>
      </c>
      <c r="G4181">
        <f t="shared" si="262"/>
        <v>-0.37929534912109375</v>
      </c>
      <c r="H4181">
        <f t="shared" si="263"/>
        <v>-2.69000244140625</v>
      </c>
    </row>
    <row r="4182" spans="1:8" x14ac:dyDescent="0.2">
      <c r="A4182" t="s">
        <v>14</v>
      </c>
      <c r="B4182" s="2">
        <v>45495</v>
      </c>
      <c r="C4182">
        <v>91.656272888183594</v>
      </c>
      <c r="D4182">
        <f>_xlfn.XLOOKUP(B4182, Oil_Price!A:A, Oil_Price!B:B, "")</f>
        <v>79.779998779296875</v>
      </c>
      <c r="E4182">
        <f t="shared" si="260"/>
        <v>1.4803105202280694E-2</v>
      </c>
      <c r="F4182">
        <f t="shared" si="261"/>
        <v>-4.367883266165524E-3</v>
      </c>
      <c r="G4182">
        <f t="shared" si="262"/>
        <v>1.337005615234375</v>
      </c>
      <c r="H4182">
        <f t="shared" si="263"/>
        <v>-0.34999847412109375</v>
      </c>
    </row>
    <row r="4183" spans="1:8" x14ac:dyDescent="0.2">
      <c r="A4183" t="s">
        <v>14</v>
      </c>
      <c r="B4183" s="2">
        <v>45496</v>
      </c>
      <c r="C4183">
        <v>90.603736877441406</v>
      </c>
      <c r="D4183">
        <f>_xlfn.XLOOKUP(B4183, Oil_Price!A:A, Oil_Price!B:B, "")</f>
        <v>76.959999084472656</v>
      </c>
      <c r="E4183">
        <f t="shared" si="260"/>
        <v>-1.1483513103639209E-2</v>
      </c>
      <c r="F4183">
        <f t="shared" si="261"/>
        <v>-3.5347201528862601E-2</v>
      </c>
      <c r="G4183">
        <f t="shared" si="262"/>
        <v>-1.0525360107421875</v>
      </c>
      <c r="H4183">
        <f t="shared" si="263"/>
        <v>-2.8199996948242188</v>
      </c>
    </row>
    <row r="4184" spans="1:8" x14ac:dyDescent="0.2">
      <c r="A4184" t="s">
        <v>14</v>
      </c>
      <c r="B4184" s="2">
        <v>45497</v>
      </c>
      <c r="C4184">
        <v>91.580421447753906</v>
      </c>
      <c r="D4184">
        <f>_xlfn.XLOOKUP(B4184, Oil_Price!A:A, Oil_Price!B:B, "")</f>
        <v>77.589996337890625</v>
      </c>
      <c r="E4184">
        <f t="shared" si="260"/>
        <v>1.0779738275405236E-2</v>
      </c>
      <c r="F4184">
        <f t="shared" si="261"/>
        <v>8.186035095016992E-3</v>
      </c>
      <c r="G4184">
        <f t="shared" si="262"/>
        <v>0.9766845703125</v>
      </c>
      <c r="H4184">
        <f t="shared" si="263"/>
        <v>0.62999725341796875</v>
      </c>
    </row>
    <row r="4185" spans="1:8" x14ac:dyDescent="0.2">
      <c r="A4185" t="s">
        <v>14</v>
      </c>
      <c r="B4185" s="2">
        <v>45498</v>
      </c>
      <c r="C4185">
        <v>92.481239318847656</v>
      </c>
      <c r="D4185">
        <f>_xlfn.XLOOKUP(B4185, Oil_Price!A:A, Oil_Price!B:B, "")</f>
        <v>78.279998779296875</v>
      </c>
      <c r="E4185">
        <f t="shared" si="260"/>
        <v>9.8363586545368899E-3</v>
      </c>
      <c r="F4185">
        <f t="shared" si="261"/>
        <v>8.8929304546092793E-3</v>
      </c>
      <c r="G4185">
        <f t="shared" si="262"/>
        <v>0.90081787109375</v>
      </c>
      <c r="H4185">
        <f t="shared" si="263"/>
        <v>0.69000244140625</v>
      </c>
    </row>
    <row r="4186" spans="1:8" x14ac:dyDescent="0.2">
      <c r="A4186" t="s">
        <v>14</v>
      </c>
      <c r="B4186" s="2">
        <v>45499</v>
      </c>
      <c r="C4186">
        <v>93.07861328125</v>
      </c>
      <c r="D4186">
        <f>_xlfn.XLOOKUP(B4186, Oil_Price!A:A, Oil_Price!B:B, "")</f>
        <v>77.160003662109375</v>
      </c>
      <c r="E4186">
        <f t="shared" si="260"/>
        <v>6.4594069759681414E-3</v>
      </c>
      <c r="F4186">
        <f t="shared" si="261"/>
        <v>-1.4307551541297559E-2</v>
      </c>
      <c r="G4186">
        <f t="shared" si="262"/>
        <v>0.59737396240234375</v>
      </c>
      <c r="H4186">
        <f t="shared" si="263"/>
        <v>-1.1199951171875</v>
      </c>
    </row>
    <row r="4187" spans="1:8" x14ac:dyDescent="0.2">
      <c r="A4187" t="s">
        <v>14</v>
      </c>
      <c r="B4187" s="2">
        <v>45502</v>
      </c>
      <c r="C4187">
        <v>90.632186889648438</v>
      </c>
      <c r="D4187">
        <f>_xlfn.XLOOKUP(B4187, Oil_Price!A:A, Oil_Price!B:B, "")</f>
        <v>75.80999755859375</v>
      </c>
      <c r="E4187">
        <f t="shared" si="260"/>
        <v>-2.628344262295082E-2</v>
      </c>
      <c r="F4187">
        <f t="shared" si="261"/>
        <v>-1.7496190246794489E-2</v>
      </c>
      <c r="G4187">
        <f t="shared" si="262"/>
        <v>-2.4464263916015625</v>
      </c>
      <c r="H4187">
        <f t="shared" si="263"/>
        <v>-1.350006103515625</v>
      </c>
    </row>
    <row r="4188" spans="1:8" x14ac:dyDescent="0.2">
      <c r="A4188" t="s">
        <v>14</v>
      </c>
      <c r="B4188" s="2">
        <v>45503</v>
      </c>
      <c r="C4188">
        <v>91.533004760742188</v>
      </c>
      <c r="D4188">
        <f>_xlfn.XLOOKUP(B4188, Oil_Price!A:A, Oil_Price!B:B, "")</f>
        <v>74.730003356933594</v>
      </c>
      <c r="E4188">
        <f t="shared" si="260"/>
        <v>9.9392710471674275E-3</v>
      </c>
      <c r="F4188">
        <f t="shared" si="261"/>
        <v>-1.4246065643590423E-2</v>
      </c>
      <c r="G4188">
        <f t="shared" si="262"/>
        <v>0.90081787109375</v>
      </c>
      <c r="H4188">
        <f t="shared" si="263"/>
        <v>-1.0799942016601562</v>
      </c>
    </row>
    <row r="4189" spans="1:8" x14ac:dyDescent="0.2">
      <c r="A4189" t="s">
        <v>14</v>
      </c>
      <c r="B4189" s="2">
        <v>45504</v>
      </c>
      <c r="C4189">
        <v>93.789810180664062</v>
      </c>
      <c r="D4189">
        <f>_xlfn.XLOOKUP(B4189, Oil_Price!A:A, Oil_Price!B:B, "")</f>
        <v>77.910003662109375</v>
      </c>
      <c r="E4189">
        <f t="shared" si="260"/>
        <v>2.465564662518106E-2</v>
      </c>
      <c r="F4189">
        <f t="shared" si="261"/>
        <v>4.2553193661548722E-2</v>
      </c>
      <c r="G4189">
        <f t="shared" si="262"/>
        <v>2.256805419921875</v>
      </c>
      <c r="H4189">
        <f t="shared" si="263"/>
        <v>3.1800003051757812</v>
      </c>
    </row>
    <row r="4190" spans="1:8" x14ac:dyDescent="0.2">
      <c r="A4190" t="s">
        <v>14</v>
      </c>
      <c r="B4190" s="2">
        <v>45505</v>
      </c>
      <c r="C4190">
        <v>90.992507934570312</v>
      </c>
      <c r="D4190">
        <f>_xlfn.XLOOKUP(B4190, Oil_Price!A:A, Oil_Price!B:B, "")</f>
        <v>76.30999755859375</v>
      </c>
      <c r="E4190">
        <f t="shared" si="260"/>
        <v>-2.9825225583732427E-2</v>
      </c>
      <c r="F4190">
        <f t="shared" si="261"/>
        <v>-2.0536593868673753E-2</v>
      </c>
      <c r="G4190">
        <f t="shared" si="262"/>
        <v>-2.79730224609375</v>
      </c>
      <c r="H4190">
        <f t="shared" si="263"/>
        <v>-1.600006103515625</v>
      </c>
    </row>
    <row r="4191" spans="1:8" x14ac:dyDescent="0.2">
      <c r="A4191" t="s">
        <v>14</v>
      </c>
      <c r="B4191" s="2">
        <v>45506</v>
      </c>
      <c r="C4191">
        <v>89.608085632324219</v>
      </c>
      <c r="D4191">
        <f>_xlfn.XLOOKUP(B4191, Oil_Price!A:A, Oil_Price!B:B, "")</f>
        <v>73.519996643066406</v>
      </c>
      <c r="E4191">
        <f t="shared" si="260"/>
        <v>-1.5214684523714697E-2</v>
      </c>
      <c r="F4191">
        <f t="shared" si="261"/>
        <v>-3.6561407479866234E-2</v>
      </c>
      <c r="G4191">
        <f t="shared" si="262"/>
        <v>-1.3844223022460938</v>
      </c>
      <c r="H4191">
        <f t="shared" si="263"/>
        <v>-2.7900009155273438</v>
      </c>
    </row>
    <row r="4192" spans="1:8" x14ac:dyDescent="0.2">
      <c r="A4192" t="s">
        <v>14</v>
      </c>
      <c r="B4192" s="2">
        <v>45510</v>
      </c>
      <c r="C4192">
        <v>89.247756958007812</v>
      </c>
      <c r="D4192">
        <f>_xlfn.XLOOKUP(B4192, Oil_Price!A:A, Oil_Price!B:B, "")</f>
        <v>73.199996948242188</v>
      </c>
      <c r="E4192">
        <f t="shared" si="260"/>
        <v>-4.0211625075318577E-3</v>
      </c>
      <c r="F4192">
        <f t="shared" si="261"/>
        <v>-4.3525531751285465E-3</v>
      </c>
      <c r="G4192">
        <f t="shared" si="262"/>
        <v>-0.36032867431640625</v>
      </c>
      <c r="H4192">
        <f t="shared" si="263"/>
        <v>-0.31999969482421875</v>
      </c>
    </row>
    <row r="4193" spans="1:8" x14ac:dyDescent="0.2">
      <c r="A4193" t="s">
        <v>14</v>
      </c>
      <c r="B4193" s="2">
        <v>45511</v>
      </c>
      <c r="C4193">
        <v>90.670112609863281</v>
      </c>
      <c r="D4193">
        <f>_xlfn.XLOOKUP(B4193, Oil_Price!A:A, Oil_Price!B:B, "")</f>
        <v>75.230003356933594</v>
      </c>
      <c r="E4193">
        <f t="shared" si="260"/>
        <v>1.5937158538614084E-2</v>
      </c>
      <c r="F4193">
        <f t="shared" si="261"/>
        <v>2.7732329143767193E-2</v>
      </c>
      <c r="G4193">
        <f t="shared" si="262"/>
        <v>1.4223556518554688</v>
      </c>
      <c r="H4193">
        <f t="shared" si="263"/>
        <v>2.0300064086914062</v>
      </c>
    </row>
    <row r="4194" spans="1:8" x14ac:dyDescent="0.2">
      <c r="A4194" t="s">
        <v>14</v>
      </c>
      <c r="B4194" s="2">
        <v>45512</v>
      </c>
      <c r="C4194">
        <v>93.315689086914062</v>
      </c>
      <c r="D4194">
        <f>_xlfn.XLOOKUP(B4194, Oil_Price!A:A, Oil_Price!B:B, "")</f>
        <v>76.19000244140625</v>
      </c>
      <c r="E4194">
        <f t="shared" si="260"/>
        <v>2.9178043358501243E-2</v>
      </c>
      <c r="F4194">
        <f t="shared" si="261"/>
        <v>1.2760853936399268E-2</v>
      </c>
      <c r="G4194">
        <f t="shared" si="262"/>
        <v>2.6455764770507812</v>
      </c>
      <c r="H4194">
        <f t="shared" si="263"/>
        <v>0.95999908447265625</v>
      </c>
    </row>
    <row r="4195" spans="1:8" x14ac:dyDescent="0.2">
      <c r="A4195" t="s">
        <v>14</v>
      </c>
      <c r="B4195" s="2">
        <v>45513</v>
      </c>
      <c r="C4195">
        <v>94.216514587402344</v>
      </c>
      <c r="D4195">
        <f>_xlfn.XLOOKUP(B4195, Oil_Price!A:A, Oil_Price!B:B, "")</f>
        <v>76.839996337890625</v>
      </c>
      <c r="E4195">
        <f t="shared" si="260"/>
        <v>9.653526746710878E-3</v>
      </c>
      <c r="F4195">
        <f t="shared" si="261"/>
        <v>8.5312229381309095E-3</v>
      </c>
      <c r="G4195">
        <f t="shared" si="262"/>
        <v>0.90082550048828125</v>
      </c>
      <c r="H4195">
        <f t="shared" si="263"/>
        <v>0.649993896484375</v>
      </c>
    </row>
    <row r="4196" spans="1:8" x14ac:dyDescent="0.2">
      <c r="A4196" t="s">
        <v>14</v>
      </c>
      <c r="B4196" s="2">
        <v>45516</v>
      </c>
      <c r="C4196">
        <v>97.933586120605469</v>
      </c>
      <c r="D4196">
        <f>_xlfn.XLOOKUP(B4196, Oil_Price!A:A, Oil_Price!B:B, "")</f>
        <v>80.05999755859375</v>
      </c>
      <c r="E4196">
        <f t="shared" si="260"/>
        <v>3.945244153300629E-2</v>
      </c>
      <c r="F4196">
        <f t="shared" si="261"/>
        <v>4.1905275561749444E-2</v>
      </c>
      <c r="G4196">
        <f t="shared" si="262"/>
        <v>3.717071533203125</v>
      </c>
      <c r="H4196">
        <f t="shared" si="263"/>
        <v>3.220001220703125</v>
      </c>
    </row>
    <row r="4197" spans="1:8" x14ac:dyDescent="0.2">
      <c r="A4197" t="s">
        <v>14</v>
      </c>
      <c r="B4197" s="2">
        <v>45517</v>
      </c>
      <c r="C4197">
        <v>97.867202758789062</v>
      </c>
      <c r="D4197">
        <f>_xlfn.XLOOKUP(B4197, Oil_Price!A:A, Oil_Price!B:B, "")</f>
        <v>78.349998474121094</v>
      </c>
      <c r="E4197">
        <f t="shared" si="260"/>
        <v>-6.7784061062213085E-4</v>
      </c>
      <c r="F4197">
        <f t="shared" si="261"/>
        <v>-2.1358969980247052E-2</v>
      </c>
      <c r="G4197">
        <f t="shared" si="262"/>
        <v>-6.638336181640625E-2</v>
      </c>
      <c r="H4197">
        <f t="shared" si="263"/>
        <v>-1.7099990844726562</v>
      </c>
    </row>
    <row r="4198" spans="1:8" x14ac:dyDescent="0.2">
      <c r="A4198" t="s">
        <v>14</v>
      </c>
      <c r="B4198" s="2">
        <v>45518</v>
      </c>
      <c r="C4198">
        <v>98.692161560058594</v>
      </c>
      <c r="D4198">
        <f>_xlfn.XLOOKUP(B4198, Oil_Price!A:A, Oil_Price!B:B, "")</f>
        <v>76.980003356933594</v>
      </c>
      <c r="E4198">
        <f t="shared" si="260"/>
        <v>8.4293693700716807E-3</v>
      </c>
      <c r="F4198">
        <f t="shared" si="261"/>
        <v>-1.7485579372921209E-2</v>
      </c>
      <c r="G4198">
        <f t="shared" si="262"/>
        <v>0.82495880126953125</v>
      </c>
      <c r="H4198">
        <f t="shared" si="263"/>
        <v>-1.3699951171875</v>
      </c>
    </row>
    <row r="4199" spans="1:8" x14ac:dyDescent="0.2">
      <c r="A4199" t="s">
        <v>14</v>
      </c>
      <c r="B4199" s="2">
        <v>45519</v>
      </c>
      <c r="C4199">
        <v>100.0102081298828</v>
      </c>
      <c r="D4199">
        <f>_xlfn.XLOOKUP(B4199, Oil_Price!A:A, Oil_Price!B:B, "")</f>
        <v>78.160003662109375</v>
      </c>
      <c r="E4199">
        <f t="shared" si="260"/>
        <v>1.3355129211777516E-2</v>
      </c>
      <c r="F4199">
        <f t="shared" si="261"/>
        <v>1.5328660089873828E-2</v>
      </c>
      <c r="G4199">
        <f t="shared" si="262"/>
        <v>1.3180465698242045</v>
      </c>
      <c r="H4199">
        <f t="shared" si="263"/>
        <v>1.1800003051757812</v>
      </c>
    </row>
    <row r="4200" spans="1:8" x14ac:dyDescent="0.2">
      <c r="A4200" t="s">
        <v>14</v>
      </c>
      <c r="B4200" s="2">
        <v>45520</v>
      </c>
      <c r="C4200">
        <v>99.336967468261719</v>
      </c>
      <c r="D4200">
        <f>_xlfn.XLOOKUP(B4200, Oil_Price!A:A, Oil_Price!B:B, "")</f>
        <v>76.650001525878906</v>
      </c>
      <c r="E4200">
        <f t="shared" si="260"/>
        <v>-6.7317194335476732E-3</v>
      </c>
      <c r="F4200">
        <f t="shared" si="261"/>
        <v>-1.9319371359785283E-2</v>
      </c>
      <c r="G4200">
        <f t="shared" si="262"/>
        <v>-0.67324066162107954</v>
      </c>
      <c r="H4200">
        <f t="shared" si="263"/>
        <v>-1.5100021362304688</v>
      </c>
    </row>
    <row r="4201" spans="1:8" x14ac:dyDescent="0.2">
      <c r="A4201" t="s">
        <v>14</v>
      </c>
      <c r="B4201" s="2">
        <v>45523</v>
      </c>
      <c r="C4201">
        <v>98.142189025878906</v>
      </c>
      <c r="D4201">
        <f>_xlfn.XLOOKUP(B4201, Oil_Price!A:A, Oil_Price!B:B, "")</f>
        <v>74.370002746582031</v>
      </c>
      <c r="E4201">
        <f t="shared" si="260"/>
        <v>-1.2027530866236133E-2</v>
      </c>
      <c r="F4201">
        <f t="shared" si="261"/>
        <v>-2.974558035105964E-2</v>
      </c>
      <c r="G4201">
        <f t="shared" si="262"/>
        <v>-1.1947784423828125</v>
      </c>
      <c r="H4201">
        <f t="shared" si="263"/>
        <v>-2.279998779296875</v>
      </c>
    </row>
    <row r="4202" spans="1:8" x14ac:dyDescent="0.2">
      <c r="A4202" t="s">
        <v>14</v>
      </c>
      <c r="B4202" s="2">
        <v>45524</v>
      </c>
      <c r="C4202">
        <v>96.103485107421875</v>
      </c>
      <c r="D4202">
        <f>_xlfn.XLOOKUP(B4202, Oil_Price!A:A, Oil_Price!B:B, "")</f>
        <v>74.040000915527344</v>
      </c>
      <c r="E4202">
        <f t="shared" si="260"/>
        <v>-2.0772961543780624E-2</v>
      </c>
      <c r="F4202">
        <f t="shared" si="261"/>
        <v>-4.437297550992144E-3</v>
      </c>
      <c r="G4202">
        <f t="shared" si="262"/>
        <v>-2.0387039184570312</v>
      </c>
      <c r="H4202">
        <f t="shared" si="263"/>
        <v>-0.3300018310546875</v>
      </c>
    </row>
    <row r="4203" spans="1:8" x14ac:dyDescent="0.2">
      <c r="A4203" t="s">
        <v>14</v>
      </c>
      <c r="B4203" s="2">
        <v>45525</v>
      </c>
      <c r="C4203">
        <v>96.302619934082031</v>
      </c>
      <c r="D4203">
        <f>_xlfn.XLOOKUP(B4203, Oil_Price!A:A, Oil_Price!B:B, "")</f>
        <v>71.930000305175781</v>
      </c>
      <c r="E4203">
        <f t="shared" si="260"/>
        <v>2.0720874631920865E-3</v>
      </c>
      <c r="F4203">
        <f t="shared" si="261"/>
        <v>-2.8498117021350043E-2</v>
      </c>
      <c r="G4203">
        <f t="shared" si="262"/>
        <v>0.19913482666015625</v>
      </c>
      <c r="H4203">
        <f t="shared" si="263"/>
        <v>-2.1100006103515625</v>
      </c>
    </row>
    <row r="4204" spans="1:8" x14ac:dyDescent="0.2">
      <c r="A4204" t="s">
        <v>14</v>
      </c>
      <c r="B4204" s="2">
        <v>45526</v>
      </c>
      <c r="C4204">
        <v>96.416404724121094</v>
      </c>
      <c r="D4204">
        <f>_xlfn.XLOOKUP(B4204, Oil_Price!A:A, Oil_Price!B:B, "")</f>
        <v>73.010002136230469</v>
      </c>
      <c r="E4204">
        <f t="shared" si="260"/>
        <v>1.1815336915750247E-3</v>
      </c>
      <c r="F4204">
        <f t="shared" si="261"/>
        <v>1.5014622917733745E-2</v>
      </c>
      <c r="G4204">
        <f t="shared" si="262"/>
        <v>0.1137847900390625</v>
      </c>
      <c r="H4204">
        <f t="shared" si="263"/>
        <v>1.0800018310546875</v>
      </c>
    </row>
    <row r="4205" spans="1:8" x14ac:dyDescent="0.2">
      <c r="A4205" t="s">
        <v>14</v>
      </c>
      <c r="B4205" s="2">
        <v>45527</v>
      </c>
      <c r="C4205">
        <v>97.573249816894531</v>
      </c>
      <c r="D4205">
        <f>_xlfn.XLOOKUP(B4205, Oil_Price!A:A, Oil_Price!B:B, "")</f>
        <v>74.830001831054688</v>
      </c>
      <c r="E4205">
        <f t="shared" si="260"/>
        <v>1.1998425953379513E-2</v>
      </c>
      <c r="F4205">
        <f t="shared" si="261"/>
        <v>2.4928087132886995E-2</v>
      </c>
      <c r="G4205">
        <f t="shared" si="262"/>
        <v>1.1568450927734375</v>
      </c>
      <c r="H4205">
        <f t="shared" si="263"/>
        <v>1.8199996948242188</v>
      </c>
    </row>
    <row r="4206" spans="1:8" x14ac:dyDescent="0.2">
      <c r="A4206" t="s">
        <v>14</v>
      </c>
      <c r="B4206" s="2">
        <v>45530</v>
      </c>
      <c r="C4206">
        <v>98.711128234863281</v>
      </c>
      <c r="D4206">
        <f>_xlfn.XLOOKUP(B4206, Oil_Price!A:A, Oil_Price!B:B, "")</f>
        <v>77.419998168945312</v>
      </c>
      <c r="E4206">
        <f t="shared" si="260"/>
        <v>1.166178660753933E-2</v>
      </c>
      <c r="F4206">
        <f t="shared" si="261"/>
        <v>3.4611736930571187E-2</v>
      </c>
      <c r="G4206">
        <f t="shared" si="262"/>
        <v>1.13787841796875</v>
      </c>
      <c r="H4206">
        <f t="shared" si="263"/>
        <v>2.589996337890625</v>
      </c>
    </row>
    <row r="4207" spans="1:8" x14ac:dyDescent="0.2">
      <c r="A4207" t="s">
        <v>14</v>
      </c>
      <c r="B4207" s="2">
        <v>45531</v>
      </c>
      <c r="C4207">
        <v>96.900016784667969</v>
      </c>
      <c r="D4207">
        <f>_xlfn.XLOOKUP(B4207, Oil_Price!A:A, Oil_Price!B:B, "")</f>
        <v>75.529998779296875</v>
      </c>
      <c r="E4207">
        <f t="shared" si="260"/>
        <v>-1.8347591427444097E-2</v>
      </c>
      <c r="F4207">
        <f t="shared" si="261"/>
        <v>-2.4412289257926559E-2</v>
      </c>
      <c r="G4207">
        <f t="shared" si="262"/>
        <v>-1.8111114501953125</v>
      </c>
      <c r="H4207">
        <f t="shared" si="263"/>
        <v>-1.8899993896484375</v>
      </c>
    </row>
    <row r="4208" spans="1:8" x14ac:dyDescent="0.2">
      <c r="A4208" t="s">
        <v>14</v>
      </c>
      <c r="B4208" s="2">
        <v>45532</v>
      </c>
      <c r="C4208">
        <v>96.615524291992188</v>
      </c>
      <c r="D4208">
        <f>_xlfn.XLOOKUP(B4208, Oil_Price!A:A, Oil_Price!B:B, "")</f>
        <v>74.519996643066406</v>
      </c>
      <c r="E4208">
        <f t="shared" si="260"/>
        <v>-2.9359385283491009E-3</v>
      </c>
      <c r="F4208">
        <f t="shared" si="261"/>
        <v>-1.3372198498000176E-2</v>
      </c>
      <c r="G4208">
        <f t="shared" si="262"/>
        <v>-0.28449249267578125</v>
      </c>
      <c r="H4208">
        <f t="shared" si="263"/>
        <v>-1.0100021362304688</v>
      </c>
    </row>
    <row r="4209" spans="1:8" x14ac:dyDescent="0.2">
      <c r="A4209" t="s">
        <v>14</v>
      </c>
      <c r="B4209" s="2">
        <v>45533</v>
      </c>
      <c r="C4209">
        <v>97.630149841308594</v>
      </c>
      <c r="D4209">
        <f>_xlfn.XLOOKUP(B4209, Oil_Price!A:A, Oil_Price!B:B, "")</f>
        <v>75.910003662109375</v>
      </c>
      <c r="E4209">
        <f t="shared" si="260"/>
        <v>1.0501682382326023E-2</v>
      </c>
      <c r="F4209">
        <f t="shared" si="261"/>
        <v>1.8652805712012867E-2</v>
      </c>
      <c r="G4209">
        <f t="shared" si="262"/>
        <v>1.0146255493164062</v>
      </c>
      <c r="H4209">
        <f t="shared" si="263"/>
        <v>1.3900070190429688</v>
      </c>
    </row>
    <row r="4210" spans="1:8" x14ac:dyDescent="0.2">
      <c r="A4210" t="s">
        <v>14</v>
      </c>
      <c r="B4210" s="2">
        <v>45534</v>
      </c>
      <c r="C4210">
        <v>96.245719909667969</v>
      </c>
      <c r="D4210">
        <f>_xlfn.XLOOKUP(B4210, Oil_Price!A:A, Oil_Price!B:B, "")</f>
        <v>73.550003051757812</v>
      </c>
      <c r="E4210">
        <f t="shared" si="260"/>
        <v>-1.4180352420752452E-2</v>
      </c>
      <c r="F4210">
        <f t="shared" si="261"/>
        <v>-3.1089454571184026E-2</v>
      </c>
      <c r="G4210">
        <f t="shared" si="262"/>
        <v>-1.384429931640625</v>
      </c>
      <c r="H4210">
        <f t="shared" si="263"/>
        <v>-2.3600006103515625</v>
      </c>
    </row>
    <row r="4211" spans="1:8" x14ac:dyDescent="0.2">
      <c r="A4211" t="s">
        <v>14</v>
      </c>
      <c r="B4211" s="2">
        <v>45538</v>
      </c>
      <c r="C4211">
        <v>93.600143432617188</v>
      </c>
      <c r="D4211">
        <f>_xlfn.XLOOKUP(B4211, Oil_Price!A:A, Oil_Price!B:B, "")</f>
        <v>70.339996337890625</v>
      </c>
      <c r="E4211">
        <f t="shared" si="260"/>
        <v>-2.748773118985243E-2</v>
      </c>
      <c r="F4211">
        <f t="shared" si="261"/>
        <v>-4.3643869213822822E-2</v>
      </c>
      <c r="G4211">
        <f t="shared" si="262"/>
        <v>-2.6455764770507812</v>
      </c>
      <c r="H4211">
        <f t="shared" si="263"/>
        <v>-3.2100067138671875</v>
      </c>
    </row>
    <row r="4212" spans="1:8" x14ac:dyDescent="0.2">
      <c r="A4212" t="s">
        <v>14</v>
      </c>
      <c r="B4212" s="2">
        <v>45539</v>
      </c>
      <c r="C4212">
        <v>91.625312805175781</v>
      </c>
      <c r="D4212">
        <f>_xlfn.XLOOKUP(B4212, Oil_Price!A:A, Oil_Price!B:B, "")</f>
        <v>69.199996948242188</v>
      </c>
      <c r="E4212">
        <f t="shared" si="260"/>
        <v>-2.1098585483077685E-2</v>
      </c>
      <c r="F4212">
        <f t="shared" si="261"/>
        <v>-1.6206986764290526E-2</v>
      </c>
      <c r="G4212">
        <f t="shared" si="262"/>
        <v>-1.9748306274414062</v>
      </c>
      <c r="H4212">
        <f t="shared" si="263"/>
        <v>-1.1399993896484375</v>
      </c>
    </row>
    <row r="4213" spans="1:8" x14ac:dyDescent="0.2">
      <c r="A4213" t="s">
        <v>14</v>
      </c>
      <c r="B4213" s="2">
        <v>45540</v>
      </c>
      <c r="C4213">
        <v>89.974830627441406</v>
      </c>
      <c r="D4213">
        <f>_xlfn.XLOOKUP(B4213, Oil_Price!A:A, Oil_Price!B:B, "")</f>
        <v>69.150001525878906</v>
      </c>
      <c r="E4213">
        <f t="shared" si="260"/>
        <v>-1.8013386554475607E-2</v>
      </c>
      <c r="F4213">
        <f t="shared" si="261"/>
        <v>-7.2247723364316169E-4</v>
      </c>
      <c r="G4213">
        <f t="shared" si="262"/>
        <v>-1.650482177734375</v>
      </c>
      <c r="H4213">
        <f t="shared" si="263"/>
        <v>-4.999542236328125E-2</v>
      </c>
    </row>
    <row r="4214" spans="1:8" x14ac:dyDescent="0.2">
      <c r="A4214" t="s">
        <v>14</v>
      </c>
      <c r="B4214" s="2">
        <v>45541</v>
      </c>
      <c r="C4214">
        <v>88.038139343261719</v>
      </c>
      <c r="D4214">
        <f>_xlfn.XLOOKUP(B4214, Oil_Price!A:A, Oil_Price!B:B, "")</f>
        <v>67.669998168945312</v>
      </c>
      <c r="E4214">
        <f t="shared" si="260"/>
        <v>-2.1524811668709232E-2</v>
      </c>
      <c r="F4214">
        <f t="shared" si="261"/>
        <v>-2.1402795723434842E-2</v>
      </c>
      <c r="G4214">
        <f t="shared" si="262"/>
        <v>-1.9366912841796875</v>
      </c>
      <c r="H4214">
        <f t="shared" si="263"/>
        <v>-1.4800033569335938</v>
      </c>
    </row>
    <row r="4215" spans="1:8" x14ac:dyDescent="0.2">
      <c r="A4215" t="s">
        <v>14</v>
      </c>
      <c r="B4215" s="2">
        <v>45544</v>
      </c>
      <c r="C4215">
        <v>87.980911254882812</v>
      </c>
      <c r="D4215">
        <f>_xlfn.XLOOKUP(B4215, Oil_Price!A:A, Oil_Price!B:B, "")</f>
        <v>68.709999084472656</v>
      </c>
      <c r="E4215">
        <f t="shared" si="260"/>
        <v>-6.5003745883103318E-4</v>
      </c>
      <c r="F4215">
        <f t="shared" si="261"/>
        <v>1.5368714994359411E-2</v>
      </c>
      <c r="G4215">
        <f t="shared" si="262"/>
        <v>-5.722808837890625E-2</v>
      </c>
      <c r="H4215">
        <f t="shared" si="263"/>
        <v>1.0400009155273438</v>
      </c>
    </row>
    <row r="4216" spans="1:8" x14ac:dyDescent="0.2">
      <c r="A4216" t="s">
        <v>14</v>
      </c>
      <c r="B4216" s="2">
        <v>45545</v>
      </c>
      <c r="C4216">
        <v>85.824775695800781</v>
      </c>
      <c r="D4216">
        <f>_xlfn.XLOOKUP(B4216, Oil_Price!A:A, Oil_Price!B:B, "")</f>
        <v>65.75</v>
      </c>
      <c r="E4216">
        <f t="shared" si="260"/>
        <v>-2.4506856411564717E-2</v>
      </c>
      <c r="F4216">
        <f t="shared" si="261"/>
        <v>-4.3079597204383722E-2</v>
      </c>
      <c r="G4216">
        <f t="shared" si="262"/>
        <v>-2.1561355590820312</v>
      </c>
      <c r="H4216">
        <f t="shared" si="263"/>
        <v>-2.9599990844726562</v>
      </c>
    </row>
    <row r="4217" spans="1:8" x14ac:dyDescent="0.2">
      <c r="A4217" t="s">
        <v>14</v>
      </c>
      <c r="B4217" s="2">
        <v>45546</v>
      </c>
      <c r="C4217">
        <v>84.947090148925781</v>
      </c>
      <c r="D4217">
        <f>_xlfn.XLOOKUP(B4217, Oil_Price!A:A, Oil_Price!B:B, "")</f>
        <v>67.30999755859375</v>
      </c>
      <c r="E4217">
        <f t="shared" si="260"/>
        <v>-1.0226482268778515E-2</v>
      </c>
      <c r="F4217">
        <f t="shared" si="261"/>
        <v>2.3726198609790874E-2</v>
      </c>
      <c r="G4217">
        <f t="shared" si="262"/>
        <v>-0.877685546875</v>
      </c>
      <c r="H4217">
        <f t="shared" si="263"/>
        <v>1.55999755859375</v>
      </c>
    </row>
    <row r="4218" spans="1:8" x14ac:dyDescent="0.2">
      <c r="A4218" t="s">
        <v>14</v>
      </c>
      <c r="B4218" s="2">
        <v>45547</v>
      </c>
      <c r="C4218">
        <v>85.395477294921875</v>
      </c>
      <c r="D4218">
        <f>_xlfn.XLOOKUP(B4218, Oil_Price!A:A, Oil_Price!B:B, "")</f>
        <v>68.970001220703125</v>
      </c>
      <c r="E4218">
        <f t="shared" si="260"/>
        <v>5.2784285513488415E-3</v>
      </c>
      <c r="F4218">
        <f t="shared" si="261"/>
        <v>2.4662066889310642E-2</v>
      </c>
      <c r="G4218">
        <f t="shared" si="262"/>
        <v>0.44838714599609375</v>
      </c>
      <c r="H4218">
        <f t="shared" si="263"/>
        <v>1.660003662109375</v>
      </c>
    </row>
    <row r="4219" spans="1:8" x14ac:dyDescent="0.2">
      <c r="A4219" t="s">
        <v>14</v>
      </c>
      <c r="B4219" s="2">
        <v>45548</v>
      </c>
      <c r="C4219">
        <v>85.862945556640625</v>
      </c>
      <c r="D4219">
        <f>_xlfn.XLOOKUP(B4219, Oil_Price!A:A, Oil_Price!B:B, "")</f>
        <v>68.650001525878906</v>
      </c>
      <c r="E4219">
        <f t="shared" si="260"/>
        <v>5.4741571395438343E-3</v>
      </c>
      <c r="F4219">
        <f t="shared" si="261"/>
        <v>-4.6396939127233564E-3</v>
      </c>
      <c r="G4219">
        <f t="shared" si="262"/>
        <v>0.46746826171875</v>
      </c>
      <c r="H4219">
        <f t="shared" si="263"/>
        <v>-0.31999969482421875</v>
      </c>
    </row>
    <row r="4220" spans="1:8" x14ac:dyDescent="0.2">
      <c r="A4220" t="s">
        <v>14</v>
      </c>
      <c r="B4220" s="2">
        <v>45551</v>
      </c>
      <c r="C4220">
        <v>86.864692687988281</v>
      </c>
      <c r="D4220">
        <f>_xlfn.XLOOKUP(B4220, Oil_Price!A:A, Oil_Price!B:B, "")</f>
        <v>70.089996337890625</v>
      </c>
      <c r="E4220">
        <f t="shared" si="260"/>
        <v>1.1666815351528333E-2</v>
      </c>
      <c r="F4220">
        <f t="shared" si="261"/>
        <v>2.097588900225859E-2</v>
      </c>
      <c r="G4220">
        <f t="shared" si="262"/>
        <v>1.0017471313476562</v>
      </c>
      <c r="H4220">
        <f t="shared" si="263"/>
        <v>1.4399948120117188</v>
      </c>
    </row>
    <row r="4221" spans="1:8" x14ac:dyDescent="0.2">
      <c r="A4221" t="s">
        <v>14</v>
      </c>
      <c r="B4221" s="2">
        <v>45552</v>
      </c>
      <c r="C4221">
        <v>87.274925231933594</v>
      </c>
      <c r="D4221">
        <f>_xlfn.XLOOKUP(B4221, Oil_Price!A:A, Oil_Price!B:B, "")</f>
        <v>71.19000244140625</v>
      </c>
      <c r="E4221">
        <f t="shared" si="260"/>
        <v>4.7226615469513978E-3</v>
      </c>
      <c r="F4221">
        <f t="shared" si="261"/>
        <v>1.5694195477093529E-2</v>
      </c>
      <c r="G4221">
        <f t="shared" si="262"/>
        <v>0.4102325439453125</v>
      </c>
      <c r="H4221">
        <f t="shared" si="263"/>
        <v>1.100006103515625</v>
      </c>
    </row>
    <row r="4222" spans="1:8" x14ac:dyDescent="0.2">
      <c r="A4222" t="s">
        <v>14</v>
      </c>
      <c r="B4222" s="2">
        <v>45553</v>
      </c>
      <c r="C4222">
        <v>86.960075378417969</v>
      </c>
      <c r="D4222">
        <f>_xlfn.XLOOKUP(B4222, Oil_Price!A:A, Oil_Price!B:B, "")</f>
        <v>70.910003662109375</v>
      </c>
      <c r="E4222">
        <f t="shared" si="260"/>
        <v>-3.6075637152241584E-3</v>
      </c>
      <c r="F4222">
        <f t="shared" si="261"/>
        <v>-3.9331193945010921E-3</v>
      </c>
      <c r="G4222">
        <f t="shared" si="262"/>
        <v>-0.314849853515625</v>
      </c>
      <c r="H4222">
        <f t="shared" si="263"/>
        <v>-0.279998779296875</v>
      </c>
    </row>
    <row r="4223" spans="1:8" x14ac:dyDescent="0.2">
      <c r="A4223" t="s">
        <v>14</v>
      </c>
      <c r="B4223" s="2">
        <v>45554</v>
      </c>
      <c r="C4223">
        <v>88.982627868652344</v>
      </c>
      <c r="D4223">
        <f>_xlfn.XLOOKUP(B4223, Oil_Price!A:A, Oil_Price!B:B, "")</f>
        <v>71.949996948242188</v>
      </c>
      <c r="E4223">
        <f t="shared" si="260"/>
        <v>2.3258403139980934E-2</v>
      </c>
      <c r="F4223">
        <f t="shared" si="261"/>
        <v>1.4666383195923186E-2</v>
      </c>
      <c r="G4223">
        <f t="shared" si="262"/>
        <v>2.022552490234375</v>
      </c>
      <c r="H4223">
        <f t="shared" si="263"/>
        <v>1.0399932861328125</v>
      </c>
    </row>
    <row r="4224" spans="1:8" x14ac:dyDescent="0.2">
      <c r="A4224" t="s">
        <v>14</v>
      </c>
      <c r="B4224" s="2">
        <v>45555</v>
      </c>
      <c r="C4224">
        <v>88.810905456542969</v>
      </c>
      <c r="D4224">
        <f>_xlfn.XLOOKUP(B4224, Oil_Price!A:A, Oil_Price!B:B, "")</f>
        <v>71.919998168945312</v>
      </c>
      <c r="E4224">
        <f t="shared" si="260"/>
        <v>-1.9298419952583916E-3</v>
      </c>
      <c r="F4224">
        <f t="shared" si="261"/>
        <v>-4.1693927128940485E-4</v>
      </c>
      <c r="G4224">
        <f t="shared" si="262"/>
        <v>-0.171722412109375</v>
      </c>
      <c r="H4224">
        <f t="shared" si="263"/>
        <v>-2.9998779296875E-2</v>
      </c>
    </row>
    <row r="4225" spans="1:8" x14ac:dyDescent="0.2">
      <c r="A4225" t="s">
        <v>14</v>
      </c>
      <c r="B4225" s="2">
        <v>45558</v>
      </c>
      <c r="C4225">
        <v>90.604484558105469</v>
      </c>
      <c r="D4225">
        <f>_xlfn.XLOOKUP(B4225, Oil_Price!A:A, Oil_Price!B:B, "")</f>
        <v>70.370002746582031</v>
      </c>
      <c r="E4225">
        <f t="shared" si="260"/>
        <v>2.0195482664458766E-2</v>
      </c>
      <c r="F4225">
        <f t="shared" si="261"/>
        <v>-2.1551661037618897E-2</v>
      </c>
      <c r="G4225">
        <f t="shared" si="262"/>
        <v>1.7935791015625</v>
      </c>
      <c r="H4225">
        <f t="shared" si="263"/>
        <v>-1.5499954223632812</v>
      </c>
    </row>
    <row r="4226" spans="1:8" x14ac:dyDescent="0.2">
      <c r="A4226" t="s">
        <v>14</v>
      </c>
      <c r="B4226" s="2">
        <v>45559</v>
      </c>
      <c r="C4226">
        <v>91.510826110839844</v>
      </c>
      <c r="D4226">
        <f>_xlfn.XLOOKUP(B4226, Oil_Price!A:A, Oil_Price!B:B, "")</f>
        <v>71.55999755859375</v>
      </c>
      <c r="E4226">
        <f t="shared" si="260"/>
        <v>1.0003274751296996E-2</v>
      </c>
      <c r="F4226">
        <f t="shared" si="261"/>
        <v>1.6910540934567727E-2</v>
      </c>
      <c r="G4226">
        <f t="shared" si="262"/>
        <v>0.906341552734375</v>
      </c>
      <c r="H4226">
        <f t="shared" si="263"/>
        <v>1.1899948120117188</v>
      </c>
    </row>
    <row r="4227" spans="1:8" x14ac:dyDescent="0.2">
      <c r="A4227" t="s">
        <v>14</v>
      </c>
      <c r="B4227" s="2">
        <v>45560</v>
      </c>
      <c r="C4227">
        <v>90.537712097167969</v>
      </c>
      <c r="D4227">
        <f>_xlfn.XLOOKUP(B4227, Oil_Price!A:A, Oil_Price!B:B, "")</f>
        <v>69.69000244140625</v>
      </c>
      <c r="E4227">
        <f t="shared" ref="E4227:E4290" si="264">IFERROR(IF(AND(A4227=A4226, C4227&lt;&gt;"", C4226&lt;&gt;""), (C4227-C4226)/C4226, ""), "")</f>
        <v>-1.0633867652918124E-2</v>
      </c>
      <c r="F4227">
        <f t="shared" ref="F4227:F4290" si="265">IFERROR(IF(AND(A4227=A4226, D4227&lt;&gt;"", D4226&lt;&gt;""), (D4227-D4226)/D4226, ""), "")</f>
        <v>-2.613184992993239E-2</v>
      </c>
      <c r="G4227">
        <f t="shared" ref="G4227:G4290" si="266">IFERROR(IF(AND(A4227=A4226, C4227&lt;&gt;"", C4226&lt;&gt;""), C4227-C4226, ""), "")</f>
        <v>-0.973114013671875</v>
      </c>
      <c r="H4227">
        <f t="shared" ref="H4227:H4290" si="267">IFERROR(IF(AND(A4227=A4226, D4227&lt;&gt;"", D4226&lt;&gt;""), D4227-D4226, ""), "")</f>
        <v>-1.8699951171875</v>
      </c>
    </row>
    <row r="4228" spans="1:8" x14ac:dyDescent="0.2">
      <c r="A4228" t="s">
        <v>14</v>
      </c>
      <c r="B4228" s="2">
        <v>45561</v>
      </c>
      <c r="C4228">
        <v>88.400680541992188</v>
      </c>
      <c r="D4228">
        <f>_xlfn.XLOOKUP(B4228, Oil_Price!A:A, Oil_Price!B:B, "")</f>
        <v>67.669998168945312</v>
      </c>
      <c r="E4228">
        <f t="shared" si="264"/>
        <v>-2.3603772457627941E-2</v>
      </c>
      <c r="F4228">
        <f t="shared" si="265"/>
        <v>-2.8985567537600686E-2</v>
      </c>
      <c r="G4228">
        <f t="shared" si="266"/>
        <v>-2.1370315551757812</v>
      </c>
      <c r="H4228">
        <f t="shared" si="267"/>
        <v>-2.0200042724609375</v>
      </c>
    </row>
    <row r="4229" spans="1:8" x14ac:dyDescent="0.2">
      <c r="A4229" t="s">
        <v>14</v>
      </c>
      <c r="B4229" s="2">
        <v>45562</v>
      </c>
      <c r="C4229">
        <v>90.461380004882812</v>
      </c>
      <c r="D4229">
        <f>_xlfn.XLOOKUP(B4229, Oil_Price!A:A, Oil_Price!B:B, "")</f>
        <v>68.180000305175781</v>
      </c>
      <c r="E4229">
        <f t="shared" si="264"/>
        <v>2.3310900439411766E-2</v>
      </c>
      <c r="F4229">
        <f t="shared" si="265"/>
        <v>7.5366063252609297E-3</v>
      </c>
      <c r="G4229">
        <f t="shared" si="266"/>
        <v>2.060699462890625</v>
      </c>
      <c r="H4229">
        <f t="shared" si="267"/>
        <v>0.51000213623046875</v>
      </c>
    </row>
    <row r="4230" spans="1:8" x14ac:dyDescent="0.2">
      <c r="A4230" t="s">
        <v>14</v>
      </c>
      <c r="B4230" s="2">
        <v>45565</v>
      </c>
      <c r="C4230">
        <v>90.776214599609375</v>
      </c>
      <c r="D4230">
        <f>_xlfn.XLOOKUP(B4230, Oil_Price!A:A, Oil_Price!B:B, "")</f>
        <v>68.169998168945312</v>
      </c>
      <c r="E4230">
        <f t="shared" si="264"/>
        <v>3.4803204937794308E-3</v>
      </c>
      <c r="F4230">
        <f t="shared" si="265"/>
        <v>-1.4670190944116867E-4</v>
      </c>
      <c r="G4230">
        <f t="shared" si="266"/>
        <v>0.3148345947265625</v>
      </c>
      <c r="H4230">
        <f t="shared" si="267"/>
        <v>-1.000213623046875E-2</v>
      </c>
    </row>
    <row r="4231" spans="1:8" x14ac:dyDescent="0.2">
      <c r="A4231" t="s">
        <v>14</v>
      </c>
      <c r="B4231" s="2">
        <v>45566</v>
      </c>
      <c r="C4231">
        <v>94.754524230957031</v>
      </c>
      <c r="D4231">
        <f>_xlfn.XLOOKUP(B4231, Oil_Price!A:A, Oil_Price!B:B, "")</f>
        <v>69.830001831054688</v>
      </c>
      <c r="E4231">
        <f t="shared" si="264"/>
        <v>4.3825462968410403E-2</v>
      </c>
      <c r="F4231">
        <f t="shared" si="265"/>
        <v>2.4350941861482782E-2</v>
      </c>
      <c r="G4231">
        <f t="shared" si="266"/>
        <v>3.9783096313476562</v>
      </c>
      <c r="H4231">
        <f t="shared" si="267"/>
        <v>1.660003662109375</v>
      </c>
    </row>
    <row r="4232" spans="1:8" x14ac:dyDescent="0.2">
      <c r="A4232" t="s">
        <v>14</v>
      </c>
      <c r="B4232" s="2">
        <v>45567</v>
      </c>
      <c r="C4232">
        <v>95.260169982910156</v>
      </c>
      <c r="D4232">
        <f>_xlfn.XLOOKUP(B4232, Oil_Price!A:A, Oil_Price!B:B, "")</f>
        <v>70.099998474121094</v>
      </c>
      <c r="E4232">
        <f t="shared" si="264"/>
        <v>5.3363758201207517E-3</v>
      </c>
      <c r="F4232">
        <f t="shared" si="265"/>
        <v>3.8664848344072901E-3</v>
      </c>
      <c r="G4232">
        <f t="shared" si="266"/>
        <v>0.505645751953125</v>
      </c>
      <c r="H4232">
        <f t="shared" si="267"/>
        <v>0.26999664306640625</v>
      </c>
    </row>
    <row r="4233" spans="1:8" x14ac:dyDescent="0.2">
      <c r="A4233" t="s">
        <v>14</v>
      </c>
      <c r="B4233" s="2">
        <v>45568</v>
      </c>
      <c r="C4233">
        <v>98.503883361816406</v>
      </c>
      <c r="D4233">
        <f>_xlfn.XLOOKUP(B4233, Oil_Price!A:A, Oil_Price!B:B, "")</f>
        <v>73.709999084472656</v>
      </c>
      <c r="E4233">
        <f t="shared" si="264"/>
        <v>3.4051097950887323E-2</v>
      </c>
      <c r="F4233">
        <f t="shared" si="265"/>
        <v>5.1497870027547445E-2</v>
      </c>
      <c r="G4233">
        <f t="shared" si="266"/>
        <v>3.24371337890625</v>
      </c>
      <c r="H4233">
        <f t="shared" si="267"/>
        <v>3.6100006103515625</v>
      </c>
    </row>
    <row r="4234" spans="1:8" x14ac:dyDescent="0.2">
      <c r="A4234" t="s">
        <v>14</v>
      </c>
      <c r="B4234" s="2">
        <v>45569</v>
      </c>
      <c r="C4234">
        <v>99.973091125488281</v>
      </c>
      <c r="D4234">
        <f>_xlfn.XLOOKUP(B4234, Oil_Price!A:A, Oil_Price!B:B, "")</f>
        <v>74.379997253417969</v>
      </c>
      <c r="E4234">
        <f t="shared" si="264"/>
        <v>1.4915226826898807E-2</v>
      </c>
      <c r="F4234">
        <f t="shared" si="265"/>
        <v>9.0896510279085147E-3</v>
      </c>
      <c r="G4234">
        <f t="shared" si="266"/>
        <v>1.469207763671875</v>
      </c>
      <c r="H4234">
        <f t="shared" si="267"/>
        <v>0.6699981689453125</v>
      </c>
    </row>
    <row r="4235" spans="1:8" x14ac:dyDescent="0.2">
      <c r="A4235" t="s">
        <v>14</v>
      </c>
      <c r="B4235" s="2">
        <v>45572</v>
      </c>
      <c r="C4235">
        <v>103.01646423339839</v>
      </c>
      <c r="D4235">
        <f>_xlfn.XLOOKUP(B4235, Oil_Price!A:A, Oil_Price!B:B, "")</f>
        <v>77.139999389648438</v>
      </c>
      <c r="E4235">
        <f t="shared" si="264"/>
        <v>3.0441922657868097E-2</v>
      </c>
      <c r="F4235">
        <f t="shared" si="265"/>
        <v>3.7106779216822823E-2</v>
      </c>
      <c r="G4235">
        <f t="shared" si="266"/>
        <v>3.0433731079101136</v>
      </c>
      <c r="H4235">
        <f t="shared" si="267"/>
        <v>2.7600021362304688</v>
      </c>
    </row>
    <row r="4236" spans="1:8" x14ac:dyDescent="0.2">
      <c r="A4236" t="s">
        <v>14</v>
      </c>
      <c r="B4236" s="2">
        <v>45573</v>
      </c>
      <c r="C4236">
        <v>100.46917724609381</v>
      </c>
      <c r="D4236">
        <f>_xlfn.XLOOKUP(B4236, Oil_Price!A:A, Oil_Price!B:B, "")</f>
        <v>73.569999694824219</v>
      </c>
      <c r="E4236">
        <f t="shared" si="264"/>
        <v>-2.4726989091116043E-2</v>
      </c>
      <c r="F4236">
        <f t="shared" si="265"/>
        <v>-4.6279488243077219E-2</v>
      </c>
      <c r="G4236">
        <f t="shared" si="266"/>
        <v>-2.547286987304588</v>
      </c>
      <c r="H4236">
        <f t="shared" si="267"/>
        <v>-3.5699996948242188</v>
      </c>
    </row>
    <row r="4237" spans="1:8" x14ac:dyDescent="0.2">
      <c r="A4237" t="s">
        <v>14</v>
      </c>
      <c r="B4237" s="2">
        <v>45574</v>
      </c>
      <c r="C4237">
        <v>100.8889694213867</v>
      </c>
      <c r="D4237">
        <f>_xlfn.XLOOKUP(B4237, Oil_Price!A:A, Oil_Price!B:B, "")</f>
        <v>73.239997863769531</v>
      </c>
      <c r="E4237">
        <f t="shared" si="264"/>
        <v>4.1783180354372715E-3</v>
      </c>
      <c r="F4237">
        <f t="shared" si="265"/>
        <v>-4.485548897968851E-3</v>
      </c>
      <c r="G4237">
        <f t="shared" si="266"/>
        <v>0.4197921752928977</v>
      </c>
      <c r="H4237">
        <f t="shared" si="267"/>
        <v>-0.3300018310546875</v>
      </c>
    </row>
    <row r="4238" spans="1:8" x14ac:dyDescent="0.2">
      <c r="A4238" t="s">
        <v>14</v>
      </c>
      <c r="B4238" s="2">
        <v>45575</v>
      </c>
      <c r="C4238">
        <v>103.0450744628906</v>
      </c>
      <c r="D4238">
        <f>_xlfn.XLOOKUP(B4238, Oil_Price!A:A, Oil_Price!B:B, "")</f>
        <v>75.849998474121094</v>
      </c>
      <c r="E4238">
        <f t="shared" si="264"/>
        <v>2.1371068154125036E-2</v>
      </c>
      <c r="F4238">
        <f t="shared" si="265"/>
        <v>3.5636273709432773E-2</v>
      </c>
      <c r="G4238">
        <f t="shared" si="266"/>
        <v>2.156105041503892</v>
      </c>
      <c r="H4238">
        <f t="shared" si="267"/>
        <v>2.6100006103515625</v>
      </c>
    </row>
    <row r="4239" spans="1:8" x14ac:dyDescent="0.2">
      <c r="A4239" t="s">
        <v>14</v>
      </c>
      <c r="B4239" s="2">
        <v>45576</v>
      </c>
      <c r="C4239">
        <v>102.89243316650391</v>
      </c>
      <c r="D4239">
        <f>_xlfn.XLOOKUP(B4239, Oil_Price!A:A, Oil_Price!B:B, "")</f>
        <v>75.55999755859375</v>
      </c>
      <c r="E4239">
        <f t="shared" si="264"/>
        <v>-1.4813060903911589E-3</v>
      </c>
      <c r="F4239">
        <f t="shared" si="265"/>
        <v>-3.8233476778023641E-3</v>
      </c>
      <c r="G4239">
        <f t="shared" si="266"/>
        <v>-0.15264129638669033</v>
      </c>
      <c r="H4239">
        <f t="shared" si="267"/>
        <v>-0.29000091552734375</v>
      </c>
    </row>
    <row r="4240" spans="1:8" x14ac:dyDescent="0.2">
      <c r="A4240" t="s">
        <v>14</v>
      </c>
      <c r="B4240" s="2">
        <v>45580</v>
      </c>
      <c r="C4240">
        <v>98.904571533203125</v>
      </c>
      <c r="D4240">
        <f>_xlfn.XLOOKUP(B4240, Oil_Price!A:A, Oil_Price!B:B, "")</f>
        <v>70.580001831054688</v>
      </c>
      <c r="E4240">
        <f t="shared" si="264"/>
        <v>-3.8757579256071172E-2</v>
      </c>
      <c r="F4240">
        <f t="shared" si="265"/>
        <v>-6.5907833356893319E-2</v>
      </c>
      <c r="G4240">
        <f t="shared" si="266"/>
        <v>-3.9878616333007812</v>
      </c>
      <c r="H4240">
        <f t="shared" si="267"/>
        <v>-4.9799957275390625</v>
      </c>
    </row>
    <row r="4241" spans="1:8" x14ac:dyDescent="0.2">
      <c r="A4241" t="s">
        <v>14</v>
      </c>
      <c r="B4241" s="2">
        <v>45581</v>
      </c>
      <c r="C4241">
        <v>99.992179870605469</v>
      </c>
      <c r="D4241">
        <f>_xlfn.XLOOKUP(B4241, Oil_Price!A:A, Oil_Price!B:B, "")</f>
        <v>70.389999389648438</v>
      </c>
      <c r="E4241">
        <f t="shared" si="264"/>
        <v>1.0996542632382004E-2</v>
      </c>
      <c r="F4241">
        <f t="shared" si="265"/>
        <v>-2.6920152518705421E-3</v>
      </c>
      <c r="G4241">
        <f t="shared" si="266"/>
        <v>1.0876083374023438</v>
      </c>
      <c r="H4241">
        <f t="shared" si="267"/>
        <v>-0.19000244140625</v>
      </c>
    </row>
    <row r="4242" spans="1:8" x14ac:dyDescent="0.2">
      <c r="A4242" t="s">
        <v>14</v>
      </c>
      <c r="B4242" s="2">
        <v>45582</v>
      </c>
      <c r="C4242">
        <v>101.919319152832</v>
      </c>
      <c r="D4242">
        <f>_xlfn.XLOOKUP(B4242, Oil_Price!A:A, Oil_Price!B:B, "")</f>
        <v>70.669998168945312</v>
      </c>
      <c r="E4242">
        <f t="shared" si="264"/>
        <v>1.927289998798248E-2</v>
      </c>
      <c r="F4242">
        <f t="shared" si="265"/>
        <v>3.9778204535409001E-3</v>
      </c>
      <c r="G4242">
        <f t="shared" si="266"/>
        <v>1.9271392822265341</v>
      </c>
      <c r="H4242">
        <f t="shared" si="267"/>
        <v>0.279998779296875</v>
      </c>
    </row>
    <row r="4243" spans="1:8" x14ac:dyDescent="0.2">
      <c r="A4243" t="s">
        <v>14</v>
      </c>
      <c r="B4243" s="2">
        <v>45583</v>
      </c>
      <c r="C4243">
        <v>101.423225402832</v>
      </c>
      <c r="D4243">
        <f>_xlfn.XLOOKUP(B4243, Oil_Price!A:A, Oil_Price!B:B, "")</f>
        <v>69.220001220703125</v>
      </c>
      <c r="E4243">
        <f t="shared" si="264"/>
        <v>-4.8675143645346376E-3</v>
      </c>
      <c r="F4243">
        <f t="shared" si="265"/>
        <v>-2.0517857447453044E-2</v>
      </c>
      <c r="G4243">
        <f t="shared" si="266"/>
        <v>-0.49609375</v>
      </c>
      <c r="H4243">
        <f t="shared" si="267"/>
        <v>-1.4499969482421875</v>
      </c>
    </row>
    <row r="4244" spans="1:8" x14ac:dyDescent="0.2">
      <c r="A4244" t="s">
        <v>14</v>
      </c>
      <c r="B4244" s="2">
        <v>45586</v>
      </c>
      <c r="C4244">
        <v>101.7762145996094</v>
      </c>
      <c r="D4244">
        <f>_xlfn.XLOOKUP(B4244, Oil_Price!A:A, Oil_Price!B:B, "")</f>
        <v>70.55999755859375</v>
      </c>
      <c r="E4244">
        <f t="shared" si="264"/>
        <v>3.4803586197875366E-3</v>
      </c>
      <c r="F4244">
        <f t="shared" si="265"/>
        <v>1.9358513641427721E-2</v>
      </c>
      <c r="G4244">
        <f t="shared" si="266"/>
        <v>0.35298919677740059</v>
      </c>
      <c r="H4244">
        <f t="shared" si="267"/>
        <v>1.339996337890625</v>
      </c>
    </row>
    <row r="4245" spans="1:8" x14ac:dyDescent="0.2">
      <c r="A4245" t="s">
        <v>14</v>
      </c>
      <c r="B4245" s="2">
        <v>45587</v>
      </c>
      <c r="C4245">
        <v>100.8985061645508</v>
      </c>
      <c r="D4245">
        <f>_xlfn.XLOOKUP(B4245, Oil_Price!A:A, Oil_Price!B:B, "")</f>
        <v>72.089996337890625</v>
      </c>
      <c r="E4245">
        <f t="shared" si="264"/>
        <v>-8.6239052858424585E-3</v>
      </c>
      <c r="F4245">
        <f t="shared" si="265"/>
        <v>2.1683656919437223E-2</v>
      </c>
      <c r="G4245">
        <f t="shared" si="266"/>
        <v>-0.87770843505860796</v>
      </c>
      <c r="H4245">
        <f t="shared" si="267"/>
        <v>1.529998779296875</v>
      </c>
    </row>
    <row r="4246" spans="1:8" x14ac:dyDescent="0.2">
      <c r="A4246" t="s">
        <v>14</v>
      </c>
      <c r="B4246" s="2">
        <v>45588</v>
      </c>
      <c r="C4246">
        <v>99.181251525878906</v>
      </c>
      <c r="D4246">
        <f>_xlfn.XLOOKUP(B4246, Oil_Price!A:A, Oil_Price!B:B, "")</f>
        <v>70.769996643066406</v>
      </c>
      <c r="E4246">
        <f t="shared" si="264"/>
        <v>-1.7019624015753975E-2</v>
      </c>
      <c r="F4246">
        <f t="shared" si="265"/>
        <v>-1.8310441973631016E-2</v>
      </c>
      <c r="G4246">
        <f t="shared" si="266"/>
        <v>-1.7172546386718892</v>
      </c>
      <c r="H4246">
        <f t="shared" si="267"/>
        <v>-1.3199996948242188</v>
      </c>
    </row>
    <row r="4247" spans="1:8" x14ac:dyDescent="0.2">
      <c r="A4247" t="s">
        <v>14</v>
      </c>
      <c r="B4247" s="2">
        <v>45589</v>
      </c>
      <c r="C4247">
        <v>99.534233093261719</v>
      </c>
      <c r="D4247">
        <f>_xlfn.XLOOKUP(B4247, Oil_Price!A:A, Oil_Price!B:B, "")</f>
        <v>70.19000244140625</v>
      </c>
      <c r="E4247">
        <f t="shared" si="264"/>
        <v>3.5589545599826462E-3</v>
      </c>
      <c r="F4247">
        <f t="shared" si="265"/>
        <v>-8.1954815482809598E-3</v>
      </c>
      <c r="G4247">
        <f t="shared" si="266"/>
        <v>0.3529815673828125</v>
      </c>
      <c r="H4247">
        <f t="shared" si="267"/>
        <v>-0.57999420166015625</v>
      </c>
    </row>
    <row r="4248" spans="1:8" x14ac:dyDescent="0.2">
      <c r="A4248" t="s">
        <v>14</v>
      </c>
      <c r="B4248" s="2">
        <v>45590</v>
      </c>
      <c r="C4248">
        <v>100.8603439331055</v>
      </c>
      <c r="D4248">
        <f>_xlfn.XLOOKUP(B4248, Oil_Price!A:A, Oil_Price!B:B, "")</f>
        <v>71.779998779296875</v>
      </c>
      <c r="E4248">
        <f t="shared" si="264"/>
        <v>1.3323163283945106E-2</v>
      </c>
      <c r="F4248">
        <f t="shared" si="265"/>
        <v>2.2652746581935716E-2</v>
      </c>
      <c r="G4248">
        <f t="shared" si="266"/>
        <v>1.3261108398437784</v>
      </c>
      <c r="H4248">
        <f t="shared" si="267"/>
        <v>1.589996337890625</v>
      </c>
    </row>
    <row r="4249" spans="1:8" x14ac:dyDescent="0.2">
      <c r="A4249" t="s">
        <v>14</v>
      </c>
      <c r="B4249" s="2">
        <v>45593</v>
      </c>
      <c r="C4249">
        <v>99.047683715820312</v>
      </c>
      <c r="D4249">
        <f>_xlfn.XLOOKUP(B4249, Oil_Price!A:A, Oil_Price!B:B, "")</f>
        <v>67.379997253417969</v>
      </c>
      <c r="E4249">
        <f t="shared" si="264"/>
        <v>-1.7971981321890113E-2</v>
      </c>
      <c r="F4249">
        <f t="shared" si="265"/>
        <v>-6.1298434114044252E-2</v>
      </c>
      <c r="G4249">
        <f t="shared" si="266"/>
        <v>-1.8126602172851847</v>
      </c>
      <c r="H4249">
        <f t="shared" si="267"/>
        <v>-4.4000015258789062</v>
      </c>
    </row>
    <row r="4250" spans="1:8" x14ac:dyDescent="0.2">
      <c r="A4250" t="s">
        <v>14</v>
      </c>
      <c r="B4250" s="2">
        <v>45594</v>
      </c>
      <c r="C4250">
        <v>98.341697692871094</v>
      </c>
      <c r="D4250">
        <f>_xlfn.XLOOKUP(B4250, Oil_Price!A:A, Oil_Price!B:B, "")</f>
        <v>67.209999084472656</v>
      </c>
      <c r="E4250">
        <f t="shared" si="264"/>
        <v>-7.1277388472281425E-3</v>
      </c>
      <c r="F4250">
        <f t="shared" si="265"/>
        <v>-2.5229767865074977E-3</v>
      </c>
      <c r="G4250">
        <f t="shared" si="266"/>
        <v>-0.70598602294921875</v>
      </c>
      <c r="H4250">
        <f t="shared" si="267"/>
        <v>-0.1699981689453125</v>
      </c>
    </row>
    <row r="4251" spans="1:8" x14ac:dyDescent="0.2">
      <c r="A4251" t="s">
        <v>14</v>
      </c>
      <c r="B4251" s="2">
        <v>45595</v>
      </c>
      <c r="C4251">
        <v>98.475265502929688</v>
      </c>
      <c r="D4251">
        <f>_xlfn.XLOOKUP(B4251, Oil_Price!A:A, Oil_Price!B:B, "")</f>
        <v>68.610000610351562</v>
      </c>
      <c r="E4251">
        <f t="shared" si="264"/>
        <v>1.3582011821245612E-3</v>
      </c>
      <c r="F4251">
        <f t="shared" si="265"/>
        <v>2.0830256583091442E-2</v>
      </c>
      <c r="G4251">
        <f t="shared" si="266"/>
        <v>0.13356781005859375</v>
      </c>
      <c r="H4251">
        <f t="shared" si="267"/>
        <v>1.4000015258789062</v>
      </c>
    </row>
    <row r="4252" spans="1:8" x14ac:dyDescent="0.2">
      <c r="A4252" t="s">
        <v>14</v>
      </c>
      <c r="B4252" s="2">
        <v>45596</v>
      </c>
      <c r="C4252">
        <v>99.124008178710938</v>
      </c>
      <c r="D4252">
        <f>_xlfn.XLOOKUP(B4252, Oil_Price!A:A, Oil_Price!B:B, "")</f>
        <v>69.260002136230469</v>
      </c>
      <c r="E4252">
        <f t="shared" si="264"/>
        <v>6.5878743506606703E-3</v>
      </c>
      <c r="F4252">
        <f t="shared" si="265"/>
        <v>9.47385978860984E-3</v>
      </c>
      <c r="G4252">
        <f t="shared" si="266"/>
        <v>0.64874267578125</v>
      </c>
      <c r="H4252">
        <f t="shared" si="267"/>
        <v>0.65000152587890625</v>
      </c>
    </row>
    <row r="4253" spans="1:8" x14ac:dyDescent="0.2">
      <c r="A4253" t="s">
        <v>14</v>
      </c>
      <c r="B4253" s="2">
        <v>45597</v>
      </c>
      <c r="C4253">
        <v>94.038993835449219</v>
      </c>
      <c r="D4253">
        <f>_xlfn.XLOOKUP(B4253, Oil_Price!A:A, Oil_Price!B:B, "")</f>
        <v>69.489997863769531</v>
      </c>
      <c r="E4253">
        <f t="shared" si="264"/>
        <v>-5.1299523058974096E-2</v>
      </c>
      <c r="F4253">
        <f t="shared" si="265"/>
        <v>3.3207583084775834E-3</v>
      </c>
      <c r="G4253">
        <f t="shared" si="266"/>
        <v>-5.0850143432617188</v>
      </c>
      <c r="H4253">
        <f t="shared" si="267"/>
        <v>0.2299957275390625</v>
      </c>
    </row>
    <row r="4254" spans="1:8" x14ac:dyDescent="0.2">
      <c r="A4254" t="s">
        <v>14</v>
      </c>
      <c r="B4254" s="2">
        <v>45600</v>
      </c>
      <c r="C4254">
        <v>93.972213745117188</v>
      </c>
      <c r="D4254">
        <f>_xlfn.XLOOKUP(B4254, Oil_Price!A:A, Oil_Price!B:B, "")</f>
        <v>71.470001220703125</v>
      </c>
      <c r="E4254">
        <f t="shared" si="264"/>
        <v>-7.1013191026781948E-4</v>
      </c>
      <c r="F4254">
        <f t="shared" si="265"/>
        <v>2.8493357573780003E-2</v>
      </c>
      <c r="G4254">
        <f t="shared" si="266"/>
        <v>-6.678009033203125E-2</v>
      </c>
      <c r="H4254">
        <f t="shared" si="267"/>
        <v>1.9800033569335938</v>
      </c>
    </row>
    <row r="4255" spans="1:8" x14ac:dyDescent="0.2">
      <c r="A4255" t="s">
        <v>14</v>
      </c>
      <c r="B4255" s="2">
        <v>45601</v>
      </c>
      <c r="C4255">
        <v>93.17083740234375</v>
      </c>
      <c r="D4255">
        <f>_xlfn.XLOOKUP(B4255, Oil_Price!A:A, Oil_Price!B:B, "")</f>
        <v>71.989997863769531</v>
      </c>
      <c r="E4255">
        <f t="shared" si="264"/>
        <v>-8.5278010470949146E-3</v>
      </c>
      <c r="F4255">
        <f t="shared" si="265"/>
        <v>7.2757329534755321E-3</v>
      </c>
      <c r="G4255">
        <f t="shared" si="266"/>
        <v>-0.8013763427734375</v>
      </c>
      <c r="H4255">
        <f t="shared" si="267"/>
        <v>0.51999664306640625</v>
      </c>
    </row>
    <row r="4256" spans="1:8" x14ac:dyDescent="0.2">
      <c r="A4256" t="s">
        <v>14</v>
      </c>
      <c r="B4256" s="2">
        <v>45602</v>
      </c>
      <c r="C4256">
        <v>96.376396179199219</v>
      </c>
      <c r="D4256">
        <f>_xlfn.XLOOKUP(B4256, Oil_Price!A:A, Oil_Price!B:B, "")</f>
        <v>71.69000244140625</v>
      </c>
      <c r="E4256">
        <f t="shared" si="264"/>
        <v>3.4405172972877367E-2</v>
      </c>
      <c r="F4256">
        <f t="shared" si="265"/>
        <v>-4.1671819872946573E-3</v>
      </c>
      <c r="G4256">
        <f t="shared" si="266"/>
        <v>3.2055587768554688</v>
      </c>
      <c r="H4256">
        <f t="shared" si="267"/>
        <v>-0.29999542236328125</v>
      </c>
    </row>
    <row r="4257" spans="1:8" x14ac:dyDescent="0.2">
      <c r="A4257" t="s">
        <v>14</v>
      </c>
      <c r="B4257" s="2">
        <v>45603</v>
      </c>
      <c r="C4257">
        <v>97.864692687988281</v>
      </c>
      <c r="D4257">
        <f>_xlfn.XLOOKUP(B4257, Oil_Price!A:A, Oil_Price!B:B, "")</f>
        <v>72.360000610351562</v>
      </c>
      <c r="E4257">
        <f t="shared" si="264"/>
        <v>1.5442541615913621E-2</v>
      </c>
      <c r="F4257">
        <f t="shared" si="265"/>
        <v>9.3457685329682641E-3</v>
      </c>
      <c r="G4257">
        <f t="shared" si="266"/>
        <v>1.4882965087890625</v>
      </c>
      <c r="H4257">
        <f t="shared" si="267"/>
        <v>0.6699981689453125</v>
      </c>
    </row>
    <row r="4258" spans="1:8" x14ac:dyDescent="0.2">
      <c r="A4258" t="s">
        <v>14</v>
      </c>
      <c r="B4258" s="2">
        <v>45604</v>
      </c>
      <c r="C4258">
        <v>97.17779541015625</v>
      </c>
      <c r="D4258">
        <f>_xlfn.XLOOKUP(B4258, Oil_Price!A:A, Oil_Price!B:B, "")</f>
        <v>70.379997253417969</v>
      </c>
      <c r="E4258">
        <f t="shared" si="264"/>
        <v>-7.0188467256724922E-3</v>
      </c>
      <c r="F4258">
        <f t="shared" si="265"/>
        <v>-2.7363230240912154E-2</v>
      </c>
      <c r="G4258">
        <f t="shared" si="266"/>
        <v>-0.68689727783203125</v>
      </c>
      <c r="H4258">
        <f t="shared" si="267"/>
        <v>-1.9800033569335938</v>
      </c>
    </row>
    <row r="4259" spans="1:8" x14ac:dyDescent="0.2">
      <c r="A4259" t="s">
        <v>14</v>
      </c>
      <c r="B4259" s="2">
        <v>45607</v>
      </c>
      <c r="C4259">
        <v>97.969627380371094</v>
      </c>
      <c r="D4259">
        <f>_xlfn.XLOOKUP(B4259, Oil_Price!A:A, Oil_Price!B:B, "")</f>
        <v>68.040000915527344</v>
      </c>
      <c r="E4259">
        <f t="shared" si="264"/>
        <v>8.148280858531266E-3</v>
      </c>
      <c r="F4259">
        <f t="shared" si="265"/>
        <v>-3.3248031105556547E-2</v>
      </c>
      <c r="G4259">
        <f t="shared" si="266"/>
        <v>0.79183197021484375</v>
      </c>
      <c r="H4259">
        <f t="shared" si="267"/>
        <v>-2.339996337890625</v>
      </c>
    </row>
    <row r="4260" spans="1:8" x14ac:dyDescent="0.2">
      <c r="A4260" t="s">
        <v>14</v>
      </c>
      <c r="B4260" s="2">
        <v>45608</v>
      </c>
      <c r="C4260">
        <v>97.00604248046875</v>
      </c>
      <c r="D4260">
        <f>_xlfn.XLOOKUP(B4260, Oil_Price!A:A, Oil_Price!B:B, "")</f>
        <v>68.120002746582031</v>
      </c>
      <c r="E4260">
        <f t="shared" si="264"/>
        <v>-9.8355472575310087E-3</v>
      </c>
      <c r="F4260">
        <f t="shared" si="265"/>
        <v>1.175805849179969E-3</v>
      </c>
      <c r="G4260">
        <f t="shared" si="266"/>
        <v>-0.96358489990234375</v>
      </c>
      <c r="H4260">
        <f t="shared" si="267"/>
        <v>8.00018310546875E-2</v>
      </c>
    </row>
    <row r="4261" spans="1:8" x14ac:dyDescent="0.2">
      <c r="A4261" t="s">
        <v>14</v>
      </c>
      <c r="B4261" s="2">
        <v>45609</v>
      </c>
      <c r="C4261">
        <v>97.196861267089844</v>
      </c>
      <c r="D4261">
        <f>_xlfn.XLOOKUP(B4261, Oil_Price!A:A, Oil_Price!B:B, "")</f>
        <v>68.430000305175781</v>
      </c>
      <c r="E4261">
        <f t="shared" si="264"/>
        <v>1.9670814491737801E-3</v>
      </c>
      <c r="F4261">
        <f t="shared" si="265"/>
        <v>4.5507566954598273E-3</v>
      </c>
      <c r="G4261">
        <f t="shared" si="266"/>
        <v>0.19081878662109375</v>
      </c>
      <c r="H4261">
        <f t="shared" si="267"/>
        <v>0.30999755859375</v>
      </c>
    </row>
    <row r="4262" spans="1:8" x14ac:dyDescent="0.2">
      <c r="A4262" t="s">
        <v>14</v>
      </c>
      <c r="B4262" s="2">
        <v>45610</v>
      </c>
      <c r="C4262">
        <v>100.04942321777339</v>
      </c>
      <c r="D4262">
        <f>_xlfn.XLOOKUP(B4262, Oil_Price!A:A, Oil_Price!B:B, "")</f>
        <v>68.699996948242188</v>
      </c>
      <c r="E4262">
        <f t="shared" si="264"/>
        <v>2.9348292871772066E-2</v>
      </c>
      <c r="F4262">
        <f t="shared" si="265"/>
        <v>3.9455888040670481E-3</v>
      </c>
      <c r="G4262">
        <f t="shared" si="266"/>
        <v>2.8525619506835511</v>
      </c>
      <c r="H4262">
        <f t="shared" si="267"/>
        <v>0.26999664306640625</v>
      </c>
    </row>
    <row r="4263" spans="1:8" x14ac:dyDescent="0.2">
      <c r="A4263" t="s">
        <v>14</v>
      </c>
      <c r="B4263" s="2">
        <v>45611</v>
      </c>
      <c r="C4263">
        <v>99.725044250488281</v>
      </c>
      <c r="D4263">
        <f>_xlfn.XLOOKUP(B4263, Oil_Price!A:A, Oil_Price!B:B, "")</f>
        <v>67.019996643066406</v>
      </c>
      <c r="E4263">
        <f t="shared" si="264"/>
        <v>-3.2421872795713323E-3</v>
      </c>
      <c r="F4263">
        <f t="shared" si="265"/>
        <v>-2.4454154000057304E-2</v>
      </c>
      <c r="G4263">
        <f t="shared" si="266"/>
        <v>-0.32437896728511362</v>
      </c>
      <c r="H4263">
        <f t="shared" si="267"/>
        <v>-1.6800003051757812</v>
      </c>
    </row>
    <row r="4264" spans="1:8" x14ac:dyDescent="0.2">
      <c r="A4264" t="s">
        <v>14</v>
      </c>
      <c r="B4264" s="2">
        <v>45614</v>
      </c>
      <c r="C4264">
        <v>100.86988830566411</v>
      </c>
      <c r="D4264">
        <f>_xlfn.XLOOKUP(B4264, Oil_Price!A:A, Oil_Price!B:B, "")</f>
        <v>69.160003662109375</v>
      </c>
      <c r="E4264">
        <f t="shared" si="264"/>
        <v>1.1480005486888701E-2</v>
      </c>
      <c r="F4264">
        <f t="shared" si="265"/>
        <v>3.1930873265186357E-2</v>
      </c>
      <c r="G4264">
        <f t="shared" si="266"/>
        <v>1.1448440551758239</v>
      </c>
      <c r="H4264">
        <f t="shared" si="267"/>
        <v>2.1400070190429688</v>
      </c>
    </row>
    <row r="4265" spans="1:8" x14ac:dyDescent="0.2">
      <c r="A4265" t="s">
        <v>14</v>
      </c>
      <c r="B4265" s="2">
        <v>45615</v>
      </c>
      <c r="C4265">
        <v>101.1084060668945</v>
      </c>
      <c r="D4265">
        <f>_xlfn.XLOOKUP(B4265, Oil_Price!A:A, Oil_Price!B:B, "")</f>
        <v>69.389999389648438</v>
      </c>
      <c r="E4265">
        <f t="shared" si="264"/>
        <v>2.3646081624242692E-3</v>
      </c>
      <c r="F4265">
        <f t="shared" si="265"/>
        <v>3.3255597941078486E-3</v>
      </c>
      <c r="G4265">
        <f t="shared" si="266"/>
        <v>0.2385177612303977</v>
      </c>
      <c r="H4265">
        <f t="shared" si="267"/>
        <v>0.2299957275390625</v>
      </c>
    </row>
    <row r="4266" spans="1:8" x14ac:dyDescent="0.2">
      <c r="A4266" t="s">
        <v>14</v>
      </c>
      <c r="B4266" s="2">
        <v>45616</v>
      </c>
      <c r="C4266">
        <v>101.4422912597656</v>
      </c>
      <c r="D4266">
        <f>_xlfn.XLOOKUP(B4266, Oil_Price!A:A, Oil_Price!B:B, "")</f>
        <v>68.870002746582031</v>
      </c>
      <c r="E4266">
        <f t="shared" si="264"/>
        <v>3.3022495938685001E-3</v>
      </c>
      <c r="F4266">
        <f t="shared" si="265"/>
        <v>-7.4938268862988211E-3</v>
      </c>
      <c r="G4266">
        <f t="shared" si="266"/>
        <v>0.33388519287109375</v>
      </c>
      <c r="H4266">
        <f t="shared" si="267"/>
        <v>-0.51999664306640625</v>
      </c>
    </row>
    <row r="4267" spans="1:8" x14ac:dyDescent="0.2">
      <c r="A4267" t="s">
        <v>14</v>
      </c>
      <c r="B4267" s="2">
        <v>45617</v>
      </c>
      <c r="C4267">
        <v>102.9210510253906</v>
      </c>
      <c r="D4267">
        <f>_xlfn.XLOOKUP(B4267, Oil_Price!A:A, Oil_Price!B:B, "")</f>
        <v>70.099998474121094</v>
      </c>
      <c r="E4267">
        <f t="shared" si="264"/>
        <v>1.4577349813977545E-2</v>
      </c>
      <c r="F4267">
        <f t="shared" si="265"/>
        <v>1.7859672985131487E-2</v>
      </c>
      <c r="G4267">
        <f t="shared" si="266"/>
        <v>1.478759765625</v>
      </c>
      <c r="H4267">
        <f t="shared" si="267"/>
        <v>1.2299957275390625</v>
      </c>
    </row>
    <row r="4268" spans="1:8" x14ac:dyDescent="0.2">
      <c r="A4268" t="s">
        <v>14</v>
      </c>
      <c r="B4268" s="2">
        <v>45618</v>
      </c>
      <c r="C4268">
        <v>103.0641555786133</v>
      </c>
      <c r="D4268">
        <f>_xlfn.XLOOKUP(B4268, Oil_Price!A:A, Oil_Price!B:B, "")</f>
        <v>71.239997863769531</v>
      </c>
      <c r="E4268">
        <f t="shared" si="264"/>
        <v>1.3904303521676536E-3</v>
      </c>
      <c r="F4268">
        <f t="shared" si="265"/>
        <v>1.6262473815449405E-2</v>
      </c>
      <c r="G4268">
        <f t="shared" si="266"/>
        <v>0.14310455322269888</v>
      </c>
      <c r="H4268">
        <f t="shared" si="267"/>
        <v>1.1399993896484375</v>
      </c>
    </row>
    <row r="4269" spans="1:8" x14ac:dyDescent="0.2">
      <c r="A4269" t="s">
        <v>14</v>
      </c>
      <c r="B4269" s="2">
        <v>45621</v>
      </c>
      <c r="C4269">
        <v>101.0511474609375</v>
      </c>
      <c r="D4269">
        <f>_xlfn.XLOOKUP(B4269, Oil_Price!A:A, Oil_Price!B:B, "")</f>
        <v>68.94000244140625</v>
      </c>
      <c r="E4269">
        <f t="shared" si="264"/>
        <v>-1.9531602489483862E-2</v>
      </c>
      <c r="F4269">
        <f t="shared" si="265"/>
        <v>-3.2285169726724378E-2</v>
      </c>
      <c r="G4269">
        <f t="shared" si="266"/>
        <v>-2.0130081176757955</v>
      </c>
      <c r="H4269">
        <f t="shared" si="267"/>
        <v>-2.2999954223632812</v>
      </c>
    </row>
    <row r="4270" spans="1:8" x14ac:dyDescent="0.2">
      <c r="A4270" t="s">
        <v>14</v>
      </c>
      <c r="B4270" s="2">
        <v>45622</v>
      </c>
      <c r="C4270">
        <v>98.91412353515625</v>
      </c>
      <c r="D4270">
        <f>_xlfn.XLOOKUP(B4270, Oil_Price!A:A, Oil_Price!B:B, "")</f>
        <v>68.769996643066406</v>
      </c>
      <c r="E4270">
        <f t="shared" si="264"/>
        <v>-2.1147943189931035E-2</v>
      </c>
      <c r="F4270">
        <f t="shared" si="265"/>
        <v>-2.4659964073011995E-3</v>
      </c>
      <c r="G4270">
        <f t="shared" si="266"/>
        <v>-2.13702392578125</v>
      </c>
      <c r="H4270">
        <f t="shared" si="267"/>
        <v>-0.17000579833984375</v>
      </c>
    </row>
    <row r="4271" spans="1:8" x14ac:dyDescent="0.2">
      <c r="A4271" t="s">
        <v>14</v>
      </c>
      <c r="B4271" s="2">
        <v>45623</v>
      </c>
      <c r="C4271">
        <v>97.969627380371094</v>
      </c>
      <c r="D4271">
        <f>_xlfn.XLOOKUP(B4271, Oil_Price!A:A, Oil_Price!B:B, "")</f>
        <v>68.720001220703125</v>
      </c>
      <c r="E4271">
        <f t="shared" si="264"/>
        <v>-9.5486480699539487E-3</v>
      </c>
      <c r="F4271">
        <f t="shared" si="265"/>
        <v>-7.269946895994496E-4</v>
      </c>
      <c r="G4271">
        <f t="shared" si="266"/>
        <v>-0.94449615478515625</v>
      </c>
      <c r="H4271">
        <f t="shared" si="267"/>
        <v>-4.999542236328125E-2</v>
      </c>
    </row>
    <row r="4272" spans="1:8" x14ac:dyDescent="0.2">
      <c r="A4272" t="s">
        <v>14</v>
      </c>
      <c r="B4272" s="2">
        <v>45624</v>
      </c>
      <c r="C4272">
        <v>99.085845947265625</v>
      </c>
      <c r="D4272" t="str">
        <f>_xlfn.XLOOKUP(B4272, Oil_Price!A:A, Oil_Price!B:B, "")</f>
        <v/>
      </c>
      <c r="E4272">
        <f t="shared" si="264"/>
        <v>1.1393516508547766E-2</v>
      </c>
      <c r="F4272" t="str">
        <f t="shared" si="265"/>
        <v/>
      </c>
      <c r="G4272">
        <f t="shared" si="266"/>
        <v>1.1162185668945312</v>
      </c>
      <c r="H4272" t="str">
        <f t="shared" si="267"/>
        <v/>
      </c>
    </row>
    <row r="4273" spans="1:8" x14ac:dyDescent="0.2">
      <c r="A4273" t="s">
        <v>14</v>
      </c>
      <c r="B4273" s="2">
        <v>45625</v>
      </c>
      <c r="C4273">
        <v>98.923660278320312</v>
      </c>
      <c r="D4273">
        <f>_xlfn.XLOOKUP(B4273, Oil_Price!A:A, Oil_Price!B:B, "")</f>
        <v>68</v>
      </c>
      <c r="E4273">
        <f t="shared" si="264"/>
        <v>-1.6368197434740493E-3</v>
      </c>
      <c r="F4273" t="str">
        <f t="shared" si="265"/>
        <v/>
      </c>
      <c r="G4273">
        <f t="shared" si="266"/>
        <v>-0.1621856689453125</v>
      </c>
      <c r="H4273" t="str">
        <f t="shared" si="267"/>
        <v/>
      </c>
    </row>
    <row r="4274" spans="1:8" x14ac:dyDescent="0.2">
      <c r="A4274" t="s">
        <v>14</v>
      </c>
      <c r="B4274" s="2">
        <v>45628</v>
      </c>
      <c r="C4274">
        <v>98.828254699707031</v>
      </c>
      <c r="D4274">
        <f>_xlfn.XLOOKUP(B4274, Oil_Price!A:A, Oil_Price!B:B, "")</f>
        <v>68.099998474121094</v>
      </c>
      <c r="E4274">
        <f t="shared" si="264"/>
        <v>-9.6443639817672547E-4</v>
      </c>
      <c r="F4274">
        <f t="shared" si="265"/>
        <v>1.4705657958984375E-3</v>
      </c>
      <c r="G4274">
        <f t="shared" si="266"/>
        <v>-9.540557861328125E-2</v>
      </c>
      <c r="H4274">
        <f t="shared" si="267"/>
        <v>9.999847412109375E-2</v>
      </c>
    </row>
    <row r="4275" spans="1:8" x14ac:dyDescent="0.2">
      <c r="A4275" t="s">
        <v>14</v>
      </c>
      <c r="B4275" s="2">
        <v>45629</v>
      </c>
      <c r="C4275">
        <v>98.310073852539062</v>
      </c>
      <c r="D4275">
        <f>_xlfn.XLOOKUP(B4275, Oil_Price!A:A, Oil_Price!B:B, "")</f>
        <v>69.94000244140625</v>
      </c>
      <c r="E4275">
        <f t="shared" si="264"/>
        <v>-5.2432459597964026E-3</v>
      </c>
      <c r="F4275">
        <f t="shared" si="265"/>
        <v>2.7019148436315785E-2</v>
      </c>
      <c r="G4275">
        <f t="shared" si="266"/>
        <v>-0.51818084716796875</v>
      </c>
      <c r="H4275">
        <f t="shared" si="267"/>
        <v>1.8400039672851562</v>
      </c>
    </row>
    <row r="4276" spans="1:8" x14ac:dyDescent="0.2">
      <c r="A4276" t="s">
        <v>14</v>
      </c>
      <c r="B4276" s="2">
        <v>45630</v>
      </c>
      <c r="C4276">
        <v>96.237358093261719</v>
      </c>
      <c r="D4276">
        <f>_xlfn.XLOOKUP(B4276, Oil_Price!A:A, Oil_Price!B:B, "")</f>
        <v>68.540000915527344</v>
      </c>
      <c r="E4276">
        <f t="shared" si="264"/>
        <v>-2.1083452367112749E-2</v>
      </c>
      <c r="F4276">
        <f t="shared" si="265"/>
        <v>-2.0017178681853605E-2</v>
      </c>
      <c r="G4276">
        <f t="shared" si="266"/>
        <v>-2.0727157592773438</v>
      </c>
      <c r="H4276">
        <f t="shared" si="267"/>
        <v>-1.4000015258789062</v>
      </c>
    </row>
    <row r="4277" spans="1:8" x14ac:dyDescent="0.2">
      <c r="A4277" t="s">
        <v>14</v>
      </c>
      <c r="B4277" s="2">
        <v>45631</v>
      </c>
      <c r="C4277">
        <v>98.022201538085938</v>
      </c>
      <c r="D4277">
        <f>_xlfn.XLOOKUP(B4277, Oil_Price!A:A, Oil_Price!B:B, "")</f>
        <v>68.300003051757812</v>
      </c>
      <c r="E4277">
        <f t="shared" si="264"/>
        <v>1.854626394767157E-2</v>
      </c>
      <c r="F4277">
        <f t="shared" si="265"/>
        <v>-3.5015736878281994E-3</v>
      </c>
      <c r="G4277">
        <f t="shared" si="266"/>
        <v>1.7848434448242188</v>
      </c>
      <c r="H4277">
        <f t="shared" si="267"/>
        <v>-0.23999786376953125</v>
      </c>
    </row>
    <row r="4278" spans="1:8" x14ac:dyDescent="0.2">
      <c r="A4278" t="s">
        <v>14</v>
      </c>
      <c r="B4278" s="2">
        <v>45632</v>
      </c>
      <c r="C4278">
        <v>96.928268432617188</v>
      </c>
      <c r="D4278">
        <f>_xlfn.XLOOKUP(B4278, Oil_Price!A:A, Oil_Price!B:B, "")</f>
        <v>67.199996948242188</v>
      </c>
      <c r="E4278">
        <f t="shared" si="264"/>
        <v>-1.116005443974556E-2</v>
      </c>
      <c r="F4278">
        <f t="shared" si="265"/>
        <v>-1.6105505920432233E-2</v>
      </c>
      <c r="G4278">
        <f t="shared" si="266"/>
        <v>-1.09393310546875</v>
      </c>
      <c r="H4278">
        <f t="shared" si="267"/>
        <v>-1.100006103515625</v>
      </c>
    </row>
    <row r="4279" spans="1:8" x14ac:dyDescent="0.2">
      <c r="A4279" t="s">
        <v>14</v>
      </c>
      <c r="B4279" s="2">
        <v>45635</v>
      </c>
      <c r="C4279">
        <v>98.3388671875</v>
      </c>
      <c r="D4279">
        <f>_xlfn.XLOOKUP(B4279, Oil_Price!A:A, Oil_Price!B:B, "")</f>
        <v>68.370002746582031</v>
      </c>
      <c r="E4279">
        <f t="shared" si="264"/>
        <v>1.4553017171285132E-2</v>
      </c>
      <c r="F4279">
        <f t="shared" si="265"/>
        <v>1.7410801361211203E-2</v>
      </c>
      <c r="G4279">
        <f t="shared" si="266"/>
        <v>1.4105987548828125</v>
      </c>
      <c r="H4279">
        <f t="shared" si="267"/>
        <v>1.1700057983398438</v>
      </c>
    </row>
    <row r="4280" spans="1:8" x14ac:dyDescent="0.2">
      <c r="A4280" t="s">
        <v>14</v>
      </c>
      <c r="B4280" s="2">
        <v>45636</v>
      </c>
      <c r="C4280">
        <v>98.924201965332031</v>
      </c>
      <c r="D4280">
        <f>_xlfn.XLOOKUP(B4280, Oil_Price!A:A, Oil_Price!B:B, "")</f>
        <v>68.589996337890625</v>
      </c>
      <c r="E4280">
        <f t="shared" si="264"/>
        <v>5.9522220925729155E-3</v>
      </c>
      <c r="F4280">
        <f t="shared" si="265"/>
        <v>3.2176917137770882E-3</v>
      </c>
      <c r="G4280">
        <f t="shared" si="266"/>
        <v>0.58533477783203125</v>
      </c>
      <c r="H4280">
        <f t="shared" si="267"/>
        <v>0.21999359130859375</v>
      </c>
    </row>
    <row r="4281" spans="1:8" x14ac:dyDescent="0.2">
      <c r="A4281" t="s">
        <v>14</v>
      </c>
      <c r="B4281" s="2">
        <v>45637</v>
      </c>
      <c r="C4281">
        <v>99.816627502441406</v>
      </c>
      <c r="D4281">
        <f>_xlfn.XLOOKUP(B4281, Oil_Price!A:A, Oil_Price!B:B, "")</f>
        <v>70.290000915527344</v>
      </c>
      <c r="E4281">
        <f t="shared" si="264"/>
        <v>9.0213064081338286E-3</v>
      </c>
      <c r="F4281">
        <f t="shared" si="265"/>
        <v>2.4785022137369599E-2</v>
      </c>
      <c r="G4281">
        <f t="shared" si="266"/>
        <v>0.892425537109375</v>
      </c>
      <c r="H4281">
        <f t="shared" si="267"/>
        <v>1.7000045776367188</v>
      </c>
    </row>
    <row r="4282" spans="1:8" x14ac:dyDescent="0.2">
      <c r="A4282" t="s">
        <v>14</v>
      </c>
      <c r="B4282" s="2">
        <v>45638</v>
      </c>
      <c r="C4282">
        <v>93.109085083007812</v>
      </c>
      <c r="D4282">
        <f>_xlfn.XLOOKUP(B4282, Oil_Price!A:A, Oil_Price!B:B, "")</f>
        <v>70.019996643066406</v>
      </c>
      <c r="E4282">
        <f t="shared" si="264"/>
        <v>-6.7198648033560682E-2</v>
      </c>
      <c r="F4282">
        <f t="shared" si="265"/>
        <v>-3.8412899266486206E-3</v>
      </c>
      <c r="G4282">
        <f t="shared" si="266"/>
        <v>-6.7075424194335938</v>
      </c>
      <c r="H4282">
        <f t="shared" si="267"/>
        <v>-0.2700042724609375</v>
      </c>
    </row>
    <row r="4283" spans="1:8" x14ac:dyDescent="0.2">
      <c r="A4283" t="s">
        <v>14</v>
      </c>
      <c r="B4283" s="2">
        <v>45639</v>
      </c>
      <c r="C4283">
        <v>92.120712280273438</v>
      </c>
      <c r="D4283">
        <f>_xlfn.XLOOKUP(B4283, Oil_Price!A:A, Oil_Price!B:B, "")</f>
        <v>71.290000915527344</v>
      </c>
      <c r="E4283">
        <f t="shared" si="264"/>
        <v>-1.0615213347368082E-2</v>
      </c>
      <c r="F4283">
        <f t="shared" si="265"/>
        <v>1.8137736837305279E-2</v>
      </c>
      <c r="G4283">
        <f t="shared" si="266"/>
        <v>-0.988372802734375</v>
      </c>
      <c r="H4283">
        <f t="shared" si="267"/>
        <v>1.2700042724609375</v>
      </c>
    </row>
    <row r="4284" spans="1:8" x14ac:dyDescent="0.2">
      <c r="A4284" t="s">
        <v>14</v>
      </c>
      <c r="B4284" s="2">
        <v>45642</v>
      </c>
      <c r="C4284">
        <v>90.796478271484375</v>
      </c>
      <c r="D4284">
        <f>_xlfn.XLOOKUP(B4284, Oil_Price!A:A, Oil_Price!B:B, "")</f>
        <v>70.709999084472656</v>
      </c>
      <c r="E4284">
        <f t="shared" si="264"/>
        <v>-1.4374986645350023E-2</v>
      </c>
      <c r="F4284">
        <f t="shared" si="265"/>
        <v>-8.1358089999457421E-3</v>
      </c>
      <c r="G4284">
        <f t="shared" si="266"/>
        <v>-1.3242340087890625</v>
      </c>
      <c r="H4284">
        <f t="shared" si="267"/>
        <v>-0.5800018310546875</v>
      </c>
    </row>
    <row r="4285" spans="1:8" x14ac:dyDescent="0.2">
      <c r="A4285" t="s">
        <v>14</v>
      </c>
      <c r="B4285" s="2">
        <v>45643</v>
      </c>
      <c r="C4285">
        <v>90.403053283691406</v>
      </c>
      <c r="D4285">
        <f>_xlfn.XLOOKUP(B4285, Oil_Price!A:A, Oil_Price!B:B, "")</f>
        <v>70.080001831054688</v>
      </c>
      <c r="E4285">
        <f t="shared" si="264"/>
        <v>-4.3330423743596688E-3</v>
      </c>
      <c r="F4285">
        <f t="shared" si="265"/>
        <v>-8.9095921591704711E-3</v>
      </c>
      <c r="G4285">
        <f t="shared" si="266"/>
        <v>-0.39342498779296875</v>
      </c>
      <c r="H4285">
        <f t="shared" si="267"/>
        <v>-0.62999725341796875</v>
      </c>
    </row>
    <row r="4286" spans="1:8" x14ac:dyDescent="0.2">
      <c r="A4286" t="s">
        <v>14</v>
      </c>
      <c r="B4286" s="2">
        <v>45644</v>
      </c>
      <c r="C4286">
        <v>88.858100891113281</v>
      </c>
      <c r="D4286">
        <f>_xlfn.XLOOKUP(B4286, Oil_Price!A:A, Oil_Price!B:B, "")</f>
        <v>70.580001831054688</v>
      </c>
      <c r="E4286">
        <f t="shared" si="264"/>
        <v>-1.708960412797067E-2</v>
      </c>
      <c r="F4286">
        <f t="shared" si="265"/>
        <v>7.1347030099310586E-3</v>
      </c>
      <c r="G4286">
        <f t="shared" si="266"/>
        <v>-1.544952392578125</v>
      </c>
      <c r="H4286">
        <f t="shared" si="267"/>
        <v>0.5</v>
      </c>
    </row>
    <row r="4287" spans="1:8" x14ac:dyDescent="0.2">
      <c r="A4287" t="s">
        <v>14</v>
      </c>
      <c r="B4287" s="2">
        <v>45645</v>
      </c>
      <c r="C4287">
        <v>86.363166809082031</v>
      </c>
      <c r="D4287">
        <f>_xlfn.XLOOKUP(B4287, Oil_Price!A:A, Oil_Price!B:B, "")</f>
        <v>69.910003662109375</v>
      </c>
      <c r="E4287">
        <f t="shared" si="264"/>
        <v>-2.8077733566335639E-2</v>
      </c>
      <c r="F4287">
        <f t="shared" si="265"/>
        <v>-9.4927479677468386E-3</v>
      </c>
      <c r="G4287">
        <f t="shared" si="266"/>
        <v>-2.49493408203125</v>
      </c>
      <c r="H4287">
        <f t="shared" si="267"/>
        <v>-0.6699981689453125</v>
      </c>
    </row>
    <row r="4288" spans="1:8" x14ac:dyDescent="0.2">
      <c r="A4288" t="s">
        <v>14</v>
      </c>
      <c r="B4288" s="2">
        <v>45646</v>
      </c>
      <c r="C4288">
        <v>85.029342651367188</v>
      </c>
      <c r="D4288">
        <f>_xlfn.XLOOKUP(B4288, Oil_Price!A:A, Oil_Price!B:B, "")</f>
        <v>69.459999084472656</v>
      </c>
      <c r="E4288">
        <f t="shared" si="264"/>
        <v>-1.5444363691102832E-2</v>
      </c>
      <c r="F4288">
        <f t="shared" si="265"/>
        <v>-6.4369125170081684E-3</v>
      </c>
      <c r="G4288">
        <f t="shared" si="266"/>
        <v>-1.3338241577148438</v>
      </c>
      <c r="H4288">
        <f t="shared" si="267"/>
        <v>-0.45000457763671875</v>
      </c>
    </row>
    <row r="4289" spans="1:8" x14ac:dyDescent="0.2">
      <c r="A4289" t="s">
        <v>14</v>
      </c>
      <c r="B4289" s="2">
        <v>45649</v>
      </c>
      <c r="C4289">
        <v>86.017715454101562</v>
      </c>
      <c r="D4289">
        <f>_xlfn.XLOOKUP(B4289, Oil_Price!A:A, Oil_Price!B:B, "")</f>
        <v>69.239997863769531</v>
      </c>
      <c r="E4289">
        <f t="shared" si="264"/>
        <v>1.1623902666010825E-2</v>
      </c>
      <c r="F4289">
        <f t="shared" si="265"/>
        <v>-3.1673081428575038E-3</v>
      </c>
      <c r="G4289">
        <f t="shared" si="266"/>
        <v>0.988372802734375</v>
      </c>
      <c r="H4289">
        <f t="shared" si="267"/>
        <v>-0.220001220703125</v>
      </c>
    </row>
    <row r="4290" spans="1:8" x14ac:dyDescent="0.2">
      <c r="A4290" t="s">
        <v>14</v>
      </c>
      <c r="B4290" s="2">
        <v>45650</v>
      </c>
      <c r="C4290">
        <v>86.986907958984375</v>
      </c>
      <c r="D4290">
        <f>_xlfn.XLOOKUP(B4290, Oil_Price!A:A, Oil_Price!B:B, "")</f>
        <v>70.099998474121094</v>
      </c>
      <c r="E4290">
        <f t="shared" si="264"/>
        <v>1.1267359284843674E-2</v>
      </c>
      <c r="F4290">
        <f t="shared" si="265"/>
        <v>1.2420575344956298E-2</v>
      </c>
      <c r="G4290">
        <f t="shared" si="266"/>
        <v>0.9691925048828125</v>
      </c>
      <c r="H4290">
        <f t="shared" si="267"/>
        <v>0.8600006103515625</v>
      </c>
    </row>
    <row r="4291" spans="1:8" x14ac:dyDescent="0.2">
      <c r="A4291" t="s">
        <v>14</v>
      </c>
      <c r="B4291" s="2">
        <v>45653</v>
      </c>
      <c r="C4291">
        <v>85.892982482910156</v>
      </c>
      <c r="D4291">
        <f>_xlfn.XLOOKUP(B4291, Oil_Price!A:A, Oil_Price!B:B, "")</f>
        <v>70.599998474121094</v>
      </c>
      <c r="E4291">
        <f t="shared" ref="E4291:E4354" si="268">IFERROR(IF(AND(A4291=A4290, C4291&lt;&gt;"", C4290&lt;&gt;""), (C4291-C4290)/C4290, ""), "")</f>
        <v>-1.2575748486082767E-2</v>
      </c>
      <c r="F4291">
        <f t="shared" ref="F4291:F4354" si="269">IFERROR(IF(AND(A4291=A4290, D4291&lt;&gt;"", D4290&lt;&gt;""), (D4291-D4290)/D4290, ""), "")</f>
        <v>7.1326677729470368E-3</v>
      </c>
      <c r="G4291">
        <f t="shared" ref="G4291:G4354" si="270">IFERROR(IF(AND(A4291=A4290, C4291&lt;&gt;"", C4290&lt;&gt;""), C4291-C4290, ""), "")</f>
        <v>-1.0939254760742188</v>
      </c>
      <c r="H4291">
        <f t="shared" ref="H4291:H4354" si="271">IFERROR(IF(AND(A4291=A4290, D4291&lt;&gt;"", D4290&lt;&gt;""), D4291-D4290, ""), "")</f>
        <v>0.5</v>
      </c>
    </row>
    <row r="4292" spans="1:8" x14ac:dyDescent="0.2">
      <c r="A4292" t="s">
        <v>14</v>
      </c>
      <c r="B4292" s="2">
        <v>45656</v>
      </c>
      <c r="C4292">
        <v>84.252067565917969</v>
      </c>
      <c r="D4292">
        <f>_xlfn.XLOOKUP(B4292, Oil_Price!A:A, Oil_Price!B:B, "")</f>
        <v>70.989997863769531</v>
      </c>
      <c r="E4292">
        <f t="shared" si="268"/>
        <v>-1.910417905582304E-2</v>
      </c>
      <c r="F4292">
        <f t="shared" si="269"/>
        <v>5.5240707942988757E-3</v>
      </c>
      <c r="G4292">
        <f t="shared" si="270"/>
        <v>-1.6409149169921875</v>
      </c>
      <c r="H4292">
        <f t="shared" si="271"/>
        <v>0.3899993896484375</v>
      </c>
    </row>
    <row r="4293" spans="1:8" x14ac:dyDescent="0.2">
      <c r="A4293" t="s">
        <v>14</v>
      </c>
      <c r="B4293" s="2">
        <v>45657</v>
      </c>
      <c r="C4293">
        <v>85.0101318359375</v>
      </c>
      <c r="D4293">
        <f>_xlfn.XLOOKUP(B4293, Oil_Price!A:A, Oil_Price!B:B, "")</f>
        <v>71.720001220703125</v>
      </c>
      <c r="E4293">
        <f t="shared" si="268"/>
        <v>8.9975746817896121E-3</v>
      </c>
      <c r="F4293">
        <f t="shared" si="269"/>
        <v>1.0283186067063658E-2</v>
      </c>
      <c r="G4293">
        <f t="shared" si="270"/>
        <v>0.75806427001953125</v>
      </c>
      <c r="H4293">
        <f t="shared" si="271"/>
        <v>0.73000335693359375</v>
      </c>
    </row>
    <row r="4294" spans="1:8" x14ac:dyDescent="0.2">
      <c r="A4294" t="s">
        <v>14</v>
      </c>
      <c r="B4294" s="2">
        <v>45659</v>
      </c>
      <c r="C4294">
        <v>86.267219543457031</v>
      </c>
      <c r="D4294">
        <f>_xlfn.XLOOKUP(B4294, Oil_Price!A:A, Oil_Price!B:B, "")</f>
        <v>73.129997253417969</v>
      </c>
      <c r="E4294">
        <f t="shared" si="268"/>
        <v>1.478750450529363E-2</v>
      </c>
      <c r="F4294">
        <f t="shared" si="269"/>
        <v>1.9659732413777845E-2</v>
      </c>
      <c r="G4294">
        <f t="shared" si="270"/>
        <v>1.2570877075195312</v>
      </c>
      <c r="H4294">
        <f t="shared" si="271"/>
        <v>1.4099960327148438</v>
      </c>
    </row>
    <row r="4295" spans="1:8" x14ac:dyDescent="0.2">
      <c r="A4295" t="s">
        <v>14</v>
      </c>
      <c r="B4295" s="2">
        <v>45660</v>
      </c>
      <c r="C4295">
        <v>86.382362365722656</v>
      </c>
      <c r="D4295">
        <f>_xlfn.XLOOKUP(B4295, Oil_Price!A:A, Oil_Price!B:B, "")</f>
        <v>73.959999084472656</v>
      </c>
      <c r="E4295">
        <f t="shared" si="268"/>
        <v>1.3347227704217581E-3</v>
      </c>
      <c r="F4295">
        <f t="shared" si="269"/>
        <v>1.1349676770511498E-2</v>
      </c>
      <c r="G4295">
        <f t="shared" si="270"/>
        <v>0.115142822265625</v>
      </c>
      <c r="H4295">
        <f t="shared" si="271"/>
        <v>0.8300018310546875</v>
      </c>
    </row>
    <row r="4296" spans="1:8" x14ac:dyDescent="0.2">
      <c r="A4296" t="s">
        <v>14</v>
      </c>
      <c r="B4296" s="2">
        <v>45663</v>
      </c>
      <c r="C4296">
        <v>86.938919067382812</v>
      </c>
      <c r="D4296">
        <f>_xlfn.XLOOKUP(B4296, Oil_Price!A:A, Oil_Price!B:B, "")</f>
        <v>73.55999755859375</v>
      </c>
      <c r="E4296">
        <f t="shared" si="268"/>
        <v>6.4429437493712634E-3</v>
      </c>
      <c r="F4296">
        <f t="shared" si="269"/>
        <v>-5.408349524478071E-3</v>
      </c>
      <c r="G4296">
        <f t="shared" si="270"/>
        <v>0.55655670166015625</v>
      </c>
      <c r="H4296">
        <f t="shared" si="271"/>
        <v>-0.40000152587890625</v>
      </c>
    </row>
    <row r="4297" spans="1:8" x14ac:dyDescent="0.2">
      <c r="A4297" t="s">
        <v>14</v>
      </c>
      <c r="B4297" s="2">
        <v>45664</v>
      </c>
      <c r="C4297">
        <v>90.729316711425781</v>
      </c>
      <c r="D4297">
        <f>_xlfn.XLOOKUP(B4297, Oil_Price!A:A, Oil_Price!B:B, "")</f>
        <v>74.25</v>
      </c>
      <c r="E4297">
        <f t="shared" si="268"/>
        <v>4.3598398561928126E-2</v>
      </c>
      <c r="F4297">
        <f t="shared" si="269"/>
        <v>9.3801313799206278E-3</v>
      </c>
      <c r="G4297">
        <f t="shared" si="270"/>
        <v>3.7903976440429688</v>
      </c>
      <c r="H4297">
        <f t="shared" si="271"/>
        <v>0.69000244140625</v>
      </c>
    </row>
    <row r="4298" spans="1:8" x14ac:dyDescent="0.2">
      <c r="A4298" t="s">
        <v>14</v>
      </c>
      <c r="B4298" s="2">
        <v>45665</v>
      </c>
      <c r="C4298">
        <v>91.401031494140625</v>
      </c>
      <c r="D4298">
        <f>_xlfn.XLOOKUP(B4298, Oil_Price!A:A, Oil_Price!B:B, "")</f>
        <v>73.319999694824219</v>
      </c>
      <c r="E4298">
        <f t="shared" si="268"/>
        <v>7.403503157103055E-3</v>
      </c>
      <c r="F4298">
        <f t="shared" si="269"/>
        <v>-1.2525256635364057E-2</v>
      </c>
      <c r="G4298">
        <f t="shared" si="270"/>
        <v>0.67171478271484375</v>
      </c>
      <c r="H4298">
        <f t="shared" si="271"/>
        <v>-0.93000030517578125</v>
      </c>
    </row>
    <row r="4299" spans="1:8" x14ac:dyDescent="0.2">
      <c r="A4299" t="s">
        <v>14</v>
      </c>
      <c r="B4299" s="2">
        <v>45666</v>
      </c>
      <c r="C4299">
        <v>90.710113525390625</v>
      </c>
      <c r="D4299">
        <f>_xlfn.XLOOKUP(B4299, Oil_Price!A:A, Oil_Price!B:B, "")</f>
        <v>73.919998168945312</v>
      </c>
      <c r="E4299">
        <f t="shared" si="268"/>
        <v>-7.5591922482219701E-3</v>
      </c>
      <c r="F4299">
        <f t="shared" si="269"/>
        <v>8.1832852784838282E-3</v>
      </c>
      <c r="G4299">
        <f t="shared" si="270"/>
        <v>-0.69091796875</v>
      </c>
      <c r="H4299">
        <f t="shared" si="271"/>
        <v>0.59999847412109375</v>
      </c>
    </row>
    <row r="4300" spans="1:8" x14ac:dyDescent="0.2">
      <c r="A4300" t="s">
        <v>14</v>
      </c>
      <c r="B4300" s="2">
        <v>45667</v>
      </c>
      <c r="C4300">
        <v>92.514144897460938</v>
      </c>
      <c r="D4300">
        <f>_xlfn.XLOOKUP(B4300, Oil_Price!A:A, Oil_Price!B:B, "")</f>
        <v>76.569999694824219</v>
      </c>
      <c r="E4300">
        <f t="shared" si="268"/>
        <v>1.9887874702806396E-2</v>
      </c>
      <c r="F4300">
        <f t="shared" si="269"/>
        <v>3.5849588629889927E-2</v>
      </c>
      <c r="G4300">
        <f t="shared" si="270"/>
        <v>1.8040313720703125</v>
      </c>
      <c r="H4300">
        <f t="shared" si="271"/>
        <v>2.6500015258789062</v>
      </c>
    </row>
    <row r="4301" spans="1:8" x14ac:dyDescent="0.2">
      <c r="A4301" t="s">
        <v>14</v>
      </c>
      <c r="B4301" s="2">
        <v>45670</v>
      </c>
      <c r="C4301">
        <v>91.95758056640625</v>
      </c>
      <c r="D4301">
        <f>_xlfn.XLOOKUP(B4301, Oil_Price!A:A, Oil_Price!B:B, "")</f>
        <v>78.819999694824219</v>
      </c>
      <c r="E4301">
        <f t="shared" si="268"/>
        <v>-6.0159917347943027E-3</v>
      </c>
      <c r="F4301">
        <f t="shared" si="269"/>
        <v>2.9384876700634097E-2</v>
      </c>
      <c r="G4301">
        <f t="shared" si="270"/>
        <v>-0.5565643310546875</v>
      </c>
      <c r="H4301">
        <f t="shared" si="271"/>
        <v>2.25</v>
      </c>
    </row>
    <row r="4302" spans="1:8" x14ac:dyDescent="0.2">
      <c r="A4302" t="s">
        <v>14</v>
      </c>
      <c r="B4302" s="2">
        <v>45671</v>
      </c>
      <c r="C4302">
        <v>92.39898681640625</v>
      </c>
      <c r="D4302">
        <f>_xlfn.XLOOKUP(B4302, Oil_Price!A:A, Oil_Price!B:B, "")</f>
        <v>77.5</v>
      </c>
      <c r="E4302">
        <f t="shared" si="268"/>
        <v>4.8001072590338851E-3</v>
      </c>
      <c r="F4302">
        <f t="shared" si="269"/>
        <v>-1.6747014716252246E-2</v>
      </c>
      <c r="G4302">
        <f t="shared" si="270"/>
        <v>0.44140625</v>
      </c>
      <c r="H4302">
        <f t="shared" si="271"/>
        <v>-1.3199996948242188</v>
      </c>
    </row>
    <row r="4303" spans="1:8" x14ac:dyDescent="0.2">
      <c r="A4303" t="s">
        <v>14</v>
      </c>
      <c r="B4303" s="2">
        <v>45672</v>
      </c>
      <c r="C4303">
        <v>93.83837890625</v>
      </c>
      <c r="D4303">
        <f>_xlfn.XLOOKUP(B4303, Oil_Price!A:A, Oil_Price!B:B, "")</f>
        <v>80.040000915527344</v>
      </c>
      <c r="E4303">
        <f t="shared" si="268"/>
        <v>1.5578007285986531E-2</v>
      </c>
      <c r="F4303">
        <f t="shared" si="269"/>
        <v>3.2774205361643147E-2</v>
      </c>
      <c r="G4303">
        <f t="shared" si="270"/>
        <v>1.43939208984375</v>
      </c>
      <c r="H4303">
        <f t="shared" si="271"/>
        <v>2.5400009155273438</v>
      </c>
    </row>
    <row r="4304" spans="1:8" x14ac:dyDescent="0.2">
      <c r="A4304" t="s">
        <v>14</v>
      </c>
      <c r="B4304" s="2">
        <v>45673</v>
      </c>
      <c r="C4304">
        <v>94.807563781738281</v>
      </c>
      <c r="D4304">
        <f>_xlfn.XLOOKUP(B4304, Oil_Price!A:A, Oil_Price!B:B, "")</f>
        <v>78.680000305175781</v>
      </c>
      <c r="E4304">
        <f t="shared" si="268"/>
        <v>1.0328235491541828E-2</v>
      </c>
      <c r="F4304">
        <f t="shared" si="269"/>
        <v>-1.699151167910256E-2</v>
      </c>
      <c r="G4304">
        <f t="shared" si="270"/>
        <v>0.96918487548828125</v>
      </c>
      <c r="H4304">
        <f t="shared" si="271"/>
        <v>-1.3600006103515625</v>
      </c>
    </row>
    <row r="4305" spans="1:8" x14ac:dyDescent="0.2">
      <c r="A4305" t="s">
        <v>14</v>
      </c>
      <c r="B4305" s="2">
        <v>45674</v>
      </c>
      <c r="C4305">
        <v>94.865150451660156</v>
      </c>
      <c r="D4305">
        <f>_xlfn.XLOOKUP(B4305, Oil_Price!A:A, Oil_Price!B:B, "")</f>
        <v>77.879997253417969</v>
      </c>
      <c r="E4305">
        <f t="shared" si="268"/>
        <v>6.0740586114467032E-4</v>
      </c>
      <c r="F4305">
        <f t="shared" si="269"/>
        <v>-1.0167806922405237E-2</v>
      </c>
      <c r="G4305">
        <f t="shared" si="270"/>
        <v>5.7586669921875E-2</v>
      </c>
      <c r="H4305">
        <f t="shared" si="271"/>
        <v>-0.8000030517578125</v>
      </c>
    </row>
    <row r="4306" spans="1:8" x14ac:dyDescent="0.2">
      <c r="A4306" t="s">
        <v>14</v>
      </c>
      <c r="B4306" s="2">
        <v>45677</v>
      </c>
      <c r="C4306">
        <v>95.344947814941406</v>
      </c>
      <c r="D4306" t="str">
        <f>_xlfn.XLOOKUP(B4306, Oil_Price!A:A, Oil_Price!B:B, "")</f>
        <v/>
      </c>
      <c r="E4306">
        <f t="shared" si="268"/>
        <v>5.0576777773175766E-3</v>
      </c>
      <c r="F4306" t="str">
        <f t="shared" si="269"/>
        <v/>
      </c>
      <c r="G4306">
        <f t="shared" si="270"/>
        <v>0.47979736328125</v>
      </c>
      <c r="H4306" t="str">
        <f t="shared" si="271"/>
        <v/>
      </c>
    </row>
    <row r="4307" spans="1:8" x14ac:dyDescent="0.2">
      <c r="A4307" t="s">
        <v>14</v>
      </c>
      <c r="B4307" s="2">
        <v>45678</v>
      </c>
      <c r="C4307">
        <v>96.774742126464844</v>
      </c>
      <c r="D4307">
        <f>_xlfn.XLOOKUP(B4307, Oil_Price!A:A, Oil_Price!B:B, "")</f>
        <v>75.889999389648438</v>
      </c>
      <c r="E4307">
        <f t="shared" si="268"/>
        <v>1.4996015460604993E-2</v>
      </c>
      <c r="F4307" t="str">
        <f t="shared" si="269"/>
        <v/>
      </c>
      <c r="G4307">
        <f t="shared" si="270"/>
        <v>1.4297943115234375</v>
      </c>
      <c r="H4307" t="str">
        <f t="shared" si="271"/>
        <v/>
      </c>
    </row>
    <row r="4308" spans="1:8" x14ac:dyDescent="0.2">
      <c r="A4308" t="s">
        <v>14</v>
      </c>
      <c r="B4308" s="2">
        <v>45679</v>
      </c>
      <c r="C4308">
        <v>97.85906982421875</v>
      </c>
      <c r="D4308">
        <f>_xlfn.XLOOKUP(B4308, Oil_Price!A:A, Oil_Price!B:B, "")</f>
        <v>75.44000244140625</v>
      </c>
      <c r="E4308">
        <f t="shared" si="268"/>
        <v>1.120465602829415E-2</v>
      </c>
      <c r="F4308">
        <f t="shared" si="269"/>
        <v>-5.9295948328017519E-3</v>
      </c>
      <c r="G4308">
        <f t="shared" si="270"/>
        <v>1.0843276977539062</v>
      </c>
      <c r="H4308">
        <f t="shared" si="271"/>
        <v>-0.4499969482421875</v>
      </c>
    </row>
    <row r="4309" spans="1:8" x14ac:dyDescent="0.2">
      <c r="A4309" t="s">
        <v>14</v>
      </c>
      <c r="B4309" s="2">
        <v>45680</v>
      </c>
      <c r="C4309">
        <v>98.914627075195312</v>
      </c>
      <c r="D4309">
        <f>_xlfn.XLOOKUP(B4309, Oil_Price!A:A, Oil_Price!B:B, "")</f>
        <v>74.620002746582031</v>
      </c>
      <c r="E4309">
        <f t="shared" si="268"/>
        <v>1.0786504029443849E-2</v>
      </c>
      <c r="F4309">
        <f t="shared" si="269"/>
        <v>-1.0869560820350014E-2</v>
      </c>
      <c r="G4309">
        <f t="shared" si="270"/>
        <v>1.0555572509765625</v>
      </c>
      <c r="H4309">
        <f t="shared" si="271"/>
        <v>-0.81999969482421875</v>
      </c>
    </row>
    <row r="4310" spans="1:8" x14ac:dyDescent="0.2">
      <c r="A4310" t="s">
        <v>14</v>
      </c>
      <c r="B4310" s="2">
        <v>45681</v>
      </c>
      <c r="C4310">
        <v>96.67877197265625</v>
      </c>
      <c r="D4310">
        <f>_xlfn.XLOOKUP(B4310, Oil_Price!A:A, Oil_Price!B:B, "")</f>
        <v>74.660003662109375</v>
      </c>
      <c r="E4310">
        <f t="shared" si="268"/>
        <v>-2.2603887500271886E-2</v>
      </c>
      <c r="F4310">
        <f t="shared" si="269"/>
        <v>5.3606156600116174E-4</v>
      </c>
      <c r="G4310">
        <f t="shared" si="270"/>
        <v>-2.2358551025390625</v>
      </c>
      <c r="H4310">
        <f t="shared" si="271"/>
        <v>4.000091552734375E-2</v>
      </c>
    </row>
    <row r="4311" spans="1:8" x14ac:dyDescent="0.2">
      <c r="A4311" t="s">
        <v>14</v>
      </c>
      <c r="B4311" s="2">
        <v>45684</v>
      </c>
      <c r="C4311">
        <v>96.477264404296875</v>
      </c>
      <c r="D4311">
        <f>_xlfn.XLOOKUP(B4311, Oil_Price!A:A, Oil_Price!B:B, "")</f>
        <v>73.169998168945312</v>
      </c>
      <c r="E4311">
        <f t="shared" si="268"/>
        <v>-2.0843000407200826E-3</v>
      </c>
      <c r="F4311">
        <f t="shared" si="269"/>
        <v>-1.995721162709042E-2</v>
      </c>
      <c r="G4311">
        <f t="shared" si="270"/>
        <v>-0.201507568359375</v>
      </c>
      <c r="H4311">
        <f t="shared" si="271"/>
        <v>-1.4900054931640625</v>
      </c>
    </row>
    <row r="4312" spans="1:8" x14ac:dyDescent="0.2">
      <c r="A4312" t="s">
        <v>14</v>
      </c>
      <c r="B4312" s="2">
        <v>45685</v>
      </c>
      <c r="C4312">
        <v>97.196952819824219</v>
      </c>
      <c r="D4312">
        <f>_xlfn.XLOOKUP(B4312, Oil_Price!A:A, Oil_Price!B:B, "")</f>
        <v>73.769996643066406</v>
      </c>
      <c r="E4312">
        <f t="shared" si="268"/>
        <v>7.4596685547739317E-3</v>
      </c>
      <c r="F4312">
        <f t="shared" si="269"/>
        <v>8.2000613521368663E-3</v>
      </c>
      <c r="G4312">
        <f t="shared" si="270"/>
        <v>0.71968841552734375</v>
      </c>
      <c r="H4312">
        <f t="shared" si="271"/>
        <v>0.59999847412109375</v>
      </c>
    </row>
    <row r="4313" spans="1:8" x14ac:dyDescent="0.2">
      <c r="A4313" t="s">
        <v>14</v>
      </c>
      <c r="B4313" s="2">
        <v>45686</v>
      </c>
      <c r="C4313">
        <v>97.264122009277344</v>
      </c>
      <c r="D4313">
        <f>_xlfn.XLOOKUP(B4313, Oil_Price!A:A, Oil_Price!B:B, "")</f>
        <v>72.620002746582031</v>
      </c>
      <c r="E4313">
        <f t="shared" si="268"/>
        <v>6.9106270828919671E-4</v>
      </c>
      <c r="F4313">
        <f t="shared" si="269"/>
        <v>-1.558891078779061E-2</v>
      </c>
      <c r="G4313">
        <f t="shared" si="270"/>
        <v>6.7169189453125E-2</v>
      </c>
      <c r="H4313">
        <f t="shared" si="271"/>
        <v>-1.149993896484375</v>
      </c>
    </row>
    <row r="4314" spans="1:8" x14ac:dyDescent="0.2">
      <c r="A4314" t="s">
        <v>14</v>
      </c>
      <c r="B4314" s="2">
        <v>45687</v>
      </c>
      <c r="C4314">
        <v>99.30804443359375</v>
      </c>
      <c r="D4314">
        <f>_xlfn.XLOOKUP(B4314, Oil_Price!A:A, Oil_Price!B:B, "")</f>
        <v>72.730003356933594</v>
      </c>
      <c r="E4314">
        <f t="shared" si="268"/>
        <v>2.1014145628348455E-2</v>
      </c>
      <c r="F4314">
        <f t="shared" si="269"/>
        <v>1.5147425804351109E-3</v>
      </c>
      <c r="G4314">
        <f t="shared" si="270"/>
        <v>2.0439224243164062</v>
      </c>
      <c r="H4314">
        <f t="shared" si="271"/>
        <v>0.1100006103515625</v>
      </c>
    </row>
    <row r="4315" spans="1:8" x14ac:dyDescent="0.2">
      <c r="A4315" t="s">
        <v>14</v>
      </c>
      <c r="B4315" s="2">
        <v>45688</v>
      </c>
      <c r="C4315">
        <v>92.763648986816406</v>
      </c>
      <c r="D4315">
        <f>_xlfn.XLOOKUP(B4315, Oil_Price!A:A, Oil_Price!B:B, "")</f>
        <v>72.529998779296875</v>
      </c>
      <c r="E4315">
        <f t="shared" si="268"/>
        <v>-6.5899952859846234E-2</v>
      </c>
      <c r="F4315">
        <f t="shared" si="269"/>
        <v>-2.7499596920842386E-3</v>
      </c>
      <c r="G4315">
        <f t="shared" si="270"/>
        <v>-6.5443954467773438</v>
      </c>
      <c r="H4315">
        <f t="shared" si="271"/>
        <v>-0.20000457763671875</v>
      </c>
    </row>
    <row r="4316" spans="1:8" x14ac:dyDescent="0.2">
      <c r="A4316" t="s">
        <v>14</v>
      </c>
      <c r="B4316" s="2">
        <v>45691</v>
      </c>
      <c r="C4316">
        <v>93.387367248535156</v>
      </c>
      <c r="D4316">
        <f>_xlfn.XLOOKUP(B4316, Oil_Price!A:A, Oil_Price!B:B, "")</f>
        <v>73.160003662109375</v>
      </c>
      <c r="E4316">
        <f t="shared" si="268"/>
        <v>6.7237357362623044E-3</v>
      </c>
      <c r="F4316">
        <f t="shared" si="269"/>
        <v>8.6861284077717378E-3</v>
      </c>
      <c r="G4316">
        <f t="shared" si="270"/>
        <v>0.62371826171875</v>
      </c>
      <c r="H4316">
        <f t="shared" si="271"/>
        <v>0.6300048828125</v>
      </c>
    </row>
    <row r="4317" spans="1:8" x14ac:dyDescent="0.2">
      <c r="A4317" t="s">
        <v>14</v>
      </c>
      <c r="B4317" s="2">
        <v>45692</v>
      </c>
      <c r="C4317">
        <v>91.717697143554688</v>
      </c>
      <c r="D4317">
        <f>_xlfn.XLOOKUP(B4317, Oil_Price!A:A, Oil_Price!B:B, "")</f>
        <v>72.699996948242188</v>
      </c>
      <c r="E4317">
        <f t="shared" si="268"/>
        <v>-1.7878971794299713E-2</v>
      </c>
      <c r="F4317">
        <f t="shared" si="269"/>
        <v>-6.2876803012713849E-3</v>
      </c>
      <c r="G4317">
        <f t="shared" si="270"/>
        <v>-1.6696701049804688</v>
      </c>
      <c r="H4317">
        <f t="shared" si="271"/>
        <v>-0.4600067138671875</v>
      </c>
    </row>
    <row r="4318" spans="1:8" x14ac:dyDescent="0.2">
      <c r="A4318" t="s">
        <v>14</v>
      </c>
      <c r="B4318" s="2">
        <v>45693</v>
      </c>
      <c r="C4318">
        <v>91.314659118652344</v>
      </c>
      <c r="D4318">
        <f>_xlfn.XLOOKUP(B4318, Oil_Price!A:A, Oil_Price!B:B, "")</f>
        <v>71.029998779296875</v>
      </c>
      <c r="E4318">
        <f t="shared" si="268"/>
        <v>-4.3943321458618477E-3</v>
      </c>
      <c r="F4318">
        <f t="shared" si="269"/>
        <v>-2.2971089945632954E-2</v>
      </c>
      <c r="G4318">
        <f t="shared" si="270"/>
        <v>-0.40303802490234375</v>
      </c>
      <c r="H4318">
        <f t="shared" si="271"/>
        <v>-1.6699981689453125</v>
      </c>
    </row>
    <row r="4319" spans="1:8" x14ac:dyDescent="0.2">
      <c r="A4319" t="s">
        <v>14</v>
      </c>
      <c r="B4319" s="2">
        <v>45694</v>
      </c>
      <c r="C4319">
        <v>91.564155578613281</v>
      </c>
      <c r="D4319">
        <f>_xlfn.XLOOKUP(B4319, Oil_Price!A:A, Oil_Price!B:B, "")</f>
        <v>70.610000610351562</v>
      </c>
      <c r="E4319">
        <f t="shared" si="268"/>
        <v>2.7322717115632776E-3</v>
      </c>
      <c r="F4319">
        <f t="shared" si="269"/>
        <v>-5.9129688323707168E-3</v>
      </c>
      <c r="G4319">
        <f t="shared" si="270"/>
        <v>0.2494964599609375</v>
      </c>
      <c r="H4319">
        <f t="shared" si="271"/>
        <v>-0.4199981689453125</v>
      </c>
    </row>
    <row r="4320" spans="1:8" x14ac:dyDescent="0.2">
      <c r="A4320" t="s">
        <v>14</v>
      </c>
      <c r="B4320" s="2">
        <v>45695</v>
      </c>
      <c r="C4320">
        <v>92.485359191894531</v>
      </c>
      <c r="D4320">
        <f>_xlfn.XLOOKUP(B4320, Oil_Price!A:A, Oil_Price!B:B, "")</f>
        <v>71</v>
      </c>
      <c r="E4320">
        <f t="shared" si="268"/>
        <v>1.0060744922070972E-2</v>
      </c>
      <c r="F4320">
        <f t="shared" si="269"/>
        <v>5.5232882917049973E-3</v>
      </c>
      <c r="G4320">
        <f t="shared" si="270"/>
        <v>0.92120361328125</v>
      </c>
      <c r="H4320">
        <f t="shared" si="271"/>
        <v>0.3899993896484375</v>
      </c>
    </row>
    <row r="4321" spans="1:8" x14ac:dyDescent="0.2">
      <c r="A4321" t="s">
        <v>14</v>
      </c>
      <c r="B4321" s="2">
        <v>45698</v>
      </c>
      <c r="C4321">
        <v>94.212623596191406</v>
      </c>
      <c r="D4321">
        <f>_xlfn.XLOOKUP(B4321, Oil_Price!A:A, Oil_Price!B:B, "")</f>
        <v>72.319999694824219</v>
      </c>
      <c r="E4321">
        <f t="shared" si="268"/>
        <v>1.867608472723814E-2</v>
      </c>
      <c r="F4321">
        <f t="shared" si="269"/>
        <v>1.8591544997524207E-2</v>
      </c>
      <c r="G4321">
        <f t="shared" si="270"/>
        <v>1.727264404296875</v>
      </c>
      <c r="H4321">
        <f t="shared" si="271"/>
        <v>1.3199996948242188</v>
      </c>
    </row>
    <row r="4322" spans="1:8" x14ac:dyDescent="0.2">
      <c r="A4322" t="s">
        <v>14</v>
      </c>
      <c r="B4322" s="2">
        <v>45699</v>
      </c>
      <c r="C4322">
        <v>97.417655944824219</v>
      </c>
      <c r="D4322">
        <f>_xlfn.XLOOKUP(B4322, Oil_Price!A:A, Oil_Price!B:B, "")</f>
        <v>73.319999694824219</v>
      </c>
      <c r="E4322">
        <f t="shared" si="268"/>
        <v>3.4019139116325148E-2</v>
      </c>
      <c r="F4322">
        <f t="shared" si="269"/>
        <v>1.382743368666756E-2</v>
      </c>
      <c r="G4322">
        <f t="shared" si="270"/>
        <v>3.2050323486328125</v>
      </c>
      <c r="H4322">
        <f t="shared" si="271"/>
        <v>1</v>
      </c>
    </row>
    <row r="4323" spans="1:8" x14ac:dyDescent="0.2">
      <c r="A4323" t="s">
        <v>14</v>
      </c>
      <c r="B4323" s="2">
        <v>45700</v>
      </c>
      <c r="C4323">
        <v>96.5924072265625</v>
      </c>
      <c r="D4323">
        <f>_xlfn.XLOOKUP(B4323, Oil_Price!A:A, Oil_Price!B:B, "")</f>
        <v>71.370002746582031</v>
      </c>
      <c r="E4323">
        <f t="shared" si="268"/>
        <v>-8.4712438444333564E-3</v>
      </c>
      <c r="F4323">
        <f t="shared" si="269"/>
        <v>-2.6595703169101908E-2</v>
      </c>
      <c r="G4323">
        <f t="shared" si="270"/>
        <v>-0.82524871826171875</v>
      </c>
      <c r="H4323">
        <f t="shared" si="271"/>
        <v>-1.9499969482421875</v>
      </c>
    </row>
    <row r="4324" spans="1:8" x14ac:dyDescent="0.2">
      <c r="A4324" t="s">
        <v>14</v>
      </c>
      <c r="B4324" s="2">
        <v>45701</v>
      </c>
      <c r="C4324">
        <v>95.642410278320312</v>
      </c>
      <c r="D4324">
        <f>_xlfn.XLOOKUP(B4324, Oil_Price!A:A, Oil_Price!B:B, "")</f>
        <v>71.290000915527344</v>
      </c>
      <c r="E4324">
        <f t="shared" si="268"/>
        <v>-9.8351099793374062E-3</v>
      </c>
      <c r="F4324">
        <f t="shared" si="269"/>
        <v>-1.120944766371315E-3</v>
      </c>
      <c r="G4324">
        <f t="shared" si="270"/>
        <v>-0.9499969482421875</v>
      </c>
      <c r="H4324">
        <f t="shared" si="271"/>
        <v>-8.00018310546875E-2</v>
      </c>
    </row>
    <row r="4325" spans="1:8" x14ac:dyDescent="0.2">
      <c r="A4325" t="s">
        <v>14</v>
      </c>
      <c r="B4325" s="2">
        <v>45702</v>
      </c>
      <c r="C4325">
        <v>94.27978515625</v>
      </c>
      <c r="D4325">
        <f>_xlfn.XLOOKUP(B4325, Oil_Price!A:A, Oil_Price!B:B, "")</f>
        <v>70.739997863769531</v>
      </c>
      <c r="E4325">
        <f t="shared" si="268"/>
        <v>-1.4247080537860356E-2</v>
      </c>
      <c r="F4325">
        <f t="shared" si="269"/>
        <v>-7.7150097446277198E-3</v>
      </c>
      <c r="G4325">
        <f t="shared" si="270"/>
        <v>-1.3626251220703125</v>
      </c>
      <c r="H4325">
        <f t="shared" si="271"/>
        <v>-0.5500030517578125</v>
      </c>
    </row>
    <row r="4326" spans="1:8" x14ac:dyDescent="0.2">
      <c r="A4326" t="s">
        <v>14</v>
      </c>
      <c r="B4326" s="2">
        <v>45706</v>
      </c>
      <c r="C4326">
        <v>96.697959899902344</v>
      </c>
      <c r="D4326">
        <f>_xlfn.XLOOKUP(B4326, Oil_Price!A:A, Oil_Price!B:B, "")</f>
        <v>71.849998474121094</v>
      </c>
      <c r="E4326">
        <f t="shared" si="268"/>
        <v>2.5648920812077581E-2</v>
      </c>
      <c r="F4326">
        <f t="shared" si="269"/>
        <v>1.5691272884813933E-2</v>
      </c>
      <c r="G4326">
        <f t="shared" si="270"/>
        <v>2.4181747436523438</v>
      </c>
      <c r="H4326">
        <f t="shared" si="271"/>
        <v>1.1100006103515625</v>
      </c>
    </row>
    <row r="4327" spans="1:8" x14ac:dyDescent="0.2">
      <c r="A4327" t="s">
        <v>14</v>
      </c>
      <c r="B4327" s="2">
        <v>45707</v>
      </c>
      <c r="C4327">
        <v>97.590377807617188</v>
      </c>
      <c r="D4327">
        <f>_xlfn.XLOOKUP(B4327, Oil_Price!A:A, Oil_Price!B:B, "")</f>
        <v>72.25</v>
      </c>
      <c r="E4327">
        <f t="shared" si="268"/>
        <v>9.2289217749644062E-3</v>
      </c>
      <c r="F4327">
        <f t="shared" si="269"/>
        <v>5.5671751478600052E-3</v>
      </c>
      <c r="G4327">
        <f t="shared" si="270"/>
        <v>0.89241790771484375</v>
      </c>
      <c r="H4327">
        <f t="shared" si="271"/>
        <v>0.40000152587890625</v>
      </c>
    </row>
    <row r="4328" spans="1:8" x14ac:dyDescent="0.2">
      <c r="A4328" t="s">
        <v>14</v>
      </c>
      <c r="B4328" s="2">
        <v>45708</v>
      </c>
      <c r="C4328">
        <v>99.106544494628906</v>
      </c>
      <c r="D4328">
        <f>_xlfn.XLOOKUP(B4328, Oil_Price!A:A, Oil_Price!B:B, "")</f>
        <v>72.569999694824219</v>
      </c>
      <c r="E4328">
        <f t="shared" si="268"/>
        <v>1.5536026410314582E-2</v>
      </c>
      <c r="F4328">
        <f t="shared" si="269"/>
        <v>4.4290615200583911E-3</v>
      </c>
      <c r="G4328">
        <f t="shared" si="270"/>
        <v>1.5161666870117188</v>
      </c>
      <c r="H4328">
        <f t="shared" si="271"/>
        <v>0.31999969482421875</v>
      </c>
    </row>
    <row r="4329" spans="1:8" x14ac:dyDescent="0.2">
      <c r="A4329" t="s">
        <v>14</v>
      </c>
      <c r="B4329" s="2">
        <v>45709</v>
      </c>
      <c r="C4329">
        <v>95.248977661132812</v>
      </c>
      <c r="D4329">
        <f>_xlfn.XLOOKUP(B4329, Oil_Price!A:A, Oil_Price!B:B, "")</f>
        <v>70.400001525878906</v>
      </c>
      <c r="E4329">
        <f t="shared" si="268"/>
        <v>-3.8923431879971916E-2</v>
      </c>
      <c r="F4329">
        <f t="shared" si="269"/>
        <v>-2.9902138322595025E-2</v>
      </c>
      <c r="G4329">
        <f t="shared" si="270"/>
        <v>-3.8575668334960938</v>
      </c>
      <c r="H4329">
        <f t="shared" si="271"/>
        <v>-2.1699981689453125</v>
      </c>
    </row>
    <row r="4330" spans="1:8" x14ac:dyDescent="0.2">
      <c r="A4330" t="s">
        <v>14</v>
      </c>
      <c r="B4330" s="2">
        <v>45712</v>
      </c>
      <c r="C4330">
        <v>94.4525146484375</v>
      </c>
      <c r="D4330">
        <f>_xlfn.XLOOKUP(B4330, Oil_Price!A:A, Oil_Price!B:B, "")</f>
        <v>70.699996948242188</v>
      </c>
      <c r="E4330">
        <f t="shared" si="268"/>
        <v>-8.36190615639874E-3</v>
      </c>
      <c r="F4330">
        <f t="shared" si="269"/>
        <v>4.2612985207536322E-3</v>
      </c>
      <c r="G4330">
        <f t="shared" si="270"/>
        <v>-0.7964630126953125</v>
      </c>
      <c r="H4330">
        <f t="shared" si="271"/>
        <v>0.29999542236328125</v>
      </c>
    </row>
    <row r="4331" spans="1:8" x14ac:dyDescent="0.2">
      <c r="A4331" t="s">
        <v>14</v>
      </c>
      <c r="B4331" s="2">
        <v>45713</v>
      </c>
      <c r="C4331">
        <v>94.011100769042969</v>
      </c>
      <c r="D4331">
        <f>_xlfn.XLOOKUP(B4331, Oil_Price!A:A, Oil_Price!B:B, "")</f>
        <v>68.930000305175781</v>
      </c>
      <c r="E4331">
        <f t="shared" si="268"/>
        <v>-4.6733946791943188E-3</v>
      </c>
      <c r="F4331">
        <f t="shared" si="269"/>
        <v>-2.5035314278191261E-2</v>
      </c>
      <c r="G4331">
        <f t="shared" si="270"/>
        <v>-0.44141387939453125</v>
      </c>
      <c r="H4331">
        <f t="shared" si="271"/>
        <v>-1.7699966430664062</v>
      </c>
    </row>
    <row r="4332" spans="1:8" x14ac:dyDescent="0.2">
      <c r="A4332" t="s">
        <v>14</v>
      </c>
      <c r="B4332" s="2">
        <v>45714</v>
      </c>
      <c r="C4332">
        <v>93.847984313964844</v>
      </c>
      <c r="D4332">
        <f>_xlfn.XLOOKUP(B4332, Oil_Price!A:A, Oil_Price!B:B, "")</f>
        <v>68.620002746582031</v>
      </c>
      <c r="E4332">
        <f t="shared" si="268"/>
        <v>-1.7350765361087849E-3</v>
      </c>
      <c r="F4332">
        <f t="shared" si="269"/>
        <v>-4.4972806792585064E-3</v>
      </c>
      <c r="G4332">
        <f t="shared" si="270"/>
        <v>-0.163116455078125</v>
      </c>
      <c r="H4332">
        <f t="shared" si="271"/>
        <v>-0.30999755859375</v>
      </c>
    </row>
    <row r="4333" spans="1:8" x14ac:dyDescent="0.2">
      <c r="A4333" t="s">
        <v>14</v>
      </c>
      <c r="B4333" s="2">
        <v>45715</v>
      </c>
      <c r="C4333">
        <v>93.780815124511719</v>
      </c>
      <c r="D4333">
        <f>_xlfn.XLOOKUP(B4333, Oil_Price!A:A, Oil_Price!B:B, "")</f>
        <v>70.349998474121094</v>
      </c>
      <c r="E4333">
        <f t="shared" si="268"/>
        <v>-7.1572330449222053E-4</v>
      </c>
      <c r="F4333">
        <f t="shared" si="269"/>
        <v>2.5211245384644549E-2</v>
      </c>
      <c r="G4333">
        <f t="shared" si="270"/>
        <v>-6.7169189453125E-2</v>
      </c>
      <c r="H4333">
        <f t="shared" si="271"/>
        <v>1.7299957275390625</v>
      </c>
    </row>
    <row r="4334" spans="1:8" x14ac:dyDescent="0.2">
      <c r="A4334" t="s">
        <v>14</v>
      </c>
      <c r="B4334" s="2">
        <v>45716</v>
      </c>
      <c r="C4334">
        <v>94.126258850097656</v>
      </c>
      <c r="D4334">
        <f>_xlfn.XLOOKUP(B4334, Oil_Price!A:A, Oil_Price!B:B, "")</f>
        <v>69.760002136230469</v>
      </c>
      <c r="E4334">
        <f t="shared" si="268"/>
        <v>3.683522318795116E-3</v>
      </c>
      <c r="F4334">
        <f t="shared" si="269"/>
        <v>-8.3865863637176997E-3</v>
      </c>
      <c r="G4334">
        <f t="shared" si="270"/>
        <v>0.3454437255859375</v>
      </c>
      <c r="H4334">
        <f t="shared" si="271"/>
        <v>-0.589996337890625</v>
      </c>
    </row>
    <row r="4335" spans="1:8" x14ac:dyDescent="0.2">
      <c r="A4335" t="s">
        <v>14</v>
      </c>
      <c r="B4335" s="2">
        <v>45719</v>
      </c>
      <c r="C4335">
        <v>92.245452880859375</v>
      </c>
      <c r="D4335">
        <f>_xlfn.XLOOKUP(B4335, Oil_Price!A:A, Oil_Price!B:B, "")</f>
        <v>68.370002746582031</v>
      </c>
      <c r="E4335">
        <f t="shared" si="268"/>
        <v>-1.9981735088755521E-2</v>
      </c>
      <c r="F4335">
        <f t="shared" si="269"/>
        <v>-1.9925449356122213E-2</v>
      </c>
      <c r="G4335">
        <f t="shared" si="270"/>
        <v>-1.8808059692382812</v>
      </c>
      <c r="H4335">
        <f t="shared" si="271"/>
        <v>-1.3899993896484375</v>
      </c>
    </row>
    <row r="4336" spans="1:8" x14ac:dyDescent="0.2">
      <c r="A4336" t="s">
        <v>14</v>
      </c>
      <c r="B4336" s="2">
        <v>45720</v>
      </c>
      <c r="C4336">
        <v>91.103553771972656</v>
      </c>
      <c r="D4336">
        <f>_xlfn.XLOOKUP(B4336, Oil_Price!A:A, Oil_Price!B:B, "")</f>
        <v>68.260002136230469</v>
      </c>
      <c r="E4336">
        <f t="shared" si="268"/>
        <v>-1.2378920296066529E-2</v>
      </c>
      <c r="F4336">
        <f t="shared" si="269"/>
        <v>-1.6089016517856097E-3</v>
      </c>
      <c r="G4336">
        <f t="shared" si="270"/>
        <v>-1.1418991088867188</v>
      </c>
      <c r="H4336">
        <f t="shared" si="271"/>
        <v>-0.1100006103515625</v>
      </c>
    </row>
    <row r="4337" spans="1:8" x14ac:dyDescent="0.2">
      <c r="A4337" t="s">
        <v>14</v>
      </c>
      <c r="B4337" s="2">
        <v>45721</v>
      </c>
      <c r="C4337">
        <v>89.189033508300781</v>
      </c>
      <c r="D4337">
        <f>_xlfn.XLOOKUP(B4337, Oil_Price!A:A, Oil_Price!B:B, "")</f>
        <v>66.30999755859375</v>
      </c>
      <c r="E4337">
        <f t="shared" si="268"/>
        <v>-2.1014770383862492E-2</v>
      </c>
      <c r="F4337">
        <f t="shared" si="269"/>
        <v>-2.8567309062560251E-2</v>
      </c>
      <c r="G4337">
        <f t="shared" si="270"/>
        <v>-1.914520263671875</v>
      </c>
      <c r="H4337">
        <f t="shared" si="271"/>
        <v>-1.9500045776367188</v>
      </c>
    </row>
    <row r="4338" spans="1:8" x14ac:dyDescent="0.2">
      <c r="A4338" t="s">
        <v>14</v>
      </c>
      <c r="B4338" s="2">
        <v>45722</v>
      </c>
      <c r="C4338">
        <v>90.24298095703125</v>
      </c>
      <c r="D4338">
        <f>_xlfn.XLOOKUP(B4338, Oil_Price!A:A, Oil_Price!B:B, "")</f>
        <v>66.360000610351562</v>
      </c>
      <c r="E4338">
        <f t="shared" si="268"/>
        <v>1.181700717311146E-2</v>
      </c>
      <c r="F4338">
        <f t="shared" si="269"/>
        <v>7.5408013269233072E-4</v>
      </c>
      <c r="G4338">
        <f t="shared" si="270"/>
        <v>1.0539474487304688</v>
      </c>
      <c r="H4338">
        <f t="shared" si="271"/>
        <v>5.00030517578125E-2</v>
      </c>
    </row>
    <row r="4339" spans="1:8" x14ac:dyDescent="0.2">
      <c r="A4339" t="s">
        <v>14</v>
      </c>
      <c r="B4339" s="2">
        <v>45723</v>
      </c>
      <c r="C4339">
        <v>95.483718872070312</v>
      </c>
      <c r="D4339">
        <f>_xlfn.XLOOKUP(B4339, Oil_Price!A:A, Oil_Price!B:B, "")</f>
        <v>67.040000915527344</v>
      </c>
      <c r="E4339">
        <f t="shared" si="268"/>
        <v>5.8073634752096828E-2</v>
      </c>
      <c r="F4339">
        <f t="shared" si="269"/>
        <v>1.0247141333957542E-2</v>
      </c>
      <c r="G4339">
        <f t="shared" si="270"/>
        <v>5.2407379150390625</v>
      </c>
      <c r="H4339">
        <f t="shared" si="271"/>
        <v>0.68000030517578125</v>
      </c>
    </row>
    <row r="4340" spans="1:8" x14ac:dyDescent="0.2">
      <c r="A4340" t="s">
        <v>14</v>
      </c>
      <c r="B4340" s="2">
        <v>45726</v>
      </c>
      <c r="C4340">
        <v>96.615013122558594</v>
      </c>
      <c r="D4340">
        <f>_xlfn.XLOOKUP(B4340, Oil_Price!A:A, Oil_Price!B:B, "")</f>
        <v>66.029998779296875</v>
      </c>
      <c r="E4340">
        <f t="shared" si="268"/>
        <v>1.1848032982502456E-2</v>
      </c>
      <c r="F4340">
        <f t="shared" si="269"/>
        <v>-1.50656641175036E-2</v>
      </c>
      <c r="G4340">
        <f t="shared" si="270"/>
        <v>1.1312942504882812</v>
      </c>
      <c r="H4340">
        <f t="shared" si="271"/>
        <v>-1.0100021362304688</v>
      </c>
    </row>
    <row r="4341" spans="1:8" x14ac:dyDescent="0.2">
      <c r="A4341" t="s">
        <v>14</v>
      </c>
      <c r="B4341" s="2">
        <v>45727</v>
      </c>
      <c r="C4341">
        <v>92.621620178222656</v>
      </c>
      <c r="D4341">
        <f>_xlfn.XLOOKUP(B4341, Oil_Price!A:A, Oil_Price!B:B, "")</f>
        <v>66.25</v>
      </c>
      <c r="E4341">
        <f t="shared" si="268"/>
        <v>-4.1333047683492184E-2</v>
      </c>
      <c r="F4341">
        <f t="shared" si="269"/>
        <v>3.3318374189051847E-3</v>
      </c>
      <c r="G4341">
        <f t="shared" si="270"/>
        <v>-3.9933929443359375</v>
      </c>
      <c r="H4341">
        <f t="shared" si="271"/>
        <v>0.220001220703125</v>
      </c>
    </row>
    <row r="4342" spans="1:8" x14ac:dyDescent="0.2">
      <c r="A4342" t="s">
        <v>14</v>
      </c>
      <c r="B4342" s="2">
        <v>45728</v>
      </c>
      <c r="C4342">
        <v>93.192108154296875</v>
      </c>
      <c r="D4342">
        <f>_xlfn.XLOOKUP(B4342, Oil_Price!A:A, Oil_Price!B:B, "")</f>
        <v>67.680000305175781</v>
      </c>
      <c r="E4342">
        <f t="shared" si="268"/>
        <v>6.1593392015437103E-3</v>
      </c>
      <c r="F4342">
        <f t="shared" si="269"/>
        <v>2.1584910266804244E-2</v>
      </c>
      <c r="G4342">
        <f t="shared" si="270"/>
        <v>0.57048797607421875</v>
      </c>
      <c r="H4342">
        <f t="shared" si="271"/>
        <v>1.4300003051757812</v>
      </c>
    </row>
    <row r="4343" spans="1:8" x14ac:dyDescent="0.2">
      <c r="A4343" t="s">
        <v>14</v>
      </c>
      <c r="B4343" s="2">
        <v>45729</v>
      </c>
      <c r="C4343">
        <v>92.863349914550781</v>
      </c>
      <c r="D4343">
        <f>_xlfn.XLOOKUP(B4343, Oil_Price!A:A, Oil_Price!B:B, "")</f>
        <v>66.550003051757812</v>
      </c>
      <c r="E4343">
        <f t="shared" si="268"/>
        <v>-3.5277476414824023E-3</v>
      </c>
      <c r="F4343">
        <f t="shared" si="269"/>
        <v>-1.6696176836919326E-2</v>
      </c>
      <c r="G4343">
        <f t="shared" si="270"/>
        <v>-0.32875823974609375</v>
      </c>
      <c r="H4343">
        <f t="shared" si="271"/>
        <v>-1.1299972534179688</v>
      </c>
    </row>
    <row r="4344" spans="1:8" x14ac:dyDescent="0.2">
      <c r="A4344" t="s">
        <v>14</v>
      </c>
      <c r="B4344" s="2">
        <v>45730</v>
      </c>
      <c r="C4344">
        <v>94.217048645019531</v>
      </c>
      <c r="D4344">
        <f>_xlfn.XLOOKUP(B4344, Oil_Price!A:A, Oil_Price!B:B, "")</f>
        <v>67.180000305175781</v>
      </c>
      <c r="E4344">
        <f t="shared" si="268"/>
        <v>1.4577319596098683E-2</v>
      </c>
      <c r="F4344">
        <f t="shared" si="269"/>
        <v>9.4665247863024455E-3</v>
      </c>
      <c r="G4344">
        <f t="shared" si="270"/>
        <v>1.35369873046875</v>
      </c>
      <c r="H4344">
        <f t="shared" si="271"/>
        <v>0.62999725341796875</v>
      </c>
    </row>
    <row r="4345" spans="1:8" x14ac:dyDescent="0.2">
      <c r="A4345" t="s">
        <v>14</v>
      </c>
      <c r="B4345" s="2">
        <v>45733</v>
      </c>
      <c r="C4345">
        <v>95.4547119140625</v>
      </c>
      <c r="D4345">
        <f>_xlfn.XLOOKUP(B4345, Oil_Price!A:A, Oil_Price!B:B, "")</f>
        <v>67.580001831054688</v>
      </c>
      <c r="E4345">
        <f t="shared" si="268"/>
        <v>1.3136298439002245E-2</v>
      </c>
      <c r="F4345">
        <f t="shared" si="269"/>
        <v>5.9541757079761238E-3</v>
      </c>
      <c r="G4345">
        <f t="shared" si="270"/>
        <v>1.2376632690429688</v>
      </c>
      <c r="H4345">
        <f t="shared" si="271"/>
        <v>0.40000152587890625</v>
      </c>
    </row>
    <row r="4346" spans="1:8" x14ac:dyDescent="0.2">
      <c r="A4346" t="s">
        <v>14</v>
      </c>
      <c r="B4346" s="2">
        <v>45734</v>
      </c>
      <c r="C4346">
        <v>95.570732116699219</v>
      </c>
      <c r="D4346">
        <f>_xlfn.XLOOKUP(B4346, Oil_Price!A:A, Oil_Price!B:B, "")</f>
        <v>66.900001525878906</v>
      </c>
      <c r="E4346">
        <f t="shared" si="268"/>
        <v>1.2154476223360381E-3</v>
      </c>
      <c r="F4346">
        <f t="shared" si="269"/>
        <v>-1.0062152807804516E-2</v>
      </c>
      <c r="G4346">
        <f t="shared" si="270"/>
        <v>0.11602020263671875</v>
      </c>
      <c r="H4346">
        <f t="shared" si="271"/>
        <v>-0.68000030517578125</v>
      </c>
    </row>
    <row r="4347" spans="1:8" x14ac:dyDescent="0.2">
      <c r="A4347" t="s">
        <v>14</v>
      </c>
      <c r="B4347" s="2">
        <v>45735</v>
      </c>
      <c r="C4347">
        <v>97.233833312988281</v>
      </c>
      <c r="D4347">
        <f>_xlfn.XLOOKUP(B4347, Oil_Price!A:A, Oil_Price!B:B, "")</f>
        <v>67.160003662109375</v>
      </c>
      <c r="E4347">
        <f t="shared" si="268"/>
        <v>1.7401783573848612E-2</v>
      </c>
      <c r="F4347">
        <f t="shared" si="269"/>
        <v>3.8864294514237372E-3</v>
      </c>
      <c r="G4347">
        <f t="shared" si="270"/>
        <v>1.6631011962890625</v>
      </c>
      <c r="H4347">
        <f t="shared" si="271"/>
        <v>0.26000213623046875</v>
      </c>
    </row>
    <row r="4348" spans="1:8" x14ac:dyDescent="0.2">
      <c r="A4348" t="s">
        <v>14</v>
      </c>
      <c r="B4348" s="2">
        <v>45736</v>
      </c>
      <c r="C4348">
        <v>98.597206115722656</v>
      </c>
      <c r="D4348">
        <f>_xlfn.XLOOKUP(B4348, Oil_Price!A:A, Oil_Price!B:B, "")</f>
        <v>68.260002136230469</v>
      </c>
      <c r="E4348">
        <f t="shared" si="268"/>
        <v>1.402158853848518E-2</v>
      </c>
      <c r="F4348">
        <f t="shared" si="269"/>
        <v>1.6378773289759299E-2</v>
      </c>
      <c r="G4348">
        <f t="shared" si="270"/>
        <v>1.363372802734375</v>
      </c>
      <c r="H4348">
        <f t="shared" si="271"/>
        <v>1.0999984741210938</v>
      </c>
    </row>
    <row r="4349" spans="1:8" x14ac:dyDescent="0.2">
      <c r="A4349" t="s">
        <v>14</v>
      </c>
      <c r="B4349" s="2">
        <v>45737</v>
      </c>
      <c r="C4349">
        <v>98.819587707519531</v>
      </c>
      <c r="D4349">
        <f>_xlfn.XLOOKUP(B4349, Oil_Price!A:A, Oil_Price!B:B, "")</f>
        <v>68.279998779296875</v>
      </c>
      <c r="E4349">
        <f t="shared" si="268"/>
        <v>2.255455307079064E-3</v>
      </c>
      <c r="F4349">
        <f t="shared" si="269"/>
        <v>2.9294817522123397E-4</v>
      </c>
      <c r="G4349">
        <f t="shared" si="270"/>
        <v>0.222381591796875</v>
      </c>
      <c r="H4349">
        <f t="shared" si="271"/>
        <v>1.999664306640625E-2</v>
      </c>
    </row>
    <row r="4350" spans="1:8" x14ac:dyDescent="0.2">
      <c r="A4350" t="s">
        <v>14</v>
      </c>
      <c r="B4350" s="2">
        <v>45740</v>
      </c>
      <c r="C4350">
        <v>100.97584533691411</v>
      </c>
      <c r="D4350">
        <f>_xlfn.XLOOKUP(B4350, Oil_Price!A:A, Oil_Price!B:B, "")</f>
        <v>69.110000610351562</v>
      </c>
      <c r="E4350">
        <f t="shared" si="268"/>
        <v>2.1820143955432598E-2</v>
      </c>
      <c r="F4350">
        <f t="shared" si="269"/>
        <v>1.2155855973833903E-2</v>
      </c>
      <c r="G4350">
        <f t="shared" si="270"/>
        <v>2.1562576293945739</v>
      </c>
      <c r="H4350">
        <f t="shared" si="271"/>
        <v>0.8300018310546875</v>
      </c>
    </row>
    <row r="4351" spans="1:8" x14ac:dyDescent="0.2">
      <c r="A4351" t="s">
        <v>14</v>
      </c>
      <c r="B4351" s="2">
        <v>45741</v>
      </c>
      <c r="C4351">
        <v>101.0048446655273</v>
      </c>
      <c r="D4351">
        <f>_xlfn.XLOOKUP(B4351, Oil_Price!A:A, Oil_Price!B:B, "")</f>
        <v>69</v>
      </c>
      <c r="E4351">
        <f t="shared" si="268"/>
        <v>2.8719074860366229E-4</v>
      </c>
      <c r="F4351">
        <f t="shared" si="269"/>
        <v>-1.5916742783979399E-3</v>
      </c>
      <c r="G4351">
        <f t="shared" si="270"/>
        <v>2.8999328613195985E-2</v>
      </c>
      <c r="H4351">
        <f t="shared" si="271"/>
        <v>-0.1100006103515625</v>
      </c>
    </row>
    <row r="4352" spans="1:8" x14ac:dyDescent="0.2">
      <c r="A4352" t="s">
        <v>14</v>
      </c>
      <c r="B4352" s="2">
        <v>45742</v>
      </c>
      <c r="C4352">
        <v>101.0048446655273</v>
      </c>
      <c r="D4352">
        <f>_xlfn.XLOOKUP(B4352, Oil_Price!A:A, Oil_Price!B:B, "")</f>
        <v>69.650001525878906</v>
      </c>
      <c r="E4352">
        <f t="shared" si="268"/>
        <v>0</v>
      </c>
      <c r="F4352">
        <f t="shared" si="269"/>
        <v>9.4203119692595101E-3</v>
      </c>
      <c r="G4352">
        <f t="shared" si="270"/>
        <v>0</v>
      </c>
      <c r="H4352">
        <f t="shared" si="271"/>
        <v>0.65000152587890625</v>
      </c>
    </row>
    <row r="4353" spans="1:8" x14ac:dyDescent="0.2">
      <c r="A4353" t="s">
        <v>14</v>
      </c>
      <c r="B4353" s="2">
        <v>45743</v>
      </c>
      <c r="C4353">
        <v>100.0282516479492</v>
      </c>
      <c r="D4353">
        <f>_xlfn.XLOOKUP(B4353, Oil_Price!A:A, Oil_Price!B:B, "")</f>
        <v>69.919998168945312</v>
      </c>
      <c r="E4353">
        <f t="shared" si="268"/>
        <v>-9.6687740158606997E-3</v>
      </c>
      <c r="F4353">
        <f t="shared" si="269"/>
        <v>3.8764772024604661E-3</v>
      </c>
      <c r="G4353">
        <f t="shared" si="270"/>
        <v>-0.97659301757809658</v>
      </c>
      <c r="H4353">
        <f t="shared" si="271"/>
        <v>0.26999664306640625</v>
      </c>
    </row>
    <row r="4354" spans="1:8" x14ac:dyDescent="0.2">
      <c r="A4354" t="s">
        <v>14</v>
      </c>
      <c r="B4354" s="2">
        <v>45744</v>
      </c>
      <c r="C4354">
        <v>98.19110107421875</v>
      </c>
      <c r="D4354">
        <f>_xlfn.XLOOKUP(B4354, Oil_Price!A:A, Oil_Price!B:B, "")</f>
        <v>69.360000610351562</v>
      </c>
      <c r="E4354">
        <f t="shared" si="268"/>
        <v>-1.836631695009857E-2</v>
      </c>
      <c r="F4354">
        <f t="shared" si="269"/>
        <v>-8.0091186106819815E-3</v>
      </c>
      <c r="G4354">
        <f t="shared" si="270"/>
        <v>-1.8371505737304545</v>
      </c>
      <c r="H4354">
        <f t="shared" si="271"/>
        <v>-0.55999755859375</v>
      </c>
    </row>
    <row r="4355" spans="1:8" x14ac:dyDescent="0.2">
      <c r="A4355" t="s">
        <v>14</v>
      </c>
      <c r="B4355" s="2">
        <v>45747</v>
      </c>
      <c r="C4355">
        <v>100.5117111206055</v>
      </c>
      <c r="D4355">
        <f>_xlfn.XLOOKUP(B4355, Oil_Price!A:A, Oil_Price!B:B, "")</f>
        <v>71.480003356933594</v>
      </c>
      <c r="E4355">
        <f t="shared" ref="E4355:E4418" si="272">IFERROR(IF(AND(A4355=A4354, C4355&lt;&gt;"", C4354&lt;&gt;""), (C4355-C4354)/C4354, ""), "")</f>
        <v>2.3633608555144833E-2</v>
      </c>
      <c r="F4355">
        <f t="shared" ref="F4355:F4418" si="273">IFERROR(IF(AND(A4355=A4354, D4355&lt;&gt;"", D4354&lt;&gt;""), (D4355-D4354)/D4354, ""), "")</f>
        <v>3.0565206573334915E-2</v>
      </c>
      <c r="G4355">
        <f t="shared" ref="G4355:G4418" si="274">IFERROR(IF(AND(A4355=A4354, C4355&lt;&gt;"", C4354&lt;&gt;""), C4355-C4354, ""), "")</f>
        <v>2.3206100463867472</v>
      </c>
      <c r="H4355">
        <f t="shared" ref="H4355:H4418" si="275">IFERROR(IF(AND(A4355=A4354, D4355&lt;&gt;"", D4354&lt;&gt;""), D4355-D4354, ""), "")</f>
        <v>2.1200027465820312</v>
      </c>
    </row>
    <row r="4356" spans="1:8" x14ac:dyDescent="0.2">
      <c r="A4356" t="s">
        <v>14</v>
      </c>
      <c r="B4356" s="2">
        <v>45748</v>
      </c>
      <c r="C4356">
        <v>100.70510101318359</v>
      </c>
      <c r="D4356">
        <f>_xlfn.XLOOKUP(B4356, Oil_Price!A:A, Oil_Price!B:B, "")</f>
        <v>71.199996948242188</v>
      </c>
      <c r="E4356">
        <f t="shared" si="272"/>
        <v>1.9240533309202662E-3</v>
      </c>
      <c r="F4356">
        <f t="shared" si="273"/>
        <v>-3.9172691038247623E-3</v>
      </c>
      <c r="G4356">
        <f t="shared" si="274"/>
        <v>0.19338989257809658</v>
      </c>
      <c r="H4356">
        <f t="shared" si="275"/>
        <v>-0.28000640869140625</v>
      </c>
    </row>
    <row r="4357" spans="1:8" x14ac:dyDescent="0.2">
      <c r="A4357" t="s">
        <v>14</v>
      </c>
      <c r="B4357" s="2">
        <v>45749</v>
      </c>
      <c r="C4357">
        <v>101.7783889770508</v>
      </c>
      <c r="D4357">
        <f>_xlfn.XLOOKUP(B4357, Oil_Price!A:A, Oil_Price!B:B, "")</f>
        <v>71.709999084472656</v>
      </c>
      <c r="E4357">
        <f t="shared" si="272"/>
        <v>1.0657731863321347E-2</v>
      </c>
      <c r="F4357">
        <f t="shared" si="273"/>
        <v>7.1629516585682926E-3</v>
      </c>
      <c r="G4357">
        <f t="shared" si="274"/>
        <v>1.0732879638672017</v>
      </c>
      <c r="H4357">
        <f t="shared" si="275"/>
        <v>0.51000213623046875</v>
      </c>
    </row>
    <row r="4358" spans="1:8" x14ac:dyDescent="0.2">
      <c r="A4358" t="s">
        <v>14</v>
      </c>
      <c r="B4358" s="2">
        <v>45750</v>
      </c>
      <c r="C4358">
        <v>93.549873352050781</v>
      </c>
      <c r="D4358">
        <f>_xlfn.XLOOKUP(B4358, Oil_Price!A:A, Oil_Price!B:B, "")</f>
        <v>66.949996948242188</v>
      </c>
      <c r="E4358">
        <f t="shared" si="272"/>
        <v>-8.0847375436993774E-2</v>
      </c>
      <c r="F4358">
        <f t="shared" si="273"/>
        <v>-6.6378499470112956E-2</v>
      </c>
      <c r="G4358">
        <f t="shared" si="274"/>
        <v>-8.2285156250000142</v>
      </c>
      <c r="H4358">
        <f t="shared" si="275"/>
        <v>-4.7600021362304688</v>
      </c>
    </row>
    <row r="4359" spans="1:8" x14ac:dyDescent="0.2">
      <c r="A4359" t="s">
        <v>14</v>
      </c>
      <c r="B4359" s="2">
        <v>45751</v>
      </c>
      <c r="C4359">
        <v>87.284194946289062</v>
      </c>
      <c r="D4359">
        <f>_xlfn.XLOOKUP(B4359, Oil_Price!A:A, Oil_Price!B:B, "")</f>
        <v>61.990001678466797</v>
      </c>
      <c r="E4359">
        <f t="shared" si="272"/>
        <v>-6.6976877479913377E-2</v>
      </c>
      <c r="F4359">
        <f t="shared" si="273"/>
        <v>-7.4085070886707766E-2</v>
      </c>
      <c r="G4359">
        <f t="shared" si="274"/>
        <v>-6.2656784057617188</v>
      </c>
      <c r="H4359">
        <f t="shared" si="275"/>
        <v>-4.9599952697753906</v>
      </c>
    </row>
    <row r="4360" spans="1:8" x14ac:dyDescent="0.2">
      <c r="A4360" t="s">
        <v>14</v>
      </c>
      <c r="B4360" s="2">
        <v>45754</v>
      </c>
      <c r="C4360">
        <v>84.953910827636719</v>
      </c>
      <c r="D4360">
        <f>_xlfn.XLOOKUP(B4360, Oil_Price!A:A, Oil_Price!B:B, "")</f>
        <v>60.700000762939453</v>
      </c>
      <c r="E4360">
        <f t="shared" si="272"/>
        <v>-2.6697664108448274E-2</v>
      </c>
      <c r="F4360">
        <f t="shared" si="273"/>
        <v>-2.0809822239050622E-2</v>
      </c>
      <c r="G4360">
        <f t="shared" si="274"/>
        <v>-2.3302841186523438</v>
      </c>
      <c r="H4360">
        <f t="shared" si="275"/>
        <v>-1.2900009155273438</v>
      </c>
    </row>
    <row r="4361" spans="1:8" x14ac:dyDescent="0.2">
      <c r="A4361" t="s">
        <v>14</v>
      </c>
      <c r="B4361" s="2">
        <v>45755</v>
      </c>
      <c r="C4361">
        <v>82.904037475585938</v>
      </c>
      <c r="D4361">
        <f>_xlfn.XLOOKUP(B4361, Oil_Price!A:A, Oil_Price!B:B, "")</f>
        <v>59.580001831054688</v>
      </c>
      <c r="E4361">
        <f t="shared" si="272"/>
        <v>-2.4129240573865708E-2</v>
      </c>
      <c r="F4361">
        <f t="shared" si="273"/>
        <v>-1.8451382500946918E-2</v>
      </c>
      <c r="G4361">
        <f t="shared" si="274"/>
        <v>-2.0498733520507812</v>
      </c>
      <c r="H4361">
        <f t="shared" si="275"/>
        <v>-1.1199989318847656</v>
      </c>
    </row>
    <row r="4362" spans="1:8" x14ac:dyDescent="0.2">
      <c r="A4362" t="s">
        <v>14</v>
      </c>
      <c r="B4362" s="2">
        <v>45756</v>
      </c>
      <c r="C4362">
        <v>87.8740234375</v>
      </c>
      <c r="D4362">
        <f>_xlfn.XLOOKUP(B4362, Oil_Price!A:A, Oil_Price!B:B, "")</f>
        <v>62.349998474121087</v>
      </c>
      <c r="E4362">
        <f t="shared" si="272"/>
        <v>5.9948660080368858E-2</v>
      </c>
      <c r="F4362">
        <f t="shared" si="273"/>
        <v>4.6492053674671137E-2</v>
      </c>
      <c r="G4362">
        <f t="shared" si="274"/>
        <v>4.9699859619140625</v>
      </c>
      <c r="H4362">
        <f t="shared" si="275"/>
        <v>2.7699966430663991</v>
      </c>
    </row>
    <row r="4363" spans="1:8" x14ac:dyDescent="0.2">
      <c r="A4363" t="s">
        <v>14</v>
      </c>
      <c r="B4363" s="2">
        <v>45757</v>
      </c>
      <c r="C4363">
        <v>81.59869384765625</v>
      </c>
      <c r="D4363">
        <f>_xlfn.XLOOKUP(B4363, Oil_Price!A:A, Oil_Price!B:B, "")</f>
        <v>60.069999694824219</v>
      </c>
      <c r="E4363">
        <f t="shared" si="272"/>
        <v>-7.1412794638987365E-2</v>
      </c>
      <c r="F4363">
        <f t="shared" si="273"/>
        <v>-3.6567743946989854E-2</v>
      </c>
      <c r="G4363">
        <f t="shared" si="274"/>
        <v>-6.27532958984375</v>
      </c>
      <c r="H4363">
        <f t="shared" si="275"/>
        <v>-2.2799987792968679</v>
      </c>
    </row>
    <row r="4364" spans="1:8" x14ac:dyDescent="0.2">
      <c r="A4364" t="s">
        <v>14</v>
      </c>
      <c r="B4364" s="2">
        <v>45758</v>
      </c>
      <c r="C4364">
        <v>83.909629821777344</v>
      </c>
      <c r="D4364">
        <f>_xlfn.XLOOKUP(B4364, Oil_Price!A:A, Oil_Price!B:B, "")</f>
        <v>61.5</v>
      </c>
      <c r="E4364">
        <f t="shared" si="272"/>
        <v>2.8320747124158416E-2</v>
      </c>
      <c r="F4364">
        <f t="shared" si="273"/>
        <v>2.3805565381066478E-2</v>
      </c>
      <c r="G4364">
        <f t="shared" si="274"/>
        <v>2.3109359741210938</v>
      </c>
      <c r="H4364">
        <f t="shared" si="275"/>
        <v>1.4300003051757812</v>
      </c>
    </row>
    <row r="4365" spans="1:8" x14ac:dyDescent="0.2">
      <c r="A4365" t="s">
        <v>14</v>
      </c>
      <c r="B4365" s="2">
        <v>45761</v>
      </c>
      <c r="C4365">
        <v>83.435844421386719</v>
      </c>
      <c r="D4365">
        <f>_xlfn.XLOOKUP(B4365, Oil_Price!A:A, Oil_Price!B:B, "")</f>
        <v>61.529998779296882</v>
      </c>
      <c r="E4365">
        <f t="shared" si="272"/>
        <v>-5.6463769581267045E-3</v>
      </c>
      <c r="F4365">
        <f t="shared" si="273"/>
        <v>4.8778502921759521E-4</v>
      </c>
      <c r="G4365">
        <f t="shared" si="274"/>
        <v>-0.473785400390625</v>
      </c>
      <c r="H4365">
        <f t="shared" si="275"/>
        <v>2.9998779296882105E-2</v>
      </c>
    </row>
    <row r="4366" spans="1:8" x14ac:dyDescent="0.2">
      <c r="A4366" t="s">
        <v>14</v>
      </c>
      <c r="B4366" s="2">
        <v>45762</v>
      </c>
      <c r="C4366">
        <v>82.217521667480469</v>
      </c>
      <c r="D4366">
        <f>_xlfn.XLOOKUP(B4366, Oil_Price!A:A, Oil_Price!B:B, "")</f>
        <v>61.330001831054688</v>
      </c>
      <c r="E4366">
        <f t="shared" si="272"/>
        <v>-1.4601910753766675E-2</v>
      </c>
      <c r="F4366">
        <f t="shared" si="273"/>
        <v>-3.250397403054849E-3</v>
      </c>
      <c r="G4366">
        <f t="shared" si="274"/>
        <v>-1.21832275390625</v>
      </c>
      <c r="H4366">
        <f t="shared" si="275"/>
        <v>-0.19999694824219461</v>
      </c>
    </row>
    <row r="4367" spans="1:8" x14ac:dyDescent="0.2">
      <c r="A4367" t="s">
        <v>14</v>
      </c>
      <c r="B4367" s="2">
        <v>45763</v>
      </c>
      <c r="C4367">
        <v>83.387496948242188</v>
      </c>
      <c r="D4367">
        <f>_xlfn.XLOOKUP(B4367, Oil_Price!A:A, Oil_Price!B:B, "")</f>
        <v>62.470001220703118</v>
      </c>
      <c r="E4367">
        <f t="shared" si="272"/>
        <v>1.4230242617790797E-2</v>
      </c>
      <c r="F4367">
        <f t="shared" si="273"/>
        <v>1.8587956230439687E-2</v>
      </c>
      <c r="G4367">
        <f t="shared" si="274"/>
        <v>1.1699752807617188</v>
      </c>
      <c r="H4367">
        <f t="shared" si="275"/>
        <v>1.1399993896484304</v>
      </c>
    </row>
    <row r="4368" spans="1:8" x14ac:dyDescent="0.2">
      <c r="A4368" t="s">
        <v>14</v>
      </c>
      <c r="B4368" s="2">
        <v>45764</v>
      </c>
      <c r="C4368">
        <v>85.447052001953125</v>
      </c>
      <c r="D4368">
        <f>_xlfn.XLOOKUP(B4368, Oil_Price!A:A, Oil_Price!B:B, "")</f>
        <v>64.680000305175781</v>
      </c>
      <c r="E4368">
        <f t="shared" si="272"/>
        <v>2.4698607454176055E-2</v>
      </c>
      <c r="F4368">
        <f t="shared" si="273"/>
        <v>3.5376965604096228E-2</v>
      </c>
      <c r="G4368">
        <f t="shared" si="274"/>
        <v>2.0595550537109375</v>
      </c>
      <c r="H4368">
        <f t="shared" si="275"/>
        <v>2.2099990844726634</v>
      </c>
    </row>
    <row r="4369" spans="1:8" x14ac:dyDescent="0.2">
      <c r="A4369" t="s">
        <v>14</v>
      </c>
      <c r="B4369" s="2">
        <v>45768</v>
      </c>
      <c r="C4369">
        <v>86.655708312988281</v>
      </c>
      <c r="D4369">
        <f>_xlfn.XLOOKUP(B4369, Oil_Price!A:A, Oil_Price!B:B, "")</f>
        <v>63.080001831054688</v>
      </c>
      <c r="E4369">
        <f t="shared" si="272"/>
        <v>1.4145090821945842E-2</v>
      </c>
      <c r="F4369">
        <f t="shared" si="273"/>
        <v>-2.4737143886393267E-2</v>
      </c>
      <c r="G4369">
        <f t="shared" si="274"/>
        <v>1.2086563110351562</v>
      </c>
      <c r="H4369">
        <f t="shared" si="275"/>
        <v>-1.5999984741210938</v>
      </c>
    </row>
    <row r="4370" spans="1:8" x14ac:dyDescent="0.2">
      <c r="A4370" t="s">
        <v>14</v>
      </c>
      <c r="B4370" s="2">
        <v>45769</v>
      </c>
      <c r="C4370">
        <v>90.987525939941406</v>
      </c>
      <c r="D4370">
        <f>_xlfn.XLOOKUP(B4370, Oil_Price!A:A, Oil_Price!B:B, "")</f>
        <v>64.30999755859375</v>
      </c>
      <c r="E4370">
        <f t="shared" si="272"/>
        <v>4.9988831795214302E-2</v>
      </c>
      <c r="F4370">
        <f t="shared" si="273"/>
        <v>1.9498980530046967E-2</v>
      </c>
      <c r="G4370">
        <f t="shared" si="274"/>
        <v>4.331817626953125</v>
      </c>
      <c r="H4370">
        <f t="shared" si="275"/>
        <v>1.2299957275390625</v>
      </c>
    </row>
    <row r="4371" spans="1:8" x14ac:dyDescent="0.2">
      <c r="A4371" t="s">
        <v>14</v>
      </c>
      <c r="B4371" s="2">
        <v>45770</v>
      </c>
      <c r="C4371">
        <v>90.165634155273438</v>
      </c>
      <c r="D4371">
        <f>_xlfn.XLOOKUP(B4371, Oil_Price!A:A, Oil_Price!B:B, "")</f>
        <v>62.270000457763672</v>
      </c>
      <c r="E4371">
        <f t="shared" si="272"/>
        <v>-9.0330160775058226E-3</v>
      </c>
      <c r="F4371">
        <f t="shared" si="273"/>
        <v>-3.1721305835401531E-2</v>
      </c>
      <c r="G4371">
        <f t="shared" si="274"/>
        <v>-0.82189178466796875</v>
      </c>
      <c r="H4371">
        <f t="shared" si="275"/>
        <v>-2.0399971008300781</v>
      </c>
    </row>
    <row r="4372" spans="1:8" x14ac:dyDescent="0.2">
      <c r="A4372" t="s">
        <v>14</v>
      </c>
      <c r="B4372" s="2">
        <v>45771</v>
      </c>
      <c r="C4372">
        <v>91.538658142089844</v>
      </c>
      <c r="D4372">
        <f>_xlfn.XLOOKUP(B4372, Oil_Price!A:A, Oil_Price!B:B, "")</f>
        <v>62.790000915527337</v>
      </c>
      <c r="E4372">
        <f t="shared" si="272"/>
        <v>1.5227797149986589E-2</v>
      </c>
      <c r="F4372">
        <f t="shared" si="273"/>
        <v>8.3507379788180548E-3</v>
      </c>
      <c r="G4372">
        <f t="shared" si="274"/>
        <v>1.3730239868164062</v>
      </c>
      <c r="H4372">
        <f t="shared" si="275"/>
        <v>0.52000045776366477</v>
      </c>
    </row>
    <row r="4373" spans="1:8" x14ac:dyDescent="0.2">
      <c r="A4373" t="s">
        <v>14</v>
      </c>
      <c r="B4373" s="2">
        <v>45772</v>
      </c>
      <c r="C4373">
        <v>92.33154296875</v>
      </c>
      <c r="D4373">
        <f>_xlfn.XLOOKUP(B4373, Oil_Price!A:A, Oil_Price!B:B, "")</f>
        <v>63.020000457763672</v>
      </c>
      <c r="E4373">
        <f t="shared" si="272"/>
        <v>8.6617484104847785E-3</v>
      </c>
      <c r="F4373">
        <f t="shared" si="273"/>
        <v>3.6629963192030893E-3</v>
      </c>
      <c r="G4373">
        <f t="shared" si="274"/>
        <v>0.79288482666015625</v>
      </c>
      <c r="H4373">
        <f t="shared" si="275"/>
        <v>0.22999954223633523</v>
      </c>
    </row>
    <row r="4374" spans="1:8" x14ac:dyDescent="0.2">
      <c r="A4374" t="s">
        <v>14</v>
      </c>
      <c r="B4374" s="2">
        <v>45775</v>
      </c>
      <c r="C4374">
        <v>92.99871826171875</v>
      </c>
      <c r="D4374">
        <f>_xlfn.XLOOKUP(B4374, Oil_Price!A:A, Oil_Price!B:B, "")</f>
        <v>62.049999237060547</v>
      </c>
      <c r="E4374">
        <f t="shared" si="272"/>
        <v>7.2258653057986726E-3</v>
      </c>
      <c r="F4374">
        <f t="shared" si="273"/>
        <v>-1.5391958325249852E-2</v>
      </c>
      <c r="G4374">
        <f t="shared" si="274"/>
        <v>0.66717529296875</v>
      </c>
      <c r="H4374">
        <f t="shared" si="275"/>
        <v>-0.970001220703125</v>
      </c>
    </row>
    <row r="4375" spans="1:8" x14ac:dyDescent="0.2">
      <c r="A4375" t="s">
        <v>14</v>
      </c>
      <c r="B4375" s="2">
        <v>45776</v>
      </c>
      <c r="C4375">
        <v>92.902030944824219</v>
      </c>
      <c r="D4375">
        <f>_xlfn.XLOOKUP(B4375, Oil_Price!A:A, Oil_Price!B:B, "")</f>
        <v>60.419998168945312</v>
      </c>
      <c r="E4375">
        <f t="shared" si="272"/>
        <v>-1.0396628975297484E-3</v>
      </c>
      <c r="F4375">
        <f t="shared" si="273"/>
        <v>-2.6269155328880085E-2</v>
      </c>
      <c r="G4375">
        <f t="shared" si="274"/>
        <v>-9.668731689453125E-2</v>
      </c>
      <c r="H4375">
        <f t="shared" si="275"/>
        <v>-1.6300010681152344</v>
      </c>
    </row>
    <row r="4376" spans="1:8" x14ac:dyDescent="0.2">
      <c r="A4376" t="s">
        <v>14</v>
      </c>
      <c r="B4376" s="2">
        <v>45777</v>
      </c>
      <c r="C4376">
        <v>89.914230346679688</v>
      </c>
      <c r="D4376">
        <f>_xlfn.XLOOKUP(B4376, Oil_Price!A:A, Oil_Price!B:B, "")</f>
        <v>58.209999084472663</v>
      </c>
      <c r="E4376">
        <f t="shared" si="272"/>
        <v>-3.2160767291718594E-2</v>
      </c>
      <c r="F4376">
        <f t="shared" si="273"/>
        <v>-3.6577278243092454E-2</v>
      </c>
      <c r="G4376">
        <f t="shared" si="274"/>
        <v>-2.9878005981445312</v>
      </c>
      <c r="H4376">
        <f t="shared" si="275"/>
        <v>-2.2099990844726491</v>
      </c>
    </row>
    <row r="4377" spans="1:8" x14ac:dyDescent="0.2">
      <c r="A4377" t="s">
        <v>14</v>
      </c>
      <c r="B4377" s="2">
        <v>45778</v>
      </c>
      <c r="C4377">
        <v>90.803802490234375</v>
      </c>
      <c r="D4377">
        <f>_xlfn.XLOOKUP(B4377, Oil_Price!A:A, Oil_Price!B:B, "")</f>
        <v>59.240001678466797</v>
      </c>
      <c r="E4377">
        <f t="shared" si="272"/>
        <v>9.8935634562492495E-3</v>
      </c>
      <c r="F4377">
        <f t="shared" si="273"/>
        <v>1.7694599041299136E-2</v>
      </c>
      <c r="G4377">
        <f t="shared" si="274"/>
        <v>0.8895721435546875</v>
      </c>
      <c r="H4377">
        <f t="shared" si="275"/>
        <v>1.0300025939941335</v>
      </c>
    </row>
    <row r="4378" spans="1:8" x14ac:dyDescent="0.2">
      <c r="A4378" t="s">
        <v>14</v>
      </c>
      <c r="B4378" s="2">
        <v>45779</v>
      </c>
      <c r="C4378">
        <v>91.915763854980469</v>
      </c>
      <c r="D4378">
        <f>_xlfn.XLOOKUP(B4378, Oil_Price!A:A, Oil_Price!B:B, "")</f>
        <v>58.290000915527337</v>
      </c>
      <c r="E4378">
        <f t="shared" si="272"/>
        <v>1.2245757713347755E-2</v>
      </c>
      <c r="F4378">
        <f t="shared" si="273"/>
        <v>-1.6036474274523475E-2</v>
      </c>
      <c r="G4378">
        <f t="shared" si="274"/>
        <v>1.1119613647460938</v>
      </c>
      <c r="H4378">
        <f t="shared" si="275"/>
        <v>-0.95000076293946023</v>
      </c>
    </row>
    <row r="4379" spans="1:8" x14ac:dyDescent="0.2">
      <c r="A4379" t="s">
        <v>14</v>
      </c>
      <c r="B4379" s="2">
        <v>45782</v>
      </c>
      <c r="C4379">
        <v>90.349342346191406</v>
      </c>
      <c r="D4379">
        <f>_xlfn.XLOOKUP(B4379, Oil_Price!A:A, Oil_Price!B:B, "")</f>
        <v>57.130001068115227</v>
      </c>
      <c r="E4379">
        <f t="shared" si="272"/>
        <v>-1.7041924508841316E-2</v>
      </c>
      <c r="F4379">
        <f t="shared" si="273"/>
        <v>-1.990049458213523E-2</v>
      </c>
      <c r="G4379">
        <f t="shared" si="274"/>
        <v>-1.5664215087890625</v>
      </c>
      <c r="H4379">
        <f t="shared" si="275"/>
        <v>-1.1599998474121094</v>
      </c>
    </row>
    <row r="4380" spans="1:8" x14ac:dyDescent="0.2">
      <c r="A4380" t="s">
        <v>14</v>
      </c>
      <c r="B4380" s="2">
        <v>45783</v>
      </c>
      <c r="C4380">
        <v>91.171226501464844</v>
      </c>
      <c r="D4380">
        <f>_xlfn.XLOOKUP(B4380, Oil_Price!A:A, Oil_Price!B:B, "")</f>
        <v>59.090000152587891</v>
      </c>
      <c r="E4380">
        <f t="shared" si="272"/>
        <v>9.0967364446796466E-3</v>
      </c>
      <c r="F4380">
        <f t="shared" si="273"/>
        <v>3.430770257006973E-2</v>
      </c>
      <c r="G4380">
        <f t="shared" si="274"/>
        <v>0.8218841552734375</v>
      </c>
      <c r="H4380">
        <f t="shared" si="275"/>
        <v>1.9599990844726634</v>
      </c>
    </row>
    <row r="4381" spans="1:8" x14ac:dyDescent="0.2">
      <c r="A4381" t="s">
        <v>14</v>
      </c>
      <c r="B4381" s="2">
        <v>45784</v>
      </c>
      <c r="C4381">
        <v>91.587013244628906</v>
      </c>
      <c r="D4381">
        <f>_xlfn.XLOOKUP(B4381, Oil_Price!A:A, Oil_Price!B:B, "")</f>
        <v>58.069999694824219</v>
      </c>
      <c r="E4381">
        <f t="shared" si="272"/>
        <v>4.560504000210879E-3</v>
      </c>
      <c r="F4381">
        <f t="shared" si="273"/>
        <v>-1.7261811730068174E-2</v>
      </c>
      <c r="G4381">
        <f t="shared" si="274"/>
        <v>0.4157867431640625</v>
      </c>
      <c r="H4381">
        <f t="shared" si="275"/>
        <v>-1.0200004577636719</v>
      </c>
    </row>
    <row r="4382" spans="1:8" x14ac:dyDescent="0.2">
      <c r="A4382" t="s">
        <v>14</v>
      </c>
      <c r="B4382" s="2">
        <v>45785</v>
      </c>
      <c r="C4382">
        <v>93.453178405761719</v>
      </c>
      <c r="D4382">
        <f>_xlfn.XLOOKUP(B4382, Oil_Price!A:A, Oil_Price!B:B, "")</f>
        <v>59.909999847412109</v>
      </c>
      <c r="E4382">
        <f t="shared" si="272"/>
        <v>2.0375870934324341E-2</v>
      </c>
      <c r="F4382">
        <f t="shared" si="273"/>
        <v>3.1685899126186662E-2</v>
      </c>
      <c r="G4382">
        <f t="shared" si="274"/>
        <v>1.8661651611328125</v>
      </c>
      <c r="H4382">
        <f t="shared" si="275"/>
        <v>1.8400001525878906</v>
      </c>
    </row>
    <row r="4383" spans="1:8" x14ac:dyDescent="0.2">
      <c r="A4383" t="s">
        <v>14</v>
      </c>
      <c r="B4383" s="2">
        <v>45786</v>
      </c>
      <c r="C4383">
        <v>95.976844787597656</v>
      </c>
      <c r="D4383">
        <f>_xlfn.XLOOKUP(B4383, Oil_Price!A:A, Oil_Price!B:B, "")</f>
        <v>61.020000457763672</v>
      </c>
      <c r="E4383">
        <f t="shared" si="272"/>
        <v>2.7004607279150012E-2</v>
      </c>
      <c r="F4383">
        <f t="shared" si="273"/>
        <v>1.852780192252847E-2</v>
      </c>
      <c r="G4383">
        <f t="shared" si="274"/>
        <v>2.5236663818359375</v>
      </c>
      <c r="H4383">
        <f t="shared" si="275"/>
        <v>1.1100006103515625</v>
      </c>
    </row>
    <row r="4384" spans="1:8" x14ac:dyDescent="0.2">
      <c r="A4384" t="s">
        <v>14</v>
      </c>
      <c r="B4384" s="2">
        <v>45789</v>
      </c>
      <c r="C4384">
        <v>98.104072570800781</v>
      </c>
      <c r="D4384">
        <f>_xlfn.XLOOKUP(B4384, Oil_Price!A:A, Oil_Price!B:B, "")</f>
        <v>61.950000762939453</v>
      </c>
      <c r="E4384">
        <f t="shared" si="272"/>
        <v>2.2163968693811553E-2</v>
      </c>
      <c r="F4384">
        <f t="shared" si="273"/>
        <v>1.5240909508342291E-2</v>
      </c>
      <c r="G4384">
        <f t="shared" si="274"/>
        <v>2.127227783203125</v>
      </c>
      <c r="H4384">
        <f t="shared" si="275"/>
        <v>0.93000030517578125</v>
      </c>
    </row>
    <row r="4385" spans="1:8" x14ac:dyDescent="0.2">
      <c r="A4385" t="s">
        <v>14</v>
      </c>
      <c r="B4385" s="2">
        <v>45790</v>
      </c>
      <c r="C4385">
        <v>99.129013061523438</v>
      </c>
      <c r="D4385">
        <f>_xlfn.XLOOKUP(B4385, Oil_Price!A:A, Oil_Price!B:B, "")</f>
        <v>63.669998168945312</v>
      </c>
      <c r="E4385">
        <f t="shared" si="272"/>
        <v>1.0447481576088153E-2</v>
      </c>
      <c r="F4385">
        <f t="shared" si="273"/>
        <v>2.7764283855099142E-2</v>
      </c>
      <c r="G4385">
        <f t="shared" si="274"/>
        <v>1.0249404907226562</v>
      </c>
      <c r="H4385">
        <f t="shared" si="275"/>
        <v>1.7199974060058594</v>
      </c>
    </row>
    <row r="4386" spans="1:8" x14ac:dyDescent="0.2">
      <c r="A4386" t="s">
        <v>14</v>
      </c>
      <c r="B4386" s="2">
        <v>45791</v>
      </c>
      <c r="C4386">
        <v>98.220115661621094</v>
      </c>
      <c r="D4386">
        <f>_xlfn.XLOOKUP(B4386, Oil_Price!A:A, Oil_Price!B:B, "")</f>
        <v>63.150001525878913</v>
      </c>
      <c r="E4386">
        <f t="shared" si="272"/>
        <v>-9.1688333398239896E-3</v>
      </c>
      <c r="F4386">
        <f t="shared" si="273"/>
        <v>-8.1670591804732396E-3</v>
      </c>
      <c r="G4386">
        <f t="shared" si="274"/>
        <v>-0.90889739990234375</v>
      </c>
      <c r="H4386">
        <f t="shared" si="275"/>
        <v>-0.51999664306639914</v>
      </c>
    </row>
    <row r="4387" spans="1:8" x14ac:dyDescent="0.2">
      <c r="A4387" t="s">
        <v>14</v>
      </c>
      <c r="B4387" s="2">
        <v>45792</v>
      </c>
      <c r="C4387">
        <v>97.620613098144531</v>
      </c>
      <c r="D4387">
        <f>_xlfn.XLOOKUP(B4387, Oil_Price!A:A, Oil_Price!B:B, "")</f>
        <v>61.619998931884773</v>
      </c>
      <c r="E4387">
        <f t="shared" si="272"/>
        <v>-6.1036637906425762E-3</v>
      </c>
      <c r="F4387">
        <f t="shared" si="273"/>
        <v>-2.4228068994854173E-2</v>
      </c>
      <c r="G4387">
        <f t="shared" si="274"/>
        <v>-0.5995025634765625</v>
      </c>
      <c r="H4387">
        <f t="shared" si="275"/>
        <v>-1.5300025939941406</v>
      </c>
    </row>
    <row r="4388" spans="1:8" x14ac:dyDescent="0.2">
      <c r="A4388" t="s">
        <v>14</v>
      </c>
      <c r="B4388" s="2">
        <v>45793</v>
      </c>
      <c r="C4388">
        <v>98.007392883300781</v>
      </c>
      <c r="D4388">
        <f>_xlfn.XLOOKUP(B4388, Oil_Price!A:A, Oil_Price!B:B, "")</f>
        <v>62.490001678466797</v>
      </c>
      <c r="E4388">
        <f t="shared" si="272"/>
        <v>3.9620708463221225E-3</v>
      </c>
      <c r="F4388">
        <f t="shared" si="273"/>
        <v>1.4118837417438647E-2</v>
      </c>
      <c r="G4388">
        <f t="shared" si="274"/>
        <v>0.38677978515625</v>
      </c>
      <c r="H4388">
        <f t="shared" si="275"/>
        <v>0.87000274658202414</v>
      </c>
    </row>
    <row r="4389" spans="1:8" x14ac:dyDescent="0.2">
      <c r="A4389" t="s">
        <v>14</v>
      </c>
      <c r="B4389" s="2">
        <v>45797</v>
      </c>
      <c r="C4389">
        <v>96.779380798339844</v>
      </c>
      <c r="D4389">
        <f>_xlfn.XLOOKUP(B4389, Oil_Price!A:A, Oil_Price!B:B, "")</f>
        <v>62.560001373291023</v>
      </c>
      <c r="E4389">
        <f t="shared" si="272"/>
        <v>-1.2529790343705544E-2</v>
      </c>
      <c r="F4389">
        <f t="shared" si="273"/>
        <v>1.1201743149952066E-3</v>
      </c>
      <c r="G4389">
        <f t="shared" si="274"/>
        <v>-1.2280120849609375</v>
      </c>
      <c r="H4389">
        <f t="shared" si="275"/>
        <v>6.9999694824225855E-2</v>
      </c>
    </row>
    <row r="4390" spans="1:8" x14ac:dyDescent="0.2">
      <c r="A4390" t="s">
        <v>14</v>
      </c>
      <c r="B4390" s="2">
        <v>45798</v>
      </c>
      <c r="C4390">
        <v>96.518325805664062</v>
      </c>
      <c r="D4390">
        <f>_xlfn.XLOOKUP(B4390, Oil_Price!A:A, Oil_Price!B:B, "")</f>
        <v>61.569999694824219</v>
      </c>
      <c r="E4390">
        <f t="shared" si="272"/>
        <v>-2.6974236714713451E-3</v>
      </c>
      <c r="F4390">
        <f t="shared" si="273"/>
        <v>-1.5824834666475392E-2</v>
      </c>
      <c r="G4390">
        <f t="shared" si="274"/>
        <v>-0.26105499267578125</v>
      </c>
      <c r="H4390">
        <f t="shared" si="275"/>
        <v>-0.99000167846680398</v>
      </c>
    </row>
    <row r="4391" spans="1:8" x14ac:dyDescent="0.2">
      <c r="A4391" t="s">
        <v>14</v>
      </c>
      <c r="B4391" s="2">
        <v>45799</v>
      </c>
      <c r="C4391">
        <v>95.445045471191406</v>
      </c>
      <c r="D4391">
        <f>_xlfn.XLOOKUP(B4391, Oil_Price!A:A, Oil_Price!B:B, "")</f>
        <v>61.200000762939453</v>
      </c>
      <c r="E4391">
        <f t="shared" si="272"/>
        <v>-1.1119964271175455E-2</v>
      </c>
      <c r="F4391">
        <f t="shared" si="273"/>
        <v>-6.009402853966052E-3</v>
      </c>
      <c r="G4391">
        <f t="shared" si="274"/>
        <v>-1.0732803344726562</v>
      </c>
      <c r="H4391">
        <f t="shared" si="275"/>
        <v>-0.36999893188476562</v>
      </c>
    </row>
    <row r="4392" spans="1:8" x14ac:dyDescent="0.2">
      <c r="A4392" t="s">
        <v>14</v>
      </c>
      <c r="B4392" s="2">
        <v>45800</v>
      </c>
      <c r="C4392">
        <v>95.241981506347656</v>
      </c>
      <c r="D4392">
        <f>_xlfn.XLOOKUP(B4392, Oil_Price!A:A, Oil_Price!B:B, "")</f>
        <v>61.529998779296882</v>
      </c>
      <c r="E4392">
        <f t="shared" si="272"/>
        <v>-2.127548515915807E-3</v>
      </c>
      <c r="F4392">
        <f t="shared" si="273"/>
        <v>5.3921243830647803E-3</v>
      </c>
      <c r="G4392">
        <f t="shared" si="274"/>
        <v>-0.20306396484375</v>
      </c>
      <c r="H4392">
        <f t="shared" si="275"/>
        <v>0.32999801635742898</v>
      </c>
    </row>
    <row r="4393" spans="1:8" x14ac:dyDescent="0.2">
      <c r="A4393" t="s">
        <v>14</v>
      </c>
      <c r="B4393" s="2">
        <v>45803</v>
      </c>
      <c r="C4393">
        <v>95.329002380371094</v>
      </c>
      <c r="D4393" t="str">
        <f>_xlfn.XLOOKUP(B4393, Oil_Price!A:A, Oil_Price!B:B, "")</f>
        <v/>
      </c>
      <c r="E4393">
        <f t="shared" si="272"/>
        <v>9.1368189371026222E-4</v>
      </c>
      <c r="F4393" t="str">
        <f t="shared" si="273"/>
        <v/>
      </c>
      <c r="G4393">
        <f t="shared" si="274"/>
        <v>8.70208740234375E-2</v>
      </c>
      <c r="H4393" t="str">
        <f t="shared" si="275"/>
        <v/>
      </c>
    </row>
    <row r="4394" spans="1:8" x14ac:dyDescent="0.2">
      <c r="A4394" t="s">
        <v>14</v>
      </c>
      <c r="B4394" s="2">
        <v>45804</v>
      </c>
      <c r="C4394">
        <v>96.663360595703125</v>
      </c>
      <c r="D4394">
        <f>_xlfn.XLOOKUP(B4394, Oil_Price!A:A, Oil_Price!B:B, "")</f>
        <v>60.889999389648438</v>
      </c>
      <c r="E4394">
        <f t="shared" si="272"/>
        <v>1.3997400392462146E-2</v>
      </c>
      <c r="F4394" t="str">
        <f t="shared" si="273"/>
        <v/>
      </c>
      <c r="G4394">
        <f t="shared" si="274"/>
        <v>1.3343582153320312</v>
      </c>
      <c r="H4394" t="str">
        <f t="shared" si="275"/>
        <v/>
      </c>
    </row>
    <row r="4395" spans="1:8" x14ac:dyDescent="0.2">
      <c r="A4395" t="s">
        <v>14</v>
      </c>
      <c r="B4395" s="2">
        <v>45805</v>
      </c>
      <c r="C4395">
        <v>96.054191589355469</v>
      </c>
      <c r="D4395">
        <f>_xlfn.XLOOKUP(B4395, Oil_Price!A:A, Oil_Price!B:B, "")</f>
        <v>61.840000152587891</v>
      </c>
      <c r="E4395">
        <f t="shared" si="272"/>
        <v>-6.3019638733182526E-3</v>
      </c>
      <c r="F4395">
        <f t="shared" si="273"/>
        <v>1.5601917760914895E-2</v>
      </c>
      <c r="G4395">
        <f t="shared" si="274"/>
        <v>-0.60916900634765625</v>
      </c>
      <c r="H4395">
        <f t="shared" si="275"/>
        <v>0.95000076293945312</v>
      </c>
    </row>
    <row r="4396" spans="1:8" x14ac:dyDescent="0.2">
      <c r="A4396" t="s">
        <v>14</v>
      </c>
      <c r="B4396" s="2">
        <v>45806</v>
      </c>
      <c r="C4396">
        <v>95.802803039550781</v>
      </c>
      <c r="D4396">
        <f>_xlfn.XLOOKUP(B4396, Oil_Price!A:A, Oil_Price!B:B, "")</f>
        <v>60.939998626708977</v>
      </c>
      <c r="E4396">
        <f t="shared" si="272"/>
        <v>-2.6171533552581151E-3</v>
      </c>
      <c r="F4396">
        <f t="shared" si="273"/>
        <v>-1.4553711572739218E-2</v>
      </c>
      <c r="G4396">
        <f t="shared" si="274"/>
        <v>-0.2513885498046875</v>
      </c>
      <c r="H4396">
        <f t="shared" si="275"/>
        <v>-0.90000152587891336</v>
      </c>
    </row>
    <row r="4397" spans="1:8" x14ac:dyDescent="0.2">
      <c r="A4397" t="s">
        <v>14</v>
      </c>
      <c r="B4397" s="2">
        <v>45807</v>
      </c>
      <c r="C4397">
        <v>94.739189147949219</v>
      </c>
      <c r="D4397">
        <f>_xlfn.XLOOKUP(B4397, Oil_Price!A:A, Oil_Price!B:B, "")</f>
        <v>60.790000915527337</v>
      </c>
      <c r="E4397">
        <f t="shared" si="272"/>
        <v>-1.1102116617219071E-2</v>
      </c>
      <c r="F4397">
        <f t="shared" si="273"/>
        <v>-2.4613999764007076E-3</v>
      </c>
      <c r="G4397">
        <f t="shared" si="274"/>
        <v>-1.0636138916015625</v>
      </c>
      <c r="H4397">
        <f t="shared" si="275"/>
        <v>-0.14999771118164062</v>
      </c>
    </row>
    <row r="4398" spans="1:8" x14ac:dyDescent="0.2">
      <c r="A4398" t="s">
        <v>14</v>
      </c>
      <c r="B4398" s="2">
        <v>45810</v>
      </c>
      <c r="C4398">
        <v>96.247581481933594</v>
      </c>
      <c r="D4398">
        <f>_xlfn.XLOOKUP(B4398, Oil_Price!A:A, Oil_Price!B:B, "")</f>
        <v>62.520000457763672</v>
      </c>
      <c r="E4398">
        <f t="shared" si="272"/>
        <v>1.5921524635690073E-2</v>
      </c>
      <c r="F4398">
        <f t="shared" si="273"/>
        <v>2.8458620104979283E-2</v>
      </c>
      <c r="G4398">
        <f t="shared" si="274"/>
        <v>1.508392333984375</v>
      </c>
      <c r="H4398">
        <f t="shared" si="275"/>
        <v>1.7299995422363352</v>
      </c>
    </row>
    <row r="4399" spans="1:8" x14ac:dyDescent="0.2">
      <c r="A4399" t="s">
        <v>14</v>
      </c>
      <c r="B4399" s="2">
        <v>45811</v>
      </c>
      <c r="C4399">
        <v>97.620613098144531</v>
      </c>
      <c r="D4399">
        <f>_xlfn.XLOOKUP(B4399, Oil_Price!A:A, Oil_Price!B:B, "")</f>
        <v>63.409999847412109</v>
      </c>
      <c r="E4399">
        <f t="shared" si="272"/>
        <v>1.4265622003901116E-2</v>
      </c>
      <c r="F4399">
        <f t="shared" si="273"/>
        <v>1.4235434790978449E-2</v>
      </c>
      <c r="G4399">
        <f t="shared" si="274"/>
        <v>1.3730316162109375</v>
      </c>
      <c r="H4399">
        <f t="shared" si="275"/>
        <v>0.8899993896484375</v>
      </c>
    </row>
    <row r="4400" spans="1:8" x14ac:dyDescent="0.2">
      <c r="A4400" t="s">
        <v>14</v>
      </c>
      <c r="B4400" s="2">
        <v>45812</v>
      </c>
      <c r="C4400">
        <v>96.442230224609375</v>
      </c>
      <c r="D4400">
        <f>_xlfn.XLOOKUP(B4400, Oil_Price!A:A, Oil_Price!B:B, "")</f>
        <v>62.849998474121087</v>
      </c>
      <c r="E4400">
        <f t="shared" si="272"/>
        <v>-1.2071045613598525E-2</v>
      </c>
      <c r="F4400">
        <f t="shared" si="273"/>
        <v>-8.8314362819522617E-3</v>
      </c>
      <c r="G4400">
        <f t="shared" si="274"/>
        <v>-1.1783828735351562</v>
      </c>
      <c r="H4400">
        <f t="shared" si="275"/>
        <v>-0.56000137329102273</v>
      </c>
    </row>
    <row r="4401" spans="1:8" x14ac:dyDescent="0.2">
      <c r="A4401" t="s">
        <v>14</v>
      </c>
      <c r="B4401" s="2">
        <v>45813</v>
      </c>
      <c r="C4401">
        <v>97.046028137207031</v>
      </c>
      <c r="D4401">
        <f>_xlfn.XLOOKUP(B4401, Oil_Price!A:A, Oil_Price!B:B, "")</f>
        <v>63.369998931884773</v>
      </c>
      <c r="E4401">
        <f t="shared" si="272"/>
        <v>6.2607211715390611E-3</v>
      </c>
      <c r="F4401">
        <f t="shared" si="273"/>
        <v>8.2736749465125246E-3</v>
      </c>
      <c r="G4401">
        <f t="shared" si="274"/>
        <v>0.60379791259765625</v>
      </c>
      <c r="H4401">
        <f t="shared" si="275"/>
        <v>0.52000045776368609</v>
      </c>
    </row>
    <row r="4402" spans="1:8" x14ac:dyDescent="0.2">
      <c r="A4402" t="s">
        <v>14</v>
      </c>
      <c r="B4402" s="2">
        <v>45814</v>
      </c>
      <c r="C4402">
        <v>98.165985107421875</v>
      </c>
      <c r="D4402">
        <f>_xlfn.XLOOKUP(B4402, Oil_Price!A:A, Oil_Price!B:B, "")</f>
        <v>64.580001831054688</v>
      </c>
      <c r="E4402">
        <f t="shared" si="272"/>
        <v>1.1540471997796859E-2</v>
      </c>
      <c r="F4402">
        <f t="shared" si="273"/>
        <v>1.909425468778253E-2</v>
      </c>
      <c r="G4402">
        <f t="shared" si="274"/>
        <v>1.1199569702148438</v>
      </c>
      <c r="H4402">
        <f t="shared" si="275"/>
        <v>1.2100028991699148</v>
      </c>
    </row>
    <row r="4403" spans="1:8" x14ac:dyDescent="0.2">
      <c r="A4403" t="s">
        <v>14</v>
      </c>
      <c r="B4403" s="2">
        <v>45817</v>
      </c>
      <c r="C4403">
        <v>97.91278076171875</v>
      </c>
      <c r="D4403">
        <f>_xlfn.XLOOKUP(B4403, Oil_Price!A:A, Oil_Price!B:B, "")</f>
        <v>65.290000915527344</v>
      </c>
      <c r="E4403">
        <f t="shared" si="272"/>
        <v>-2.5793491037251494E-3</v>
      </c>
      <c r="F4403">
        <f t="shared" si="273"/>
        <v>1.0994101336975154E-2</v>
      </c>
      <c r="G4403">
        <f t="shared" si="274"/>
        <v>-0.253204345703125</v>
      </c>
      <c r="H4403">
        <f t="shared" si="275"/>
        <v>0.70999908447265625</v>
      </c>
    </row>
    <row r="4404" spans="1:8" x14ac:dyDescent="0.2">
      <c r="A4404" t="s">
        <v>14</v>
      </c>
      <c r="B4404" s="2">
        <v>45818</v>
      </c>
      <c r="C4404">
        <v>100.2111053466797</v>
      </c>
      <c r="D4404">
        <f>_xlfn.XLOOKUP(B4404, Oil_Price!A:A, Oil_Price!B:B, "")</f>
        <v>64.980003356933594</v>
      </c>
      <c r="E4404">
        <f t="shared" si="272"/>
        <v>2.3473182633370112E-2</v>
      </c>
      <c r="F4404">
        <f t="shared" si="273"/>
        <v>-4.7480097143026076E-3</v>
      </c>
      <c r="G4404">
        <f t="shared" si="274"/>
        <v>2.2983245849609517</v>
      </c>
      <c r="H4404">
        <f t="shared" si="275"/>
        <v>-0.30999755859375</v>
      </c>
    </row>
    <row r="4405" spans="1:8" x14ac:dyDescent="0.2">
      <c r="A4405" t="s">
        <v>14</v>
      </c>
      <c r="B4405" s="2">
        <v>45819</v>
      </c>
      <c r="C4405">
        <v>103.04505920410161</v>
      </c>
      <c r="D4405">
        <f>_xlfn.XLOOKUP(B4405, Oil_Price!A:A, Oil_Price!B:B, "")</f>
        <v>68.150001525878906</v>
      </c>
      <c r="E4405">
        <f t="shared" si="272"/>
        <v>2.8279838323485781E-2</v>
      </c>
      <c r="F4405">
        <f t="shared" si="273"/>
        <v>4.8784210606031962E-2</v>
      </c>
      <c r="G4405">
        <f t="shared" si="274"/>
        <v>2.8339538574219034</v>
      </c>
      <c r="H4405">
        <f t="shared" si="275"/>
        <v>3.1699981689453125</v>
      </c>
    </row>
    <row r="4406" spans="1:8" x14ac:dyDescent="0.2">
      <c r="A4406" t="s">
        <v>14</v>
      </c>
      <c r="B4406" s="2">
        <v>45820</v>
      </c>
      <c r="C4406">
        <v>104.48638916015619</v>
      </c>
      <c r="D4406">
        <f>_xlfn.XLOOKUP(B4406, Oil_Price!A:A, Oil_Price!B:B, "")</f>
        <v>68.040000915527344</v>
      </c>
      <c r="E4406">
        <f t="shared" si="272"/>
        <v>1.3987375689694565E-2</v>
      </c>
      <c r="F4406">
        <f t="shared" si="273"/>
        <v>-1.6140954935971862E-3</v>
      </c>
      <c r="G4406">
        <f t="shared" si="274"/>
        <v>1.441329956054588</v>
      </c>
      <c r="H4406">
        <f t="shared" si="275"/>
        <v>-0.1100006103515625</v>
      </c>
    </row>
    <row r="4407" spans="1:8" x14ac:dyDescent="0.2">
      <c r="A4407" t="s">
        <v>14</v>
      </c>
      <c r="B4407" s="2">
        <v>45821</v>
      </c>
      <c r="C4407">
        <v>108.2455368041992</v>
      </c>
      <c r="D4407">
        <f>_xlfn.XLOOKUP(B4407, Oil_Price!A:A, Oil_Price!B:B, "")</f>
        <v>72.980003356933594</v>
      </c>
      <c r="E4407">
        <f t="shared" si="272"/>
        <v>3.5977390684647066E-2</v>
      </c>
      <c r="F4407">
        <f t="shared" si="273"/>
        <v>7.2604385287109788E-2</v>
      </c>
      <c r="G4407">
        <f t="shared" si="274"/>
        <v>3.7591476440430114</v>
      </c>
      <c r="H4407">
        <f t="shared" si="275"/>
        <v>4.94000244140625</v>
      </c>
    </row>
    <row r="4408" spans="1:8" x14ac:dyDescent="0.2">
      <c r="A4408" t="s">
        <v>14</v>
      </c>
      <c r="B4408" s="2">
        <v>45824</v>
      </c>
      <c r="C4408">
        <v>107.4079971313477</v>
      </c>
      <c r="D4408">
        <f>_xlfn.XLOOKUP(B4408, Oil_Price!A:A, Oil_Price!B:B, "")</f>
        <v>71.769996643066406</v>
      </c>
      <c r="E4408">
        <f t="shared" si="272"/>
        <v>-7.7374060638314901E-3</v>
      </c>
      <c r="F4408">
        <f t="shared" si="273"/>
        <v>-1.6579976133314724E-2</v>
      </c>
      <c r="G4408">
        <f t="shared" si="274"/>
        <v>-0.83753967285150566</v>
      </c>
      <c r="H4408">
        <f t="shared" si="275"/>
        <v>-1.2100067138671875</v>
      </c>
    </row>
    <row r="4409" spans="1:8" x14ac:dyDescent="0.2">
      <c r="A4409" t="s">
        <v>14</v>
      </c>
      <c r="B4409" s="2">
        <v>45825</v>
      </c>
      <c r="C4409">
        <v>108.3916015625</v>
      </c>
      <c r="D4409">
        <f>_xlfn.XLOOKUP(B4409, Oil_Price!A:A, Oil_Price!B:B, "")</f>
        <v>74.839996337890625</v>
      </c>
      <c r="E4409">
        <f t="shared" si="272"/>
        <v>9.1576461476091525E-3</v>
      </c>
      <c r="F4409">
        <f t="shared" si="273"/>
        <v>4.2775530701112369E-2</v>
      </c>
      <c r="G4409">
        <f t="shared" si="274"/>
        <v>0.98360443115230112</v>
      </c>
      <c r="H4409">
        <f t="shared" si="275"/>
        <v>3.0699996948242188</v>
      </c>
    </row>
    <row r="4410" spans="1:8" x14ac:dyDescent="0.2">
      <c r="A4410" t="s">
        <v>14</v>
      </c>
      <c r="B4410" s="2">
        <v>45826</v>
      </c>
      <c r="C4410">
        <v>108.0117950439453</v>
      </c>
      <c r="D4410">
        <f>_xlfn.XLOOKUP(B4410, Oil_Price!A:A, Oil_Price!B:B, "")</f>
        <v>75.139999389648438</v>
      </c>
      <c r="E4410">
        <f t="shared" si="272"/>
        <v>-3.5040216500140959E-3</v>
      </c>
      <c r="F4410">
        <f t="shared" si="273"/>
        <v>4.0085925499427693E-3</v>
      </c>
      <c r="G4410">
        <f t="shared" si="274"/>
        <v>-0.37980651855470171</v>
      </c>
      <c r="H4410">
        <f t="shared" si="275"/>
        <v>0.3000030517578125</v>
      </c>
    </row>
    <row r="4411" spans="1:8" x14ac:dyDescent="0.2">
      <c r="A4411" t="s">
        <v>14</v>
      </c>
      <c r="B4411" s="2">
        <v>45827</v>
      </c>
      <c r="C4411">
        <v>109.0830459594727</v>
      </c>
      <c r="D4411" t="str">
        <f>_xlfn.XLOOKUP(B4411, Oil_Price!A:A, Oil_Price!B:B, "")</f>
        <v/>
      </c>
      <c r="E4411">
        <f t="shared" si="272"/>
        <v>9.9179067905644496E-3</v>
      </c>
      <c r="F4411" t="str">
        <f t="shared" si="273"/>
        <v/>
      </c>
      <c r="G4411">
        <f t="shared" si="274"/>
        <v>1.0712509155274006</v>
      </c>
      <c r="H4411" t="str">
        <f t="shared" si="275"/>
        <v/>
      </c>
    </row>
    <row r="4412" spans="1:8" x14ac:dyDescent="0.2">
      <c r="A4412" t="s">
        <v>14</v>
      </c>
      <c r="B4412" s="2">
        <v>45828</v>
      </c>
      <c r="C4412">
        <v>108.8882751464844</v>
      </c>
      <c r="D4412">
        <f>_xlfn.XLOOKUP(B4412, Oil_Price!A:A, Oil_Price!B:B, "")</f>
        <v>74.930000305175781</v>
      </c>
      <c r="E4412">
        <f t="shared" si="272"/>
        <v>-1.7855278175919114E-3</v>
      </c>
      <c r="F4412" t="str">
        <f t="shared" si="273"/>
        <v/>
      </c>
      <c r="G4412">
        <f t="shared" si="274"/>
        <v>-0.19477081298829546</v>
      </c>
      <c r="H4412" t="str">
        <f t="shared" si="275"/>
        <v/>
      </c>
    </row>
    <row r="4413" spans="1:8" x14ac:dyDescent="0.2">
      <c r="A4413" t="s">
        <v>14</v>
      </c>
      <c r="B4413" s="2">
        <v>45831</v>
      </c>
      <c r="C4413">
        <v>105.7134628295898</v>
      </c>
      <c r="D4413">
        <f>_xlfn.XLOOKUP(B4413, Oil_Price!A:A, Oil_Price!B:B, "")</f>
        <v>68.510002136230469</v>
      </c>
      <c r="E4413">
        <f t="shared" si="272"/>
        <v>-2.9156603983519939E-2</v>
      </c>
      <c r="F4413">
        <f t="shared" si="273"/>
        <v>-8.5679943184276908E-2</v>
      </c>
      <c r="G4413">
        <f t="shared" si="274"/>
        <v>-3.1748123168946023</v>
      </c>
      <c r="H4413">
        <f t="shared" si="275"/>
        <v>-6.4199981689453125</v>
      </c>
    </row>
    <row r="4414" spans="1:8" x14ac:dyDescent="0.2">
      <c r="A4414" t="s">
        <v>14</v>
      </c>
      <c r="B4414" s="2">
        <v>45832</v>
      </c>
      <c r="C4414">
        <v>105.3141708374023</v>
      </c>
      <c r="D4414">
        <f>_xlfn.XLOOKUP(B4414, Oil_Price!A:A, Oil_Price!B:B, "")</f>
        <v>64.370002746582031</v>
      </c>
      <c r="E4414">
        <f t="shared" si="272"/>
        <v>-3.7771158138217367E-3</v>
      </c>
      <c r="F4414">
        <f t="shared" si="273"/>
        <v>-6.0429123639729999E-2</v>
      </c>
      <c r="G4414">
        <f t="shared" si="274"/>
        <v>-0.3992919921875</v>
      </c>
      <c r="H4414">
        <f t="shared" si="275"/>
        <v>-4.1399993896484375</v>
      </c>
    </row>
    <row r="4415" spans="1:8" x14ac:dyDescent="0.2">
      <c r="A4415" t="s">
        <v>14</v>
      </c>
      <c r="B4415" s="2">
        <v>45833</v>
      </c>
      <c r="C4415">
        <v>107.028190612793</v>
      </c>
      <c r="D4415">
        <f>_xlfn.XLOOKUP(B4415, Oil_Price!A:A, Oil_Price!B:B, "")</f>
        <v>64.919998168945312</v>
      </c>
      <c r="E4415">
        <f t="shared" si="272"/>
        <v>1.6275300481993278E-2</v>
      </c>
      <c r="F4415">
        <f t="shared" si="273"/>
        <v>8.5442814804367138E-3</v>
      </c>
      <c r="G4415">
        <f t="shared" si="274"/>
        <v>1.7140197753906961</v>
      </c>
      <c r="H4415">
        <f t="shared" si="275"/>
        <v>0.54999542236328125</v>
      </c>
    </row>
    <row r="4416" spans="1:8" x14ac:dyDescent="0.2">
      <c r="A4416" t="s">
        <v>14</v>
      </c>
      <c r="B4416" s="2">
        <v>45834</v>
      </c>
      <c r="C4416">
        <v>108.1091766357422</v>
      </c>
      <c r="D4416">
        <f>_xlfn.XLOOKUP(B4416, Oil_Price!A:A, Oil_Price!B:B, "")</f>
        <v>65.239997863769531</v>
      </c>
      <c r="E4416">
        <f t="shared" si="272"/>
        <v>1.0100012125403483E-2</v>
      </c>
      <c r="F4416">
        <f t="shared" si="273"/>
        <v>4.9291389995339161E-3</v>
      </c>
      <c r="G4416">
        <f t="shared" si="274"/>
        <v>1.0809860229492045</v>
      </c>
      <c r="H4416">
        <f t="shared" si="275"/>
        <v>0.31999969482421875</v>
      </c>
    </row>
    <row r="4417" spans="1:8" x14ac:dyDescent="0.2">
      <c r="A4417" t="s">
        <v>14</v>
      </c>
      <c r="B4417" s="2">
        <v>45835</v>
      </c>
      <c r="C4417">
        <v>105.9471969604492</v>
      </c>
      <c r="D4417">
        <f>_xlfn.XLOOKUP(B4417, Oil_Price!A:A, Oil_Price!B:B, "")</f>
        <v>65.519996643066406</v>
      </c>
      <c r="E4417">
        <f t="shared" si="272"/>
        <v>-1.9998114337485579E-2</v>
      </c>
      <c r="F4417">
        <f t="shared" si="273"/>
        <v>4.2918269231331458E-3</v>
      </c>
      <c r="G4417">
        <f t="shared" si="274"/>
        <v>-2.1619796752929972</v>
      </c>
      <c r="H4417">
        <f t="shared" si="275"/>
        <v>0.279998779296875</v>
      </c>
    </row>
    <row r="4418" spans="1:8" x14ac:dyDescent="0.2">
      <c r="A4418" t="s">
        <v>14</v>
      </c>
      <c r="B4418" s="2">
        <v>45838</v>
      </c>
      <c r="C4418">
        <v>105.35313415527339</v>
      </c>
      <c r="D4418">
        <f>_xlfn.XLOOKUP(B4418, Oil_Price!A:A, Oil_Price!B:B, "")</f>
        <v>65.110000610351562</v>
      </c>
      <c r="E4418">
        <f t="shared" si="272"/>
        <v>-5.6071592474275398E-3</v>
      </c>
      <c r="F4418">
        <f t="shared" si="273"/>
        <v>-6.257571027489227E-3</v>
      </c>
      <c r="G4418">
        <f t="shared" si="274"/>
        <v>-0.59406280517580967</v>
      </c>
      <c r="H4418">
        <f t="shared" si="275"/>
        <v>-0.40999603271484375</v>
      </c>
    </row>
    <row r="4419" spans="1:8" x14ac:dyDescent="0.2">
      <c r="A4419" t="s">
        <v>14</v>
      </c>
      <c r="B4419" s="2">
        <v>45840</v>
      </c>
      <c r="C4419">
        <v>107.0671463012695</v>
      </c>
      <c r="D4419">
        <f>_xlfn.XLOOKUP(B4419, Oil_Price!A:A, Oil_Price!B:B, "")</f>
        <v>67.449996948242188</v>
      </c>
      <c r="E4419">
        <f t="shared" ref="E4419:E4482" si="276">IFERROR(IF(AND(A4419=A4418, C4419&lt;&gt;"", C4418&lt;&gt;""), (C4419-C4418)/C4418, ""), "")</f>
        <v>1.6269208882480256E-2</v>
      </c>
      <c r="F4419">
        <f t="shared" ref="F4419:F4482" si="277">IFERROR(IF(AND(A4419=A4418, D4419&lt;&gt;"", D4418&lt;&gt;""), (D4419-D4418)/D4418, ""), "")</f>
        <v>3.5939123267625939E-2</v>
      </c>
      <c r="G4419">
        <f t="shared" ref="G4419:G4482" si="278">IFERROR(IF(AND(A4419=A4418, C4419&lt;&gt;"", C4418&lt;&gt;""), C4419-C4418, ""), "")</f>
        <v>1.714012145996108</v>
      </c>
      <c r="H4419">
        <f t="shared" ref="H4419:H4482" si="279">IFERROR(IF(AND(A4419=A4418, D4419&lt;&gt;"", D4418&lt;&gt;""), D4419-D4418, ""), "")</f>
        <v>2.339996337890625</v>
      </c>
    </row>
    <row r="4420" spans="1:8" x14ac:dyDescent="0.2">
      <c r="A4420" t="s">
        <v>14</v>
      </c>
      <c r="B4420" s="2">
        <v>45841</v>
      </c>
      <c r="C4420">
        <v>107.42747497558589</v>
      </c>
      <c r="D4420">
        <f>_xlfn.XLOOKUP(B4420, Oil_Price!A:A, Oil_Price!B:B, "")</f>
        <v>67</v>
      </c>
      <c r="E4420">
        <f t="shared" si="276"/>
        <v>3.3654457671122183E-3</v>
      </c>
      <c r="F4420">
        <f t="shared" si="277"/>
        <v>-6.6715636560738915E-3</v>
      </c>
      <c r="G4420">
        <f t="shared" si="278"/>
        <v>0.36032867431639204</v>
      </c>
      <c r="H4420">
        <f t="shared" si="279"/>
        <v>-0.4499969482421875</v>
      </c>
    </row>
    <row r="4421" spans="1:8" x14ac:dyDescent="0.2">
      <c r="A4421" t="s">
        <v>14</v>
      </c>
      <c r="B4421" s="2">
        <v>45842</v>
      </c>
      <c r="C4421">
        <v>107.6125106811523</v>
      </c>
      <c r="D4421">
        <f>_xlfn.XLOOKUP(B4421, Oil_Price!A:A, Oil_Price!B:B, "")</f>
        <v>66.5</v>
      </c>
      <c r="E4421">
        <f t="shared" si="276"/>
        <v>1.7224244133864051E-3</v>
      </c>
      <c r="F4421">
        <f t="shared" si="277"/>
        <v>-7.462686567164179E-3</v>
      </c>
      <c r="G4421">
        <f t="shared" si="278"/>
        <v>0.18503570556640625</v>
      </c>
      <c r="H4421">
        <f t="shared" si="279"/>
        <v>-0.5</v>
      </c>
    </row>
    <row r="4422" spans="1:8" x14ac:dyDescent="0.2">
      <c r="A4422" t="s">
        <v>14</v>
      </c>
      <c r="B4422" s="2">
        <v>45845</v>
      </c>
      <c r="C4422">
        <v>106.5996856689453</v>
      </c>
      <c r="D4422">
        <f>_xlfn.XLOOKUP(B4422, Oil_Price!A:A, Oil_Price!B:B, "")</f>
        <v>67.930000305175781</v>
      </c>
      <c r="E4422">
        <f t="shared" si="276"/>
        <v>-9.4117775507341003E-3</v>
      </c>
      <c r="F4422">
        <f t="shared" si="277"/>
        <v>2.1503763987605732E-2</v>
      </c>
      <c r="G4422">
        <f t="shared" si="278"/>
        <v>-1.0128250122070028</v>
      </c>
      <c r="H4422">
        <f t="shared" si="279"/>
        <v>1.4300003051757812</v>
      </c>
    </row>
    <row r="4423" spans="1:8" x14ac:dyDescent="0.2">
      <c r="A4423" t="s">
        <v>14</v>
      </c>
      <c r="B4423" s="2">
        <v>45846</v>
      </c>
      <c r="C4423">
        <v>107.54433441162109</v>
      </c>
      <c r="D4423">
        <f>_xlfn.XLOOKUP(B4423, Oil_Price!A:A, Oil_Price!B:B, "")</f>
        <v>68.330001831054688</v>
      </c>
      <c r="E4423">
        <f t="shared" si="276"/>
        <v>8.8616466056896763E-3</v>
      </c>
      <c r="F4423">
        <f t="shared" si="277"/>
        <v>5.8884369804489602E-3</v>
      </c>
      <c r="G4423">
        <f t="shared" si="278"/>
        <v>0.94464874267579546</v>
      </c>
      <c r="H4423">
        <f t="shared" si="279"/>
        <v>0.40000152587890625</v>
      </c>
    </row>
    <row r="4424" spans="1:8" x14ac:dyDescent="0.2">
      <c r="A4424" t="s">
        <v>14</v>
      </c>
      <c r="B4424" s="2">
        <v>45847</v>
      </c>
      <c r="C4424">
        <v>106.53151702880859</v>
      </c>
      <c r="D4424">
        <f>_xlfn.XLOOKUP(B4424, Oil_Price!A:A, Oil_Price!B:B, "")</f>
        <v>68.379997253417969</v>
      </c>
      <c r="E4424">
        <f t="shared" si="276"/>
        <v>-9.4176730773746498E-3</v>
      </c>
      <c r="F4424">
        <f t="shared" si="277"/>
        <v>7.3167599917375208E-4</v>
      </c>
      <c r="G4424">
        <f t="shared" si="278"/>
        <v>-1.0128173828125</v>
      </c>
      <c r="H4424">
        <f t="shared" si="279"/>
        <v>4.999542236328125E-2</v>
      </c>
    </row>
    <row r="4425" spans="1:8" x14ac:dyDescent="0.2">
      <c r="A4425" t="s">
        <v>14</v>
      </c>
      <c r="B4425" s="2">
        <v>45848</v>
      </c>
      <c r="C4425">
        <v>107.6709365844727</v>
      </c>
      <c r="D4425">
        <f>_xlfn.XLOOKUP(B4425, Oil_Price!A:A, Oil_Price!B:B, "")</f>
        <v>66.569999694824219</v>
      </c>
      <c r="E4425">
        <f t="shared" si="276"/>
        <v>1.0695609970108468E-2</v>
      </c>
      <c r="F4425">
        <f t="shared" si="277"/>
        <v>-2.6469693350320768E-2</v>
      </c>
      <c r="G4425">
        <f t="shared" si="278"/>
        <v>1.1394195556641051</v>
      </c>
      <c r="H4425">
        <f t="shared" si="279"/>
        <v>-1.80999755859375</v>
      </c>
    </row>
    <row r="4426" spans="1:8" x14ac:dyDescent="0.2">
      <c r="A4426" t="s">
        <v>14</v>
      </c>
      <c r="B4426" s="2">
        <v>45849</v>
      </c>
      <c r="C4426">
        <v>109.940055847168</v>
      </c>
      <c r="D4426">
        <f>_xlfn.XLOOKUP(B4426, Oil_Price!A:A, Oil_Price!B:B, "")</f>
        <v>68.449996948242188</v>
      </c>
      <c r="E4426">
        <f t="shared" si="276"/>
        <v>2.1074575318800835E-2</v>
      </c>
      <c r="F4426">
        <f t="shared" si="277"/>
        <v>2.8240908247505032E-2</v>
      </c>
      <c r="G4426">
        <f t="shared" si="278"/>
        <v>2.2691192626952983</v>
      </c>
      <c r="H4426">
        <f t="shared" si="279"/>
        <v>1.8799972534179688</v>
      </c>
    </row>
    <row r="4427" spans="1:8" x14ac:dyDescent="0.2">
      <c r="A4427" t="s">
        <v>14</v>
      </c>
      <c r="B4427" s="2">
        <v>45852</v>
      </c>
      <c r="C4427">
        <v>110.8749694824219</v>
      </c>
      <c r="D4427">
        <f>_xlfn.XLOOKUP(B4427, Oil_Price!A:A, Oil_Price!B:B, "")</f>
        <v>66.980003356933594</v>
      </c>
      <c r="E4427">
        <f t="shared" si="276"/>
        <v>8.5038490116247211E-3</v>
      </c>
      <c r="F4427">
        <f t="shared" si="277"/>
        <v>-2.1475436915214408E-2</v>
      </c>
      <c r="G4427">
        <f t="shared" si="278"/>
        <v>0.93491363525390625</v>
      </c>
      <c r="H4427">
        <f t="shared" si="279"/>
        <v>-1.4699935913085938</v>
      </c>
    </row>
    <row r="4428" spans="1:8" x14ac:dyDescent="0.2">
      <c r="A4428" t="s">
        <v>14</v>
      </c>
      <c r="B4428" s="2">
        <v>45853</v>
      </c>
      <c r="C4428">
        <v>109.7550048828125</v>
      </c>
      <c r="D4428">
        <f>_xlfn.XLOOKUP(B4428, Oil_Price!A:A, Oil_Price!B:B, "")</f>
        <v>66.519996643066406</v>
      </c>
      <c r="E4428">
        <f t="shared" si="276"/>
        <v>-1.0101149112712607E-2</v>
      </c>
      <c r="F4428">
        <f t="shared" si="277"/>
        <v>-6.8678216006623832E-3</v>
      </c>
      <c r="G4428">
        <f t="shared" si="278"/>
        <v>-1.1199645996094034</v>
      </c>
      <c r="H4428">
        <f t="shared" si="279"/>
        <v>-0.4600067138671875</v>
      </c>
    </row>
    <row r="4429" spans="1:8" x14ac:dyDescent="0.2">
      <c r="A4429" t="s">
        <v>14</v>
      </c>
      <c r="B4429" s="2">
        <v>45854</v>
      </c>
      <c r="C4429">
        <v>109.2388610839844</v>
      </c>
      <c r="D4429">
        <f>_xlfn.XLOOKUP(B4429, Oil_Price!A:A, Oil_Price!B:B, "")</f>
        <v>66.379997253417969</v>
      </c>
      <c r="E4429">
        <f t="shared" si="276"/>
        <v>-4.7026903181243817E-3</v>
      </c>
      <c r="F4429">
        <f t="shared" si="277"/>
        <v>-2.1046211171604156E-3</v>
      </c>
      <c r="G4429">
        <f t="shared" si="278"/>
        <v>-0.51614379882809658</v>
      </c>
      <c r="H4429">
        <f t="shared" si="279"/>
        <v>-0.1399993896484375</v>
      </c>
    </row>
    <row r="4430" spans="1:8" x14ac:dyDescent="0.2">
      <c r="A4430" t="s">
        <v>14</v>
      </c>
      <c r="B4430" s="2">
        <v>45855</v>
      </c>
      <c r="C4430">
        <v>109.6868438720703</v>
      </c>
      <c r="D4430">
        <f>_xlfn.XLOOKUP(B4430, Oil_Price!A:A, Oil_Price!B:B, "")</f>
        <v>67.540000915527344</v>
      </c>
      <c r="E4430">
        <f t="shared" si="276"/>
        <v>4.1009470772629102E-3</v>
      </c>
      <c r="F4430">
        <f t="shared" si="277"/>
        <v>1.7475199007328149E-2</v>
      </c>
      <c r="G4430">
        <f t="shared" si="278"/>
        <v>0.44798278808589487</v>
      </c>
      <c r="H4430">
        <f t="shared" si="279"/>
        <v>1.160003662109375</v>
      </c>
    </row>
    <row r="4431" spans="1:8" x14ac:dyDescent="0.2">
      <c r="A4431" t="s">
        <v>14</v>
      </c>
      <c r="B4431" s="2">
        <v>45856</v>
      </c>
      <c r="C4431">
        <v>110.01796722412109</v>
      </c>
      <c r="D4431">
        <f>_xlfn.XLOOKUP(B4431, Oil_Price!A:A, Oil_Price!B:B, "")</f>
        <v>67.339996337890625</v>
      </c>
      <c r="E4431">
        <f t="shared" si="276"/>
        <v>3.0188064526406691E-3</v>
      </c>
      <c r="F4431">
        <f t="shared" si="277"/>
        <v>-2.9612759094697909E-3</v>
      </c>
      <c r="G4431">
        <f t="shared" si="278"/>
        <v>0.33112335205079546</v>
      </c>
      <c r="H4431">
        <f t="shared" si="279"/>
        <v>-0.20000457763671875</v>
      </c>
    </row>
    <row r="4432" spans="1:8" x14ac:dyDescent="0.2">
      <c r="A4432" t="s">
        <v>14</v>
      </c>
      <c r="B4432" s="2">
        <v>45859</v>
      </c>
      <c r="C4432">
        <v>109.2973175048828</v>
      </c>
      <c r="D4432">
        <f>_xlfn.XLOOKUP(B4432, Oil_Price!A:A, Oil_Price!B:B, "")</f>
        <v>67.199996948242188</v>
      </c>
      <c r="E4432">
        <f t="shared" si="276"/>
        <v>-6.5502911698980676E-3</v>
      </c>
      <c r="F4432">
        <f t="shared" si="277"/>
        <v>-2.0789931283329037E-3</v>
      </c>
      <c r="G4432">
        <f t="shared" si="278"/>
        <v>-0.72064971923829546</v>
      </c>
      <c r="H4432">
        <f t="shared" si="279"/>
        <v>-0.1399993896484375</v>
      </c>
    </row>
    <row r="4433" spans="1:8" x14ac:dyDescent="0.2">
      <c r="A4433" t="s">
        <v>14</v>
      </c>
      <c r="B4433" s="2">
        <v>45860</v>
      </c>
      <c r="C4433">
        <v>110.6509704589844</v>
      </c>
      <c r="D4433">
        <f>_xlfn.XLOOKUP(B4433, Oil_Price!A:A, Oil_Price!B:B, "")</f>
        <v>66.209999084472656</v>
      </c>
      <c r="E4433">
        <f t="shared" si="276"/>
        <v>1.2385051939093852E-2</v>
      </c>
      <c r="F4433">
        <f t="shared" si="277"/>
        <v>-1.4732111737029291E-2</v>
      </c>
      <c r="G4433">
        <f t="shared" si="278"/>
        <v>1.3536529541016051</v>
      </c>
      <c r="H4433">
        <f t="shared" si="279"/>
        <v>-0.98999786376953125</v>
      </c>
    </row>
    <row r="4434" spans="1:8" x14ac:dyDescent="0.2">
      <c r="A4434" t="s">
        <v>14</v>
      </c>
      <c r="B4434" s="2">
        <v>45861</v>
      </c>
      <c r="C4434">
        <v>111.08921813964839</v>
      </c>
      <c r="D4434">
        <f>_xlfn.XLOOKUP(B4434, Oil_Price!A:A, Oil_Price!B:B, "")</f>
        <v>65.25</v>
      </c>
      <c r="E4434">
        <f t="shared" si="276"/>
        <v>3.9606311525883916E-3</v>
      </c>
      <c r="F4434">
        <f t="shared" si="277"/>
        <v>-1.4499306717220481E-2</v>
      </c>
      <c r="G4434">
        <f t="shared" si="278"/>
        <v>0.43824768066399145</v>
      </c>
      <c r="H4434">
        <f t="shared" si="279"/>
        <v>-0.95999908447265625</v>
      </c>
    </row>
    <row r="4435" spans="1:8" x14ac:dyDescent="0.2">
      <c r="A4435" t="s">
        <v>14</v>
      </c>
      <c r="B4435" s="2">
        <v>45862</v>
      </c>
      <c r="C4435">
        <v>111.54693603515619</v>
      </c>
      <c r="D4435">
        <f>_xlfn.XLOOKUP(B4435, Oil_Price!A:A, Oil_Price!B:B, "")</f>
        <v>66.029998779296875</v>
      </c>
      <c r="E4435">
        <f t="shared" si="276"/>
        <v>4.1202729047242802E-3</v>
      </c>
      <c r="F4435">
        <f t="shared" si="277"/>
        <v>1.1954004280411877E-2</v>
      </c>
      <c r="G4435">
        <f t="shared" si="278"/>
        <v>0.45771789550779829</v>
      </c>
      <c r="H4435">
        <f t="shared" si="279"/>
        <v>0.779998779296875</v>
      </c>
    </row>
    <row r="4436" spans="1:8" x14ac:dyDescent="0.2">
      <c r="A4436" t="s">
        <v>14</v>
      </c>
      <c r="B4436" s="2">
        <v>45863</v>
      </c>
      <c r="C4436">
        <v>111.7611923217773</v>
      </c>
      <c r="D4436">
        <f>_xlfn.XLOOKUP(B4436, Oil_Price!A:A, Oil_Price!B:B, "")</f>
        <v>65.160003662109375</v>
      </c>
      <c r="E4436">
        <f t="shared" si="276"/>
        <v>1.9207724948498892E-3</v>
      </c>
      <c r="F4436">
        <f t="shared" si="277"/>
        <v>-1.3175755463746568E-2</v>
      </c>
      <c r="G4436">
        <f t="shared" si="278"/>
        <v>0.21425628662110796</v>
      </c>
      <c r="H4436">
        <f t="shared" si="279"/>
        <v>-0.8699951171875</v>
      </c>
    </row>
    <row r="4437" spans="1:8" x14ac:dyDescent="0.2">
      <c r="A4437" t="s">
        <v>14</v>
      </c>
      <c r="B4437" s="2">
        <v>45866</v>
      </c>
      <c r="C4437">
        <v>113.6894454956055</v>
      </c>
      <c r="D4437">
        <f>_xlfn.XLOOKUP(B4437, Oil_Price!A:A, Oil_Price!B:B, "")</f>
        <v>66.709999084472656</v>
      </c>
      <c r="E4437">
        <f t="shared" si="276"/>
        <v>1.7253333950450929E-2</v>
      </c>
      <c r="F4437">
        <f t="shared" si="277"/>
        <v>2.3787528165296983E-2</v>
      </c>
      <c r="G4437">
        <f t="shared" si="278"/>
        <v>1.9282531738281961</v>
      </c>
      <c r="H4437">
        <f t="shared" si="279"/>
        <v>1.5499954223632812</v>
      </c>
    </row>
    <row r="4438" spans="1:8" x14ac:dyDescent="0.2">
      <c r="A4438" t="s">
        <v>14</v>
      </c>
      <c r="B4438" s="2">
        <v>45867</v>
      </c>
      <c r="C4438">
        <v>115.0333938598633</v>
      </c>
      <c r="D4438">
        <f>_xlfn.XLOOKUP(B4438, Oil_Price!A:A, Oil_Price!B:B, "")</f>
        <v>69.209999084472656</v>
      </c>
      <c r="E4438">
        <f t="shared" si="276"/>
        <v>1.1821223671195992E-2</v>
      </c>
      <c r="F4438">
        <f t="shared" si="277"/>
        <v>3.7475641347773564E-2</v>
      </c>
      <c r="G4438">
        <f t="shared" si="278"/>
        <v>1.3439483642577983</v>
      </c>
      <c r="H4438">
        <f t="shared" si="279"/>
        <v>2.5</v>
      </c>
    </row>
    <row r="4439" spans="1:8" x14ac:dyDescent="0.2">
      <c r="A4439" t="s">
        <v>14</v>
      </c>
      <c r="B4439" s="2">
        <v>45868</v>
      </c>
      <c r="C4439">
        <v>113.6310195922852</v>
      </c>
      <c r="D4439">
        <f>_xlfn.XLOOKUP(B4439, Oil_Price!A:A, Oil_Price!B:B, "")</f>
        <v>70</v>
      </c>
      <c r="E4439">
        <f t="shared" si="276"/>
        <v>-1.2191018803518097E-2</v>
      </c>
      <c r="F4439">
        <f t="shared" si="277"/>
        <v>1.1414548850999498E-2</v>
      </c>
      <c r="G4439">
        <f t="shared" si="278"/>
        <v>-1.4023742675780966</v>
      </c>
      <c r="H4439">
        <f t="shared" si="279"/>
        <v>0.79000091552734375</v>
      </c>
    </row>
    <row r="4440" spans="1:8" x14ac:dyDescent="0.2">
      <c r="A4440" t="s">
        <v>14</v>
      </c>
      <c r="B4440" s="2">
        <v>45869</v>
      </c>
      <c r="C4440">
        <v>112.5110626220703</v>
      </c>
      <c r="D4440">
        <f>_xlfn.XLOOKUP(B4440, Oil_Price!A:A, Oil_Price!B:B, "")</f>
        <v>69.260002136230469</v>
      </c>
      <c r="E4440">
        <f t="shared" si="276"/>
        <v>-9.8560848457874637E-3</v>
      </c>
      <c r="F4440">
        <f t="shared" si="277"/>
        <v>-1.0571398053850446E-2</v>
      </c>
      <c r="G4440">
        <f t="shared" si="278"/>
        <v>-1.1199569702149006</v>
      </c>
      <c r="H4440">
        <f t="shared" si="279"/>
        <v>-0.73999786376953125</v>
      </c>
    </row>
    <row r="4441" spans="1:8" x14ac:dyDescent="0.2">
      <c r="A4441" t="s">
        <v>14</v>
      </c>
      <c r="B4441" s="2">
        <v>45870</v>
      </c>
      <c r="C4441">
        <v>111.8975296020508</v>
      </c>
      <c r="D4441">
        <f>_xlfn.XLOOKUP(B4441, Oil_Price!A:A, Oil_Price!B:B, "")</f>
        <v>67.330001831054688</v>
      </c>
      <c r="E4441">
        <f t="shared" si="276"/>
        <v>-5.4530906181233726E-3</v>
      </c>
      <c r="F4441">
        <f t="shared" si="277"/>
        <v>-2.78660156749574E-2</v>
      </c>
      <c r="G4441">
        <f t="shared" si="278"/>
        <v>-0.61353302001950283</v>
      </c>
      <c r="H4441">
        <f t="shared" si="279"/>
        <v>-1.9300003051757812</v>
      </c>
    </row>
    <row r="4442" spans="1:8" x14ac:dyDescent="0.2">
      <c r="A4442" t="s">
        <v>14</v>
      </c>
      <c r="B4442" s="2">
        <v>45874</v>
      </c>
      <c r="C4442">
        <v>113.903694152832</v>
      </c>
      <c r="D4442">
        <f>_xlfn.XLOOKUP(B4442, Oil_Price!A:A, Oil_Price!B:B, "")</f>
        <v>65.160003662109375</v>
      </c>
      <c r="E4442">
        <f t="shared" si="276"/>
        <v>1.7928586608800697E-2</v>
      </c>
      <c r="F4442">
        <f t="shared" si="277"/>
        <v>-3.2229290211372635E-2</v>
      </c>
      <c r="G4442">
        <f t="shared" si="278"/>
        <v>2.0061645507812074</v>
      </c>
      <c r="H4442">
        <f t="shared" si="279"/>
        <v>-2.1699981689453125</v>
      </c>
    </row>
    <row r="4443" spans="1:8" x14ac:dyDescent="0.2">
      <c r="A4443" t="s">
        <v>14</v>
      </c>
      <c r="B4443" s="2">
        <v>45875</v>
      </c>
      <c r="C4443">
        <v>114.4685440063477</v>
      </c>
      <c r="D4443">
        <f>_xlfn.XLOOKUP(B4443, Oil_Price!A:A, Oil_Price!B:B, "")</f>
        <v>64.349998474121094</v>
      </c>
      <c r="E4443">
        <f t="shared" si="276"/>
        <v>4.9590125914423834E-3</v>
      </c>
      <c r="F4443">
        <f t="shared" si="277"/>
        <v>-1.2431018147092283E-2</v>
      </c>
      <c r="G4443">
        <f t="shared" si="278"/>
        <v>0.56484985351569605</v>
      </c>
      <c r="H4443">
        <f t="shared" si="279"/>
        <v>-0.81000518798828125</v>
      </c>
    </row>
    <row r="4444" spans="1:8" x14ac:dyDescent="0.2">
      <c r="A4444" t="s">
        <v>14</v>
      </c>
      <c r="B4444" s="2">
        <v>45876</v>
      </c>
      <c r="C4444">
        <v>113.70892333984381</v>
      </c>
      <c r="D4444">
        <f>_xlfn.XLOOKUP(B4444, Oil_Price!A:A, Oil_Price!B:B, "")</f>
        <v>63.880001068115227</v>
      </c>
      <c r="E4444">
        <f t="shared" si="276"/>
        <v>-6.6360647206429764E-3</v>
      </c>
      <c r="F4444">
        <f t="shared" si="277"/>
        <v>-7.3037671662864135E-3</v>
      </c>
      <c r="G4444">
        <f t="shared" si="278"/>
        <v>-0.75962066650389204</v>
      </c>
      <c r="H4444">
        <f t="shared" si="279"/>
        <v>-0.46999740600586648</v>
      </c>
    </row>
    <row r="4445" spans="1:8" x14ac:dyDescent="0.2">
      <c r="A4445" t="s">
        <v>14</v>
      </c>
      <c r="B4445" s="2">
        <v>45877</v>
      </c>
      <c r="C4445">
        <v>114.57566833496089</v>
      </c>
      <c r="D4445">
        <f>_xlfn.XLOOKUP(B4445, Oil_Price!A:A, Oil_Price!B:B, "")</f>
        <v>63.880001068115227</v>
      </c>
      <c r="E4445">
        <f t="shared" si="276"/>
        <v>7.6224888043890139E-3</v>
      </c>
      <c r="F4445">
        <f t="shared" si="277"/>
        <v>0</v>
      </c>
      <c r="G4445">
        <f t="shared" si="278"/>
        <v>0.86674499511708802</v>
      </c>
      <c r="H4445">
        <f t="shared" si="279"/>
        <v>0</v>
      </c>
    </row>
    <row r="4446" spans="1:8" x14ac:dyDescent="0.2">
      <c r="A4446" t="s">
        <v>14</v>
      </c>
      <c r="B4446" s="2">
        <v>45880</v>
      </c>
      <c r="C4446">
        <v>111.965705871582</v>
      </c>
      <c r="D4446">
        <f>_xlfn.XLOOKUP(B4446, Oil_Price!A:A, Oil_Price!B:B, "")</f>
        <v>63.959999084472663</v>
      </c>
      <c r="E4446">
        <f t="shared" si="276"/>
        <v>-2.2779378041668422E-2</v>
      </c>
      <c r="F4446">
        <f t="shared" si="277"/>
        <v>1.2523170792081582E-3</v>
      </c>
      <c r="G4446">
        <f t="shared" si="278"/>
        <v>-2.609962463378892</v>
      </c>
      <c r="H4446">
        <f t="shared" si="279"/>
        <v>7.9998016357436086E-2</v>
      </c>
    </row>
    <row r="4447" spans="1:8" x14ac:dyDescent="0.2">
      <c r="A4447" t="s">
        <v>14</v>
      </c>
      <c r="B4447" s="2">
        <v>45881</v>
      </c>
      <c r="C4447">
        <v>112.03387451171881</v>
      </c>
      <c r="D4447">
        <f>_xlfn.XLOOKUP(B4447, Oil_Price!A:A, Oil_Price!B:B, "")</f>
        <v>63.169998168945312</v>
      </c>
      <c r="E4447">
        <f t="shared" si="276"/>
        <v>6.0883499644962165E-4</v>
      </c>
      <c r="F4447">
        <f t="shared" si="277"/>
        <v>-1.2351484159403882E-2</v>
      </c>
      <c r="G4447">
        <f t="shared" si="278"/>
        <v>6.8168640136804015E-2</v>
      </c>
      <c r="H4447">
        <f t="shared" si="279"/>
        <v>-0.79000091552735086</v>
      </c>
    </row>
    <row r="4448" spans="1:8" x14ac:dyDescent="0.2">
      <c r="A4448" t="s">
        <v>14</v>
      </c>
      <c r="B4448" s="2">
        <v>45882</v>
      </c>
      <c r="C4448">
        <v>111.75144958496089</v>
      </c>
      <c r="D4448">
        <f>_xlfn.XLOOKUP(B4448, Oil_Price!A:A, Oil_Price!B:B, "")</f>
        <v>62.650001525878913</v>
      </c>
      <c r="E4448">
        <f t="shared" si="276"/>
        <v>-2.5208886864692892E-3</v>
      </c>
      <c r="F4448">
        <f t="shared" si="277"/>
        <v>-8.231702677522509E-3</v>
      </c>
      <c r="G4448">
        <f t="shared" si="278"/>
        <v>-0.28242492675791198</v>
      </c>
      <c r="H4448">
        <f t="shared" si="279"/>
        <v>-0.51999664306639914</v>
      </c>
    </row>
    <row r="4449" spans="1:8" x14ac:dyDescent="0.2">
      <c r="A4449" t="s">
        <v>14</v>
      </c>
      <c r="B4449" s="2">
        <v>45883</v>
      </c>
      <c r="C4449">
        <v>112.0241241455078</v>
      </c>
      <c r="D4449">
        <f>_xlfn.XLOOKUP(B4449, Oil_Price!A:A, Oil_Price!B:B, "")</f>
        <v>63.959999084472663</v>
      </c>
      <c r="E4449">
        <f t="shared" si="276"/>
        <v>2.4400091592512011E-3</v>
      </c>
      <c r="F4449">
        <f t="shared" si="277"/>
        <v>2.0909776962297882E-2</v>
      </c>
      <c r="G4449">
        <f t="shared" si="278"/>
        <v>0.27267456054690342</v>
      </c>
      <c r="H4449">
        <f t="shared" si="279"/>
        <v>1.30999755859375</v>
      </c>
    </row>
    <row r="4450" spans="1:8" x14ac:dyDescent="0.2">
      <c r="A4450" t="s">
        <v>14</v>
      </c>
      <c r="B4450" s="2">
        <v>45884</v>
      </c>
      <c r="C4450">
        <v>112.4429016113281</v>
      </c>
      <c r="D4450">
        <f>_xlfn.XLOOKUP(B4450, Oil_Price!A:A, Oil_Price!B:B, "")</f>
        <v>62.799999237060547</v>
      </c>
      <c r="E4450">
        <f t="shared" si="276"/>
        <v>3.7382793127340099E-3</v>
      </c>
      <c r="F4450">
        <f t="shared" si="277"/>
        <v>-1.8136333083433789E-2</v>
      </c>
      <c r="G4450">
        <f t="shared" si="278"/>
        <v>0.41877746582029829</v>
      </c>
      <c r="H4450">
        <f t="shared" si="279"/>
        <v>-1.1599998474121165</v>
      </c>
    </row>
    <row r="4451" spans="1:8" x14ac:dyDescent="0.2">
      <c r="A4451" t="s">
        <v>14</v>
      </c>
      <c r="B4451" s="2">
        <v>45887</v>
      </c>
      <c r="C4451">
        <v>112.50131988525391</v>
      </c>
      <c r="D4451">
        <f>_xlfn.XLOOKUP(B4451, Oil_Price!A:A, Oil_Price!B:B, "")</f>
        <v>63.419998168945312</v>
      </c>
      <c r="E4451">
        <f t="shared" si="276"/>
        <v>5.1953723257461997E-4</v>
      </c>
      <c r="F4451">
        <f t="shared" si="277"/>
        <v>9.8725945767031455E-3</v>
      </c>
      <c r="G4451">
        <f t="shared" si="278"/>
        <v>5.8418273925809672E-2</v>
      </c>
      <c r="H4451">
        <f t="shared" si="279"/>
        <v>0.61999893188476562</v>
      </c>
    </row>
    <row r="4452" spans="1:8" x14ac:dyDescent="0.2">
      <c r="A4452" t="s">
        <v>14</v>
      </c>
      <c r="B4452" s="2">
        <v>45888</v>
      </c>
      <c r="C4452">
        <v>111.49822998046881</v>
      </c>
      <c r="D4452">
        <f>_xlfn.XLOOKUP(B4452, Oil_Price!A:A, Oil_Price!B:B, "")</f>
        <v>62.349998474121087</v>
      </c>
      <c r="E4452">
        <f t="shared" si="276"/>
        <v>-8.916250100960631E-3</v>
      </c>
      <c r="F4452">
        <f t="shared" si="277"/>
        <v>-1.6871644997116533E-2</v>
      </c>
      <c r="G4452">
        <f t="shared" si="278"/>
        <v>-1.0030899047850994</v>
      </c>
      <c r="H4452">
        <f t="shared" si="279"/>
        <v>-1.0699996948242259</v>
      </c>
    </row>
    <row r="4453" spans="1:8" x14ac:dyDescent="0.2">
      <c r="A4453" t="s">
        <v>14</v>
      </c>
      <c r="B4453" s="2">
        <v>45889</v>
      </c>
      <c r="C4453">
        <v>112.66689300537109</v>
      </c>
      <c r="D4453">
        <f>_xlfn.XLOOKUP(B4453, Oil_Price!A:A, Oil_Price!B:B, "")</f>
        <v>63.209999084472663</v>
      </c>
      <c r="E4453">
        <f t="shared" si="276"/>
        <v>1.0481449123515254E-2</v>
      </c>
      <c r="F4453">
        <f t="shared" si="277"/>
        <v>1.3793113574951048E-2</v>
      </c>
      <c r="G4453">
        <f t="shared" si="278"/>
        <v>1.1686630249022869</v>
      </c>
      <c r="H4453">
        <f t="shared" si="279"/>
        <v>0.86000061035157671</v>
      </c>
    </row>
    <row r="4454" spans="1:8" x14ac:dyDescent="0.2">
      <c r="A4454" t="s">
        <v>14</v>
      </c>
      <c r="B4454" s="2">
        <v>45890</v>
      </c>
      <c r="C4454">
        <v>114.3614196777344</v>
      </c>
      <c r="D4454">
        <f>_xlfn.XLOOKUP(B4454, Oil_Price!A:A, Oil_Price!B:B, "")</f>
        <v>63.520000457763672</v>
      </c>
      <c r="E4454">
        <f t="shared" si="276"/>
        <v>1.5040147350850686E-2</v>
      </c>
      <c r="F4454">
        <f t="shared" si="277"/>
        <v>4.904309093197873E-3</v>
      </c>
      <c r="G4454">
        <f t="shared" si="278"/>
        <v>1.6945266723633097</v>
      </c>
      <c r="H4454">
        <f t="shared" si="279"/>
        <v>0.31000137329100852</v>
      </c>
    </row>
    <row r="4455" spans="1:8" x14ac:dyDescent="0.2">
      <c r="A4455" t="s">
        <v>14</v>
      </c>
      <c r="B4455" s="2">
        <v>45891</v>
      </c>
      <c r="C4455">
        <v>117.614143371582</v>
      </c>
      <c r="D4455">
        <f>_xlfn.XLOOKUP(B4455, Oil_Price!A:A, Oil_Price!B:B, "")</f>
        <v>63.659999847412109</v>
      </c>
      <c r="E4455">
        <f t="shared" si="276"/>
        <v>2.8442491384014258E-2</v>
      </c>
      <c r="F4455">
        <f t="shared" si="277"/>
        <v>2.2040206020075086E-3</v>
      </c>
      <c r="G4455">
        <f t="shared" si="278"/>
        <v>3.2527236938475994</v>
      </c>
      <c r="H4455">
        <f t="shared" si="279"/>
        <v>0.1399993896484375</v>
      </c>
    </row>
    <row r="4456" spans="1:8" x14ac:dyDescent="0.2">
      <c r="A4456" t="s">
        <v>14</v>
      </c>
      <c r="B4456" s="2">
        <v>45894</v>
      </c>
      <c r="C4456">
        <v>118.5101013183594</v>
      </c>
      <c r="D4456">
        <f>_xlfn.XLOOKUP(B4456, Oil_Price!A:A, Oil_Price!B:B, "")</f>
        <v>64.800003051757812</v>
      </c>
      <c r="E4456">
        <f t="shared" si="276"/>
        <v>7.6177738585977107E-3</v>
      </c>
      <c r="F4456">
        <f t="shared" si="277"/>
        <v>1.7907684685488517E-2</v>
      </c>
      <c r="G4456">
        <f t="shared" si="278"/>
        <v>0.89595794677740059</v>
      </c>
      <c r="H4456">
        <f t="shared" si="279"/>
        <v>1.1400032043457031</v>
      </c>
    </row>
    <row r="4457" spans="1:8" x14ac:dyDescent="0.2">
      <c r="A4457" t="s">
        <v>14</v>
      </c>
      <c r="B4457" s="2">
        <v>45895</v>
      </c>
      <c r="C4457">
        <v>118.2179412841797</v>
      </c>
      <c r="D4457">
        <f>_xlfn.XLOOKUP(B4457, Oil_Price!A:A, Oil_Price!B:B, "")</f>
        <v>63.25</v>
      </c>
      <c r="E4457">
        <f t="shared" si="276"/>
        <v>-2.4652753725596614E-3</v>
      </c>
      <c r="F4457">
        <f t="shared" si="277"/>
        <v>-2.3919799054944117E-2</v>
      </c>
      <c r="G4457">
        <f t="shared" si="278"/>
        <v>-0.29216003417970171</v>
      </c>
      <c r="H4457">
        <f t="shared" si="279"/>
        <v>-1.5500030517578125</v>
      </c>
    </row>
    <row r="4458" spans="1:8" x14ac:dyDescent="0.2">
      <c r="A4458" t="s">
        <v>14</v>
      </c>
      <c r="B4458" s="2">
        <v>45896</v>
      </c>
      <c r="C4458">
        <v>120.613655090332</v>
      </c>
      <c r="D4458">
        <f>_xlfn.XLOOKUP(B4458, Oil_Price!A:A, Oil_Price!B:B, "")</f>
        <v>64.150001525878906</v>
      </c>
      <c r="E4458">
        <f t="shared" si="276"/>
        <v>2.0265230303692518E-2</v>
      </c>
      <c r="F4458">
        <f t="shared" si="277"/>
        <v>1.4229273136425396E-2</v>
      </c>
      <c r="G4458">
        <f t="shared" si="278"/>
        <v>2.3957138061523011</v>
      </c>
      <c r="H4458">
        <f t="shared" si="279"/>
        <v>0.90000152587890625</v>
      </c>
    </row>
    <row r="4459" spans="1:8" x14ac:dyDescent="0.2">
      <c r="A4459" t="s">
        <v>14</v>
      </c>
      <c r="B4459" s="2">
        <v>45897</v>
      </c>
      <c r="C4459">
        <v>121.0908508300781</v>
      </c>
      <c r="D4459">
        <f>_xlfn.XLOOKUP(B4459, Oil_Price!A:A, Oil_Price!B:B, "")</f>
        <v>64.599998474121094</v>
      </c>
      <c r="E4459">
        <f t="shared" si="276"/>
        <v>3.9563989615330397E-3</v>
      </c>
      <c r="F4459">
        <f t="shared" si="277"/>
        <v>7.0147613022371194E-3</v>
      </c>
      <c r="G4459">
        <f t="shared" si="278"/>
        <v>0.47719573974609375</v>
      </c>
      <c r="H4459">
        <f t="shared" si="279"/>
        <v>0.4499969482421875</v>
      </c>
    </row>
    <row r="4460" spans="1:8" x14ac:dyDescent="0.2">
      <c r="A4460" t="s">
        <v>14</v>
      </c>
      <c r="B4460" s="2">
        <v>45898</v>
      </c>
      <c r="C4460">
        <v>121.36354827880859</v>
      </c>
      <c r="D4460">
        <f>_xlfn.XLOOKUP(B4460, Oil_Price!A:A, Oil_Price!B:B, "")</f>
        <v>64.010002136230469</v>
      </c>
      <c r="E4460">
        <f t="shared" si="276"/>
        <v>2.2520070414994648E-3</v>
      </c>
      <c r="F4460">
        <f t="shared" si="277"/>
        <v>-9.1330704617118355E-3</v>
      </c>
      <c r="G4460">
        <f t="shared" si="278"/>
        <v>0.27269744873049717</v>
      </c>
      <c r="H4460">
        <f t="shared" si="279"/>
        <v>-0.589996337890625</v>
      </c>
    </row>
    <row r="4461" spans="1:8" x14ac:dyDescent="0.2">
      <c r="A4461" t="s">
        <v>14</v>
      </c>
      <c r="B4461" s="2">
        <v>45902</v>
      </c>
      <c r="C4461">
        <v>119.7177047729492</v>
      </c>
      <c r="D4461">
        <f>_xlfn.XLOOKUP(B4461, Oil_Price!A:A, Oil_Price!B:B, "")</f>
        <v>65.589996337890625</v>
      </c>
      <c r="E4461">
        <f t="shared" si="276"/>
        <v>-1.3561267194317616E-2</v>
      </c>
      <c r="F4461">
        <f t="shared" si="277"/>
        <v>2.4683551772073126E-2</v>
      </c>
      <c r="G4461">
        <f t="shared" si="278"/>
        <v>-1.6458435058593892</v>
      </c>
      <c r="H4461">
        <f t="shared" si="279"/>
        <v>1.5799942016601562</v>
      </c>
    </row>
    <row r="4462" spans="1:8" x14ac:dyDescent="0.2">
      <c r="A4462" t="s">
        <v>14</v>
      </c>
      <c r="B4462" s="2">
        <v>45903</v>
      </c>
      <c r="C4462">
        <v>118.4516525268555</v>
      </c>
      <c r="D4462">
        <f>_xlfn.XLOOKUP(B4462, Oil_Price!A:A, Oil_Price!B:B, "")</f>
        <v>63.970001220703118</v>
      </c>
      <c r="E4462">
        <f t="shared" si="276"/>
        <v>-1.0575313388231429E-2</v>
      </c>
      <c r="F4462">
        <f t="shared" si="277"/>
        <v>-2.469881396001319E-2</v>
      </c>
      <c r="G4462">
        <f t="shared" si="278"/>
        <v>-1.2660522460937074</v>
      </c>
      <c r="H4462">
        <f t="shared" si="279"/>
        <v>-1.6199951171875071</v>
      </c>
    </row>
    <row r="4463" spans="1:8" x14ac:dyDescent="0.2">
      <c r="A4463" t="s">
        <v>14</v>
      </c>
      <c r="B4463" s="2">
        <v>45904</v>
      </c>
      <c r="C4463">
        <v>118.4712677001953</v>
      </c>
      <c r="D4463">
        <f>_xlfn.XLOOKUP(B4463, Oil_Price!A:A, Oil_Price!B:B, "")</f>
        <v>63.479999542236328</v>
      </c>
      <c r="E4463">
        <f t="shared" si="276"/>
        <v>1.655964515594575E-4</v>
      </c>
      <c r="F4463">
        <f t="shared" si="277"/>
        <v>-7.6598666424318694E-3</v>
      </c>
      <c r="G4463">
        <f t="shared" si="278"/>
        <v>1.9615173339801117E-2</v>
      </c>
      <c r="H4463">
        <f t="shared" si="279"/>
        <v>-0.49000167846678977</v>
      </c>
    </row>
    <row r="4464" spans="1:8" x14ac:dyDescent="0.2">
      <c r="A4464" t="s">
        <v>14</v>
      </c>
      <c r="B4464" s="2">
        <v>45905</v>
      </c>
      <c r="C4464">
        <v>118.4418640136719</v>
      </c>
      <c r="D4464">
        <f>_xlfn.XLOOKUP(B4464, Oil_Price!A:A, Oil_Price!B:B, "")</f>
        <v>61.869998931884773</v>
      </c>
      <c r="E4464">
        <f t="shared" si="276"/>
        <v>-2.4819255414573738E-4</v>
      </c>
      <c r="F4464">
        <f t="shared" si="277"/>
        <v>-2.5362328638335038E-2</v>
      </c>
      <c r="G4464">
        <f t="shared" si="278"/>
        <v>-2.9403686523394867E-2</v>
      </c>
      <c r="H4464">
        <f t="shared" si="279"/>
        <v>-1.6100006103515554</v>
      </c>
    </row>
    <row r="4465" spans="1:8" x14ac:dyDescent="0.2">
      <c r="A4465" t="s">
        <v>14</v>
      </c>
      <c r="B4465" s="2">
        <v>45908</v>
      </c>
      <c r="C4465">
        <v>118.3928756713867</v>
      </c>
      <c r="D4465">
        <f>_xlfn.XLOOKUP(B4465, Oil_Price!A:A, Oil_Price!B:B, "")</f>
        <v>62.259998321533203</v>
      </c>
      <c r="E4465">
        <f t="shared" si="276"/>
        <v>-4.1360664738900168E-4</v>
      </c>
      <c r="F4465">
        <f t="shared" si="277"/>
        <v>6.3035299237324503E-3</v>
      </c>
      <c r="G4465">
        <f t="shared" si="278"/>
        <v>-4.8988342285198883E-2</v>
      </c>
      <c r="H4465">
        <f t="shared" si="279"/>
        <v>0.38999938964843039</v>
      </c>
    </row>
    <row r="4466" spans="1:8" x14ac:dyDescent="0.2">
      <c r="A4466" t="s">
        <v>14</v>
      </c>
      <c r="B4466" s="2">
        <v>45909</v>
      </c>
      <c r="C4466">
        <v>121.45925140380859</v>
      </c>
      <c r="D4466">
        <f>_xlfn.XLOOKUP(B4466, Oil_Price!A:A, Oil_Price!B:B, "")</f>
        <v>62.630001068115227</v>
      </c>
      <c r="E4466">
        <f t="shared" si="276"/>
        <v>2.590000213300819E-2</v>
      </c>
      <c r="F4466">
        <f t="shared" si="277"/>
        <v>5.9428647053794605E-3</v>
      </c>
      <c r="G4466">
        <f t="shared" si="278"/>
        <v>3.0663757324218892</v>
      </c>
      <c r="H4466">
        <f t="shared" si="279"/>
        <v>0.37000274658202414</v>
      </c>
    </row>
    <row r="4467" spans="1:8" x14ac:dyDescent="0.2">
      <c r="A4467" t="s">
        <v>14</v>
      </c>
      <c r="B4467" s="2">
        <v>45910</v>
      </c>
      <c r="C4467">
        <v>124.2121047973633</v>
      </c>
      <c r="D4467">
        <f>_xlfn.XLOOKUP(B4467, Oil_Price!A:A, Oil_Price!B:B, "")</f>
        <v>63.669998168945312</v>
      </c>
      <c r="E4467">
        <f t="shared" si="276"/>
        <v>2.2664830893798681E-2</v>
      </c>
      <c r="F4467">
        <f t="shared" si="277"/>
        <v>1.6605414068235503E-2</v>
      </c>
      <c r="G4467">
        <f t="shared" si="278"/>
        <v>2.7528533935547017</v>
      </c>
      <c r="H4467">
        <f t="shared" si="279"/>
        <v>1.0399971008300852</v>
      </c>
    </row>
    <row r="4468" spans="1:8" x14ac:dyDescent="0.2">
      <c r="A4468" t="s">
        <v>14</v>
      </c>
      <c r="B4468" s="2">
        <v>45911</v>
      </c>
      <c r="C4468">
        <v>124.3982467651367</v>
      </c>
      <c r="D4468">
        <f>_xlfn.XLOOKUP(B4468, Oil_Price!A:A, Oil_Price!B:B, "")</f>
        <v>62.369998931884773</v>
      </c>
      <c r="E4468">
        <f t="shared" si="276"/>
        <v>1.498581543860614E-3</v>
      </c>
      <c r="F4468">
        <f t="shared" si="277"/>
        <v>-2.0417767778334997E-2</v>
      </c>
      <c r="G4468">
        <f t="shared" si="278"/>
        <v>0.18614196777340908</v>
      </c>
      <c r="H4468">
        <f t="shared" si="279"/>
        <v>-1.2999992370605398</v>
      </c>
    </row>
    <row r="4469" spans="1:8" x14ac:dyDescent="0.2">
      <c r="A4469" t="s">
        <v>14</v>
      </c>
      <c r="B4469" s="2">
        <v>45912</v>
      </c>
      <c r="C4469">
        <v>123.4283752441406</v>
      </c>
      <c r="D4469">
        <f>_xlfn.XLOOKUP(B4469, Oil_Price!A:A, Oil_Price!B:B, "")</f>
        <v>62.689998626708977</v>
      </c>
      <c r="E4469">
        <f t="shared" si="276"/>
        <v>-7.7965047435694232E-3</v>
      </c>
      <c r="F4469">
        <f t="shared" si="277"/>
        <v>5.130666992213373E-3</v>
      </c>
      <c r="G4469">
        <f t="shared" si="278"/>
        <v>-0.96987152099610796</v>
      </c>
      <c r="H4469">
        <f t="shared" si="279"/>
        <v>0.31999969482420454</v>
      </c>
    </row>
    <row r="4470" spans="1:8" x14ac:dyDescent="0.2">
      <c r="A4470" t="s">
        <v>14</v>
      </c>
      <c r="B4470" s="2">
        <v>45915</v>
      </c>
      <c r="C4470">
        <v>125.3681259155273</v>
      </c>
      <c r="D4470">
        <f>_xlfn.XLOOKUP(B4470, Oil_Price!A:A, Oil_Price!B:B, "")</f>
        <v>63.299999237060547</v>
      </c>
      <c r="E4470">
        <f t="shared" si="276"/>
        <v>1.5715597548374829E-2</v>
      </c>
      <c r="F4470">
        <f t="shared" si="277"/>
        <v>9.7304294738280589E-3</v>
      </c>
      <c r="G4470">
        <f t="shared" si="278"/>
        <v>1.9397506713867045</v>
      </c>
      <c r="H4470">
        <f t="shared" si="279"/>
        <v>0.61000061035156961</v>
      </c>
    </row>
    <row r="4471" spans="1:8" x14ac:dyDescent="0.2">
      <c r="A4471" t="s">
        <v>14</v>
      </c>
      <c r="B4471" s="2">
        <v>45916</v>
      </c>
      <c r="C4471">
        <v>128.27772521972659</v>
      </c>
      <c r="D4471">
        <f>_xlfn.XLOOKUP(B4471, Oil_Price!A:A, Oil_Price!B:B, "")</f>
        <v>64.519996643066406</v>
      </c>
      <c r="E4471">
        <f t="shared" si="276"/>
        <v>2.3208445391931357E-2</v>
      </c>
      <c r="F4471">
        <f t="shared" si="277"/>
        <v>1.9273260990682314E-2</v>
      </c>
      <c r="G4471">
        <f t="shared" si="278"/>
        <v>2.9095993041992898</v>
      </c>
      <c r="H4471">
        <f t="shared" si="279"/>
        <v>1.2199974060058594</v>
      </c>
    </row>
    <row r="4472" spans="1:8" x14ac:dyDescent="0.2">
      <c r="A4472" t="s">
        <v>14</v>
      </c>
      <c r="B4472" s="2">
        <v>45917</v>
      </c>
      <c r="C4472">
        <v>127.49399566650391</v>
      </c>
      <c r="D4472">
        <f>_xlfn.XLOOKUP(B4472, Oil_Price!A:A, Oil_Price!B:B, "")</f>
        <v>64.050003051757812</v>
      </c>
      <c r="E4472">
        <f t="shared" si="276"/>
        <v>-6.1096308956230423E-3</v>
      </c>
      <c r="F4472">
        <f t="shared" si="277"/>
        <v>-7.2844639764732735E-3</v>
      </c>
      <c r="G4472">
        <f t="shared" si="278"/>
        <v>-0.78372955322268467</v>
      </c>
      <c r="H4472">
        <f t="shared" si="279"/>
        <v>-0.46999359130859375</v>
      </c>
    </row>
    <row r="4473" spans="1:8" x14ac:dyDescent="0.2">
      <c r="A4473" t="s">
        <v>14</v>
      </c>
      <c r="B4473" s="2">
        <v>45918</v>
      </c>
      <c r="C4473">
        <v>127.06292724609381</v>
      </c>
      <c r="D4473">
        <f>_xlfn.XLOOKUP(B4473, Oil_Price!A:A, Oil_Price!B:B, "")</f>
        <v>63.569999694824219</v>
      </c>
      <c r="E4473">
        <f t="shared" si="276"/>
        <v>-3.3810880124714193E-3</v>
      </c>
      <c r="F4473">
        <f t="shared" si="277"/>
        <v>-7.4941972531322211E-3</v>
      </c>
      <c r="G4473">
        <f t="shared" si="278"/>
        <v>-0.43106842041009941</v>
      </c>
      <c r="H4473">
        <f t="shared" si="279"/>
        <v>-0.48000335693359375</v>
      </c>
    </row>
    <row r="4474" spans="1:8" x14ac:dyDescent="0.2">
      <c r="A4474" t="s">
        <v>14</v>
      </c>
      <c r="B4474" s="2">
        <v>45919</v>
      </c>
      <c r="C4474">
        <v>124.0455703735352</v>
      </c>
      <c r="D4474">
        <f>_xlfn.XLOOKUP(B4474, Oil_Price!A:A, Oil_Price!B:B, "")</f>
        <v>62.680000305175781</v>
      </c>
      <c r="E4474">
        <f t="shared" si="276"/>
        <v>-2.3746949153112384E-2</v>
      </c>
      <c r="F4474">
        <f t="shared" si="277"/>
        <v>-1.4000305079770198E-2</v>
      </c>
      <c r="G4474">
        <f t="shared" si="278"/>
        <v>-3.017356872558608</v>
      </c>
      <c r="H4474">
        <f t="shared" si="279"/>
        <v>-0.8899993896484375</v>
      </c>
    </row>
    <row r="4475" spans="1:8" x14ac:dyDescent="0.2">
      <c r="A4475" t="s">
        <v>14</v>
      </c>
      <c r="B4475" s="2">
        <v>45922</v>
      </c>
      <c r="C4475">
        <v>125.55426025390619</v>
      </c>
      <c r="D4475">
        <f>_xlfn.XLOOKUP(B4475, Oil_Price!A:A, Oil_Price!B:B, "")</f>
        <v>62.639999389648438</v>
      </c>
      <c r="E4475">
        <f t="shared" si="276"/>
        <v>1.2162384161142681E-2</v>
      </c>
      <c r="F4475">
        <f t="shared" si="277"/>
        <v>-6.381766964356681E-4</v>
      </c>
      <c r="G4475">
        <f t="shared" si="278"/>
        <v>1.5086898803709943</v>
      </c>
      <c r="H4475">
        <f t="shared" si="279"/>
        <v>-4.000091552734375E-2</v>
      </c>
    </row>
    <row r="4476" spans="1:8" x14ac:dyDescent="0.2">
      <c r="A4476" t="s">
        <v>14</v>
      </c>
      <c r="B4476" s="2">
        <v>45923</v>
      </c>
      <c r="C4476">
        <v>126.72006988525391</v>
      </c>
      <c r="D4476">
        <f>_xlfn.XLOOKUP(B4476, Oil_Price!A:A, Oil_Price!B:B, "")</f>
        <v>63.409999847412109</v>
      </c>
      <c r="E4476">
        <f t="shared" si="276"/>
        <v>9.2853052456373566E-3</v>
      </c>
      <c r="F4476">
        <f t="shared" si="277"/>
        <v>1.229247230629632E-2</v>
      </c>
      <c r="G4476">
        <f t="shared" si="278"/>
        <v>1.1658096313477131</v>
      </c>
      <c r="H4476">
        <f t="shared" si="279"/>
        <v>0.77000045776367188</v>
      </c>
    </row>
    <row r="4477" spans="1:8" x14ac:dyDescent="0.2">
      <c r="A4477" t="s">
        <v>14</v>
      </c>
      <c r="B4477" s="2">
        <v>45924</v>
      </c>
      <c r="C4477">
        <v>127.8956756591797</v>
      </c>
      <c r="D4477">
        <f>_xlfn.XLOOKUP(B4477, Oil_Price!A:A, Oil_Price!B:B, "")</f>
        <v>64.989997863769531</v>
      </c>
      <c r="E4477">
        <f t="shared" si="276"/>
        <v>9.2771869127780352E-3</v>
      </c>
      <c r="F4477">
        <f t="shared" si="277"/>
        <v>2.4917174265249659E-2</v>
      </c>
      <c r="G4477">
        <f t="shared" si="278"/>
        <v>1.1756057739257955</v>
      </c>
      <c r="H4477">
        <f t="shared" si="279"/>
        <v>1.5799980163574219</v>
      </c>
    </row>
    <row r="4478" spans="1:8" x14ac:dyDescent="0.2">
      <c r="A4478" t="s">
        <v>14</v>
      </c>
      <c r="B4478" s="2">
        <v>45925</v>
      </c>
      <c r="C4478">
        <v>127.40582275390619</v>
      </c>
      <c r="D4478">
        <f>_xlfn.XLOOKUP(B4478, Oil_Price!A:A, Oil_Price!B:B, "")</f>
        <v>64.980003356933594</v>
      </c>
      <c r="E4478">
        <f t="shared" si="276"/>
        <v>-3.8300974817857291E-3</v>
      </c>
      <c r="F4478">
        <f t="shared" si="277"/>
        <v>-1.537853079621228E-4</v>
      </c>
      <c r="G4478">
        <f t="shared" si="278"/>
        <v>-0.48985290527350855</v>
      </c>
      <c r="H4478">
        <f t="shared" si="279"/>
        <v>-9.9945068359375E-3</v>
      </c>
    </row>
    <row r="4479" spans="1:8" x14ac:dyDescent="0.2">
      <c r="A4479" t="s">
        <v>14</v>
      </c>
      <c r="B4479" s="2">
        <v>45926</v>
      </c>
      <c r="C4479">
        <v>127.32745361328119</v>
      </c>
      <c r="D4479">
        <f>_xlfn.XLOOKUP(B4479, Oil_Price!A:A, Oil_Price!B:B, "")</f>
        <v>65.720001220703125</v>
      </c>
      <c r="E4479">
        <f t="shared" si="276"/>
        <v>-6.1511427759762451E-4</v>
      </c>
      <c r="F4479">
        <f t="shared" si="277"/>
        <v>1.1388085957840612E-2</v>
      </c>
      <c r="G4479">
        <f t="shared" si="278"/>
        <v>-7.8369140625E-2</v>
      </c>
      <c r="H4479">
        <f t="shared" si="279"/>
        <v>0.73999786376953125</v>
      </c>
    </row>
    <row r="4480" spans="1:8" x14ac:dyDescent="0.2">
      <c r="A4480" t="s">
        <v>14</v>
      </c>
      <c r="B4480" s="2">
        <v>45929</v>
      </c>
      <c r="C4480">
        <v>125.6326370239258</v>
      </c>
      <c r="D4480">
        <f>_xlfn.XLOOKUP(B4480, Oil_Price!A:A, Oil_Price!B:B, "")</f>
        <v>63.450000762939453</v>
      </c>
      <c r="E4480">
        <f t="shared" si="276"/>
        <v>-1.331069255891108E-2</v>
      </c>
      <c r="F4480">
        <f t="shared" si="277"/>
        <v>-3.4540481065124751E-2</v>
      </c>
      <c r="G4480">
        <f t="shared" si="278"/>
        <v>-1.6948165893553977</v>
      </c>
      <c r="H4480">
        <f t="shared" si="279"/>
        <v>-2.2700004577636719</v>
      </c>
    </row>
    <row r="4481" spans="1:8" x14ac:dyDescent="0.2">
      <c r="A4481" t="s">
        <v>14</v>
      </c>
      <c r="B4481" s="2">
        <v>45930</v>
      </c>
      <c r="C4481">
        <v>123.6243133544922</v>
      </c>
      <c r="D4481">
        <f>_xlfn.XLOOKUP(B4481, Oil_Price!A:A, Oil_Price!B:B, "")</f>
        <v>62.369998931884773</v>
      </c>
      <c r="E4481">
        <f t="shared" si="276"/>
        <v>-1.5985684269694374E-2</v>
      </c>
      <c r="F4481">
        <f t="shared" si="277"/>
        <v>-1.7021305249305833E-2</v>
      </c>
      <c r="G4481">
        <f t="shared" si="278"/>
        <v>-2.0083236694335938</v>
      </c>
      <c r="H4481">
        <f t="shared" si="279"/>
        <v>-1.0800018310546804</v>
      </c>
    </row>
    <row r="4482" spans="1:8" x14ac:dyDescent="0.2">
      <c r="A4482" t="s">
        <v>14</v>
      </c>
      <c r="B4482" s="2">
        <v>45931</v>
      </c>
      <c r="C4482">
        <v>123.02671813964839</v>
      </c>
      <c r="D4482">
        <f>_xlfn.XLOOKUP(B4482, Oil_Price!A:A, Oil_Price!B:B, "")</f>
        <v>61.779998779296882</v>
      </c>
      <c r="E4482">
        <f t="shared" si="276"/>
        <v>-4.8339618528776378E-3</v>
      </c>
      <c r="F4482">
        <f t="shared" si="277"/>
        <v>-9.4596787348391453E-3</v>
      </c>
      <c r="G4482">
        <f t="shared" si="278"/>
        <v>-0.59759521484380684</v>
      </c>
      <c r="H4482">
        <f t="shared" si="279"/>
        <v>-0.59000015258789062</v>
      </c>
    </row>
    <row r="4483" spans="1:8" x14ac:dyDescent="0.2">
      <c r="A4483" t="s">
        <v>14</v>
      </c>
      <c r="B4483" s="2">
        <v>45932</v>
      </c>
      <c r="C4483">
        <v>122.1450119018555</v>
      </c>
      <c r="D4483">
        <f>_xlfn.XLOOKUP(B4483, Oil_Price!A:A, Oil_Price!B:B, "")</f>
        <v>60.479999542236328</v>
      </c>
      <c r="E4483">
        <f t="shared" ref="E4483:E4546" si="280">IFERROR(IF(AND(A4483=A4482, C4483&lt;&gt;"", C4482&lt;&gt;""), (C4483-C4482)/C4482, ""), "")</f>
        <v>-7.1667866226592129E-3</v>
      </c>
      <c r="F4483">
        <f t="shared" ref="F4483:F4546" si="281">IFERROR(IF(AND(A4483=A4482, D4483&lt;&gt;"", D4482&lt;&gt;""), (D4483-D4482)/D4482, ""), "")</f>
        <v>-2.104239661293417E-2</v>
      </c>
      <c r="G4483">
        <f t="shared" ref="G4483:G4546" si="282">IFERROR(IF(AND(A4483=A4482, C4483&lt;&gt;"", C4482&lt;&gt;""), C4483-C4482, ""), "")</f>
        <v>-0.8817062377928977</v>
      </c>
      <c r="H4483">
        <f t="shared" ref="H4483:H4546" si="283">IFERROR(IF(AND(A4483=A4482, D4483&lt;&gt;"", D4482&lt;&gt;""), D4483-D4482, ""), "")</f>
        <v>-1.299999237060554</v>
      </c>
    </row>
    <row r="4484" spans="1:8" x14ac:dyDescent="0.2">
      <c r="A4484" t="s">
        <v>14</v>
      </c>
      <c r="B4484" s="2">
        <v>45933</v>
      </c>
      <c r="C4484">
        <v>122.9385452270508</v>
      </c>
      <c r="D4484">
        <f>_xlfn.XLOOKUP(B4484, Oil_Price!A:A, Oil_Price!B:B, "")</f>
        <v>60.880001068115227</v>
      </c>
      <c r="E4484">
        <f t="shared" si="280"/>
        <v>6.4966494565730504E-3</v>
      </c>
      <c r="F4484">
        <f t="shared" si="281"/>
        <v>6.613781893294448E-3</v>
      </c>
      <c r="G4484">
        <f t="shared" si="282"/>
        <v>0.79353332519529829</v>
      </c>
      <c r="H4484">
        <f t="shared" si="283"/>
        <v>0.40000152587889914</v>
      </c>
    </row>
    <row r="4485" spans="1:8" x14ac:dyDescent="0.2">
      <c r="A4485" t="s">
        <v>14</v>
      </c>
      <c r="B4485" s="2">
        <v>45936</v>
      </c>
      <c r="C4485">
        <v>124.43743896484381</v>
      </c>
      <c r="D4485">
        <f>_xlfn.XLOOKUP(B4485, Oil_Price!A:A, Oil_Price!B:B, "")</f>
        <v>61.689998626708977</v>
      </c>
      <c r="E4485">
        <f t="shared" si="280"/>
        <v>1.2192219576250543E-2</v>
      </c>
      <c r="F4485">
        <f t="shared" si="281"/>
        <v>1.3304821688282972E-2</v>
      </c>
      <c r="G4485">
        <f t="shared" si="282"/>
        <v>1.4988937377930114</v>
      </c>
      <c r="H4485">
        <f t="shared" si="283"/>
        <v>0.80999755859375</v>
      </c>
    </row>
    <row r="4486" spans="1:8" x14ac:dyDescent="0.2">
      <c r="A4486" t="s">
        <v>14</v>
      </c>
      <c r="B4486" s="2">
        <v>45937</v>
      </c>
      <c r="C4486">
        <v>124.1239395141602</v>
      </c>
      <c r="D4486">
        <f>_xlfn.XLOOKUP(B4486, Oil_Price!A:A, Oil_Price!B:B, "")</f>
        <v>61.729999542236328</v>
      </c>
      <c r="E4486">
        <f t="shared" si="280"/>
        <v>-2.5193338378828108E-3</v>
      </c>
      <c r="F4486">
        <f t="shared" si="281"/>
        <v>6.4841816206545144E-4</v>
      </c>
      <c r="G4486">
        <f t="shared" si="282"/>
        <v>-0.31349945068360796</v>
      </c>
      <c r="H4486">
        <f t="shared" si="283"/>
        <v>4.0000915527350855E-2</v>
      </c>
    </row>
    <row r="4487" spans="1:8" x14ac:dyDescent="0.2">
      <c r="A4487" t="s">
        <v>14</v>
      </c>
      <c r="B4487" s="2">
        <v>45938</v>
      </c>
      <c r="C4487">
        <v>122.37033843994141</v>
      </c>
      <c r="D4487">
        <f>_xlfn.XLOOKUP(B4487, Oil_Price!A:A, Oil_Price!B:B, "")</f>
        <v>62.549999237060547</v>
      </c>
      <c r="E4487">
        <f t="shared" si="280"/>
        <v>-1.412782321510783E-2</v>
      </c>
      <c r="F4487">
        <f t="shared" si="281"/>
        <v>1.3283649779766581E-2</v>
      </c>
      <c r="G4487">
        <f t="shared" si="282"/>
        <v>-1.7536010742187926</v>
      </c>
      <c r="H4487">
        <f t="shared" si="283"/>
        <v>0.81999969482421875</v>
      </c>
    </row>
    <row r="4488" spans="1:8" x14ac:dyDescent="0.2">
      <c r="A4488" t="s">
        <v>14</v>
      </c>
      <c r="B4488" s="2">
        <v>45939</v>
      </c>
      <c r="C4488">
        <v>121.0477752685547</v>
      </c>
      <c r="D4488">
        <f>_xlfn.XLOOKUP(B4488, Oil_Price!A:A, Oil_Price!B:B, "")</f>
        <v>61.509998321533203</v>
      </c>
      <c r="E4488">
        <f t="shared" si="280"/>
        <v>-1.0807873772742813E-2</v>
      </c>
      <c r="F4488">
        <f t="shared" si="281"/>
        <v>-1.6626713480615819E-2</v>
      </c>
      <c r="G4488">
        <f t="shared" si="282"/>
        <v>-1.3225631713867045</v>
      </c>
      <c r="H4488">
        <f t="shared" si="283"/>
        <v>-1.0400009155273438</v>
      </c>
    </row>
    <row r="4489" spans="1:8" x14ac:dyDescent="0.2">
      <c r="A4489" t="s">
        <v>14</v>
      </c>
      <c r="B4489" s="2">
        <v>45940</v>
      </c>
      <c r="C4489">
        <v>119.47052001953119</v>
      </c>
      <c r="D4489">
        <f>_xlfn.XLOOKUP(B4489, Oil_Price!A:A, Oil_Price!B:B, "")</f>
        <v>58.900001525878913</v>
      </c>
      <c r="E4489">
        <f t="shared" si="280"/>
        <v>-1.3030022613172649E-2</v>
      </c>
      <c r="F4489">
        <f t="shared" si="281"/>
        <v>-4.2432073920909072E-2</v>
      </c>
      <c r="G4489">
        <f t="shared" si="282"/>
        <v>-1.5772552490235086</v>
      </c>
      <c r="H4489">
        <f t="shared" si="283"/>
        <v>-2.6099967956542898</v>
      </c>
    </row>
    <row r="4490" spans="1:8" x14ac:dyDescent="0.2">
      <c r="A4490" t="s">
        <v>14</v>
      </c>
      <c r="B4490" s="2">
        <v>45944</v>
      </c>
      <c r="C4490">
        <v>120.9106369018555</v>
      </c>
      <c r="D4490">
        <f>_xlfn.XLOOKUP(B4490, Oil_Price!A:A, Oil_Price!B:B, "")</f>
        <v>58.700000762939453</v>
      </c>
      <c r="E4490">
        <f t="shared" si="280"/>
        <v>1.2054160993765424E-2</v>
      </c>
      <c r="F4490">
        <f t="shared" si="281"/>
        <v>-3.3955986037043791E-3</v>
      </c>
      <c r="G4490">
        <f t="shared" si="282"/>
        <v>1.440116882324304</v>
      </c>
      <c r="H4490">
        <f t="shared" si="283"/>
        <v>-0.20000076293946023</v>
      </c>
    </row>
    <row r="4491" spans="1:8" x14ac:dyDescent="0.2">
      <c r="A4491" t="s">
        <v>14</v>
      </c>
      <c r="B4491" s="2">
        <v>45945</v>
      </c>
      <c r="C4491">
        <v>118.30471038818359</v>
      </c>
      <c r="D4491">
        <f>_xlfn.XLOOKUP(B4491, Oil_Price!A:A, Oil_Price!B:B, "")</f>
        <v>58.270000457763672</v>
      </c>
      <c r="E4491">
        <f t="shared" si="280"/>
        <v>-2.1552500097962123E-2</v>
      </c>
      <c r="F4491">
        <f t="shared" si="281"/>
        <v>-7.3253884086363448E-3</v>
      </c>
      <c r="G4491">
        <f t="shared" si="282"/>
        <v>-2.6059265136719034</v>
      </c>
      <c r="H4491">
        <f t="shared" si="283"/>
        <v>-0.43000030517578125</v>
      </c>
    </row>
    <row r="4492" spans="1:8" x14ac:dyDescent="0.2">
      <c r="A4492" t="s">
        <v>14</v>
      </c>
      <c r="B4492" s="2">
        <v>45946</v>
      </c>
      <c r="C4492">
        <v>116.639274597168</v>
      </c>
      <c r="D4492">
        <f>_xlfn.XLOOKUP(B4492, Oil_Price!A:A, Oil_Price!B:B, "")</f>
        <v>57.459999084472663</v>
      </c>
      <c r="E4492">
        <f t="shared" si="280"/>
        <v>-1.4077510401326692E-2</v>
      </c>
      <c r="F4492">
        <f t="shared" si="281"/>
        <v>-1.3900830048527777E-2</v>
      </c>
      <c r="G4492">
        <f t="shared" si="282"/>
        <v>-1.6654357910155966</v>
      </c>
      <c r="H4492">
        <f t="shared" si="283"/>
        <v>-0.81000137329100852</v>
      </c>
    </row>
    <row r="4493" spans="1:8" x14ac:dyDescent="0.2">
      <c r="A4493" t="s">
        <v>14</v>
      </c>
      <c r="B4493" s="2">
        <v>45947</v>
      </c>
      <c r="C4493">
        <v>116.7274475097656</v>
      </c>
      <c r="D4493">
        <f>_xlfn.XLOOKUP(B4493, Oil_Price!A:A, Oil_Price!B:B, "")</f>
        <v>57.540000915527337</v>
      </c>
      <c r="E4493">
        <f t="shared" si="280"/>
        <v>7.5594531003487782E-4</v>
      </c>
      <c r="F4493">
        <f t="shared" si="281"/>
        <v>1.392304774266731E-3</v>
      </c>
      <c r="G4493">
        <f t="shared" si="282"/>
        <v>8.8172912597599407E-2</v>
      </c>
      <c r="H4493">
        <f t="shared" si="283"/>
        <v>8.0001831054673289E-2</v>
      </c>
    </row>
    <row r="4494" spans="1:8" x14ac:dyDescent="0.2">
      <c r="A4494" t="s">
        <v>14</v>
      </c>
      <c r="B4494" s="2">
        <v>45950</v>
      </c>
      <c r="C4494">
        <v>118.7945556640625</v>
      </c>
      <c r="D4494">
        <f>_xlfn.XLOOKUP(B4494, Oil_Price!A:A, Oil_Price!B:B, "")</f>
        <v>57.520000457763672</v>
      </c>
      <c r="E4494">
        <f t="shared" si="280"/>
        <v>1.7708843964260985E-2</v>
      </c>
      <c r="F4494">
        <f t="shared" si="281"/>
        <v>-3.4759223923243955E-4</v>
      </c>
      <c r="G4494">
        <f t="shared" si="282"/>
        <v>2.0671081542969034</v>
      </c>
      <c r="H4494">
        <f t="shared" si="283"/>
        <v>-2.000045776366477E-2</v>
      </c>
    </row>
    <row r="4495" spans="1:8" x14ac:dyDescent="0.2">
      <c r="A4495" t="s">
        <v>14</v>
      </c>
      <c r="B4495" s="2">
        <v>45951</v>
      </c>
      <c r="C4495">
        <v>117.1389083862305</v>
      </c>
      <c r="D4495">
        <f>_xlfn.XLOOKUP(B4495, Oil_Price!A:A, Oil_Price!B:B, "")</f>
        <v>57.819999694824219</v>
      </c>
      <c r="E4495">
        <f t="shared" si="280"/>
        <v>-1.3937063601752803E-2</v>
      </c>
      <c r="F4495">
        <f t="shared" si="281"/>
        <v>5.2155638851364948E-3</v>
      </c>
      <c r="G4495">
        <f t="shared" si="282"/>
        <v>-1.6556472778320028</v>
      </c>
      <c r="H4495">
        <f t="shared" si="283"/>
        <v>0.29999923706054688</v>
      </c>
    </row>
    <row r="4496" spans="1:8" x14ac:dyDescent="0.2">
      <c r="A4496" t="s">
        <v>14</v>
      </c>
      <c r="B4496" s="2">
        <v>45952</v>
      </c>
      <c r="C4496">
        <v>120.71469879150391</v>
      </c>
      <c r="D4496">
        <f>_xlfn.XLOOKUP(B4496, Oil_Price!A:A, Oil_Price!B:B, "")</f>
        <v>58.5</v>
      </c>
      <c r="E4496">
        <f t="shared" si="280"/>
        <v>3.052606904516568E-2</v>
      </c>
      <c r="F4496">
        <f t="shared" si="281"/>
        <v>1.1760641798077556E-2</v>
      </c>
      <c r="G4496">
        <f t="shared" si="282"/>
        <v>3.5757904052734091</v>
      </c>
      <c r="H4496">
        <f t="shared" si="283"/>
        <v>0.68000030517578125</v>
      </c>
    </row>
    <row r="4497" spans="1:8" x14ac:dyDescent="0.2">
      <c r="A4497" t="s">
        <v>14</v>
      </c>
      <c r="B4497" s="2">
        <v>45953</v>
      </c>
      <c r="C4497">
        <v>123.06590270996089</v>
      </c>
      <c r="D4497">
        <f>_xlfn.XLOOKUP(B4497, Oil_Price!A:A, Oil_Price!B:B, "")</f>
        <v>61.790000915527337</v>
      </c>
      <c r="E4497">
        <f t="shared" si="280"/>
        <v>1.9477362259901279E-2</v>
      </c>
      <c r="F4497">
        <f t="shared" si="281"/>
        <v>5.6239331889356182E-2</v>
      </c>
      <c r="G4497">
        <f t="shared" si="282"/>
        <v>2.3512039184569886</v>
      </c>
      <c r="H4497">
        <f t="shared" si="283"/>
        <v>3.2900009155273366</v>
      </c>
    </row>
    <row r="4498" spans="1:8" x14ac:dyDescent="0.2">
      <c r="A4498" t="s">
        <v>14</v>
      </c>
      <c r="B4498" s="2">
        <v>45954</v>
      </c>
      <c r="C4498">
        <v>124.6725616455078</v>
      </c>
      <c r="D4498">
        <f>_xlfn.XLOOKUP(B4498, Oil_Price!A:A, Oil_Price!B:B, "")</f>
        <v>61.5</v>
      </c>
      <c r="E4498">
        <f t="shared" si="280"/>
        <v>1.3055272826734495E-2</v>
      </c>
      <c r="F4498">
        <f t="shared" si="281"/>
        <v>-4.6933308177773744E-3</v>
      </c>
      <c r="G4498">
        <f t="shared" si="282"/>
        <v>1.6066589355469034</v>
      </c>
      <c r="H4498">
        <f t="shared" si="283"/>
        <v>-0.29000091552733664</v>
      </c>
    </row>
    <row r="4499" spans="1:8" x14ac:dyDescent="0.2">
      <c r="A4499" t="s">
        <v>14</v>
      </c>
      <c r="B4499" s="2">
        <v>45957</v>
      </c>
      <c r="C4499">
        <v>125.42690277099609</v>
      </c>
      <c r="D4499">
        <f>_xlfn.XLOOKUP(B4499, Oil_Price!A:A, Oil_Price!B:B, "")</f>
        <v>61.310001373291023</v>
      </c>
      <c r="E4499">
        <f t="shared" si="280"/>
        <v>6.0505785357421174E-3</v>
      </c>
      <c r="F4499">
        <f t="shared" si="281"/>
        <v>-3.0894085643736143E-3</v>
      </c>
      <c r="G4499">
        <f t="shared" si="282"/>
        <v>0.75434112548829546</v>
      </c>
      <c r="H4499">
        <f t="shared" si="283"/>
        <v>-0.18999862670897727</v>
      </c>
    </row>
    <row r="4500" spans="1:8" x14ac:dyDescent="0.2">
      <c r="A4500" t="s">
        <v>14</v>
      </c>
      <c r="B4500" s="2">
        <v>45958</v>
      </c>
      <c r="C4500">
        <v>124.8684921264648</v>
      </c>
      <c r="D4500">
        <f>_xlfn.XLOOKUP(B4500, Oil_Price!A:A, Oil_Price!B:B, "")</f>
        <v>60.150001525878913</v>
      </c>
      <c r="E4500">
        <f t="shared" si="280"/>
        <v>-4.4520803128722426E-3</v>
      </c>
      <c r="F4500">
        <f t="shared" si="281"/>
        <v>-1.892023848359347E-2</v>
      </c>
      <c r="G4500">
        <f t="shared" si="282"/>
        <v>-0.55841064453129263</v>
      </c>
      <c r="H4500">
        <f t="shared" si="283"/>
        <v>-1.1599998474121094</v>
      </c>
    </row>
    <row r="4501" spans="1:8" x14ac:dyDescent="0.2">
      <c r="A4501" t="s">
        <v>14</v>
      </c>
      <c r="B4501" s="2">
        <v>45959</v>
      </c>
      <c r="C4501">
        <v>126.2106399536133</v>
      </c>
      <c r="D4501">
        <f>_xlfn.XLOOKUP(B4501, Oil_Price!A:A, Oil_Price!B:B, "")</f>
        <v>60.479999542236328</v>
      </c>
      <c r="E4501">
        <f t="shared" si="280"/>
        <v>1.0748490706440088E-2</v>
      </c>
      <c r="F4501">
        <f t="shared" si="281"/>
        <v>5.4862511718380682E-3</v>
      </c>
      <c r="G4501">
        <f t="shared" si="282"/>
        <v>1.3421478271484943</v>
      </c>
      <c r="H4501">
        <f t="shared" si="283"/>
        <v>0.32999801635741477</v>
      </c>
    </row>
    <row r="4502" spans="1:8" x14ac:dyDescent="0.2">
      <c r="A4502" t="s">
        <v>14</v>
      </c>
      <c r="B4502" s="2">
        <v>45960</v>
      </c>
      <c r="C4502">
        <v>125.2407684326172</v>
      </c>
      <c r="D4502">
        <f>_xlfn.XLOOKUP(B4502, Oil_Price!A:A, Oil_Price!B:B, "")</f>
        <v>60.569999694824219</v>
      </c>
      <c r="E4502">
        <f t="shared" si="280"/>
        <v>-7.6845464166298066E-3</v>
      </c>
      <c r="F4502">
        <f t="shared" si="281"/>
        <v>1.4880977723063446E-3</v>
      </c>
      <c r="G4502">
        <f t="shared" si="282"/>
        <v>-0.96987152099609375</v>
      </c>
      <c r="H4502">
        <f t="shared" si="283"/>
        <v>9.0000152587890625E-2</v>
      </c>
    </row>
    <row r="4503" spans="1:8" x14ac:dyDescent="0.2">
      <c r="A4503" t="s">
        <v>14</v>
      </c>
      <c r="B4503" s="2">
        <v>45961</v>
      </c>
      <c r="C4503">
        <v>121.5278244018555</v>
      </c>
      <c r="D4503">
        <f>_xlfn.XLOOKUP(B4503, Oil_Price!A:A, Oil_Price!B:B, "")</f>
        <v>60.979999542236328</v>
      </c>
      <c r="E4503">
        <f t="shared" si="280"/>
        <v>-2.9646448813984764E-2</v>
      </c>
      <c r="F4503">
        <f t="shared" si="281"/>
        <v>6.7690250863109112E-3</v>
      </c>
      <c r="G4503">
        <f t="shared" si="282"/>
        <v>-3.7129440307617045</v>
      </c>
      <c r="H4503">
        <f t="shared" si="283"/>
        <v>0.40999984741210938</v>
      </c>
    </row>
    <row r="4504" spans="1:8" x14ac:dyDescent="0.2">
      <c r="A4504" t="s">
        <v>14</v>
      </c>
      <c r="B4504" s="2">
        <v>45964</v>
      </c>
      <c r="C4504">
        <v>123.6243133544922</v>
      </c>
      <c r="D4504">
        <f>_xlfn.XLOOKUP(B4504, Oil_Price!A:A, Oil_Price!B:B, "")</f>
        <v>61.049999237060547</v>
      </c>
      <c r="E4504">
        <f t="shared" si="280"/>
        <v>1.7251102477604259E-2</v>
      </c>
      <c r="F4504">
        <f t="shared" si="281"/>
        <v>1.1479123540454465E-3</v>
      </c>
      <c r="G4504">
        <f t="shared" si="282"/>
        <v>2.0964889526367045</v>
      </c>
      <c r="H4504">
        <f t="shared" si="283"/>
        <v>6.999969482421875E-2</v>
      </c>
    </row>
    <row r="4505" spans="1:8" x14ac:dyDescent="0.2">
      <c r="A4505" t="s">
        <v>14</v>
      </c>
      <c r="B4505" s="2">
        <v>45965</v>
      </c>
      <c r="C4505">
        <v>121.98826599121089</v>
      </c>
      <c r="D4505">
        <f>_xlfn.XLOOKUP(B4505, Oil_Price!A:A, Oil_Price!B:B, "")</f>
        <v>60.560001373291023</v>
      </c>
      <c r="E4505">
        <f t="shared" si="280"/>
        <v>-1.3234025887690458E-2</v>
      </c>
      <c r="F4505">
        <f t="shared" si="281"/>
        <v>-8.0261731350206103E-3</v>
      </c>
      <c r="G4505">
        <f t="shared" si="282"/>
        <v>-1.6360473632813068</v>
      </c>
      <c r="H4505">
        <f t="shared" si="283"/>
        <v>-0.48999786376952414</v>
      </c>
    </row>
    <row r="4506" spans="1:8" x14ac:dyDescent="0.2">
      <c r="A4506" t="s">
        <v>14</v>
      </c>
      <c r="B4506" s="2">
        <v>45966</v>
      </c>
      <c r="C4506">
        <v>123.0854873657227</v>
      </c>
      <c r="D4506">
        <f>_xlfn.XLOOKUP(B4506, Oil_Price!A:A, Oil_Price!B:B, "")</f>
        <v>59.599998474121087</v>
      </c>
      <c r="E4506">
        <f t="shared" si="280"/>
        <v>8.9944829168311768E-3</v>
      </c>
      <c r="F4506">
        <f t="shared" si="281"/>
        <v>-1.5852095069359251E-2</v>
      </c>
      <c r="G4506">
        <f t="shared" si="282"/>
        <v>1.097221374511804</v>
      </c>
      <c r="H4506">
        <f t="shared" si="283"/>
        <v>-0.96000289916993609</v>
      </c>
    </row>
    <row r="4507" spans="1:8" x14ac:dyDescent="0.2">
      <c r="A4507" t="s">
        <v>14</v>
      </c>
      <c r="B4507" s="2">
        <v>45967</v>
      </c>
      <c r="C4507">
        <v>125.9853134155273</v>
      </c>
      <c r="D4507">
        <f>_xlfn.XLOOKUP(B4507, Oil_Price!A:A, Oil_Price!B:B, "")</f>
        <v>59.430000305175781</v>
      </c>
      <c r="E4507">
        <f t="shared" si="280"/>
        <v>2.355944727414027E-2</v>
      </c>
      <c r="F4507">
        <f t="shared" si="281"/>
        <v>-2.8523183439194263E-3</v>
      </c>
      <c r="G4507">
        <f t="shared" si="282"/>
        <v>2.8998260498046022</v>
      </c>
      <c r="H4507">
        <f t="shared" si="283"/>
        <v>-0.16999816894530539</v>
      </c>
    </row>
    <row r="4508" spans="1:8" x14ac:dyDescent="0.2">
      <c r="A4508" t="s">
        <v>14</v>
      </c>
      <c r="B4508" s="2">
        <v>45968</v>
      </c>
      <c r="C4508">
        <v>128.3169250488281</v>
      </c>
      <c r="D4508">
        <f>_xlfn.XLOOKUP(B4508, Oil_Price!A:A, Oil_Price!B:B, "")</f>
        <v>59.75</v>
      </c>
      <c r="E4508">
        <f t="shared" si="280"/>
        <v>1.8507011413390916E-2</v>
      </c>
      <c r="F4508">
        <f t="shared" si="281"/>
        <v>5.3844807871614607E-3</v>
      </c>
      <c r="G4508">
        <f t="shared" si="282"/>
        <v>2.3316116333007955</v>
      </c>
      <c r="H4508">
        <f t="shared" si="283"/>
        <v>0.31999969482421875</v>
      </c>
    </row>
    <row r="4509" spans="1:8" x14ac:dyDescent="0.2">
      <c r="A4509" t="s">
        <v>14</v>
      </c>
      <c r="B4509" s="2">
        <v>45971</v>
      </c>
      <c r="C4509">
        <v>131.2069396972656</v>
      </c>
      <c r="D4509">
        <f>_xlfn.XLOOKUP(B4509, Oil_Price!A:A, Oil_Price!B:B, "")</f>
        <v>60.130001068115227</v>
      </c>
      <c r="E4509">
        <f t="shared" si="280"/>
        <v>2.2522474313795865E-2</v>
      </c>
      <c r="F4509">
        <f t="shared" si="281"/>
        <v>6.359850512388741E-3</v>
      </c>
      <c r="G4509">
        <f t="shared" si="282"/>
        <v>2.8900146484375</v>
      </c>
      <c r="H4509">
        <f t="shared" si="283"/>
        <v>0.38000106811522727</v>
      </c>
    </row>
    <row r="4510" spans="1:8" x14ac:dyDescent="0.2">
      <c r="A4510" t="s">
        <v>14</v>
      </c>
      <c r="B4510" s="2">
        <v>45972</v>
      </c>
      <c r="C4510">
        <v>131.94169616699219</v>
      </c>
      <c r="D4510">
        <f>_xlfn.XLOOKUP(B4510, Oil_Price!A:A, Oil_Price!B:B, "")</f>
        <v>61.040000915527337</v>
      </c>
      <c r="E4510">
        <f t="shared" si="280"/>
        <v>5.5999817648509911E-3</v>
      </c>
      <c r="F4510">
        <f t="shared" si="281"/>
        <v>1.5133873794235628E-2</v>
      </c>
      <c r="G4510">
        <f t="shared" si="282"/>
        <v>0.73475646972659092</v>
      </c>
      <c r="H4510">
        <f t="shared" si="283"/>
        <v>0.90999984741210938</v>
      </c>
    </row>
    <row r="4511" spans="1:8" x14ac:dyDescent="0.2">
      <c r="A4511" t="s">
        <v>14</v>
      </c>
      <c r="B4511" s="2">
        <v>45973</v>
      </c>
      <c r="C4511">
        <v>132.8038024902344</v>
      </c>
      <c r="D4511">
        <f>_xlfn.XLOOKUP(B4511, Oil_Price!A:A, Oil_Price!B:B, "")</f>
        <v>58.490001678466797</v>
      </c>
      <c r="E4511">
        <f t="shared" si="280"/>
        <v>6.5339945467359304E-3</v>
      </c>
      <c r="F4511">
        <f t="shared" si="281"/>
        <v>-4.1775871540196387E-2</v>
      </c>
      <c r="G4511">
        <f t="shared" si="282"/>
        <v>0.86210632324221592</v>
      </c>
      <c r="H4511">
        <f t="shared" si="283"/>
        <v>-2.5499992370605398</v>
      </c>
    </row>
    <row r="4512" spans="1:8" x14ac:dyDescent="0.2">
      <c r="A4512" t="s">
        <v>14</v>
      </c>
      <c r="B4512" s="2">
        <v>45974</v>
      </c>
      <c r="C4512">
        <v>132.17681884765619</v>
      </c>
      <c r="D4512">
        <f>_xlfn.XLOOKUP(B4512, Oil_Price!A:A, Oil_Price!B:B, "")</f>
        <v>58.689998626708977</v>
      </c>
      <c r="E4512">
        <f t="shared" si="280"/>
        <v>-4.7211271877875254E-3</v>
      </c>
      <c r="F4512">
        <f t="shared" si="281"/>
        <v>3.419335655717884E-3</v>
      </c>
      <c r="G4512">
        <f t="shared" si="282"/>
        <v>-0.62698364257821027</v>
      </c>
      <c r="H4512">
        <f t="shared" si="283"/>
        <v>0.19999694824218039</v>
      </c>
    </row>
    <row r="4513" spans="1:8" x14ac:dyDescent="0.2">
      <c r="A4513" t="s">
        <v>14</v>
      </c>
      <c r="B4513" s="2">
        <v>45975</v>
      </c>
      <c r="C4513">
        <v>136.06610107421881</v>
      </c>
      <c r="D4513">
        <f>_xlfn.XLOOKUP(B4513, Oil_Price!A:A, Oil_Price!B:B, "")</f>
        <v>60.090000152587891</v>
      </c>
      <c r="E4513">
        <f t="shared" si="280"/>
        <v>2.9424843633476354E-2</v>
      </c>
      <c r="F4513">
        <f t="shared" si="281"/>
        <v>2.3854175475168486E-2</v>
      </c>
      <c r="G4513">
        <f t="shared" si="282"/>
        <v>3.8892822265626137</v>
      </c>
      <c r="H4513">
        <f t="shared" si="283"/>
        <v>1.4000015258789134</v>
      </c>
    </row>
    <row r="4514" spans="1:8" x14ac:dyDescent="0.2">
      <c r="A4514" t="s">
        <v>14</v>
      </c>
      <c r="B4514" s="2">
        <v>45978</v>
      </c>
      <c r="C4514">
        <v>135.8995666503906</v>
      </c>
      <c r="D4514">
        <f>_xlfn.XLOOKUP(B4514, Oil_Price!A:A, Oil_Price!B:B, "")</f>
        <v>59.909999847412109</v>
      </c>
      <c r="E4514">
        <f t="shared" si="280"/>
        <v>-1.2239229500474345E-3</v>
      </c>
      <c r="F4514">
        <f t="shared" si="281"/>
        <v>-2.9955118109286473E-3</v>
      </c>
      <c r="G4514">
        <f t="shared" si="282"/>
        <v>-0.16653442382821027</v>
      </c>
      <c r="H4514">
        <f t="shared" si="283"/>
        <v>-0.18000030517578125</v>
      </c>
    </row>
    <row r="4515" spans="1:8" x14ac:dyDescent="0.2">
      <c r="A4515" t="s">
        <v>14</v>
      </c>
      <c r="B4515" s="2">
        <v>45979</v>
      </c>
      <c r="C4515">
        <v>137.97645568847659</v>
      </c>
      <c r="D4515">
        <f>_xlfn.XLOOKUP(B4515, Oil_Price!A:A, Oil_Price!B:B, "")</f>
        <v>60.740001678466797</v>
      </c>
      <c r="E4515">
        <f t="shared" si="280"/>
        <v>1.5282528776776088E-2</v>
      </c>
      <c r="F4515">
        <f t="shared" si="281"/>
        <v>1.3854145103800071E-2</v>
      </c>
      <c r="G4515">
        <f t="shared" si="282"/>
        <v>2.0768890380859943</v>
      </c>
      <c r="H4515">
        <f t="shared" si="283"/>
        <v>0.8300018310546875</v>
      </c>
    </row>
    <row r="4516" spans="1:8" x14ac:dyDescent="0.2">
      <c r="A4516" t="s">
        <v>14</v>
      </c>
      <c r="B4516" s="2">
        <v>45980</v>
      </c>
      <c r="C4516">
        <v>136.37959289550781</v>
      </c>
      <c r="D4516">
        <f>_xlfn.XLOOKUP(B4516, Oil_Price!A:A, Oil_Price!B:B, "")</f>
        <v>59.439998626708977</v>
      </c>
      <c r="E4516">
        <f t="shared" si="280"/>
        <v>-1.1573444070589675E-2</v>
      </c>
      <c r="F4516">
        <f t="shared" si="281"/>
        <v>-2.1402749684458593E-2</v>
      </c>
      <c r="G4516">
        <f t="shared" si="282"/>
        <v>-1.5968627929687784</v>
      </c>
      <c r="H4516">
        <f t="shared" si="283"/>
        <v>-1.3000030517578196</v>
      </c>
    </row>
    <row r="4517" spans="1:8" x14ac:dyDescent="0.2">
      <c r="A4517" t="s">
        <v>14</v>
      </c>
      <c r="B4517" s="2">
        <v>45981</v>
      </c>
      <c r="C4517">
        <v>135.39013671875</v>
      </c>
      <c r="D4517">
        <f>_xlfn.XLOOKUP(B4517, Oil_Price!A:A, Oil_Price!B:B, "")</f>
        <v>59.139999389648438</v>
      </c>
      <c r="E4517">
        <f t="shared" si="280"/>
        <v>-7.2551630031328831E-3</v>
      </c>
      <c r="F4517">
        <f t="shared" si="281"/>
        <v>-5.0470936068584809E-3</v>
      </c>
      <c r="G4517">
        <f t="shared" si="282"/>
        <v>-0.9894561767578125</v>
      </c>
      <c r="H4517">
        <f t="shared" si="283"/>
        <v>-0.29999923706053977</v>
      </c>
    </row>
    <row r="4518" spans="1:8" x14ac:dyDescent="0.2">
      <c r="A4518" t="s">
        <v>14</v>
      </c>
      <c r="B4518" s="2">
        <v>45982</v>
      </c>
      <c r="C4518">
        <v>134.46923828125</v>
      </c>
      <c r="D4518">
        <f>_xlfn.XLOOKUP(B4518, Oil_Price!A:A, Oil_Price!B:B, "")</f>
        <v>58.060001373291023</v>
      </c>
      <c r="E4518">
        <f t="shared" si="280"/>
        <v>-6.801813336026169E-3</v>
      </c>
      <c r="F4518">
        <f t="shared" si="281"/>
        <v>-1.8261718422446453E-2</v>
      </c>
      <c r="G4518">
        <f t="shared" si="282"/>
        <v>-0.9208984375</v>
      </c>
      <c r="H4518">
        <f t="shared" si="283"/>
        <v>-1.0799980163574148</v>
      </c>
    </row>
    <row r="4519" spans="1:8" x14ac:dyDescent="0.2">
      <c r="A4519" t="s">
        <v>14</v>
      </c>
      <c r="B4519" s="2">
        <v>45985</v>
      </c>
      <c r="C4519">
        <v>134.78273010253909</v>
      </c>
      <c r="D4519">
        <f>_xlfn.XLOOKUP(B4519, Oil_Price!A:A, Oil_Price!B:B, "")</f>
        <v>58.840000152587891</v>
      </c>
      <c r="E4519">
        <f t="shared" si="280"/>
        <v>2.3313274120985582E-3</v>
      </c>
      <c r="F4519">
        <f t="shared" si="281"/>
        <v>1.3434356886799625E-2</v>
      </c>
      <c r="G4519">
        <f t="shared" si="282"/>
        <v>0.31349182128909092</v>
      </c>
      <c r="H4519">
        <f t="shared" si="283"/>
        <v>0.77999877929686789</v>
      </c>
    </row>
    <row r="4520" spans="1:8" x14ac:dyDescent="0.2">
      <c r="A4520" t="s">
        <v>14</v>
      </c>
      <c r="B4520" s="2">
        <v>45986</v>
      </c>
      <c r="C4520">
        <v>135.1941833496094</v>
      </c>
      <c r="D4520">
        <f>_xlfn.XLOOKUP(B4520, Oil_Price!A:A, Oil_Price!B:B, "")</f>
        <v>57.950000762939453</v>
      </c>
      <c r="E4520">
        <f t="shared" si="280"/>
        <v>3.052714889788105E-3</v>
      </c>
      <c r="F4520">
        <f t="shared" si="281"/>
        <v>-1.5125754373562722E-2</v>
      </c>
      <c r="G4520">
        <f t="shared" si="282"/>
        <v>0.4114532470703125</v>
      </c>
      <c r="H4520">
        <f t="shared" si="283"/>
        <v>-0.8899993896484375</v>
      </c>
    </row>
    <row r="4521" spans="1:8" x14ac:dyDescent="0.2">
      <c r="A4521" t="s">
        <v>14</v>
      </c>
      <c r="B4521" s="2">
        <v>45987</v>
      </c>
      <c r="C4521">
        <v>135.78199768066409</v>
      </c>
      <c r="D4521">
        <f>_xlfn.XLOOKUP(B4521, Oil_Price!A:A, Oil_Price!B:B, "")</f>
        <v>58.650001525878913</v>
      </c>
      <c r="E4521">
        <f t="shared" si="280"/>
        <v>4.347926193944392E-3</v>
      </c>
      <c r="F4521">
        <f t="shared" si="281"/>
        <v>1.2079391781253074E-2</v>
      </c>
      <c r="G4521">
        <f t="shared" si="282"/>
        <v>0.5878143310546875</v>
      </c>
      <c r="H4521">
        <f t="shared" si="283"/>
        <v>0.70000076293946023</v>
      </c>
    </row>
    <row r="4522" spans="1:8" x14ac:dyDescent="0.2">
      <c r="A4522" t="s">
        <v>14</v>
      </c>
      <c r="B4522" s="2">
        <v>45988</v>
      </c>
      <c r="C4522">
        <v>136.68328857421881</v>
      </c>
      <c r="D4522" t="str">
        <f>_xlfn.XLOOKUP(B4522, Oil_Price!A:A, Oil_Price!B:B, "")</f>
        <v/>
      </c>
      <c r="E4522">
        <f t="shared" si="280"/>
        <v>6.6377790056852534E-3</v>
      </c>
      <c r="F4522" t="str">
        <f t="shared" si="281"/>
        <v/>
      </c>
      <c r="G4522">
        <f t="shared" si="282"/>
        <v>0.90129089355471592</v>
      </c>
      <c r="H4522" t="str">
        <f t="shared" si="283"/>
        <v/>
      </c>
    </row>
    <row r="4523" spans="1:8" x14ac:dyDescent="0.2">
      <c r="A4523" t="s">
        <v>14</v>
      </c>
      <c r="B4523" s="2">
        <v>45989</v>
      </c>
      <c r="C4523">
        <v>136.859619140625</v>
      </c>
      <c r="D4523">
        <f>_xlfn.XLOOKUP(B4523, Oil_Price!A:A, Oil_Price!B:B, "")</f>
        <v>58.549999237060547</v>
      </c>
      <c r="E4523">
        <f t="shared" si="280"/>
        <v>1.2900667539210249E-3</v>
      </c>
      <c r="F4523" t="str">
        <f t="shared" si="281"/>
        <v/>
      </c>
      <c r="G4523">
        <f t="shared" si="282"/>
        <v>0.17633056640619316</v>
      </c>
      <c r="H4523" t="str">
        <f t="shared" si="283"/>
        <v/>
      </c>
    </row>
    <row r="4524" spans="1:8" x14ac:dyDescent="0.2">
      <c r="A4524" t="s">
        <v>14</v>
      </c>
      <c r="B4524" s="2">
        <v>45992</v>
      </c>
      <c r="C4524">
        <v>134.70436096191409</v>
      </c>
      <c r="D4524">
        <f>_xlfn.XLOOKUP(B4524, Oil_Price!A:A, Oil_Price!B:B, "")</f>
        <v>59.319999694824219</v>
      </c>
      <c r="E4524">
        <f t="shared" si="280"/>
        <v>-1.5747948096336246E-2</v>
      </c>
      <c r="F4524">
        <f t="shared" si="281"/>
        <v>1.3151160850507453E-2</v>
      </c>
      <c r="G4524">
        <f t="shared" si="282"/>
        <v>-2.1552581787109091</v>
      </c>
      <c r="H4524">
        <f t="shared" si="283"/>
        <v>0.77000045776367188</v>
      </c>
    </row>
    <row r="4525" spans="1:8" x14ac:dyDescent="0.2">
      <c r="A4525" t="s">
        <v>14</v>
      </c>
      <c r="B4525" s="2">
        <v>45993</v>
      </c>
      <c r="C4525">
        <v>129.9725646972656</v>
      </c>
      <c r="D4525">
        <f>_xlfn.XLOOKUP(B4525, Oil_Price!A:A, Oil_Price!B:B, "")</f>
        <v>58.639999389648438</v>
      </c>
      <c r="E4525">
        <f t="shared" si="280"/>
        <v>-3.5127268566949726E-2</v>
      </c>
      <c r="F4525">
        <f t="shared" si="281"/>
        <v>-1.1463255372118833E-2</v>
      </c>
      <c r="G4525">
        <f t="shared" si="282"/>
        <v>-4.7317962646484943</v>
      </c>
      <c r="H4525">
        <f t="shared" si="283"/>
        <v>-0.68000030517578125</v>
      </c>
    </row>
    <row r="4526" spans="1:8" x14ac:dyDescent="0.2">
      <c r="A4526" t="s">
        <v>14</v>
      </c>
      <c r="B4526" s="2">
        <v>45994</v>
      </c>
      <c r="C4526">
        <v>132.31689453125</v>
      </c>
      <c r="D4526">
        <f>_xlfn.XLOOKUP(B4526, Oil_Price!A:A, Oil_Price!B:B, "")</f>
        <v>58.950000762939453</v>
      </c>
      <c r="E4526">
        <f t="shared" si="280"/>
        <v>1.8037112981842421E-2</v>
      </c>
      <c r="F4526">
        <f t="shared" si="281"/>
        <v>5.2865173348848864E-3</v>
      </c>
      <c r="G4526">
        <f t="shared" si="282"/>
        <v>2.3443298339844034</v>
      </c>
      <c r="H4526">
        <f t="shared" si="283"/>
        <v>0.31000137329101562</v>
      </c>
    </row>
    <row r="4527" spans="1:8" x14ac:dyDescent="0.2">
      <c r="A4527" t="s">
        <v>14</v>
      </c>
      <c r="B4527" s="2">
        <v>45995</v>
      </c>
      <c r="C4527">
        <v>129.35200500488281</v>
      </c>
      <c r="D4527">
        <f>_xlfn.XLOOKUP(B4527, Oil_Price!A:A, Oil_Price!B:B, "")</f>
        <v>59.669998168945312</v>
      </c>
      <c r="E4527">
        <f t="shared" si="280"/>
        <v>-2.2407490266988947E-2</v>
      </c>
      <c r="F4527">
        <f t="shared" si="281"/>
        <v>1.2213696296650528E-2</v>
      </c>
      <c r="G4527">
        <f t="shared" si="282"/>
        <v>-2.9648895263671875</v>
      </c>
      <c r="H4527">
        <f t="shared" si="283"/>
        <v>0.71999740600585938</v>
      </c>
    </row>
    <row r="4528" spans="1:8" x14ac:dyDescent="0.2">
      <c r="A4528" t="s">
        <v>14</v>
      </c>
      <c r="B4528" s="2">
        <v>45996</v>
      </c>
      <c r="C4528">
        <v>125.9241561889648</v>
      </c>
      <c r="D4528">
        <f>_xlfn.XLOOKUP(B4528, Oil_Price!A:A, Oil_Price!B:B, "")</f>
        <v>60.080001831054688</v>
      </c>
      <c r="E4528">
        <f t="shared" si="280"/>
        <v>-2.6500159899250236E-2</v>
      </c>
      <c r="F4528">
        <f t="shared" si="281"/>
        <v>6.8711861017411177E-3</v>
      </c>
      <c r="G4528">
        <f t="shared" si="282"/>
        <v>-3.4278488159180114</v>
      </c>
      <c r="H4528">
        <f t="shared" si="283"/>
        <v>0.410003662109375</v>
      </c>
    </row>
    <row r="4529" spans="1:8" x14ac:dyDescent="0.2">
      <c r="A4529" t="s">
        <v>14</v>
      </c>
      <c r="B4529" s="2">
        <v>45999</v>
      </c>
      <c r="C4529">
        <v>123.7472686767578</v>
      </c>
      <c r="D4529">
        <f>_xlfn.XLOOKUP(B4529, Oil_Price!A:A, Oil_Price!B:B, "")</f>
        <v>58.880001068115227</v>
      </c>
      <c r="E4529">
        <f t="shared" si="280"/>
        <v>-1.728729084307155E-2</v>
      </c>
      <c r="F4529">
        <f t="shared" si="281"/>
        <v>-1.9973380931543067E-2</v>
      </c>
      <c r="G4529">
        <f t="shared" si="282"/>
        <v>-2.1768875122070028</v>
      </c>
      <c r="H4529">
        <f t="shared" si="283"/>
        <v>-1.2000007629394602</v>
      </c>
    </row>
    <row r="4530" spans="1:8" x14ac:dyDescent="0.2">
      <c r="A4530" t="s">
        <v>14</v>
      </c>
      <c r="B4530" s="2">
        <v>46000</v>
      </c>
      <c r="C4530">
        <v>123.8162307739258</v>
      </c>
      <c r="D4530">
        <f>_xlfn.XLOOKUP(B4530, Oil_Price!A:A, Oil_Price!B:B, "")</f>
        <v>58.25</v>
      </c>
      <c r="E4530">
        <f t="shared" si="280"/>
        <v>5.5728177199719986E-4</v>
      </c>
      <c r="F4530">
        <f t="shared" si="281"/>
        <v>-1.069974620731429E-2</v>
      </c>
      <c r="G4530">
        <f t="shared" si="282"/>
        <v>6.8962097167997172E-2</v>
      </c>
      <c r="H4530">
        <f t="shared" si="283"/>
        <v>-0.63000106811522727</v>
      </c>
    </row>
    <row r="4531" spans="1:8" x14ac:dyDescent="0.2">
      <c r="A4531" t="s">
        <v>14</v>
      </c>
      <c r="B4531" s="2">
        <v>46001</v>
      </c>
      <c r="C4531">
        <v>124.9391326904297</v>
      </c>
      <c r="D4531">
        <f>_xlfn.XLOOKUP(B4531, Oil_Price!A:A, Oil_Price!B:B, "")</f>
        <v>58.459999084472663</v>
      </c>
      <c r="E4531">
        <f t="shared" si="280"/>
        <v>9.0691011144911696E-3</v>
      </c>
      <c r="F4531">
        <f t="shared" si="281"/>
        <v>3.6051344973847786E-3</v>
      </c>
      <c r="G4531">
        <f t="shared" si="282"/>
        <v>1.1229019165039062</v>
      </c>
      <c r="H4531">
        <f t="shared" si="283"/>
        <v>0.20999908447266336</v>
      </c>
    </row>
    <row r="4532" spans="1:8" x14ac:dyDescent="0.2">
      <c r="A4532" t="s">
        <v>14</v>
      </c>
      <c r="B4532" s="2">
        <v>46002</v>
      </c>
      <c r="C4532">
        <v>125.17555236816411</v>
      </c>
      <c r="D4532">
        <f>_xlfn.XLOOKUP(B4532, Oil_Price!A:A, Oil_Price!B:B, "")</f>
        <v>57.599998474121087</v>
      </c>
      <c r="E4532">
        <f t="shared" si="280"/>
        <v>1.8922788452533663E-3</v>
      </c>
      <c r="F4532">
        <f t="shared" si="281"/>
        <v>-1.4710924115973826E-2</v>
      </c>
      <c r="G4532">
        <f t="shared" si="282"/>
        <v>0.23641967773440342</v>
      </c>
      <c r="H4532">
        <f t="shared" si="283"/>
        <v>-0.86000061035157671</v>
      </c>
    </row>
    <row r="4533" spans="1:8" x14ac:dyDescent="0.2">
      <c r="A4533" t="s">
        <v>14</v>
      </c>
      <c r="B4533" s="2">
        <v>46003</v>
      </c>
      <c r="C4533">
        <v>124.6140899658203</v>
      </c>
      <c r="D4533">
        <f>_xlfn.XLOOKUP(B4533, Oil_Price!A:A, Oil_Price!B:B, "")</f>
        <v>57.439998626708977</v>
      </c>
      <c r="E4533">
        <f t="shared" si="280"/>
        <v>-4.4853998382403271E-3</v>
      </c>
      <c r="F4533">
        <f t="shared" si="281"/>
        <v>-2.7777752022683675E-3</v>
      </c>
      <c r="G4533">
        <f t="shared" si="282"/>
        <v>-0.56146240234380684</v>
      </c>
      <c r="H4533">
        <f t="shared" si="283"/>
        <v>-0.15999984741210938</v>
      </c>
    </row>
    <row r="4534" spans="1:8" x14ac:dyDescent="0.2">
      <c r="A4534" t="s">
        <v>14</v>
      </c>
      <c r="B4534" s="2">
        <v>46006</v>
      </c>
      <c r="C4534">
        <v>121.9644012451172</v>
      </c>
      <c r="D4534">
        <f>_xlfn.XLOOKUP(B4534, Oil_Price!A:A, Oil_Price!B:B, "")</f>
        <v>56.819999694824219</v>
      </c>
      <c r="E4534">
        <f t="shared" si="280"/>
        <v>-2.1263155084869336E-2</v>
      </c>
      <c r="F4534">
        <f t="shared" si="281"/>
        <v>-1.0793853529036572E-2</v>
      </c>
      <c r="G4534">
        <f t="shared" si="282"/>
        <v>-2.6496887207030966</v>
      </c>
      <c r="H4534">
        <f t="shared" si="283"/>
        <v>-0.61999893188475852</v>
      </c>
    </row>
    <row r="4535" spans="1:8" x14ac:dyDescent="0.2">
      <c r="A4535" t="s">
        <v>14</v>
      </c>
      <c r="B4535" s="2">
        <v>46007</v>
      </c>
      <c r="C4535">
        <v>115.5618057250977</v>
      </c>
      <c r="D4535">
        <f>_xlfn.XLOOKUP(B4535, Oil_Price!A:A, Oil_Price!B:B, "")</f>
        <v>55.270000457763672</v>
      </c>
      <c r="E4535">
        <f t="shared" si="280"/>
        <v>-5.2495609002760783E-2</v>
      </c>
      <c r="F4535">
        <f t="shared" si="281"/>
        <v>-2.7279113787143115E-2</v>
      </c>
      <c r="G4535">
        <f t="shared" si="282"/>
        <v>-6.4025955200195028</v>
      </c>
      <c r="H4535">
        <f t="shared" si="283"/>
        <v>-1.5499992370605469</v>
      </c>
    </row>
    <row r="4536" spans="1:8" x14ac:dyDescent="0.2">
      <c r="A4536" t="s">
        <v>14</v>
      </c>
      <c r="B4536" s="2">
        <v>46008</v>
      </c>
      <c r="C4536">
        <v>115.443603515625</v>
      </c>
      <c r="D4536">
        <f>_xlfn.XLOOKUP(B4536, Oil_Price!A:A, Oil_Price!B:B, "")</f>
        <v>55.939998626708977</v>
      </c>
      <c r="E4536">
        <f t="shared" si="280"/>
        <v>-1.0228484119907425E-3</v>
      </c>
      <c r="F4536">
        <f t="shared" si="281"/>
        <v>1.2122275436876571E-2</v>
      </c>
      <c r="G4536">
        <f t="shared" si="282"/>
        <v>-0.11820220947269888</v>
      </c>
      <c r="H4536">
        <f t="shared" si="283"/>
        <v>0.66999816894530539</v>
      </c>
    </row>
    <row r="4537" spans="1:8" x14ac:dyDescent="0.2">
      <c r="A4537" t="s">
        <v>14</v>
      </c>
      <c r="B4537" s="2">
        <v>46009</v>
      </c>
      <c r="C4537">
        <v>113.55238342285161</v>
      </c>
      <c r="D4537">
        <f>_xlfn.XLOOKUP(B4537, Oil_Price!A:A, Oil_Price!B:B, "")</f>
        <v>56.150001525878913</v>
      </c>
      <c r="E4537">
        <f t="shared" si="280"/>
        <v>-1.6382199058065813E-2</v>
      </c>
      <c r="F4537">
        <f t="shared" si="281"/>
        <v>3.7540740851872063E-3</v>
      </c>
      <c r="G4537">
        <f t="shared" si="282"/>
        <v>-1.8912200927733949</v>
      </c>
      <c r="H4537">
        <f t="shared" si="283"/>
        <v>0.21000289916993609</v>
      </c>
    </row>
    <row r="4538" spans="1:8" x14ac:dyDescent="0.2">
      <c r="A4538" t="s">
        <v>14</v>
      </c>
      <c r="B4538" s="2">
        <v>46010</v>
      </c>
      <c r="C4538">
        <v>114.3009948730469</v>
      </c>
      <c r="D4538">
        <f>_xlfn.XLOOKUP(B4538, Oil_Price!A:A, Oil_Price!B:B, "")</f>
        <v>56.659999847412109</v>
      </c>
      <c r="E4538">
        <f t="shared" si="280"/>
        <v>6.5926529028244559E-3</v>
      </c>
      <c r="F4538">
        <f t="shared" si="281"/>
        <v>9.0827837519851795E-3</v>
      </c>
      <c r="G4538">
        <f t="shared" si="282"/>
        <v>0.74861145019529829</v>
      </c>
      <c r="H4538">
        <f t="shared" si="283"/>
        <v>0.50999832153319602</v>
      </c>
    </row>
    <row r="4539" spans="1:8" x14ac:dyDescent="0.2">
      <c r="A4539" t="s">
        <v>14</v>
      </c>
      <c r="B4539" s="2">
        <v>46013</v>
      </c>
      <c r="C4539">
        <v>115.4337615966797</v>
      </c>
      <c r="D4539">
        <f>_xlfn.XLOOKUP(B4539, Oil_Price!A:A, Oil_Price!B:B, "")</f>
        <v>58.009998321533203</v>
      </c>
      <c r="E4539">
        <f t="shared" si="280"/>
        <v>9.9103837625468798E-3</v>
      </c>
      <c r="F4539">
        <f t="shared" si="281"/>
        <v>2.3826305643429219E-2</v>
      </c>
      <c r="G4539">
        <f t="shared" si="282"/>
        <v>1.1327667236327983</v>
      </c>
      <c r="H4539">
        <f t="shared" si="283"/>
        <v>1.3499984741210938</v>
      </c>
    </row>
    <row r="4540" spans="1:8" x14ac:dyDescent="0.2">
      <c r="A4540" t="s">
        <v>14</v>
      </c>
      <c r="B4540" s="2">
        <v>46014</v>
      </c>
      <c r="C4540">
        <v>115.8967208862305</v>
      </c>
      <c r="D4540">
        <f>_xlfn.XLOOKUP(B4540, Oil_Price!A:A, Oil_Price!B:B, "")</f>
        <v>58.380001068115227</v>
      </c>
      <c r="E4540">
        <f t="shared" si="280"/>
        <v>4.0106055901422853E-3</v>
      </c>
      <c r="F4540">
        <f t="shared" si="281"/>
        <v>6.3782581845840151E-3</v>
      </c>
      <c r="G4540">
        <f t="shared" si="282"/>
        <v>0.46295928955079546</v>
      </c>
      <c r="H4540">
        <f t="shared" si="283"/>
        <v>0.37000274658202414</v>
      </c>
    </row>
    <row r="4541" spans="1:8" x14ac:dyDescent="0.2">
      <c r="A4541" t="s">
        <v>14</v>
      </c>
      <c r="B4541" s="2">
        <v>46015</v>
      </c>
      <c r="C4541">
        <v>115.5322647094727</v>
      </c>
      <c r="D4541">
        <f>_xlfn.XLOOKUP(B4541, Oil_Price!A:A, Oil_Price!B:B, "")</f>
        <v>58.349998474121087</v>
      </c>
      <c r="E4541">
        <f t="shared" si="280"/>
        <v>-3.1446634035104848E-3</v>
      </c>
      <c r="F4541">
        <f t="shared" si="281"/>
        <v>-5.1391903811606504E-4</v>
      </c>
      <c r="G4541">
        <f t="shared" si="282"/>
        <v>-0.36445617675779829</v>
      </c>
      <c r="H4541">
        <f t="shared" si="283"/>
        <v>-3.0002593994140625E-2</v>
      </c>
    </row>
    <row r="4542" spans="1:8" x14ac:dyDescent="0.2">
      <c r="A4542" t="s">
        <v>14</v>
      </c>
      <c r="B4542" s="2">
        <v>46020</v>
      </c>
      <c r="C4542">
        <v>115.85731506347661</v>
      </c>
      <c r="D4542">
        <f>_xlfn.XLOOKUP(B4542, Oil_Price!A:A, Oil_Price!B:B, "")</f>
        <v>58.080001831054688</v>
      </c>
      <c r="E4542">
        <f t="shared" si="280"/>
        <v>2.8135028324884448E-3</v>
      </c>
      <c r="F4542">
        <f t="shared" si="281"/>
        <v>-4.627191947333912E-3</v>
      </c>
      <c r="G4542">
        <f t="shared" si="282"/>
        <v>0.32505035400390625</v>
      </c>
      <c r="H4542">
        <f t="shared" si="283"/>
        <v>-0.26999664306639914</v>
      </c>
    </row>
    <row r="4543" spans="1:8" x14ac:dyDescent="0.2">
      <c r="A4543" t="s">
        <v>14</v>
      </c>
      <c r="B4543" s="2">
        <v>46021</v>
      </c>
      <c r="C4543">
        <v>117.40379333496089</v>
      </c>
      <c r="D4543">
        <f>_xlfn.XLOOKUP(B4543, Oil_Price!A:A, Oil_Price!B:B, "")</f>
        <v>57.950000762939453</v>
      </c>
      <c r="E4543">
        <f t="shared" si="280"/>
        <v>1.3348128002422599E-2</v>
      </c>
      <c r="F4543">
        <f t="shared" si="281"/>
        <v>-2.238310330867179E-3</v>
      </c>
      <c r="G4543">
        <f t="shared" si="282"/>
        <v>1.5464782714842897</v>
      </c>
      <c r="H4543">
        <f t="shared" si="283"/>
        <v>-0.13000106811523438</v>
      </c>
    </row>
    <row r="4544" spans="1:8" x14ac:dyDescent="0.2">
      <c r="A4544" t="s">
        <v>14</v>
      </c>
      <c r="B4544" s="2">
        <v>46022</v>
      </c>
      <c r="C4544">
        <v>116.8029327392578</v>
      </c>
      <c r="D4544">
        <f>_xlfn.XLOOKUP(B4544, Oil_Price!A:A, Oil_Price!B:B, "")</f>
        <v>57.419998168945312</v>
      </c>
      <c r="E4544">
        <f t="shared" si="280"/>
        <v>-5.1178976303499924E-3</v>
      </c>
      <c r="F4544">
        <f t="shared" si="281"/>
        <v>-9.145860000283057E-3</v>
      </c>
      <c r="G4544">
        <f t="shared" si="282"/>
        <v>-0.60086059570309658</v>
      </c>
      <c r="H4544">
        <f t="shared" si="283"/>
        <v>-0.53000259399414062</v>
      </c>
    </row>
    <row r="4545" spans="1:8" x14ac:dyDescent="0.2">
      <c r="A4545" t="s">
        <v>14</v>
      </c>
      <c r="B4545" s="2">
        <v>46024</v>
      </c>
      <c r="C4545">
        <v>120.47702789306641</v>
      </c>
      <c r="D4545">
        <f>_xlfn.XLOOKUP(B4545, Oil_Price!A:A, Oil_Price!B:B, "")</f>
        <v>57.319999694824219</v>
      </c>
      <c r="E4545">
        <f t="shared" si="280"/>
        <v>3.1455504306646009E-2</v>
      </c>
      <c r="F4545">
        <f t="shared" si="281"/>
        <v>-1.7415269472296209E-3</v>
      </c>
      <c r="G4545">
        <f t="shared" si="282"/>
        <v>3.674095153808608</v>
      </c>
      <c r="H4545">
        <f t="shared" si="283"/>
        <v>-9.999847412109375E-2</v>
      </c>
    </row>
    <row r="4546" spans="1:8" x14ac:dyDescent="0.2">
      <c r="A4546" t="s">
        <v>14</v>
      </c>
      <c r="B4546" s="2">
        <v>46027</v>
      </c>
      <c r="C4546">
        <v>118.7532501220703</v>
      </c>
      <c r="D4546">
        <f>_xlfn.XLOOKUP(B4546, Oil_Price!A:A, Oil_Price!B:B, "")</f>
        <v>58.319999694824219</v>
      </c>
      <c r="E4546">
        <f t="shared" si="280"/>
        <v>-1.4307937381440943E-2</v>
      </c>
      <c r="F4546">
        <f t="shared" si="281"/>
        <v>1.7445917748151983E-2</v>
      </c>
      <c r="G4546">
        <f t="shared" si="282"/>
        <v>-1.723777770996108</v>
      </c>
      <c r="H4546">
        <f t="shared" si="283"/>
        <v>1</v>
      </c>
    </row>
    <row r="4547" spans="1:8" x14ac:dyDescent="0.2">
      <c r="A4547" t="s">
        <v>14</v>
      </c>
      <c r="B4547" s="2">
        <v>46028</v>
      </c>
      <c r="C4547">
        <v>118.9896621704102</v>
      </c>
      <c r="D4547">
        <f>_xlfn.XLOOKUP(B4547, Oil_Price!A:A, Oil_Price!B:B, "")</f>
        <v>57.130001068115227</v>
      </c>
      <c r="E4547">
        <f t="shared" ref="E4547:E4610" si="284">IFERROR(IF(AND(A4547=A4546, C4547&lt;&gt;"", C4546&lt;&gt;""), (C4547-C4546)/C4546, ""), "")</f>
        <v>1.9907838151535643E-3</v>
      </c>
      <c r="F4547">
        <f t="shared" ref="F4547:F4610" si="285">IFERROR(IF(AND(A4547=A4546, D4547&lt;&gt;"", D4546&lt;&gt;""), (D4547-D4546)/D4546, ""), "")</f>
        <v>-2.0404640482441592E-2</v>
      </c>
      <c r="G4547">
        <f t="shared" ref="G4547:G4610" si="286">IFERROR(IF(AND(A4547=A4546, C4547&lt;&gt;"", C4546&lt;&gt;""), C4547-C4546, ""), "")</f>
        <v>0.23641204833990059</v>
      </c>
      <c r="H4547">
        <f t="shared" ref="H4547:H4610" si="287">IFERROR(IF(AND(A4547=A4546, D4547&lt;&gt;"", D4546&lt;&gt;""), D4547-D4546, ""), "")</f>
        <v>-1.1899986267089915</v>
      </c>
    </row>
    <row r="4548" spans="1:8" x14ac:dyDescent="0.2">
      <c r="A4548" t="s">
        <v>14</v>
      </c>
      <c r="B4548" s="2">
        <v>46029</v>
      </c>
      <c r="C4548">
        <v>119.0192108154297</v>
      </c>
      <c r="D4548">
        <f>_xlfn.XLOOKUP(B4548, Oil_Price!A:A, Oil_Price!B:B, "")</f>
        <v>55.990001678466797</v>
      </c>
      <c r="E4548">
        <f t="shared" si="284"/>
        <v>2.4832951435045631E-4</v>
      </c>
      <c r="F4548">
        <f t="shared" si="285"/>
        <v>-1.995447870356639E-2</v>
      </c>
      <c r="G4548">
        <f t="shared" si="286"/>
        <v>2.9548645019502828E-2</v>
      </c>
      <c r="H4548">
        <f t="shared" si="287"/>
        <v>-1.1399993896484304</v>
      </c>
    </row>
    <row r="4549" spans="1:8" x14ac:dyDescent="0.2">
      <c r="A4549" t="s">
        <v>14</v>
      </c>
      <c r="B4549" s="2">
        <v>46030</v>
      </c>
      <c r="C4549">
        <v>121.4620361328125</v>
      </c>
      <c r="D4549">
        <f>_xlfn.XLOOKUP(B4549, Oil_Price!A:A, Oil_Price!B:B, "")</f>
        <v>57.759998321533203</v>
      </c>
      <c r="E4549">
        <f t="shared" si="284"/>
        <v>2.0524630441139755E-2</v>
      </c>
      <c r="F4549">
        <f t="shared" si="285"/>
        <v>3.1612727094222068E-2</v>
      </c>
      <c r="G4549">
        <f t="shared" si="286"/>
        <v>2.4428253173827983</v>
      </c>
      <c r="H4549">
        <f t="shared" si="287"/>
        <v>1.7699966430664062</v>
      </c>
    </row>
    <row r="4550" spans="1:8" x14ac:dyDescent="0.2">
      <c r="A4550" t="s">
        <v>14</v>
      </c>
      <c r="B4550" s="2">
        <v>46031</v>
      </c>
      <c r="C4550">
        <v>123.6586227416992</v>
      </c>
      <c r="D4550">
        <f>_xlfn.XLOOKUP(B4550, Oil_Price!A:A, Oil_Price!B:B, "")</f>
        <v>59.119998931884773</v>
      </c>
      <c r="E4550">
        <f t="shared" si="284"/>
        <v>1.8084552826735507E-2</v>
      </c>
      <c r="F4550">
        <f t="shared" si="285"/>
        <v>2.3545717622442432E-2</v>
      </c>
      <c r="G4550">
        <f t="shared" si="286"/>
        <v>2.1965866088867045</v>
      </c>
      <c r="H4550">
        <f t="shared" si="287"/>
        <v>1.3600006103515696</v>
      </c>
    </row>
    <row r="4551" spans="1:8" x14ac:dyDescent="0.2">
      <c r="A4551" t="s">
        <v>14</v>
      </c>
      <c r="B4551" s="2">
        <v>46034</v>
      </c>
      <c r="C4551">
        <v>126.2098083496094</v>
      </c>
      <c r="D4551">
        <f>_xlfn.XLOOKUP(B4551, Oil_Price!A:A, Oil_Price!B:B, "")</f>
        <v>59.5</v>
      </c>
      <c r="E4551">
        <f t="shared" si="284"/>
        <v>2.0630875157320573E-2</v>
      </c>
      <c r="F4551">
        <f t="shared" si="285"/>
        <v>6.4276230544768158E-3</v>
      </c>
      <c r="G4551">
        <f t="shared" si="286"/>
        <v>2.5511856079101989</v>
      </c>
      <c r="H4551">
        <f t="shared" si="287"/>
        <v>0.38000106811522727</v>
      </c>
    </row>
    <row r="4552" spans="1:8" x14ac:dyDescent="0.2">
      <c r="A4552" t="s">
        <v>14</v>
      </c>
      <c r="B4552" s="2">
        <v>46035</v>
      </c>
      <c r="C4552">
        <v>131.28263854980469</v>
      </c>
      <c r="D4552">
        <f>_xlfn.XLOOKUP(B4552, Oil_Price!A:A, Oil_Price!B:B, "")</f>
        <v>61.150001525878913</v>
      </c>
      <c r="E4552">
        <f t="shared" si="284"/>
        <v>4.0193628898819125E-2</v>
      </c>
      <c r="F4552">
        <f t="shared" si="285"/>
        <v>2.7731118081998542E-2</v>
      </c>
      <c r="G4552">
        <f t="shared" si="286"/>
        <v>5.0728302001952841</v>
      </c>
      <c r="H4552">
        <f t="shared" si="287"/>
        <v>1.6500015258789134</v>
      </c>
    </row>
    <row r="4553" spans="1:8" x14ac:dyDescent="0.2">
      <c r="A4553" t="s">
        <v>14</v>
      </c>
      <c r="B4553" s="2">
        <v>46036</v>
      </c>
      <c r="C4553">
        <v>135.37043762207031</v>
      </c>
      <c r="D4553">
        <f>_xlfn.XLOOKUP(B4553, Oil_Price!A:A, Oil_Price!B:B, "")</f>
        <v>62.020000457763672</v>
      </c>
      <c r="E4553">
        <f t="shared" si="284"/>
        <v>3.1137392707984286E-2</v>
      </c>
      <c r="F4553">
        <f t="shared" si="285"/>
        <v>1.4227292071555741E-2</v>
      </c>
      <c r="G4553">
        <f t="shared" si="286"/>
        <v>4.087799072265625</v>
      </c>
      <c r="H4553">
        <f t="shared" si="287"/>
        <v>0.86999893188475852</v>
      </c>
    </row>
    <row r="4554" spans="1:8" x14ac:dyDescent="0.2">
      <c r="A4554" t="s">
        <v>14</v>
      </c>
      <c r="B4554" s="2">
        <v>46037</v>
      </c>
      <c r="C4554">
        <v>131.88349914550781</v>
      </c>
      <c r="D4554">
        <f>_xlfn.XLOOKUP(B4554, Oil_Price!A:A, Oil_Price!B:B, "")</f>
        <v>59.189998626708977</v>
      </c>
      <c r="E4554">
        <f t="shared" si="284"/>
        <v>-2.575849304925348E-2</v>
      </c>
      <c r="F4554">
        <f t="shared" si="285"/>
        <v>-4.5630470979792365E-2</v>
      </c>
      <c r="G4554">
        <f t="shared" si="286"/>
        <v>-3.4869384765625</v>
      </c>
      <c r="H4554">
        <f t="shared" si="287"/>
        <v>-2.8300018310546946</v>
      </c>
    </row>
    <row r="4555" spans="1:8" x14ac:dyDescent="0.2">
      <c r="A4555" t="s">
        <v>14</v>
      </c>
      <c r="B4555" s="2">
        <v>46038</v>
      </c>
      <c r="C4555">
        <v>134.19828796386719</v>
      </c>
      <c r="D4555">
        <f>_xlfn.XLOOKUP(B4555, Oil_Price!A:A, Oil_Price!B:B, "")</f>
        <v>59.439998626708977</v>
      </c>
      <c r="E4555">
        <f t="shared" si="284"/>
        <v>1.7551769807119352E-2</v>
      </c>
      <c r="F4555">
        <f t="shared" si="285"/>
        <v>4.2236865315146274E-3</v>
      </c>
      <c r="G4555">
        <f t="shared" si="286"/>
        <v>2.314788818359375</v>
      </c>
      <c r="H4555">
        <f t="shared" si="287"/>
        <v>0.25</v>
      </c>
    </row>
    <row r="4556" spans="1:8" x14ac:dyDescent="0.2">
      <c r="A4556" t="s">
        <v>14</v>
      </c>
      <c r="B4556" s="2">
        <v>46041</v>
      </c>
      <c r="C4556">
        <v>134.11946105957031</v>
      </c>
      <c r="D4556" t="str">
        <f>_xlfn.XLOOKUP(B4556, Oil_Price!A:A, Oil_Price!B:B, "")</f>
        <v/>
      </c>
      <c r="E4556">
        <f t="shared" si="284"/>
        <v>-5.8739128116223882E-4</v>
      </c>
      <c r="F4556" t="str">
        <f t="shared" si="285"/>
        <v/>
      </c>
      <c r="G4556">
        <f t="shared" si="286"/>
        <v>-7.8826904296875E-2</v>
      </c>
      <c r="H4556" t="str">
        <f t="shared" si="287"/>
        <v/>
      </c>
    </row>
    <row r="4557" spans="1:8" x14ac:dyDescent="0.2">
      <c r="A4557" t="s">
        <v>14</v>
      </c>
      <c r="B4557" s="2">
        <v>46042</v>
      </c>
      <c r="C4557">
        <v>132.6715087890625</v>
      </c>
      <c r="D4557">
        <f>_xlfn.XLOOKUP(B4557, Oil_Price!A:A, Oil_Price!B:B, "")</f>
        <v>60.340000152587891</v>
      </c>
      <c r="E4557">
        <f t="shared" si="284"/>
        <v>-1.0795989329726668E-2</v>
      </c>
      <c r="F4557" t="str">
        <f t="shared" si="285"/>
        <v/>
      </c>
      <c r="G4557">
        <f t="shared" si="286"/>
        <v>-1.4479522705078125</v>
      </c>
      <c r="H4557" t="str">
        <f t="shared" si="287"/>
        <v/>
      </c>
    </row>
    <row r="4558" spans="1:8" x14ac:dyDescent="0.2">
      <c r="A4558" t="s">
        <v>14</v>
      </c>
      <c r="B4558" s="2">
        <v>46043</v>
      </c>
      <c r="C4558">
        <v>136.39485168457031</v>
      </c>
      <c r="D4558">
        <f>_xlfn.XLOOKUP(B4558, Oil_Price!A:A, Oil_Price!B:B, "")</f>
        <v>60.619998931884773</v>
      </c>
      <c r="E4558">
        <f t="shared" si="284"/>
        <v>2.8064374404813935E-2</v>
      </c>
      <c r="F4558">
        <f t="shared" si="285"/>
        <v>4.6403509875508906E-3</v>
      </c>
      <c r="G4558">
        <f t="shared" si="286"/>
        <v>3.7233428955078125</v>
      </c>
      <c r="H4558">
        <f t="shared" si="287"/>
        <v>0.27999877929688211</v>
      </c>
    </row>
    <row r="4559" spans="1:8" x14ac:dyDescent="0.2">
      <c r="A4559" t="s">
        <v>14</v>
      </c>
      <c r="B4559" s="2">
        <v>46044</v>
      </c>
      <c r="C4559">
        <v>134.8188171386719</v>
      </c>
      <c r="D4559">
        <f>_xlfn.XLOOKUP(B4559, Oil_Price!A:A, Oil_Price!B:B, "")</f>
        <v>59.360000610351562</v>
      </c>
      <c r="E4559">
        <f t="shared" si="284"/>
        <v>-1.1554941601045036E-2</v>
      </c>
      <c r="F4559">
        <f t="shared" si="285"/>
        <v>-2.0785192077436333E-2</v>
      </c>
      <c r="G4559">
        <f t="shared" si="286"/>
        <v>-1.5760345458984091</v>
      </c>
      <c r="H4559">
        <f t="shared" si="287"/>
        <v>-1.2599983215332102</v>
      </c>
    </row>
    <row r="4560" spans="1:8" x14ac:dyDescent="0.2">
      <c r="A4560" t="s">
        <v>14</v>
      </c>
      <c r="B4560" s="2">
        <v>46045</v>
      </c>
      <c r="C4560">
        <v>136.47364807128909</v>
      </c>
      <c r="D4560">
        <f>_xlfn.XLOOKUP(B4560, Oil_Price!A:A, Oil_Price!B:B, "")</f>
        <v>61.069999694824219</v>
      </c>
      <c r="E4560">
        <f t="shared" si="284"/>
        <v>1.2274480430391716E-2</v>
      </c>
      <c r="F4560">
        <f t="shared" si="285"/>
        <v>2.8807261908525925E-2</v>
      </c>
      <c r="G4560">
        <f t="shared" si="286"/>
        <v>1.6548309326171875</v>
      </c>
      <c r="H4560">
        <f t="shared" si="287"/>
        <v>1.7099990844726562</v>
      </c>
    </row>
    <row r="4561" spans="1:8" x14ac:dyDescent="0.2">
      <c r="A4561" t="s">
        <v>14</v>
      </c>
      <c r="B4561" s="2">
        <v>46048</v>
      </c>
      <c r="C4561">
        <v>137.07450866699219</v>
      </c>
      <c r="D4561">
        <f>_xlfn.XLOOKUP(B4561, Oil_Price!A:A, Oil_Price!B:B, "")</f>
        <v>60.630001068115227</v>
      </c>
      <c r="E4561">
        <f t="shared" si="284"/>
        <v>4.4027590981463903E-3</v>
      </c>
      <c r="F4561">
        <f t="shared" si="285"/>
        <v>-7.204824445844595E-3</v>
      </c>
      <c r="G4561">
        <f t="shared" si="286"/>
        <v>0.60086059570309658</v>
      </c>
      <c r="H4561">
        <f t="shared" si="287"/>
        <v>-0.43999862670899148</v>
      </c>
    </row>
    <row r="4562" spans="1:8" x14ac:dyDescent="0.2">
      <c r="A4562" t="s">
        <v>14</v>
      </c>
      <c r="B4562" s="2">
        <v>46049</v>
      </c>
      <c r="C4562">
        <v>137.951171875</v>
      </c>
      <c r="D4562">
        <f>_xlfn.XLOOKUP(B4562, Oil_Price!A:A, Oil_Price!B:B, "")</f>
        <v>62.389999389648438</v>
      </c>
      <c r="E4562">
        <f t="shared" si="284"/>
        <v>6.3955232561699101E-3</v>
      </c>
      <c r="F4562">
        <f t="shared" si="285"/>
        <v>2.9028505534016518E-2</v>
      </c>
      <c r="G4562">
        <f t="shared" si="286"/>
        <v>0.8766632080078125</v>
      </c>
      <c r="H4562">
        <f t="shared" si="287"/>
        <v>1.7599983215332102</v>
      </c>
    </row>
    <row r="4563" spans="1:8" x14ac:dyDescent="0.2">
      <c r="A4563" t="s">
        <v>14</v>
      </c>
      <c r="B4563" s="2">
        <v>46050</v>
      </c>
      <c r="C4563">
        <v>138.1186218261719</v>
      </c>
      <c r="D4563">
        <f>_xlfn.XLOOKUP(B4563, Oil_Price!A:A, Oil_Price!B:B, "")</f>
        <v>63.209999084472663</v>
      </c>
      <c r="E4563">
        <f t="shared" si="284"/>
        <v>1.2138349308379402E-3</v>
      </c>
      <c r="F4563">
        <f t="shared" si="285"/>
        <v>1.314312714932127E-2</v>
      </c>
      <c r="G4563">
        <f t="shared" si="286"/>
        <v>0.16744995117190342</v>
      </c>
      <c r="H4563">
        <f t="shared" si="287"/>
        <v>0.81999969482422586</v>
      </c>
    </row>
    <row r="4564" spans="1:8" x14ac:dyDescent="0.2">
      <c r="A4564" t="s">
        <v>14</v>
      </c>
      <c r="B4564" s="2">
        <v>46051</v>
      </c>
      <c r="C4564">
        <v>140.5023498535156</v>
      </c>
      <c r="D4564">
        <f>_xlfn.XLOOKUP(B4564, Oil_Price!A:A, Oil_Price!B:B, "")</f>
        <v>65.419998168945312</v>
      </c>
      <c r="E4564">
        <f t="shared" si="284"/>
        <v>1.7258556419305394E-2</v>
      </c>
      <c r="F4564">
        <f t="shared" si="285"/>
        <v>3.4962808360734947E-2</v>
      </c>
      <c r="G4564">
        <f t="shared" si="286"/>
        <v>2.3837280273436932</v>
      </c>
      <c r="H4564">
        <f t="shared" si="287"/>
        <v>2.2099990844726491</v>
      </c>
    </row>
    <row r="4565" spans="1:8" x14ac:dyDescent="0.2">
      <c r="A4565" t="s">
        <v>14</v>
      </c>
      <c r="B4565" s="2">
        <v>46052</v>
      </c>
      <c r="C4565">
        <v>135.50834655761719</v>
      </c>
      <c r="D4565">
        <f>_xlfn.XLOOKUP(B4565, Oil_Price!A:A, Oil_Price!B:B, "")</f>
        <v>65.209999084472656</v>
      </c>
      <c r="E4565">
        <f t="shared" si="284"/>
        <v>-3.5543912974445181E-2</v>
      </c>
      <c r="F4565">
        <f t="shared" si="285"/>
        <v>-3.2100136097579749E-3</v>
      </c>
      <c r="G4565">
        <f t="shared" si="286"/>
        <v>-4.9940032958984091</v>
      </c>
      <c r="H4565">
        <f t="shared" si="287"/>
        <v>-0.20999908447265625</v>
      </c>
    </row>
    <row r="4566" spans="1:8" x14ac:dyDescent="0.2">
      <c r="A4566" t="s">
        <v>14</v>
      </c>
      <c r="B4566" s="2">
        <v>46055</v>
      </c>
      <c r="C4566">
        <v>138.16789245605469</v>
      </c>
      <c r="D4566">
        <f>_xlfn.XLOOKUP(B4566, Oil_Price!A:A, Oil_Price!B:B, "")</f>
        <v>62.139999389648438</v>
      </c>
      <c r="E4566">
        <f t="shared" si="284"/>
        <v>1.962643605356575E-2</v>
      </c>
      <c r="F4566">
        <f t="shared" si="285"/>
        <v>-4.7078664896887348E-2</v>
      </c>
      <c r="G4566">
        <f t="shared" si="286"/>
        <v>2.6595458984375</v>
      </c>
      <c r="H4566">
        <f t="shared" si="287"/>
        <v>-3.0699996948242188</v>
      </c>
    </row>
    <row r="4567" spans="1:8" x14ac:dyDescent="0.2">
      <c r="A4567" t="s">
        <v>14</v>
      </c>
      <c r="B4567" s="2">
        <v>46056</v>
      </c>
      <c r="C4567">
        <v>143.51649475097659</v>
      </c>
      <c r="D4567">
        <f>_xlfn.XLOOKUP(B4567, Oil_Price!A:A, Oil_Price!B:B, "")</f>
        <v>63.209999084472663</v>
      </c>
      <c r="E4567">
        <f t="shared" si="284"/>
        <v>3.8710891509205481E-2</v>
      </c>
      <c r="F4567">
        <f t="shared" si="285"/>
        <v>1.7219177749178916E-2</v>
      </c>
      <c r="G4567">
        <f t="shared" si="286"/>
        <v>5.3486022949219034</v>
      </c>
      <c r="H4567">
        <f t="shared" si="287"/>
        <v>1.0699996948242259</v>
      </c>
    </row>
    <row r="4568" spans="1:8" x14ac:dyDescent="0.2">
      <c r="A4568" t="s">
        <v>14</v>
      </c>
      <c r="B4568" s="2">
        <v>46057</v>
      </c>
      <c r="C4568">
        <v>148.65826416015619</v>
      </c>
      <c r="D4568">
        <f>_xlfn.XLOOKUP(B4568, Oil_Price!A:A, Oil_Price!B:B, "")</f>
        <v>65.139999389648438</v>
      </c>
      <c r="E4568">
        <f t="shared" si="284"/>
        <v>3.5827027535067453E-2</v>
      </c>
      <c r="F4568">
        <f t="shared" si="285"/>
        <v>3.0533148760159889E-2</v>
      </c>
      <c r="G4568">
        <f t="shared" si="286"/>
        <v>5.1417694091796022</v>
      </c>
      <c r="H4568">
        <f t="shared" si="287"/>
        <v>1.9300003051757741</v>
      </c>
    </row>
    <row r="4569" spans="1:8" x14ac:dyDescent="0.2">
      <c r="A4569" t="s">
        <v>14</v>
      </c>
      <c r="B4569" s="2">
        <v>46058</v>
      </c>
      <c r="C4569">
        <v>146.26469421386719</v>
      </c>
      <c r="D4569">
        <f>_xlfn.XLOOKUP(B4569, Oil_Price!A:A, Oil_Price!B:B, "")</f>
        <v>63.290000915527337</v>
      </c>
      <c r="E4569">
        <f t="shared" si="284"/>
        <v>-1.6101156298383153E-2</v>
      </c>
      <c r="F4569">
        <f t="shared" si="285"/>
        <v>-2.8400345278711943E-2</v>
      </c>
      <c r="G4569">
        <f t="shared" si="286"/>
        <v>-2.3935699462890057</v>
      </c>
      <c r="H4569">
        <f t="shared" si="287"/>
        <v>-1.8499984741211009</v>
      </c>
    </row>
    <row r="4570" spans="1:8" x14ac:dyDescent="0.2">
      <c r="A4570" t="s">
        <v>14</v>
      </c>
      <c r="B4570" s="2">
        <v>46059</v>
      </c>
      <c r="C4570">
        <v>151.37690734863281</v>
      </c>
      <c r="D4570">
        <f>_xlfn.XLOOKUP(B4570, Oil_Price!A:A, Oil_Price!B:B, "")</f>
        <v>63.549999237060547</v>
      </c>
      <c r="E4570">
        <f t="shared" si="284"/>
        <v>3.4951791765212896E-2</v>
      </c>
      <c r="F4570">
        <f t="shared" si="285"/>
        <v>4.1080473656530348E-3</v>
      </c>
      <c r="G4570">
        <f t="shared" si="286"/>
        <v>5.112213134765625</v>
      </c>
      <c r="H4570">
        <f t="shared" si="287"/>
        <v>0.25999832153321023</v>
      </c>
    </row>
    <row r="4571" spans="1:8" x14ac:dyDescent="0.2">
      <c r="A4571" t="s">
        <v>14</v>
      </c>
      <c r="B4571" s="2">
        <v>46062</v>
      </c>
      <c r="C4571">
        <v>152.42103576660159</v>
      </c>
      <c r="D4571">
        <f>_xlfn.XLOOKUP(B4571, Oil_Price!A:A, Oil_Price!B:B, "")</f>
        <v>64.360000610351562</v>
      </c>
      <c r="E4571">
        <f t="shared" si="284"/>
        <v>6.8975409542756036E-3</v>
      </c>
      <c r="F4571">
        <f t="shared" si="285"/>
        <v>1.2745891156811311E-2</v>
      </c>
      <c r="G4571">
        <f t="shared" si="286"/>
        <v>1.0441284179687784</v>
      </c>
      <c r="H4571">
        <f t="shared" si="287"/>
        <v>0.81000137329101562</v>
      </c>
    </row>
    <row r="4572" spans="1:8" x14ac:dyDescent="0.2">
      <c r="A4572" t="s">
        <v>14</v>
      </c>
      <c r="B4572" s="2">
        <v>46063</v>
      </c>
      <c r="C4572">
        <v>152.70668029785159</v>
      </c>
      <c r="D4572">
        <f>_xlfn.XLOOKUP(B4572, Oil_Price!A:A, Oil_Price!B:B, "")</f>
        <v>63.959999084472663</v>
      </c>
      <c r="E4572">
        <f t="shared" si="284"/>
        <v>1.8740492728798938E-3</v>
      </c>
      <c r="F4572">
        <f t="shared" si="285"/>
        <v>-6.2150640473201541E-3</v>
      </c>
      <c r="G4572">
        <f t="shared" si="286"/>
        <v>0.28564453125</v>
      </c>
      <c r="H4572">
        <f t="shared" si="287"/>
        <v>-0.40000152587889914</v>
      </c>
    </row>
    <row r="4573" spans="1:8" x14ac:dyDescent="0.2">
      <c r="A4573" t="s">
        <v>14</v>
      </c>
      <c r="B4573" s="2">
        <v>46064</v>
      </c>
      <c r="C4573">
        <v>159.8086242675781</v>
      </c>
      <c r="D4573">
        <f>_xlfn.XLOOKUP(B4573, Oil_Price!A:A, Oil_Price!B:B, "")</f>
        <v>64.629997253417969</v>
      </c>
      <c r="E4573">
        <f t="shared" si="284"/>
        <v>4.6507094227143789E-2</v>
      </c>
      <c r="F4573">
        <f t="shared" si="285"/>
        <v>1.0475268582484367E-2</v>
      </c>
      <c r="G4573">
        <f t="shared" si="286"/>
        <v>7.1019439697265057</v>
      </c>
      <c r="H4573">
        <f t="shared" si="287"/>
        <v>0.66999816894530539</v>
      </c>
    </row>
    <row r="4574" spans="1:8" x14ac:dyDescent="0.2">
      <c r="A4574" t="s">
        <v>14</v>
      </c>
      <c r="B4574" s="2">
        <v>46065</v>
      </c>
      <c r="C4574">
        <v>156.12467956542969</v>
      </c>
      <c r="D4574">
        <f>_xlfn.XLOOKUP(B4574, Oil_Price!A:A, Oil_Price!B:B, "")</f>
        <v>62.840000152587891</v>
      </c>
      <c r="E4574">
        <f t="shared" si="284"/>
        <v>-2.3052227118732577E-2</v>
      </c>
      <c r="F4574">
        <f t="shared" si="285"/>
        <v>-2.7696072673674976E-2</v>
      </c>
      <c r="G4574">
        <f t="shared" si="286"/>
        <v>-3.6839447021484091</v>
      </c>
      <c r="H4574">
        <f t="shared" si="287"/>
        <v>-1.7899971008300781</v>
      </c>
    </row>
    <row r="4575" spans="1:8" x14ac:dyDescent="0.2">
      <c r="A4575" t="s">
        <v>14</v>
      </c>
      <c r="B4575" s="2">
        <v>46066</v>
      </c>
      <c r="C4575">
        <v>160.8034973144531</v>
      </c>
      <c r="D4575">
        <f>_xlfn.XLOOKUP(B4575, Oil_Price!A:A, Oil_Price!B:B, "")</f>
        <v>62.889999389648438</v>
      </c>
      <c r="E4575">
        <f t="shared" si="284"/>
        <v>2.9968469828388543E-2</v>
      </c>
      <c r="F4575">
        <f t="shared" si="285"/>
        <v>7.9565940386917388E-4</v>
      </c>
      <c r="G4575">
        <f t="shared" si="286"/>
        <v>4.6788177490234091</v>
      </c>
      <c r="H4575">
        <f t="shared" si="287"/>
        <v>4.9999237060546875E-2</v>
      </c>
    </row>
    <row r="4576" spans="1:8" x14ac:dyDescent="0.2">
      <c r="A4576" t="s">
        <v>14</v>
      </c>
      <c r="B4576" s="2">
        <v>46070</v>
      </c>
      <c r="C4576">
        <v>157.34611511230469</v>
      </c>
      <c r="D4576">
        <f>_xlfn.XLOOKUP(B4576, Oil_Price!A:A, Oil_Price!B:B, "")</f>
        <v>62.330001831054688</v>
      </c>
      <c r="E4576">
        <f t="shared" si="284"/>
        <v>-2.1500665469902425E-2</v>
      </c>
      <c r="F4576">
        <f t="shared" si="285"/>
        <v>-8.9043975835357454E-3</v>
      </c>
      <c r="G4576">
        <f t="shared" si="286"/>
        <v>-3.4573822021484091</v>
      </c>
      <c r="H4576">
        <f t="shared" si="287"/>
        <v>-0.55999755859375</v>
      </c>
    </row>
    <row r="4577" spans="1:8" x14ac:dyDescent="0.2">
      <c r="A4577" t="s">
        <v>14</v>
      </c>
      <c r="B4577" s="2">
        <v>46071</v>
      </c>
      <c r="C4577">
        <v>162.27116394042969</v>
      </c>
      <c r="D4577">
        <f>_xlfn.XLOOKUP(B4577, Oil_Price!A:A, Oil_Price!B:B, "")</f>
        <v>65.19000244140625</v>
      </c>
      <c r="E4577">
        <f t="shared" si="284"/>
        <v>3.1300733574577175E-2</v>
      </c>
      <c r="F4577">
        <f t="shared" si="285"/>
        <v>4.5884815118465531E-2</v>
      </c>
      <c r="G4577">
        <f t="shared" si="286"/>
        <v>4.925048828125</v>
      </c>
      <c r="H4577">
        <f t="shared" si="287"/>
        <v>2.8600006103515625</v>
      </c>
    </row>
    <row r="4578" spans="1:8" x14ac:dyDescent="0.2">
      <c r="A4578" t="s">
        <v>14</v>
      </c>
      <c r="B4578" s="2">
        <v>46072</v>
      </c>
      <c r="C4578">
        <v>165.4527587890625</v>
      </c>
      <c r="D4578">
        <f>_xlfn.XLOOKUP(B4578, Oil_Price!A:A, Oil_Price!B:B, "")</f>
        <v>66.430000305175781</v>
      </c>
      <c r="E4578">
        <f t="shared" si="284"/>
        <v>1.9606655744459855E-2</v>
      </c>
      <c r="F4578">
        <f t="shared" si="285"/>
        <v>1.9021288807038472E-2</v>
      </c>
      <c r="G4578">
        <f t="shared" si="286"/>
        <v>3.1815948486328125</v>
      </c>
      <c r="H4578">
        <f t="shared" si="287"/>
        <v>1.2399978637695312</v>
      </c>
    </row>
    <row r="4579" spans="1:8" x14ac:dyDescent="0.2">
      <c r="A4579" t="s">
        <v>14</v>
      </c>
      <c r="B4579" s="2">
        <v>46073</v>
      </c>
      <c r="C4579">
        <v>162.48786926269531</v>
      </c>
      <c r="D4579">
        <f>_xlfn.XLOOKUP(B4579, Oil_Price!A:A, Oil_Price!B:B, "")</f>
        <v>66.389999389648438</v>
      </c>
      <c r="E4579">
        <f t="shared" si="284"/>
        <v>-1.7919855480603722E-2</v>
      </c>
      <c r="F4579">
        <f t="shared" si="285"/>
        <v>-6.0215136750838081E-4</v>
      </c>
      <c r="G4579">
        <f t="shared" si="286"/>
        <v>-2.9648895263671875</v>
      </c>
      <c r="H4579">
        <f t="shared" si="287"/>
        <v>-4.000091552734375E-2</v>
      </c>
    </row>
    <row r="4580" spans="1:8" x14ac:dyDescent="0.2">
      <c r="A4580" t="s">
        <v>14</v>
      </c>
      <c r="B4580" s="2">
        <v>46076</v>
      </c>
      <c r="C4580">
        <v>160.06474304199219</v>
      </c>
      <c r="D4580">
        <f>_xlfn.XLOOKUP(B4580, Oil_Price!A:A, Oil_Price!B:B, "")</f>
        <v>66.30999755859375</v>
      </c>
      <c r="E4580">
        <f t="shared" si="284"/>
        <v>-1.4912659213874233E-2</v>
      </c>
      <c r="F4580">
        <f t="shared" si="285"/>
        <v>-1.2050283444822779E-3</v>
      </c>
      <c r="G4580">
        <f t="shared" si="286"/>
        <v>-2.423126220703125</v>
      </c>
      <c r="H4580">
        <f t="shared" si="287"/>
        <v>-8.00018310546875E-2</v>
      </c>
    </row>
    <row r="4581" spans="1:8" x14ac:dyDescent="0.2">
      <c r="A4581" t="s">
        <v>14</v>
      </c>
      <c r="B4581" s="2">
        <v>46077</v>
      </c>
      <c r="C4581">
        <v>155.85871887207031</v>
      </c>
      <c r="D4581">
        <f>_xlfn.XLOOKUP(B4581, Oil_Price!A:A, Oil_Price!B:B, "")</f>
        <v>65.629997253417969</v>
      </c>
      <c r="E4581">
        <f t="shared" si="284"/>
        <v>-2.6277018223922338E-2</v>
      </c>
      <c r="F4581">
        <f t="shared" si="285"/>
        <v>-1.025486849965437E-2</v>
      </c>
      <c r="G4581">
        <f t="shared" si="286"/>
        <v>-4.206024169921875</v>
      </c>
      <c r="H4581">
        <f t="shared" si="287"/>
        <v>-0.68000030517578125</v>
      </c>
    </row>
    <row r="4582" spans="1:8" x14ac:dyDescent="0.2">
      <c r="A4582" t="s">
        <v>14</v>
      </c>
      <c r="B4582" s="2">
        <v>46078</v>
      </c>
      <c r="C4582">
        <v>156.64674377441409</v>
      </c>
      <c r="D4582">
        <f>_xlfn.XLOOKUP(B4582, Oil_Price!A:A, Oil_Price!B:B, "")</f>
        <v>65.419998168945312</v>
      </c>
      <c r="E4582">
        <f t="shared" si="284"/>
        <v>5.0560206579818839E-3</v>
      </c>
      <c r="F4582">
        <f t="shared" si="285"/>
        <v>-3.1997423931283135E-3</v>
      </c>
      <c r="G4582">
        <f t="shared" si="286"/>
        <v>0.78802490234377842</v>
      </c>
      <c r="H4582">
        <f t="shared" si="287"/>
        <v>-0.20999908447265625</v>
      </c>
    </row>
    <row r="4583" spans="1:8" x14ac:dyDescent="0.2">
      <c r="A4583" t="s">
        <v>14</v>
      </c>
      <c r="B4583" s="2">
        <v>46079</v>
      </c>
      <c r="C4583">
        <v>157.21803283691409</v>
      </c>
      <c r="D4583">
        <f>_xlfn.XLOOKUP(B4583, Oil_Price!A:A, Oil_Price!B:B, "")</f>
        <v>65.209999084472656</v>
      </c>
      <c r="E4583">
        <f t="shared" si="284"/>
        <v>3.6469897090405496E-3</v>
      </c>
      <c r="F4583">
        <f t="shared" si="285"/>
        <v>-3.2100136097579749E-3</v>
      </c>
      <c r="G4583">
        <f t="shared" si="286"/>
        <v>0.5712890625</v>
      </c>
      <c r="H4583">
        <f t="shared" si="287"/>
        <v>-0.20999908447265625</v>
      </c>
    </row>
    <row r="4584" spans="1:8" x14ac:dyDescent="0.2">
      <c r="A4584" t="s">
        <v>14</v>
      </c>
      <c r="B4584" s="2">
        <v>46080</v>
      </c>
      <c r="C4584">
        <v>157.15895080566409</v>
      </c>
      <c r="D4584">
        <f>_xlfn.XLOOKUP(B4584, Oil_Price!A:A, Oil_Price!B:B, "")</f>
        <v>67.019996643066406</v>
      </c>
      <c r="E4584">
        <f t="shared" si="284"/>
        <v>-3.7579678478287006E-4</v>
      </c>
      <c r="F4584">
        <f t="shared" si="285"/>
        <v>2.7756442018180214E-2</v>
      </c>
      <c r="G4584">
        <f t="shared" si="286"/>
        <v>-5.908203125E-2</v>
      </c>
      <c r="H4584">
        <f t="shared" si="287"/>
        <v>1.80999755859375</v>
      </c>
    </row>
    <row r="4585" spans="1:8" x14ac:dyDescent="0.2">
      <c r="A4585" t="s">
        <v>14</v>
      </c>
      <c r="B4585" s="2">
        <v>46083</v>
      </c>
      <c r="C4585">
        <v>159.8480224609375</v>
      </c>
      <c r="D4585">
        <f>_xlfn.XLOOKUP(B4585, Oil_Price!A:A, Oil_Price!B:B, "")</f>
        <v>71.230003356933594</v>
      </c>
      <c r="E4585">
        <f t="shared" si="284"/>
        <v>1.7110521809213387E-2</v>
      </c>
      <c r="F4585">
        <f t="shared" si="285"/>
        <v>6.2817172854972625E-2</v>
      </c>
      <c r="G4585">
        <f t="shared" si="286"/>
        <v>2.6890716552734091</v>
      </c>
      <c r="H4585">
        <f t="shared" si="287"/>
        <v>4.2100067138671875</v>
      </c>
    </row>
    <row r="4586" spans="1:8" x14ac:dyDescent="0.2">
      <c r="A4586" t="s">
        <v>14</v>
      </c>
      <c r="B4586" s="2">
        <v>46084</v>
      </c>
      <c r="C4586">
        <v>160.96110534667969</v>
      </c>
      <c r="D4586">
        <f>_xlfn.XLOOKUP(B4586, Oil_Price!A:A, Oil_Price!B:B, "")</f>
        <v>74.55999755859375</v>
      </c>
      <c r="E4586">
        <f t="shared" si="284"/>
        <v>6.9633822715210293E-3</v>
      </c>
      <c r="F4586">
        <f t="shared" si="285"/>
        <v>4.6749881296137996E-2</v>
      </c>
      <c r="G4586">
        <f t="shared" si="286"/>
        <v>1.1130828857421875</v>
      </c>
      <c r="H4586">
        <f t="shared" si="287"/>
        <v>3.3299942016601562</v>
      </c>
    </row>
    <row r="4587" spans="1:8" x14ac:dyDescent="0.2">
      <c r="A4587" t="s">
        <v>14</v>
      </c>
      <c r="B4587" s="2">
        <v>46085</v>
      </c>
      <c r="C4587">
        <v>160.8034973144531</v>
      </c>
      <c r="D4587">
        <f>_xlfn.XLOOKUP(B4587, Oil_Price!A:A, Oil_Price!B:B, "")</f>
        <v>74.660003662109375</v>
      </c>
      <c r="E4587">
        <f t="shared" si="284"/>
        <v>-9.7916842635451039E-4</v>
      </c>
      <c r="F4587">
        <f t="shared" si="285"/>
        <v>1.3412836211137771E-3</v>
      </c>
      <c r="G4587">
        <f t="shared" si="286"/>
        <v>-0.15760803222659092</v>
      </c>
      <c r="H4587">
        <f t="shared" si="287"/>
        <v>0.100006103515625</v>
      </c>
    </row>
    <row r="4588" spans="1:8" x14ac:dyDescent="0.2">
      <c r="A4588" t="s">
        <v>14</v>
      </c>
      <c r="B4588" s="2">
        <v>46086</v>
      </c>
      <c r="C4588">
        <v>161.03126525878909</v>
      </c>
      <c r="D4588">
        <f>_xlfn.XLOOKUP(B4588, Oil_Price!A:A, Oil_Price!B:B, "")</f>
        <v>81.010002136230469</v>
      </c>
      <c r="E4588">
        <f t="shared" si="284"/>
        <v>1.4164365087818425E-3</v>
      </c>
      <c r="F4588">
        <f t="shared" si="285"/>
        <v>8.5052212197302302E-2</v>
      </c>
      <c r="G4588">
        <f t="shared" si="286"/>
        <v>0.22776794433599434</v>
      </c>
      <c r="H4588">
        <f t="shared" si="287"/>
        <v>6.3499984741210938</v>
      </c>
    </row>
    <row r="4589" spans="1:8" x14ac:dyDescent="0.2">
      <c r="A4589" t="s">
        <v>14</v>
      </c>
      <c r="B4589" s="2">
        <v>46087</v>
      </c>
      <c r="C4589">
        <v>159.06056213378909</v>
      </c>
      <c r="D4589">
        <f>_xlfn.XLOOKUP(B4589, Oil_Price!A:A, Oil_Price!B:B, "")</f>
        <v>90.900001525878906</v>
      </c>
      <c r="E4589">
        <f t="shared" si="284"/>
        <v>-1.2238015529673291E-2</v>
      </c>
      <c r="F4589">
        <f t="shared" si="285"/>
        <v>0.12208368261757259</v>
      </c>
      <c r="G4589">
        <f t="shared" si="286"/>
        <v>-1.970703125</v>
      </c>
      <c r="H4589">
        <f t="shared" si="287"/>
        <v>9.8899993896484375</v>
      </c>
    </row>
    <row r="4590" spans="1:8" x14ac:dyDescent="0.2">
      <c r="A4590" t="s">
        <v>14</v>
      </c>
      <c r="B4590" s="2">
        <v>46090</v>
      </c>
      <c r="C4590">
        <v>160.95204162597659</v>
      </c>
      <c r="D4590">
        <f>_xlfn.XLOOKUP(B4590, Oil_Price!A:A, Oil_Price!B:B, "")</f>
        <v>94.769996643066406</v>
      </c>
      <c r="E4590">
        <f t="shared" si="284"/>
        <v>1.1891568009149483E-2</v>
      </c>
      <c r="F4590">
        <f t="shared" si="285"/>
        <v>4.2574202994768114E-2</v>
      </c>
      <c r="G4590">
        <f t="shared" si="286"/>
        <v>1.8914794921875</v>
      </c>
      <c r="H4590">
        <f t="shared" si="287"/>
        <v>3.8699951171875</v>
      </c>
    </row>
    <row r="4591" spans="1:8" x14ac:dyDescent="0.2">
      <c r="A4591" t="s">
        <v>14</v>
      </c>
      <c r="B4591" s="2">
        <v>46091</v>
      </c>
      <c r="C4591">
        <v>158.5654296875</v>
      </c>
      <c r="D4591">
        <f>_xlfn.XLOOKUP(B4591, Oil_Price!A:A, Oil_Price!B:B, "")</f>
        <v>83.449996948242188</v>
      </c>
      <c r="E4591">
        <f t="shared" si="284"/>
        <v>-1.4828093600841951E-2</v>
      </c>
      <c r="F4591">
        <f t="shared" si="285"/>
        <v>-0.11944708342091533</v>
      </c>
      <c r="G4591">
        <f t="shared" si="286"/>
        <v>-2.3866119384765909</v>
      </c>
      <c r="H4591">
        <f t="shared" si="287"/>
        <v>-11.319999694824219</v>
      </c>
    </row>
    <row r="4592" spans="1:8" x14ac:dyDescent="0.2">
      <c r="A4592" t="s">
        <v>14</v>
      </c>
      <c r="B4592" s="2">
        <v>46092</v>
      </c>
      <c r="C4592">
        <v>161.59571838378909</v>
      </c>
      <c r="D4592">
        <f>_xlfn.XLOOKUP(B4592, Oil_Price!A:A, Oil_Price!B:B, "")</f>
        <v>87.25</v>
      </c>
      <c r="E4592">
        <f t="shared" si="284"/>
        <v>1.9110651686569825E-2</v>
      </c>
      <c r="F4592">
        <f t="shared" si="285"/>
        <v>4.5536287486201719E-2</v>
      </c>
      <c r="G4592">
        <f t="shared" si="286"/>
        <v>3.0302886962890909</v>
      </c>
      <c r="H4592">
        <f t="shared" si="287"/>
        <v>3.8000030517578125</v>
      </c>
    </row>
    <row r="4593" spans="1:8" x14ac:dyDescent="0.2">
      <c r="A4593" t="s">
        <v>14</v>
      </c>
      <c r="B4593" s="2">
        <v>46093</v>
      </c>
      <c r="C4593">
        <v>163.98231506347659</v>
      </c>
      <c r="D4593">
        <f>_xlfn.XLOOKUP(B4593, Oil_Price!A:A, Oil_Price!B:B, "")</f>
        <v>95.730003356933594</v>
      </c>
      <c r="E4593">
        <f t="shared" si="284"/>
        <v>1.4768935115095957E-2</v>
      </c>
      <c r="F4593">
        <f t="shared" si="285"/>
        <v>9.719201555224749E-2</v>
      </c>
      <c r="G4593">
        <f t="shared" si="286"/>
        <v>2.3865966796875</v>
      </c>
      <c r="H4593">
        <f t="shared" si="287"/>
        <v>8.4800033569335938</v>
      </c>
    </row>
    <row r="4594" spans="1:8" x14ac:dyDescent="0.2">
      <c r="A4594" t="s">
        <v>14</v>
      </c>
      <c r="B4594" s="2">
        <v>46094</v>
      </c>
      <c r="C4594">
        <v>163.93280029296881</v>
      </c>
      <c r="D4594">
        <f>_xlfn.XLOOKUP(B4594, Oil_Price!A:A, Oil_Price!B:B, "")</f>
        <v>98.709999084472656</v>
      </c>
      <c r="E4594">
        <f t="shared" si="284"/>
        <v>-3.0195189334055443E-4</v>
      </c>
      <c r="F4594">
        <f t="shared" si="285"/>
        <v>3.112917186922072E-2</v>
      </c>
      <c r="G4594">
        <f t="shared" si="286"/>
        <v>-4.9514770507784078E-2</v>
      </c>
      <c r="H4594">
        <f t="shared" si="287"/>
        <v>2.9799957275390625</v>
      </c>
    </row>
    <row r="4595" spans="1:8" x14ac:dyDescent="0.2">
      <c r="A4595" t="s">
        <v>14</v>
      </c>
      <c r="B4595" s="2">
        <v>46097</v>
      </c>
      <c r="C4595">
        <v>167.3592224121094</v>
      </c>
      <c r="D4595">
        <f>_xlfn.XLOOKUP(B4595, Oil_Price!A:A, Oil_Price!B:B, "")</f>
        <v>93.5</v>
      </c>
      <c r="E4595">
        <f t="shared" si="284"/>
        <v>2.090138223111631E-2</v>
      </c>
      <c r="F4595">
        <f t="shared" si="285"/>
        <v>-5.2780864479738433E-2</v>
      </c>
      <c r="G4595">
        <f t="shared" si="286"/>
        <v>3.4264221191405966</v>
      </c>
      <c r="H4595">
        <f t="shared" si="287"/>
        <v>-5.2099990844726562</v>
      </c>
    </row>
    <row r="4596" spans="1:8" x14ac:dyDescent="0.2">
      <c r="A4596" t="s">
        <v>14</v>
      </c>
      <c r="B4596" s="2">
        <v>46098</v>
      </c>
      <c r="C4596">
        <v>169.4289245605469</v>
      </c>
      <c r="D4596">
        <f>_xlfn.XLOOKUP(B4596, Oil_Price!A:A, Oil_Price!B:B, "")</f>
        <v>96.209999084472656</v>
      </c>
      <c r="E4596">
        <f t="shared" si="284"/>
        <v>1.2366824598055406E-2</v>
      </c>
      <c r="F4596">
        <f t="shared" si="285"/>
        <v>2.898394742751504E-2</v>
      </c>
      <c r="G4596">
        <f t="shared" si="286"/>
        <v>2.0697021484375</v>
      </c>
      <c r="H4596">
        <f t="shared" si="287"/>
        <v>2.7099990844726562</v>
      </c>
    </row>
    <row r="4597" spans="1:8" x14ac:dyDescent="0.2">
      <c r="A4597" t="s">
        <v>14</v>
      </c>
      <c r="B4597" s="2">
        <v>46099</v>
      </c>
      <c r="C4597">
        <v>170.71630859375</v>
      </c>
      <c r="D4597">
        <f>_xlfn.XLOOKUP(B4597, Oil_Price!A:A, Oil_Price!B:B, "")</f>
        <v>96.319999694824219</v>
      </c>
      <c r="E4597">
        <f t="shared" si="284"/>
        <v>7.5983722173898274E-3</v>
      </c>
      <c r="F4597">
        <f t="shared" si="285"/>
        <v>1.1433386487716484E-3</v>
      </c>
      <c r="G4597">
        <f t="shared" si="286"/>
        <v>1.2873840332030966</v>
      </c>
      <c r="H4597">
        <f t="shared" si="287"/>
        <v>0.1100006103515625</v>
      </c>
    </row>
    <row r="4598" spans="1:8" x14ac:dyDescent="0.2">
      <c r="A4598" t="s">
        <v>14</v>
      </c>
      <c r="B4598" s="2">
        <v>46100</v>
      </c>
      <c r="C4598">
        <v>172.68699645996091</v>
      </c>
      <c r="D4598">
        <f>_xlfn.XLOOKUP(B4598, Oil_Price!A:A, Oil_Price!B:B, "")</f>
        <v>96.139999389648438</v>
      </c>
      <c r="E4598">
        <f t="shared" si="284"/>
        <v>1.154364150937983E-2</v>
      </c>
      <c r="F4598">
        <f t="shared" si="285"/>
        <v>-1.8687739383937479E-3</v>
      </c>
      <c r="G4598">
        <f t="shared" si="286"/>
        <v>1.9706878662109091</v>
      </c>
      <c r="H4598">
        <f t="shared" si="287"/>
        <v>-0.18000030517578125</v>
      </c>
    </row>
    <row r="4599" spans="1:8" x14ac:dyDescent="0.2">
      <c r="A4599" t="s">
        <v>14</v>
      </c>
      <c r="B4599" s="2">
        <v>46101</v>
      </c>
      <c r="C4599">
        <v>171.59765625</v>
      </c>
      <c r="D4599">
        <f>_xlfn.XLOOKUP(B4599, Oil_Price!A:A, Oil_Price!B:B, "")</f>
        <v>98.319999694824219</v>
      </c>
      <c r="E4599">
        <f t="shared" si="284"/>
        <v>-6.3081774093713119E-3</v>
      </c>
      <c r="F4599">
        <f t="shared" si="285"/>
        <v>2.2675268556435063E-2</v>
      </c>
      <c r="G4599">
        <f t="shared" si="286"/>
        <v>-1.0893402099609091</v>
      </c>
      <c r="H4599">
        <f t="shared" si="287"/>
        <v>2.1800003051757812</v>
      </c>
    </row>
    <row r="4600" spans="1:8" x14ac:dyDescent="0.2">
      <c r="A4600" t="s">
        <v>14</v>
      </c>
      <c r="B4600" s="2">
        <v>46104</v>
      </c>
      <c r="C4600">
        <v>172.2116394042969</v>
      </c>
      <c r="D4600">
        <f>_xlfn.XLOOKUP(B4600, Oil_Price!A:A, Oil_Price!B:B, "")</f>
        <v>88.129997253417969</v>
      </c>
      <c r="E4600">
        <f t="shared" si="284"/>
        <v>3.5780392792917498E-3</v>
      </c>
      <c r="F4600">
        <f t="shared" si="285"/>
        <v>-0.10364119683721555</v>
      </c>
      <c r="G4600">
        <f t="shared" si="286"/>
        <v>0.61398315429690342</v>
      </c>
      <c r="H4600">
        <f t="shared" si="287"/>
        <v>-10.19000244140625</v>
      </c>
    </row>
    <row r="4601" spans="1:8" x14ac:dyDescent="0.2">
      <c r="A4601" t="s">
        <v>14</v>
      </c>
      <c r="B4601" s="2">
        <v>46105</v>
      </c>
      <c r="C4601">
        <v>175.99455261230469</v>
      </c>
      <c r="D4601">
        <f>_xlfn.XLOOKUP(B4601, Oil_Price!A:A, Oil_Price!B:B, "")</f>
        <v>92.349998474121094</v>
      </c>
      <c r="E4601">
        <f t="shared" si="284"/>
        <v>2.1966652318585356E-2</v>
      </c>
      <c r="F4601">
        <f t="shared" si="285"/>
        <v>4.7883823354362573E-2</v>
      </c>
      <c r="G4601">
        <f t="shared" si="286"/>
        <v>3.7829132080077841</v>
      </c>
      <c r="H4601">
        <f t="shared" si="287"/>
        <v>4.220001220703125</v>
      </c>
    </row>
    <row r="4602" spans="1:8" x14ac:dyDescent="0.2">
      <c r="A4602" t="s">
        <v>14</v>
      </c>
      <c r="B4602" s="2">
        <v>46106</v>
      </c>
      <c r="C4602">
        <v>178.38116455078119</v>
      </c>
      <c r="D4602">
        <f>_xlfn.XLOOKUP(B4602, Oil_Price!A:A, Oil_Price!B:B, "")</f>
        <v>90.319999694824219</v>
      </c>
      <c r="E4602">
        <f t="shared" si="284"/>
        <v>1.3560714823565767E-2</v>
      </c>
      <c r="F4602">
        <f t="shared" si="285"/>
        <v>-2.1981578915409881E-2</v>
      </c>
      <c r="G4602">
        <f t="shared" si="286"/>
        <v>2.3866119384765057</v>
      </c>
      <c r="H4602">
        <f t="shared" si="287"/>
        <v>-2.029998779296875</v>
      </c>
    </row>
    <row r="4603" spans="1:8" x14ac:dyDescent="0.2">
      <c r="A4603" t="s">
        <v>14</v>
      </c>
      <c r="B4603" s="2">
        <v>46107</v>
      </c>
      <c r="C4603">
        <v>175.01416015625</v>
      </c>
      <c r="D4603">
        <f>_xlfn.XLOOKUP(B4603, Oil_Price!A:A, Oil_Price!B:B, "")</f>
        <v>94.480003356933594</v>
      </c>
      <c r="E4603">
        <f t="shared" si="284"/>
        <v>-1.8875335874223877E-2</v>
      </c>
      <c r="F4603">
        <f t="shared" si="285"/>
        <v>4.6058499514673536E-2</v>
      </c>
      <c r="G4603">
        <f t="shared" si="286"/>
        <v>-3.3670043945311932</v>
      </c>
      <c r="H4603">
        <f t="shared" si="287"/>
        <v>4.160003662109375</v>
      </c>
    </row>
    <row r="4604" spans="1:8" x14ac:dyDescent="0.2">
      <c r="A4604" t="s">
        <v>14</v>
      </c>
      <c r="B4604" s="2">
        <v>46108</v>
      </c>
      <c r="C4604">
        <v>179.49028015136719</v>
      </c>
      <c r="D4604">
        <f>_xlfn.XLOOKUP(B4604, Oil_Price!A:A, Oil_Price!B:B, "")</f>
        <v>99.639999389648438</v>
      </c>
      <c r="E4604">
        <f t="shared" si="284"/>
        <v>2.5575759076414017E-2</v>
      </c>
      <c r="F4604">
        <f t="shared" si="285"/>
        <v>5.4614689345649434E-2</v>
      </c>
      <c r="G4604">
        <f t="shared" si="286"/>
        <v>4.4761199951171875</v>
      </c>
      <c r="H4604">
        <f t="shared" si="287"/>
        <v>5.1599960327148438</v>
      </c>
    </row>
    <row r="4605" spans="1:8" x14ac:dyDescent="0.2">
      <c r="A4605" t="s">
        <v>14</v>
      </c>
      <c r="B4605" s="2">
        <v>46111</v>
      </c>
      <c r="C4605">
        <v>178.8763122558594</v>
      </c>
      <c r="D4605">
        <f>_xlfn.XLOOKUP(B4605, Oil_Price!A:A, Oil_Price!B:B, "")</f>
        <v>102.879997253418</v>
      </c>
      <c r="E4605">
        <f t="shared" si="284"/>
        <v>-3.4206191833341315E-3</v>
      </c>
      <c r="F4605">
        <f t="shared" si="285"/>
        <v>3.2517040180814791E-2</v>
      </c>
      <c r="G4605">
        <f t="shared" si="286"/>
        <v>-0.61396789550778408</v>
      </c>
      <c r="H4605">
        <f t="shared" si="287"/>
        <v>3.2399978637695597</v>
      </c>
    </row>
    <row r="4606" spans="1:8" x14ac:dyDescent="0.2">
      <c r="A4606" t="s">
        <v>14</v>
      </c>
      <c r="B4606" s="2">
        <v>46112</v>
      </c>
      <c r="C4606">
        <v>180.44097900390619</v>
      </c>
      <c r="D4606">
        <f>_xlfn.XLOOKUP(B4606, Oil_Price!A:A, Oil_Price!B:B, "")</f>
        <v>101.379997253418</v>
      </c>
      <c r="E4606">
        <f t="shared" si="284"/>
        <v>8.7471992703468567E-3</v>
      </c>
      <c r="F4606">
        <f t="shared" si="285"/>
        <v>-1.4580093701841204E-2</v>
      </c>
      <c r="G4606">
        <f t="shared" si="286"/>
        <v>1.5646667480467897</v>
      </c>
      <c r="H4606">
        <f t="shared" si="287"/>
        <v>-1.5</v>
      </c>
    </row>
    <row r="4607" spans="1:8" x14ac:dyDescent="0.2">
      <c r="A4607" t="s">
        <v>14</v>
      </c>
      <c r="B4607" s="2">
        <v>46113</v>
      </c>
      <c r="C4607">
        <v>177.796875</v>
      </c>
      <c r="D4607">
        <f>_xlfn.XLOOKUP(B4607, Oil_Price!A:A, Oil_Price!B:B, "")</f>
        <v>100.120002746582</v>
      </c>
      <c r="E4607">
        <f t="shared" si="284"/>
        <v>-1.4653567158095243E-2</v>
      </c>
      <c r="F4607">
        <f t="shared" si="285"/>
        <v>-1.242843303384992E-2</v>
      </c>
      <c r="G4607">
        <f t="shared" si="286"/>
        <v>-2.6441040039061932</v>
      </c>
      <c r="H4607">
        <f t="shared" si="287"/>
        <v>-1.2599945068359943</v>
      </c>
    </row>
    <row r="4608" spans="1:8" x14ac:dyDescent="0.2">
      <c r="A4608" t="s">
        <v>14</v>
      </c>
      <c r="B4608" s="2">
        <v>46114</v>
      </c>
      <c r="C4608">
        <v>179.89631652832031</v>
      </c>
      <c r="D4608">
        <f>_xlfn.XLOOKUP(B4608, Oil_Price!A:A, Oil_Price!B:B, "")</f>
        <v>111.5400009155273</v>
      </c>
      <c r="E4608">
        <f t="shared" si="284"/>
        <v>1.1808090149617716E-2</v>
      </c>
      <c r="F4608">
        <f t="shared" si="285"/>
        <v>0.11406310283321647</v>
      </c>
      <c r="G4608">
        <f t="shared" si="286"/>
        <v>2.0994415283203125</v>
      </c>
      <c r="H4608">
        <f t="shared" si="287"/>
        <v>11.419998168945298</v>
      </c>
    </row>
    <row r="4609" spans="1:8" x14ac:dyDescent="0.2">
      <c r="A4609" t="s">
        <v>14</v>
      </c>
      <c r="B4609" s="2">
        <v>46118</v>
      </c>
      <c r="C4609">
        <v>178.54951477050781</v>
      </c>
      <c r="D4609">
        <f>_xlfn.XLOOKUP(B4609, Oil_Price!A:A, Oil_Price!B:B, "")</f>
        <v>112.4100036621094</v>
      </c>
      <c r="E4609">
        <f t="shared" si="284"/>
        <v>-7.4865443818049422E-3</v>
      </c>
      <c r="F4609">
        <f t="shared" si="285"/>
        <v>7.7999169754443733E-3</v>
      </c>
      <c r="G4609">
        <f t="shared" si="286"/>
        <v>-1.3468017578125</v>
      </c>
      <c r="H4609">
        <f t="shared" si="287"/>
        <v>0.8700027465821023</v>
      </c>
    </row>
    <row r="4610" spans="1:8" x14ac:dyDescent="0.2">
      <c r="A4610" t="s">
        <v>14</v>
      </c>
      <c r="B4610" s="2">
        <v>46119</v>
      </c>
      <c r="C4610">
        <v>182.58990478515619</v>
      </c>
      <c r="D4610">
        <f>_xlfn.XLOOKUP(B4610, Oil_Price!A:A, Oil_Price!B:B, "")</f>
        <v>112.9499969482422</v>
      </c>
      <c r="E4610">
        <f t="shared" si="284"/>
        <v>2.262896104669649E-2</v>
      </c>
      <c r="F4610">
        <f t="shared" si="285"/>
        <v>4.8037831913603658E-3</v>
      </c>
      <c r="G4610">
        <f t="shared" si="286"/>
        <v>4.0403900146483807</v>
      </c>
      <c r="H4610">
        <f t="shared" si="287"/>
        <v>0.53999328613279829</v>
      </c>
    </row>
    <row r="4611" spans="1:8" x14ac:dyDescent="0.2">
      <c r="A4611" t="s">
        <v>14</v>
      </c>
      <c r="B4611" s="2">
        <v>46120</v>
      </c>
      <c r="C4611">
        <v>178.1632995605469</v>
      </c>
      <c r="D4611">
        <f>_xlfn.XLOOKUP(B4611, Oil_Price!A:A, Oil_Price!B:B, "")</f>
        <v>94.410003662109375</v>
      </c>
      <c r="E4611">
        <f t="shared" ref="E4611:E4674" si="288">IFERROR(IF(AND(A4611=A4610, C4611&lt;&gt;"", C4610&lt;&gt;""), (C4611-C4610)/C4610, ""), "")</f>
        <v>-2.4243428078993962E-2</v>
      </c>
      <c r="F4611">
        <f t="shared" ref="F4611:F4674" si="289">IFERROR(IF(AND(A4611=A4610, D4611&lt;&gt;"", D4610&lt;&gt;""), (D4611-D4610)/D4610, ""), "")</f>
        <v>-0.16414337128869977</v>
      </c>
      <c r="G4611">
        <f t="shared" ref="G4611:G4674" si="290">IFERROR(IF(AND(A4611=A4610, C4611&lt;&gt;"", C4610&lt;&gt;""), C4611-C4610, ""), "")</f>
        <v>-4.4266052246092897</v>
      </c>
      <c r="H4611">
        <f t="shared" ref="H4611:H4674" si="291">IFERROR(IF(AND(A4611=A4610, D4611&lt;&gt;"", D4610&lt;&gt;""), D4611-D4610, ""), "")</f>
        <v>-18.539993286132827</v>
      </c>
    </row>
    <row r="4612" spans="1:8" x14ac:dyDescent="0.2">
      <c r="A4612" t="s">
        <v>14</v>
      </c>
      <c r="B4612" s="2">
        <v>46121</v>
      </c>
      <c r="C4612">
        <v>175.75689697265619</v>
      </c>
      <c r="D4612">
        <f>_xlfn.XLOOKUP(B4612, Oil_Price!A:A, Oil_Price!B:B, "")</f>
        <v>97.870002746582031</v>
      </c>
      <c r="E4612">
        <f t="shared" si="288"/>
        <v>-1.3506724414210346E-2</v>
      </c>
      <c r="F4612">
        <f t="shared" si="289"/>
        <v>3.664864898063018E-2</v>
      </c>
      <c r="G4612">
        <f t="shared" si="290"/>
        <v>-2.4064025878907103</v>
      </c>
      <c r="H4612">
        <f t="shared" si="291"/>
        <v>3.4599990844726562</v>
      </c>
    </row>
    <row r="4613" spans="1:8" x14ac:dyDescent="0.2">
      <c r="A4613" t="s">
        <v>14</v>
      </c>
      <c r="B4613" s="2">
        <v>46122</v>
      </c>
      <c r="C4613">
        <v>177.19279479980469</v>
      </c>
      <c r="D4613">
        <f>_xlfn.XLOOKUP(B4613, Oil_Price!A:A, Oil_Price!B:B, "")</f>
        <v>96.569999694824219</v>
      </c>
      <c r="E4613">
        <f t="shared" si="288"/>
        <v>8.1697950514675252E-3</v>
      </c>
      <c r="F4613">
        <f t="shared" si="289"/>
        <v>-1.3282957139829172E-2</v>
      </c>
      <c r="G4613">
        <f t="shared" si="290"/>
        <v>1.4358978271484943</v>
      </c>
      <c r="H4613">
        <f t="shared" si="291"/>
        <v>-1.3000030517578125</v>
      </c>
    </row>
    <row r="4614" spans="1:8" x14ac:dyDescent="0.2">
      <c r="A4614" t="s">
        <v>14</v>
      </c>
      <c r="B4614" s="2">
        <v>46125</v>
      </c>
      <c r="C4614">
        <v>177.63844299316409</v>
      </c>
      <c r="D4614">
        <f>_xlfn.XLOOKUP(B4614, Oil_Price!A:A, Oil_Price!B:B, "")</f>
        <v>99.080001831054688</v>
      </c>
      <c r="E4614">
        <f t="shared" si="288"/>
        <v>2.5150469231150401E-3</v>
      </c>
      <c r="F4614">
        <f t="shared" si="289"/>
        <v>2.5991530953323544E-2</v>
      </c>
      <c r="G4614">
        <f t="shared" si="290"/>
        <v>0.44564819335940342</v>
      </c>
      <c r="H4614">
        <f t="shared" si="291"/>
        <v>2.5100021362304688</v>
      </c>
    </row>
    <row r="4615" spans="1:8" x14ac:dyDescent="0.2">
      <c r="A4615" t="s">
        <v>14</v>
      </c>
      <c r="B4615" s="2">
        <v>46126</v>
      </c>
      <c r="C4615">
        <v>173.22175598144531</v>
      </c>
      <c r="D4615">
        <f>_xlfn.XLOOKUP(B4615, Oil_Price!A:A, Oil_Price!B:B, "")</f>
        <v>91.279998779296875</v>
      </c>
      <c r="E4615">
        <f t="shared" si="288"/>
        <v>-2.4863351295466726E-2</v>
      </c>
      <c r="F4615">
        <f t="shared" si="289"/>
        <v>-7.8724292567716264E-2</v>
      </c>
      <c r="G4615">
        <f t="shared" si="290"/>
        <v>-4.4166870117187784</v>
      </c>
      <c r="H4615">
        <f t="shared" si="291"/>
        <v>-7.8000030517578125</v>
      </c>
    </row>
    <row r="4616" spans="1:8" x14ac:dyDescent="0.2">
      <c r="A4616" t="s">
        <v>14</v>
      </c>
      <c r="B4616" s="2">
        <v>46127</v>
      </c>
      <c r="C4616">
        <v>169.8745422363281</v>
      </c>
      <c r="D4616">
        <f>_xlfn.XLOOKUP(B4616, Oil_Price!A:A, Oil_Price!B:B, "")</f>
        <v>91.290000915527344</v>
      </c>
      <c r="E4616">
        <f t="shared" si="288"/>
        <v>-1.9323287228861445E-2</v>
      </c>
      <c r="F4616">
        <f t="shared" si="289"/>
        <v>1.0957642817954687E-4</v>
      </c>
      <c r="G4616">
        <f t="shared" si="290"/>
        <v>-3.3472137451172159</v>
      </c>
      <c r="H4616">
        <f t="shared" si="291"/>
        <v>1.000213623046875E-2</v>
      </c>
    </row>
    <row r="4617" spans="1:8" x14ac:dyDescent="0.2">
      <c r="A4617" t="s">
        <v>14</v>
      </c>
      <c r="B4617" s="2">
        <v>46128</v>
      </c>
      <c r="C4617">
        <v>170.3994140625</v>
      </c>
      <c r="D4617">
        <f>_xlfn.XLOOKUP(B4617, Oil_Price!A:A, Oil_Price!B:B, "")</f>
        <v>94.69000244140625</v>
      </c>
      <c r="E4617">
        <f t="shared" si="288"/>
        <v>3.089761533789483E-3</v>
      </c>
      <c r="F4617">
        <f t="shared" si="289"/>
        <v>3.7243964199595123E-2</v>
      </c>
      <c r="G4617">
        <f t="shared" si="290"/>
        <v>0.52487182617190342</v>
      </c>
      <c r="H4617">
        <f t="shared" si="291"/>
        <v>3.4000015258789062</v>
      </c>
    </row>
    <row r="4618" spans="1:8" x14ac:dyDescent="0.2">
      <c r="A4618" t="s">
        <v>14</v>
      </c>
      <c r="B4618" s="2">
        <v>46129</v>
      </c>
      <c r="C4618">
        <v>165.4182434082031</v>
      </c>
      <c r="D4618">
        <f>_xlfn.XLOOKUP(B4618, Oil_Price!A:A, Oil_Price!B:B, "")</f>
        <v>83.849998474121094</v>
      </c>
      <c r="E4618">
        <f t="shared" si="288"/>
        <v>-2.9232322667904733E-2</v>
      </c>
      <c r="F4618">
        <f t="shared" si="289"/>
        <v>-0.11447886458755667</v>
      </c>
      <c r="G4618">
        <f t="shared" si="290"/>
        <v>-4.9811706542969034</v>
      </c>
      <c r="H4618">
        <f t="shared" si="291"/>
        <v>-10.840003967285156</v>
      </c>
    </row>
    <row r="4619" spans="1:8" x14ac:dyDescent="0.2">
      <c r="A4619" t="s">
        <v>14</v>
      </c>
      <c r="B4619" s="2">
        <v>46132</v>
      </c>
      <c r="C4619">
        <v>165.91339111328119</v>
      </c>
      <c r="D4619">
        <f>_xlfn.XLOOKUP(B4619, Oil_Price!A:A, Oil_Price!B:B, "")</f>
        <v>89.610000610351562</v>
      </c>
      <c r="E4619">
        <f t="shared" si="288"/>
        <v>2.9933077203354113E-3</v>
      </c>
      <c r="F4619">
        <f t="shared" si="289"/>
        <v>6.8694123327959239E-2</v>
      </c>
      <c r="G4619">
        <f t="shared" si="290"/>
        <v>0.49514770507809658</v>
      </c>
      <c r="H4619">
        <f t="shared" si="291"/>
        <v>5.7600021362304688</v>
      </c>
    </row>
    <row r="4620" spans="1:8" x14ac:dyDescent="0.2">
      <c r="A4620" t="s">
        <v>14</v>
      </c>
      <c r="B4620" s="2">
        <v>46133</v>
      </c>
      <c r="C4620">
        <v>167.57708740234381</v>
      </c>
      <c r="D4620">
        <f>_xlfn.XLOOKUP(B4620, Oil_Price!A:A, Oil_Price!B:B, "")</f>
        <v>92.129997253417969</v>
      </c>
      <c r="E4620">
        <f t="shared" si="288"/>
        <v>1.0027498551498395E-2</v>
      </c>
      <c r="F4620">
        <f t="shared" si="289"/>
        <v>2.8121823746258309E-2</v>
      </c>
      <c r="G4620">
        <f t="shared" si="290"/>
        <v>1.6636962890626137</v>
      </c>
      <c r="H4620">
        <f t="shared" si="291"/>
        <v>2.5199966430664062</v>
      </c>
    </row>
    <row r="4621" spans="1:8" x14ac:dyDescent="0.2">
      <c r="A4621" t="s">
        <v>14</v>
      </c>
      <c r="B4621" s="2">
        <v>46134</v>
      </c>
      <c r="C4621">
        <v>169.59727478027341</v>
      </c>
      <c r="D4621">
        <f>_xlfn.XLOOKUP(B4621, Oil_Price!A:A, Oil_Price!B:B, "")</f>
        <v>92.959999084472656</v>
      </c>
      <c r="E4621">
        <f t="shared" si="288"/>
        <v>1.2055272049688023E-2</v>
      </c>
      <c r="F4621">
        <f t="shared" si="289"/>
        <v>9.0090291522709771E-3</v>
      </c>
      <c r="G4621">
        <f t="shared" si="290"/>
        <v>2.0201873779296022</v>
      </c>
      <c r="H4621">
        <f t="shared" si="291"/>
        <v>0.8300018310546875</v>
      </c>
    </row>
    <row r="4622" spans="1:8" x14ac:dyDescent="0.2">
      <c r="A4622" t="s">
        <v>14</v>
      </c>
      <c r="B4622" s="2">
        <v>46135</v>
      </c>
      <c r="C4622">
        <v>171.7362976074219</v>
      </c>
      <c r="D4622">
        <f>_xlfn.XLOOKUP(B4622, Oil_Price!A:A, Oil_Price!B:B, "")</f>
        <v>95.849998474121094</v>
      </c>
      <c r="E4622">
        <f t="shared" si="288"/>
        <v>1.2612365557876837E-2</v>
      </c>
      <c r="F4622">
        <f t="shared" si="289"/>
        <v>3.1088634015823281E-2</v>
      </c>
      <c r="G4622">
        <f t="shared" si="290"/>
        <v>2.1390228271484943</v>
      </c>
      <c r="H4622">
        <f t="shared" si="291"/>
        <v>2.8899993896484375</v>
      </c>
    </row>
    <row r="4623" spans="1:8" x14ac:dyDescent="0.2">
      <c r="A4623" t="s">
        <v>14</v>
      </c>
      <c r="B4623" s="2">
        <v>46136</v>
      </c>
      <c r="C4623">
        <v>168.14155578613281</v>
      </c>
      <c r="D4623">
        <f>_xlfn.XLOOKUP(B4623, Oil_Price!A:A, Oil_Price!B:B, "")</f>
        <v>94.400001525878906</v>
      </c>
      <c r="E4623">
        <f t="shared" si="288"/>
        <v>-2.0931753341430701E-2</v>
      </c>
      <c r="F4623">
        <f t="shared" si="289"/>
        <v>-1.5127772262131831E-2</v>
      </c>
      <c r="G4623">
        <f t="shared" si="290"/>
        <v>-3.5947418212890909</v>
      </c>
      <c r="H4623">
        <f t="shared" si="291"/>
        <v>-1.4499969482421875</v>
      </c>
    </row>
    <row r="4624" spans="1:8" x14ac:dyDescent="0.2">
      <c r="A4624" t="s">
        <v>14</v>
      </c>
      <c r="B4624" s="2">
        <v>46139</v>
      </c>
      <c r="C4624">
        <v>169.83494567871091</v>
      </c>
      <c r="D4624">
        <f>_xlfn.XLOOKUP(B4624, Oil_Price!A:A, Oil_Price!B:B, "")</f>
        <v>96.370002746582031</v>
      </c>
      <c r="E4624">
        <f t="shared" si="288"/>
        <v>1.0071215795885696E-2</v>
      </c>
      <c r="F4624">
        <f t="shared" si="289"/>
        <v>2.0868656661653412E-2</v>
      </c>
      <c r="G4624">
        <f t="shared" si="290"/>
        <v>1.6933898925780966</v>
      </c>
      <c r="H4624">
        <f t="shared" si="291"/>
        <v>1.970001220703125</v>
      </c>
    </row>
    <row r="4625" spans="1:8" x14ac:dyDescent="0.2">
      <c r="A4625" t="s">
        <v>14</v>
      </c>
      <c r="B4625" s="2">
        <v>46140</v>
      </c>
      <c r="C4625">
        <v>172.74641418457031</v>
      </c>
      <c r="D4625">
        <f>_xlfn.XLOOKUP(B4625, Oil_Price!A:A, Oil_Price!B:B, "")</f>
        <v>99.930000305175781</v>
      </c>
      <c r="E4625">
        <f t="shared" si="288"/>
        <v>1.7142929532107248E-2</v>
      </c>
      <c r="F4625">
        <f t="shared" si="289"/>
        <v>3.6940930342766985E-2</v>
      </c>
      <c r="G4625">
        <f t="shared" si="290"/>
        <v>2.9114685058594034</v>
      </c>
      <c r="H4625">
        <f t="shared" si="291"/>
        <v>3.55999755859375</v>
      </c>
    </row>
    <row r="4626" spans="1:8" x14ac:dyDescent="0.2">
      <c r="A4626" t="s">
        <v>14</v>
      </c>
      <c r="B4626" s="2">
        <v>46141</v>
      </c>
      <c r="C4626">
        <v>177.03436279296881</v>
      </c>
      <c r="D4626">
        <f>_xlfn.XLOOKUP(B4626, Oil_Price!A:A, Oil_Price!B:B, "")</f>
        <v>106.879997253418</v>
      </c>
      <c r="E4626">
        <f t="shared" si="288"/>
        <v>2.4822214855453096E-2</v>
      </c>
      <c r="F4626">
        <f t="shared" si="289"/>
        <v>6.9548653327505761E-2</v>
      </c>
      <c r="G4626">
        <f t="shared" si="290"/>
        <v>4.2879486083984943</v>
      </c>
      <c r="H4626">
        <f t="shared" si="291"/>
        <v>6.9499969482422159</v>
      </c>
    </row>
    <row r="4627" spans="1:8" x14ac:dyDescent="0.2">
      <c r="A4627" t="s">
        <v>14</v>
      </c>
      <c r="B4627" s="2">
        <v>46142</v>
      </c>
      <c r="C4627">
        <v>180.19340515136719</v>
      </c>
      <c r="D4627">
        <f>_xlfn.XLOOKUP(B4627, Oil_Price!A:A, Oil_Price!B:B, "")</f>
        <v>105.0699996948242</v>
      </c>
      <c r="E4627">
        <f t="shared" si="288"/>
        <v>1.7844232659467888E-2</v>
      </c>
      <c r="F4627">
        <f t="shared" si="289"/>
        <v>-1.693485783221153E-2</v>
      </c>
      <c r="G4627">
        <f t="shared" si="290"/>
        <v>3.1590423583983807</v>
      </c>
      <c r="H4627">
        <f t="shared" si="291"/>
        <v>-1.8099975585937926</v>
      </c>
    </row>
    <row r="4628" spans="1:8" x14ac:dyDescent="0.2">
      <c r="A4628" t="s">
        <v>14</v>
      </c>
      <c r="B4628" s="2">
        <v>46143</v>
      </c>
      <c r="C4628">
        <v>172.90486145019531</v>
      </c>
      <c r="D4628">
        <f>_xlfn.XLOOKUP(B4628, Oil_Price!A:A, Oil_Price!B:B, "")</f>
        <v>101.94000244140619</v>
      </c>
      <c r="E4628">
        <f t="shared" si="288"/>
        <v>-4.0448448682399378E-2</v>
      </c>
      <c r="F4628">
        <f t="shared" si="289"/>
        <v>-2.9789637979528771E-2</v>
      </c>
      <c r="G4628">
        <f t="shared" si="290"/>
        <v>-7.288543701171875</v>
      </c>
      <c r="H4628">
        <f t="shared" si="291"/>
        <v>-3.1299972534180114</v>
      </c>
    </row>
    <row r="4629" spans="1:8" x14ac:dyDescent="0.2">
      <c r="A4629" t="s">
        <v>14</v>
      </c>
      <c r="B4629" s="2">
        <v>46146</v>
      </c>
      <c r="C4629">
        <v>175.92523193359381</v>
      </c>
      <c r="D4629">
        <f>_xlfn.XLOOKUP(B4629, Oil_Price!A:A, Oil_Price!B:B, "")</f>
        <v>106.4199981689453</v>
      </c>
      <c r="E4629">
        <f t="shared" si="288"/>
        <v>1.7468395382674085E-2</v>
      </c>
      <c r="F4629">
        <f t="shared" si="289"/>
        <v>4.3947377086969851E-2</v>
      </c>
      <c r="G4629">
        <f t="shared" si="290"/>
        <v>3.0203704833984943</v>
      </c>
      <c r="H4629">
        <f t="shared" si="291"/>
        <v>4.4799957275391051</v>
      </c>
    </row>
    <row r="4630" spans="1:8" x14ac:dyDescent="0.2">
      <c r="A4630" t="s">
        <v>14</v>
      </c>
      <c r="B4630" s="2">
        <v>46147</v>
      </c>
      <c r="C4630">
        <v>179.1436767578125</v>
      </c>
      <c r="D4630">
        <f>_xlfn.XLOOKUP(B4630, Oil_Price!A:A, Oil_Price!B:B, "")</f>
        <v>102.26999664306641</v>
      </c>
      <c r="E4630">
        <f t="shared" si="288"/>
        <v>1.8294390115873509E-2</v>
      </c>
      <c r="F4630">
        <f t="shared" si="289"/>
        <v>-3.8996444251865388E-2</v>
      </c>
      <c r="G4630">
        <f t="shared" si="290"/>
        <v>3.2184448242186932</v>
      </c>
      <c r="H4630">
        <f t="shared" si="291"/>
        <v>-4.150001525878892</v>
      </c>
    </row>
    <row r="4631" spans="1:8" x14ac:dyDescent="0.2">
      <c r="A4631" t="s">
        <v>14</v>
      </c>
      <c r="B4631" s="2">
        <v>46148</v>
      </c>
      <c r="C4631">
        <v>172.52854919433591</v>
      </c>
      <c r="D4631">
        <f>_xlfn.XLOOKUP(B4631, Oil_Price!A:A, Oil_Price!B:B, "")</f>
        <v>95.080001831054688</v>
      </c>
      <c r="E4631">
        <f t="shared" si="288"/>
        <v>-3.6926380451706924E-2</v>
      </c>
      <c r="F4631">
        <f t="shared" si="289"/>
        <v>-7.0304048577468872E-2</v>
      </c>
      <c r="G4631">
        <f t="shared" si="290"/>
        <v>-6.6151275634765909</v>
      </c>
      <c r="H4631">
        <f t="shared" si="291"/>
        <v>-7.1899948120117188</v>
      </c>
    </row>
    <row r="4632" spans="1:8" x14ac:dyDescent="0.2">
      <c r="A4632" t="s">
        <v>14</v>
      </c>
      <c r="B4632" s="2">
        <v>46149</v>
      </c>
      <c r="C4632">
        <v>170.20135498046881</v>
      </c>
      <c r="D4632">
        <f>_xlfn.XLOOKUP(B4632, Oil_Price!A:A, Oil_Price!B:B, "")</f>
        <v>94.80999755859375</v>
      </c>
      <c r="E4632">
        <f t="shared" si="288"/>
        <v>-1.348874852732781E-2</v>
      </c>
      <c r="F4632">
        <f t="shared" si="289"/>
        <v>-2.8397588058601581E-3</v>
      </c>
      <c r="G4632">
        <f t="shared" si="290"/>
        <v>-2.3271942138671022</v>
      </c>
      <c r="H4632">
        <f t="shared" si="291"/>
        <v>-0.2700042724609375</v>
      </c>
    </row>
    <row r="4633" spans="1:8" x14ac:dyDescent="0.2">
      <c r="A4633" t="s">
        <v>14</v>
      </c>
      <c r="B4633" s="2">
        <v>46150</v>
      </c>
      <c r="C4633">
        <v>172.01359558105469</v>
      </c>
      <c r="D4633">
        <f>_xlfn.XLOOKUP(B4633, Oil_Price!A:A, Oil_Price!B:B, "")</f>
        <v>95.419998168945312</v>
      </c>
      <c r="E4633">
        <f t="shared" si="288"/>
        <v>1.0647627339945922E-2</v>
      </c>
      <c r="F4633">
        <f t="shared" si="289"/>
        <v>6.4339270758294728E-3</v>
      </c>
      <c r="G4633">
        <f t="shared" si="290"/>
        <v>1.8122406005858807</v>
      </c>
      <c r="H4633">
        <f t="shared" si="291"/>
        <v>0.6100006103515625</v>
      </c>
    </row>
    <row r="4634" spans="1:8" x14ac:dyDescent="0.2">
      <c r="A4634" t="s">
        <v>14</v>
      </c>
      <c r="B4634" s="2">
        <v>46153</v>
      </c>
      <c r="C4634">
        <v>176.15301513671881</v>
      </c>
      <c r="D4634">
        <f>_xlfn.XLOOKUP(B4634, Oil_Price!A:A, Oil_Price!B:B, "")</f>
        <v>98.069999694824219</v>
      </c>
      <c r="E4634">
        <f t="shared" si="288"/>
        <v>2.4064490610066804E-2</v>
      </c>
      <c r="F4634">
        <f t="shared" si="289"/>
        <v>2.7771972088984551E-2</v>
      </c>
      <c r="G4634">
        <f t="shared" si="290"/>
        <v>4.1394195556641193</v>
      </c>
      <c r="H4634">
        <f t="shared" si="291"/>
        <v>2.6500015258789062</v>
      </c>
    </row>
    <row r="4635" spans="1:8" x14ac:dyDescent="0.2">
      <c r="A4635" t="s">
        <v>14</v>
      </c>
      <c r="B4635" s="2">
        <v>46154</v>
      </c>
      <c r="C4635">
        <v>180.68853759765619</v>
      </c>
      <c r="D4635">
        <f>_xlfn.XLOOKUP(B4635, Oil_Price!A:A, Oil_Price!B:B, "")</f>
        <v>102.1800003051758</v>
      </c>
      <c r="E4635">
        <f t="shared" si="288"/>
        <v>2.5747628886268005E-2</v>
      </c>
      <c r="F4635">
        <f t="shared" si="289"/>
        <v>4.1908846978088526E-2</v>
      </c>
      <c r="G4635">
        <f t="shared" si="290"/>
        <v>4.5355224609373863</v>
      </c>
      <c r="H4635">
        <f t="shared" si="291"/>
        <v>4.1100006103515767</v>
      </c>
    </row>
    <row r="4636" spans="1:8" x14ac:dyDescent="0.2">
      <c r="A4636" t="s">
        <v>14</v>
      </c>
      <c r="B4636" s="2">
        <v>46155</v>
      </c>
      <c r="C4636">
        <v>178.5990295410156</v>
      </c>
      <c r="D4636">
        <f>_xlfn.XLOOKUP(B4636, Oil_Price!A:A, Oil_Price!B:B, "")</f>
        <v>101.01999664306641</v>
      </c>
      <c r="E4636">
        <f t="shared" si="288"/>
        <v>-1.1564142830650154E-2</v>
      </c>
      <c r="F4636">
        <f t="shared" si="289"/>
        <v>-1.1352550975189522E-2</v>
      </c>
      <c r="G4636">
        <f t="shared" si="290"/>
        <v>-2.0895080566405966</v>
      </c>
      <c r="H4636">
        <f t="shared" si="291"/>
        <v>-1.1600036621093892</v>
      </c>
    </row>
    <row r="4637" spans="1:8" x14ac:dyDescent="0.2">
      <c r="A4637" t="s">
        <v>14</v>
      </c>
      <c r="B4637" s="2">
        <v>46156</v>
      </c>
      <c r="C4637">
        <v>179.85670471191409</v>
      </c>
      <c r="D4637">
        <f>_xlfn.XLOOKUP(B4637, Oil_Price!A:A, Oil_Price!B:B, "")</f>
        <v>101.1699981689453</v>
      </c>
      <c r="E4637">
        <f t="shared" si="288"/>
        <v>7.0418925238878013E-3</v>
      </c>
      <c r="F4637">
        <f t="shared" si="289"/>
        <v>1.4848696383241023E-3</v>
      </c>
      <c r="G4637">
        <f t="shared" si="290"/>
        <v>1.2576751708984943</v>
      </c>
      <c r="H4637">
        <f t="shared" si="291"/>
        <v>0.15000152587889204</v>
      </c>
    </row>
    <row r="4638" spans="1:8" x14ac:dyDescent="0.2">
      <c r="A4638" t="s">
        <v>14</v>
      </c>
      <c r="B4638" s="2">
        <v>46157</v>
      </c>
      <c r="C4638">
        <v>183.46134948730469</v>
      </c>
      <c r="D4638">
        <f>_xlfn.XLOOKUP(B4638, Oil_Price!A:A, Oil_Price!B:B, "")</f>
        <v>105.4199981689453</v>
      </c>
      <c r="E4638">
        <f t="shared" si="288"/>
        <v>2.0041759250311771E-2</v>
      </c>
      <c r="F4638">
        <f t="shared" si="289"/>
        <v>4.2008501303942514E-2</v>
      </c>
      <c r="G4638">
        <f t="shared" si="290"/>
        <v>3.6046447753905966</v>
      </c>
      <c r="H4638">
        <f t="shared" si="291"/>
        <v>4.25</v>
      </c>
    </row>
    <row r="4639" spans="1:8" x14ac:dyDescent="0.2">
      <c r="A4639" t="s">
        <v>14</v>
      </c>
      <c r="B4639" s="2">
        <v>46161</v>
      </c>
      <c r="C4639">
        <v>187.57106018066409</v>
      </c>
      <c r="D4639">
        <f>_xlfn.XLOOKUP(B4639, Oil_Price!A:A, Oil_Price!B:B, "")</f>
        <v>107.76999664306641</v>
      </c>
      <c r="E4639">
        <f t="shared" si="288"/>
        <v>2.2400961863870899E-2</v>
      </c>
      <c r="F4639">
        <f t="shared" si="289"/>
        <v>2.2291771152898505E-2</v>
      </c>
      <c r="G4639">
        <f t="shared" si="290"/>
        <v>4.1097106933594034</v>
      </c>
      <c r="H4639">
        <f t="shared" si="291"/>
        <v>2.349998474121108</v>
      </c>
    </row>
    <row r="4640" spans="1:8" x14ac:dyDescent="0.2">
      <c r="A4640" t="s">
        <v>14</v>
      </c>
      <c r="B4640" s="2">
        <v>46162</v>
      </c>
      <c r="C4640">
        <v>182.06504821777341</v>
      </c>
      <c r="D4640">
        <f>_xlfn.XLOOKUP(B4640, Oil_Price!A:A, Oil_Price!B:B, "")</f>
        <v>98.260002136230469</v>
      </c>
      <c r="E4640">
        <f t="shared" si="288"/>
        <v>-2.9354272229348274E-2</v>
      </c>
      <c r="F4640">
        <f t="shared" si="289"/>
        <v>-8.8243433265874388E-2</v>
      </c>
      <c r="G4640">
        <f t="shared" si="290"/>
        <v>-5.5060119628906818</v>
      </c>
      <c r="H4640">
        <f t="shared" si="291"/>
        <v>-9.5099945068359375</v>
      </c>
    </row>
    <row r="4641" spans="1:8" x14ac:dyDescent="0.2">
      <c r="A4641" t="s">
        <v>14</v>
      </c>
      <c r="B4641" s="2">
        <v>46163</v>
      </c>
      <c r="C4641">
        <v>182.69883728027341</v>
      </c>
      <c r="D4641">
        <f>_xlfn.XLOOKUP(B4641, Oil_Price!A:A, Oil_Price!B:B, "")</f>
        <v>96.349998474121094</v>
      </c>
      <c r="E4641">
        <f t="shared" si="288"/>
        <v>3.4811133092492639E-3</v>
      </c>
      <c r="F4641">
        <f t="shared" si="289"/>
        <v>-1.9438261964021653E-2</v>
      </c>
      <c r="G4641">
        <f t="shared" si="290"/>
        <v>0.6337890625</v>
      </c>
      <c r="H4641">
        <f t="shared" si="291"/>
        <v>-1.910003662109375</v>
      </c>
    </row>
    <row r="4642" spans="1:8" x14ac:dyDescent="0.2">
      <c r="A4642" t="s">
        <v>14</v>
      </c>
      <c r="B4642" s="2">
        <v>46164</v>
      </c>
      <c r="C4642">
        <v>182.1046447753906</v>
      </c>
      <c r="D4642">
        <f>_xlfn.XLOOKUP(B4642, Oil_Price!A:A, Oil_Price!B:B, "")</f>
        <v>96.599998474121094</v>
      </c>
      <c r="E4642">
        <f t="shared" si="288"/>
        <v>-3.252305891642198E-3</v>
      </c>
      <c r="F4642">
        <f t="shared" si="289"/>
        <v>2.5947068392237513E-3</v>
      </c>
      <c r="G4642">
        <f t="shared" si="290"/>
        <v>-0.5941925048828125</v>
      </c>
      <c r="H4642">
        <f t="shared" si="291"/>
        <v>0.25</v>
      </c>
    </row>
    <row r="4643" spans="1:8" x14ac:dyDescent="0.2">
      <c r="A4643" t="s">
        <v>14</v>
      </c>
      <c r="B4643" s="2">
        <v>46167</v>
      </c>
      <c r="C4643">
        <v>176.91552734375</v>
      </c>
      <c r="D4643" t="str">
        <f>_xlfn.XLOOKUP(B4643, Oil_Price!A:A, Oil_Price!B:B, "")</f>
        <v/>
      </c>
      <c r="E4643">
        <f t="shared" si="288"/>
        <v>-2.8495250288870434E-2</v>
      </c>
      <c r="F4643" t="str">
        <f t="shared" si="289"/>
        <v/>
      </c>
      <c r="G4643">
        <f t="shared" si="290"/>
        <v>-5.1891174316405966</v>
      </c>
      <c r="H4643" t="str">
        <f t="shared" si="291"/>
        <v/>
      </c>
    </row>
    <row r="4644" spans="1:8" x14ac:dyDescent="0.2">
      <c r="A4644" t="s">
        <v>14</v>
      </c>
      <c r="B4644" s="2">
        <v>46168</v>
      </c>
      <c r="C4644">
        <v>176.5986328125</v>
      </c>
      <c r="D4644">
        <f>_xlfn.XLOOKUP(B4644, Oil_Price!A:A, Oil_Price!B:B, "")</f>
        <v>93.889999389648438</v>
      </c>
      <c r="E4644">
        <f t="shared" si="288"/>
        <v>-1.7912194368008656E-3</v>
      </c>
      <c r="F4644" t="str">
        <f t="shared" si="289"/>
        <v/>
      </c>
      <c r="G4644">
        <f t="shared" si="290"/>
        <v>-0.31689453125</v>
      </c>
      <c r="H4644" t="str">
        <f t="shared" si="291"/>
        <v/>
      </c>
    </row>
    <row r="4645" spans="1:8" x14ac:dyDescent="0.2">
      <c r="A4645" t="s">
        <v>14</v>
      </c>
      <c r="B4645" s="2">
        <v>46169</v>
      </c>
      <c r="C4645">
        <v>170.50834655761719</v>
      </c>
      <c r="D4645">
        <f>_xlfn.XLOOKUP(B4645, Oil_Price!A:A, Oil_Price!B:B, "")</f>
        <v>88.680000305175781</v>
      </c>
      <c r="E4645">
        <f t="shared" si="288"/>
        <v>-3.4486599119649186E-2</v>
      </c>
      <c r="F4645">
        <f t="shared" si="289"/>
        <v>-5.5490458178095045E-2</v>
      </c>
      <c r="G4645">
        <f t="shared" si="290"/>
        <v>-6.0902862548828125</v>
      </c>
      <c r="H4645">
        <f t="shared" si="291"/>
        <v>-5.2099990844726562</v>
      </c>
    </row>
    <row r="4646" spans="1:8" x14ac:dyDescent="0.2">
      <c r="A4646" t="s">
        <v>14</v>
      </c>
      <c r="B4646" s="2">
        <v>46170</v>
      </c>
      <c r="C4646">
        <v>167.09184265136719</v>
      </c>
      <c r="D4646">
        <f>_xlfn.XLOOKUP(B4646, Oil_Price!A:A, Oil_Price!B:B, "")</f>
        <v>88.900001525878906</v>
      </c>
      <c r="E4646">
        <f t="shared" si="288"/>
        <v>-2.003716519000737E-2</v>
      </c>
      <c r="F4646">
        <f t="shared" si="289"/>
        <v>2.4808437071045511E-3</v>
      </c>
      <c r="G4646">
        <f t="shared" si="290"/>
        <v>-3.41650390625</v>
      </c>
      <c r="H4646">
        <f t="shared" si="291"/>
        <v>0.220001220703125</v>
      </c>
    </row>
    <row r="4647" spans="1:8" x14ac:dyDescent="0.2">
      <c r="A4647" t="s">
        <v>14</v>
      </c>
      <c r="B4647" s="2">
        <v>46171</v>
      </c>
      <c r="C4647">
        <v>161.98194885253909</v>
      </c>
      <c r="D4647">
        <f>_xlfn.XLOOKUP(B4647, Oil_Price!A:A, Oil_Price!B:B, "")</f>
        <v>87.360000610351562</v>
      </c>
      <c r="E4647">
        <f t="shared" si="288"/>
        <v>-3.058134806430831E-2</v>
      </c>
      <c r="F4647">
        <f t="shared" si="289"/>
        <v>-1.732284464673544E-2</v>
      </c>
      <c r="G4647">
        <f t="shared" si="290"/>
        <v>-5.1098937988280966</v>
      </c>
      <c r="H4647">
        <f t="shared" si="291"/>
        <v>-1.5400009155273438</v>
      </c>
    </row>
    <row r="4648" spans="1:8" x14ac:dyDescent="0.2">
      <c r="A4648" t="s">
        <v>14</v>
      </c>
      <c r="B4648" s="2">
        <v>46174</v>
      </c>
      <c r="C4648">
        <v>165.53709411621091</v>
      </c>
      <c r="D4648">
        <f>_xlfn.XLOOKUP(B4648, Oil_Price!A:A, Oil_Price!B:B, "")</f>
        <v>92.160003662109375</v>
      </c>
      <c r="E4648">
        <f t="shared" si="288"/>
        <v>2.1947786706210448E-2</v>
      </c>
      <c r="F4648">
        <f t="shared" si="289"/>
        <v>5.4945089494299354E-2</v>
      </c>
      <c r="G4648">
        <f t="shared" si="290"/>
        <v>3.5551452636718182</v>
      </c>
      <c r="H4648">
        <f t="shared" si="291"/>
        <v>4.8000030517578125</v>
      </c>
    </row>
    <row r="4649" spans="1:8" x14ac:dyDescent="0.2">
      <c r="A4649" t="s">
        <v>14</v>
      </c>
      <c r="B4649" s="2">
        <v>46175</v>
      </c>
      <c r="C4649">
        <v>170.50834655761719</v>
      </c>
      <c r="D4649">
        <f>_xlfn.XLOOKUP(B4649, Oil_Price!A:A, Oil_Price!B:B, "")</f>
        <v>93.760002136230469</v>
      </c>
      <c r="E4649">
        <f t="shared" si="288"/>
        <v>3.0031048134240793E-2</v>
      </c>
      <c r="F4649">
        <f t="shared" si="289"/>
        <v>1.7361093864397451E-2</v>
      </c>
      <c r="G4649">
        <f t="shared" si="290"/>
        <v>4.9712524414062784</v>
      </c>
      <c r="H4649">
        <f t="shared" si="291"/>
        <v>1.5999984741210938</v>
      </c>
    </row>
    <row r="4650" spans="1:8" x14ac:dyDescent="0.2">
      <c r="A4650" t="s">
        <v>14</v>
      </c>
      <c r="B4650" s="2">
        <v>46176</v>
      </c>
      <c r="C4650">
        <v>173.97434997558591</v>
      </c>
      <c r="D4650">
        <f>_xlfn.XLOOKUP(B4650, Oil_Price!A:A, Oil_Price!B:B, "")</f>
        <v>96.019996643066406</v>
      </c>
      <c r="E4650">
        <f t="shared" si="288"/>
        <v>2.0327470695386221E-2</v>
      </c>
      <c r="F4650">
        <f t="shared" si="289"/>
        <v>2.4104036426452223E-2</v>
      </c>
      <c r="G4650">
        <f t="shared" si="290"/>
        <v>3.4660034179687216</v>
      </c>
      <c r="H4650">
        <f t="shared" si="291"/>
        <v>2.2599945068359375</v>
      </c>
    </row>
    <row r="4651" spans="1:8" x14ac:dyDescent="0.2">
      <c r="A4651" t="s">
        <v>14</v>
      </c>
      <c r="B4651" s="2">
        <v>46177</v>
      </c>
      <c r="C4651">
        <v>175.3875732421875</v>
      </c>
      <c r="D4651">
        <f>_xlfn.XLOOKUP(B4651, Oil_Price!A:A, Oil_Price!B:B, "")</f>
        <v>93.040000915527344</v>
      </c>
      <c r="E4651">
        <f t="shared" si="288"/>
        <v>8.1231702650414305E-3</v>
      </c>
      <c r="F4651">
        <f t="shared" si="289"/>
        <v>-3.1035157589273336E-2</v>
      </c>
      <c r="G4651">
        <f t="shared" si="290"/>
        <v>1.4132232666015909</v>
      </c>
      <c r="H4651">
        <f t="shared" si="291"/>
        <v>-2.9799957275390625</v>
      </c>
    </row>
    <row r="4652" spans="1:8" x14ac:dyDescent="0.2">
      <c r="A4652" t="s">
        <v>14</v>
      </c>
      <c r="B4652" s="2">
        <v>46178</v>
      </c>
      <c r="C4652">
        <v>168.8091735839844</v>
      </c>
      <c r="D4652">
        <f>_xlfn.XLOOKUP(B4652, Oil_Price!A:A, Oil_Price!B:B, "")</f>
        <v>90.540000915527344</v>
      </c>
      <c r="E4652">
        <f t="shared" si="288"/>
        <v>-3.7507786535817905E-2</v>
      </c>
      <c r="F4652">
        <f t="shared" si="289"/>
        <v>-2.6870163106186919E-2</v>
      </c>
      <c r="G4652">
        <f t="shared" si="290"/>
        <v>-6.5783996582030966</v>
      </c>
      <c r="H4652">
        <f t="shared" si="291"/>
        <v>-2.5</v>
      </c>
    </row>
    <row r="4653" spans="1:8" x14ac:dyDescent="0.2">
      <c r="A4653" t="s">
        <v>14</v>
      </c>
      <c r="B4653" s="2">
        <v>46181</v>
      </c>
      <c r="C4653">
        <v>170.32191467285159</v>
      </c>
      <c r="D4653">
        <f>_xlfn.XLOOKUP(B4653, Oil_Price!A:A, Oil_Price!B:B, "")</f>
        <v>91.300003051757812</v>
      </c>
      <c r="E4653">
        <f t="shared" si="288"/>
        <v>8.9612493015054206E-3</v>
      </c>
      <c r="F4653">
        <f t="shared" si="289"/>
        <v>8.3941034741046774E-3</v>
      </c>
      <c r="G4653">
        <f t="shared" si="290"/>
        <v>1.5127410888671875</v>
      </c>
      <c r="H4653">
        <f t="shared" si="291"/>
        <v>0.76000213623046875</v>
      </c>
    </row>
    <row r="4654" spans="1:8" x14ac:dyDescent="0.2">
      <c r="A4654" t="s">
        <v>14</v>
      </c>
      <c r="B4654" s="2">
        <v>46182</v>
      </c>
      <c r="C4654">
        <v>165.0870666503906</v>
      </c>
      <c r="D4654">
        <f>_xlfn.XLOOKUP(B4654, Oil_Price!A:A, Oil_Price!B:B, "")</f>
        <v>88.199996948242188</v>
      </c>
      <c r="E4654">
        <f t="shared" si="288"/>
        <v>-3.0735023338106012E-2</v>
      </c>
      <c r="F4654">
        <f t="shared" si="289"/>
        <v>-3.3954063525696014E-2</v>
      </c>
      <c r="G4654">
        <f t="shared" si="290"/>
        <v>-5.2348480224609943</v>
      </c>
      <c r="H4654">
        <f t="shared" si="291"/>
        <v>-3.100006103515625</v>
      </c>
    </row>
    <row r="4655" spans="1:8" x14ac:dyDescent="0.2">
      <c r="A4655" t="s">
        <v>14</v>
      </c>
      <c r="B4655" s="2">
        <v>46183</v>
      </c>
      <c r="C4655">
        <v>166.64955139160159</v>
      </c>
      <c r="D4655">
        <f>_xlfn.XLOOKUP(B4655, Oil_Price!A:A, Oil_Price!B:B, "")</f>
        <v>90.029998779296875</v>
      </c>
      <c r="E4655">
        <f t="shared" si="288"/>
        <v>9.4646102381836551E-3</v>
      </c>
      <c r="F4655">
        <f t="shared" si="289"/>
        <v>2.0748320797885914E-2</v>
      </c>
      <c r="G4655">
        <f t="shared" si="290"/>
        <v>1.5624847412109943</v>
      </c>
      <c r="H4655">
        <f t="shared" si="291"/>
        <v>1.8300018310546875</v>
      </c>
    </row>
    <row r="4656" spans="1:8" x14ac:dyDescent="0.2">
      <c r="A4656" t="s">
        <v>14</v>
      </c>
      <c r="B4656" s="2">
        <v>46184</v>
      </c>
      <c r="C4656">
        <v>168.24189758300781</v>
      </c>
      <c r="D4656">
        <f>_xlfn.XLOOKUP(B4656, Oil_Price!A:A, Oil_Price!B:B, "")</f>
        <v>87.709999084472656</v>
      </c>
      <c r="E4656">
        <f t="shared" si="288"/>
        <v>9.555058373151246E-3</v>
      </c>
      <c r="F4656">
        <f t="shared" si="289"/>
        <v>-2.5769185008116667E-2</v>
      </c>
      <c r="G4656">
        <f t="shared" si="290"/>
        <v>1.5923461914062216</v>
      </c>
      <c r="H4656">
        <f t="shared" si="291"/>
        <v>-2.3199996948242188</v>
      </c>
    </row>
    <row r="4657" spans="1:8" x14ac:dyDescent="0.2">
      <c r="A4657" t="s">
        <v>14</v>
      </c>
      <c r="B4657" s="2">
        <v>46185</v>
      </c>
      <c r="C4657">
        <v>168.9584655761719</v>
      </c>
      <c r="D4657">
        <f>_xlfn.XLOOKUP(B4657, Oil_Price!A:A, Oil_Price!B:B, "")</f>
        <v>84.879997253417969</v>
      </c>
      <c r="E4657">
        <f t="shared" si="288"/>
        <v>4.2591530615050744E-3</v>
      </c>
      <c r="F4657">
        <f t="shared" si="289"/>
        <v>-3.2265441347561069E-2</v>
      </c>
      <c r="G4657">
        <f t="shared" si="290"/>
        <v>0.71656799316409092</v>
      </c>
      <c r="H4657">
        <f t="shared" si="291"/>
        <v>-2.8300018310546875</v>
      </c>
    </row>
    <row r="4658" spans="1:8" x14ac:dyDescent="0.2">
      <c r="A4658" t="s">
        <v>14</v>
      </c>
      <c r="B4658" s="2">
        <v>46188</v>
      </c>
      <c r="C4658">
        <v>167.5452575683594</v>
      </c>
      <c r="D4658">
        <f>_xlfn.XLOOKUP(B4658, Oil_Price!A:A, Oil_Price!B:B, "")</f>
        <v>80.75</v>
      </c>
      <c r="E4658">
        <f t="shared" si="288"/>
        <v>-8.3642332036649586E-3</v>
      </c>
      <c r="F4658">
        <f t="shared" si="289"/>
        <v>-4.8656896643003378E-2</v>
      </c>
      <c r="G4658">
        <f t="shared" si="290"/>
        <v>-1.4132080078125</v>
      </c>
      <c r="H4658">
        <f t="shared" si="291"/>
        <v>-4.1299972534179688</v>
      </c>
    </row>
    <row r="4659" spans="1:8" x14ac:dyDescent="0.2">
      <c r="A4659" t="s">
        <v>14</v>
      </c>
      <c r="B4659" s="2">
        <v>46189</v>
      </c>
      <c r="C4659">
        <v>164.13163757324219</v>
      </c>
      <c r="D4659">
        <f>_xlfn.XLOOKUP(B4659, Oil_Price!A:A, Oil_Price!B:B, "")</f>
        <v>76.050003051757812</v>
      </c>
      <c r="E4659">
        <f t="shared" si="288"/>
        <v>-2.0374315839554215E-2</v>
      </c>
      <c r="F4659">
        <f t="shared" si="289"/>
        <v>-5.8204296572658666E-2</v>
      </c>
      <c r="G4659">
        <f t="shared" si="290"/>
        <v>-3.4136199951172159</v>
      </c>
      <c r="H4659">
        <f t="shared" si="291"/>
        <v>-4.6999969482421875</v>
      </c>
    </row>
    <row r="4660" spans="1:8" x14ac:dyDescent="0.2">
      <c r="A4660" t="s">
        <v>14</v>
      </c>
      <c r="B4660" s="2">
        <v>46190</v>
      </c>
      <c r="C4660">
        <v>160.36970520019531</v>
      </c>
      <c r="D4660">
        <f>_xlfn.XLOOKUP(B4660, Oil_Price!A:A, Oil_Price!B:B, "")</f>
        <v>76.790000915527344</v>
      </c>
      <c r="E4660">
        <f t="shared" si="288"/>
        <v>-2.2920214704908116E-2</v>
      </c>
      <c r="F4660">
        <f t="shared" si="289"/>
        <v>9.7304120193908005E-3</v>
      </c>
      <c r="G4660">
        <f t="shared" si="290"/>
        <v>-3.761932373046875</v>
      </c>
      <c r="H4660">
        <f t="shared" si="291"/>
        <v>0.73999786376953125</v>
      </c>
    </row>
    <row r="4661" spans="1:8" x14ac:dyDescent="0.2">
      <c r="A4661" t="s">
        <v>14</v>
      </c>
      <c r="B4661" s="2">
        <v>46191</v>
      </c>
      <c r="C4661">
        <v>158.39918518066409</v>
      </c>
      <c r="D4661">
        <f>_xlfn.XLOOKUP(B4661, Oil_Price!A:A, Oil_Price!B:B, "")</f>
        <v>76.599998474121094</v>
      </c>
      <c r="E4661">
        <f t="shared" si="288"/>
        <v>-1.2287358245569823E-2</v>
      </c>
      <c r="F4661">
        <f t="shared" si="289"/>
        <v>-2.4743122690578131E-3</v>
      </c>
      <c r="G4661">
        <f t="shared" si="290"/>
        <v>-1.9705200195312216</v>
      </c>
      <c r="H4661">
        <f t="shared" si="291"/>
        <v>-0.19000244140625</v>
      </c>
    </row>
    <row r="4662" spans="1:8" x14ac:dyDescent="0.2">
      <c r="A4662" t="s">
        <v>14</v>
      </c>
      <c r="B4662" s="2">
        <v>46192</v>
      </c>
      <c r="C4662">
        <v>157.44377136230469</v>
      </c>
      <c r="D4662" t="str">
        <f>_xlfn.XLOOKUP(B4662, Oil_Price!A:A, Oil_Price!B:B, "")</f>
        <v/>
      </c>
      <c r="E4662">
        <f t="shared" si="288"/>
        <v>-6.0316839210359241E-3</v>
      </c>
      <c r="F4662" t="str">
        <f t="shared" si="289"/>
        <v/>
      </c>
      <c r="G4662">
        <f t="shared" si="290"/>
        <v>-0.95541381835940342</v>
      </c>
      <c r="H4662" t="str">
        <f t="shared" si="291"/>
        <v/>
      </c>
    </row>
    <row r="4663" spans="1:8" x14ac:dyDescent="0.2">
      <c r="A4663" t="s">
        <v>14</v>
      </c>
      <c r="B4663" s="2">
        <v>46195</v>
      </c>
      <c r="C4663">
        <v>160.83746337890619</v>
      </c>
      <c r="D4663">
        <f>_xlfn.XLOOKUP(B4663, Oil_Price!A:A, Oil_Price!B:B, "")</f>
        <v>74.819999694824219</v>
      </c>
      <c r="E4663">
        <f t="shared" si="288"/>
        <v>2.1554946170541402E-2</v>
      </c>
      <c r="F4663" t="str">
        <f t="shared" si="289"/>
        <v/>
      </c>
      <c r="G4663">
        <f t="shared" si="290"/>
        <v>3.3936920166015057</v>
      </c>
      <c r="H4663" t="str">
        <f t="shared" si="291"/>
        <v/>
      </c>
    </row>
    <row r="4664" spans="1:8" x14ac:dyDescent="0.2">
      <c r="A4664" t="s">
        <v>14</v>
      </c>
      <c r="B4664" s="2">
        <v>46196</v>
      </c>
      <c r="C4664">
        <v>162.2606201171875</v>
      </c>
      <c r="D4664">
        <f>_xlfn.XLOOKUP(B4664, Oil_Price!A:A, Oil_Price!B:B, "")</f>
        <v>73.209999084472656</v>
      </c>
      <c r="E4664">
        <f t="shared" si="288"/>
        <v>8.8484157134994558E-3</v>
      </c>
      <c r="F4664">
        <f t="shared" si="289"/>
        <v>-2.1518318857503771E-2</v>
      </c>
      <c r="G4664">
        <f t="shared" si="290"/>
        <v>1.4231567382813068</v>
      </c>
      <c r="H4664">
        <f t="shared" si="291"/>
        <v>-1.6100006103515625</v>
      </c>
    </row>
    <row r="4665" spans="1:8" x14ac:dyDescent="0.2">
      <c r="A4665" t="s">
        <v>14</v>
      </c>
      <c r="B4665" s="2">
        <v>46197</v>
      </c>
      <c r="C4665">
        <v>159.623291015625</v>
      </c>
      <c r="D4665">
        <f>_xlfn.XLOOKUP(B4665, Oil_Price!A:A, Oil_Price!B:B, "")</f>
        <v>70.339996337890625</v>
      </c>
      <c r="E4665">
        <f t="shared" si="288"/>
        <v>-1.6253660929298645E-2</v>
      </c>
      <c r="F4665">
        <f t="shared" si="289"/>
        <v>-3.92023327752061E-2</v>
      </c>
      <c r="G4665">
        <f t="shared" si="290"/>
        <v>-2.6373291015625</v>
      </c>
      <c r="H4665">
        <f t="shared" si="291"/>
        <v>-2.8700027465820312</v>
      </c>
    </row>
    <row r="4666" spans="1:8" x14ac:dyDescent="0.2">
      <c r="A4666" t="s">
        <v>14</v>
      </c>
      <c r="B4666" s="2">
        <v>46198</v>
      </c>
      <c r="C4666">
        <v>160.1507568359375</v>
      </c>
      <c r="D4666">
        <f>_xlfn.XLOOKUP(B4666, Oil_Price!A:A, Oil_Price!B:B, "")</f>
        <v>71.919998168945312</v>
      </c>
      <c r="E4666">
        <f t="shared" si="288"/>
        <v>3.3044414568602527E-3</v>
      </c>
      <c r="F4666">
        <f t="shared" si="289"/>
        <v>2.246235304683368E-2</v>
      </c>
      <c r="G4666">
        <f t="shared" si="290"/>
        <v>0.5274658203125</v>
      </c>
      <c r="H4666">
        <f t="shared" si="291"/>
        <v>1.5800018310546875</v>
      </c>
    </row>
    <row r="4667" spans="1:8" x14ac:dyDescent="0.2">
      <c r="A4667" t="s">
        <v>14</v>
      </c>
      <c r="B4667" s="2">
        <v>46199</v>
      </c>
      <c r="C4667">
        <v>160.1109619140625</v>
      </c>
      <c r="D4667">
        <f>_xlfn.XLOOKUP(B4667, Oil_Price!A:A, Oil_Price!B:B, "")</f>
        <v>69.230003356933594</v>
      </c>
      <c r="E4667">
        <f t="shared" si="288"/>
        <v>-2.4848413245881149E-4</v>
      </c>
      <c r="F4667">
        <f t="shared" si="289"/>
        <v>-3.7402598449637399E-2</v>
      </c>
      <c r="G4667">
        <f t="shared" si="290"/>
        <v>-3.9794921875E-2</v>
      </c>
      <c r="H4667">
        <f t="shared" si="291"/>
        <v>-2.6899948120117188</v>
      </c>
    </row>
    <row r="4668" spans="1:8" x14ac:dyDescent="0.2">
      <c r="A4668" t="s">
        <v>14</v>
      </c>
      <c r="B4668" s="2">
        <v>46202</v>
      </c>
      <c r="C4668">
        <v>159.92185974121091</v>
      </c>
      <c r="D4668">
        <f>_xlfn.XLOOKUP(B4668, Oil_Price!A:A, Oil_Price!B:B, "")</f>
        <v>70.75</v>
      </c>
      <c r="E4668">
        <f t="shared" si="288"/>
        <v>-1.181069494499003E-3</v>
      </c>
      <c r="F4668">
        <f t="shared" si="289"/>
        <v>2.1955749954678777E-2</v>
      </c>
      <c r="G4668">
        <f t="shared" si="290"/>
        <v>-0.18910217285159092</v>
      </c>
      <c r="H4668">
        <f t="shared" si="291"/>
        <v>1.5199966430664062</v>
      </c>
    </row>
    <row r="4669" spans="1:8" x14ac:dyDescent="0.2">
      <c r="A4669" t="s">
        <v>14</v>
      </c>
      <c r="B4669" s="2">
        <v>46203</v>
      </c>
      <c r="C4669">
        <v>158.4986877441406</v>
      </c>
      <c r="D4669">
        <f>_xlfn.XLOOKUP(B4669, Oil_Price!A:A, Oil_Price!B:B, "")</f>
        <v>69.5</v>
      </c>
      <c r="E4669">
        <f t="shared" si="288"/>
        <v>-8.8991711287832748E-3</v>
      </c>
      <c r="F4669">
        <f t="shared" si="289"/>
        <v>-1.7667844522968199E-2</v>
      </c>
      <c r="G4669">
        <f t="shared" si="290"/>
        <v>-1.4231719970703125</v>
      </c>
      <c r="H4669">
        <f t="shared" si="291"/>
        <v>-1.25</v>
      </c>
    </row>
    <row r="4670" spans="1:8" x14ac:dyDescent="0.2">
      <c r="A4670" t="s">
        <v>14</v>
      </c>
      <c r="B4670" s="2">
        <v>46205</v>
      </c>
      <c r="C4670">
        <v>160.53889465332031</v>
      </c>
      <c r="D4670">
        <f>_xlfn.XLOOKUP(B4670, Oil_Price!A:A, Oil_Price!B:B, "")</f>
        <v>68.69000244140625</v>
      </c>
      <c r="E4670">
        <f t="shared" si="288"/>
        <v>1.2872074451954815E-2</v>
      </c>
      <c r="F4670">
        <f t="shared" si="289"/>
        <v>-1.1654641130845324E-2</v>
      </c>
      <c r="G4670">
        <f t="shared" si="290"/>
        <v>2.0402069091797159</v>
      </c>
      <c r="H4670">
        <f t="shared" si="291"/>
        <v>-0.80999755859375</v>
      </c>
    </row>
    <row r="4671" spans="1:8" x14ac:dyDescent="0.2">
      <c r="A4671" t="s">
        <v>14</v>
      </c>
      <c r="B4671" s="2">
        <v>46206</v>
      </c>
      <c r="C4671">
        <v>162.5094299316406</v>
      </c>
      <c r="D4671" t="str">
        <f>_xlfn.XLOOKUP(B4671, Oil_Price!A:A, Oil_Price!B:B, "")</f>
        <v/>
      </c>
      <c r="E4671">
        <f t="shared" si="288"/>
        <v>1.2274503836441663E-2</v>
      </c>
      <c r="F4671" t="str">
        <f t="shared" si="289"/>
        <v/>
      </c>
      <c r="G4671">
        <f t="shared" si="290"/>
        <v>1.9705352783202841</v>
      </c>
      <c r="H4671" t="str">
        <f t="shared" si="291"/>
        <v/>
      </c>
    </row>
    <row r="4672" spans="1:8" x14ac:dyDescent="0.2">
      <c r="A4672" t="s">
        <v>14</v>
      </c>
      <c r="B4672" s="2">
        <v>46209</v>
      </c>
      <c r="C4672">
        <v>159.82234191894531</v>
      </c>
      <c r="D4672">
        <f>_xlfn.XLOOKUP(B4672, Oil_Price!A:A, Oil_Price!B:B, "")</f>
        <v>68.550003051757812</v>
      </c>
      <c r="E4672">
        <f t="shared" si="288"/>
        <v>-1.6534966702089871E-2</v>
      </c>
      <c r="F4672" t="str">
        <f t="shared" si="289"/>
        <v/>
      </c>
      <c r="G4672">
        <f t="shared" si="290"/>
        <v>-2.6870880126952841</v>
      </c>
      <c r="H4672" t="str">
        <f t="shared" si="291"/>
        <v/>
      </c>
    </row>
    <row r="4673" spans="1:8" x14ac:dyDescent="0.2">
      <c r="A4673" t="s">
        <v>14</v>
      </c>
      <c r="B4673" s="2">
        <v>46210</v>
      </c>
      <c r="C4673">
        <v>164.61930847167969</v>
      </c>
      <c r="D4673">
        <f>_xlfn.XLOOKUP(B4673, Oil_Price!A:A, Oil_Price!B:B, "")</f>
        <v>70.44000244140625</v>
      </c>
      <c r="E4673">
        <f t="shared" si="288"/>
        <v>3.0014367798259271E-2</v>
      </c>
      <c r="F4673">
        <f t="shared" si="289"/>
        <v>2.7571105842568926E-2</v>
      </c>
      <c r="G4673">
        <f t="shared" si="290"/>
        <v>4.796966552734375</v>
      </c>
      <c r="H4673">
        <f t="shared" si="291"/>
        <v>1.8899993896484375</v>
      </c>
    </row>
    <row r="4674" spans="1:8" x14ac:dyDescent="0.2">
      <c r="A4674" t="s">
        <v>14</v>
      </c>
      <c r="B4674" s="2">
        <v>46211</v>
      </c>
      <c r="C4674">
        <v>170.91905212402341</v>
      </c>
      <c r="D4674">
        <f>_xlfn.XLOOKUP(B4674, Oil_Price!A:A, Oil_Price!B:B, "")</f>
        <v>73.519996643066406</v>
      </c>
      <c r="E4674">
        <f t="shared" si="288"/>
        <v>3.8268558596378136E-2</v>
      </c>
      <c r="F4674">
        <f t="shared" si="289"/>
        <v>4.3725072329776994E-2</v>
      </c>
      <c r="G4674">
        <f t="shared" si="290"/>
        <v>6.2997436523437216</v>
      </c>
      <c r="H4674">
        <f t="shared" si="291"/>
        <v>3.0799942016601562</v>
      </c>
    </row>
    <row r="4675" spans="1:8" x14ac:dyDescent="0.2">
      <c r="A4675" t="s">
        <v>14</v>
      </c>
      <c r="B4675" s="2">
        <v>46212</v>
      </c>
      <c r="C4675">
        <v>169.50584411621091</v>
      </c>
      <c r="D4675">
        <f>_xlfn.XLOOKUP(B4675, Oil_Price!A:A, Oil_Price!B:B, "")</f>
        <v>72.080001831054688</v>
      </c>
      <c r="E4675">
        <f t="shared" ref="E4675:E4724" si="292">IFERROR(IF(AND(A4675=A4674, C4675&lt;&gt;"", C4674&lt;&gt;""), (C4675-C4674)/C4674, ""), "")</f>
        <v>-8.268288352003255E-3</v>
      </c>
      <c r="F4675">
        <f t="shared" ref="F4675:F4724" si="293">IFERROR(IF(AND(A4675=A4674, D4675&lt;&gt;"", D4674&lt;&gt;""), (D4675-D4674)/D4674, ""), "")</f>
        <v>-1.95864374015518E-2</v>
      </c>
      <c r="G4675">
        <f t="shared" ref="G4675:G4724" si="294">IFERROR(IF(AND(A4675=A4674, C4675&lt;&gt;"", C4674&lt;&gt;""), C4675-C4674, ""), "")</f>
        <v>-1.4132080078125</v>
      </c>
      <c r="H4675">
        <f t="shared" ref="H4675:H4724" si="295">IFERROR(IF(AND(A4675=A4674, D4675&lt;&gt;"", D4674&lt;&gt;""), D4675-D4674, ""), "")</f>
        <v>-1.4399948120117188</v>
      </c>
    </row>
    <row r="4676" spans="1:8" x14ac:dyDescent="0.2">
      <c r="A4676" t="s">
        <v>14</v>
      </c>
      <c r="B4676" s="2">
        <v>46213</v>
      </c>
      <c r="C4676">
        <v>169.95368957519531</v>
      </c>
      <c r="D4676">
        <f>_xlfn.XLOOKUP(B4676, Oil_Price!A:A, Oil_Price!B:B, "")</f>
        <v>71.410003662109375</v>
      </c>
      <c r="E4676">
        <f t="shared" si="292"/>
        <v>2.6420650056016158E-3</v>
      </c>
      <c r="F4676">
        <f t="shared" si="293"/>
        <v>-9.2952018857559594E-3</v>
      </c>
      <c r="G4676">
        <f t="shared" si="294"/>
        <v>0.44784545898440342</v>
      </c>
      <c r="H4676">
        <f t="shared" si="295"/>
        <v>-0.6699981689453125</v>
      </c>
    </row>
    <row r="4677" spans="1:8" x14ac:dyDescent="0.2">
      <c r="A4677" t="s">
        <v>14</v>
      </c>
      <c r="B4677" s="2">
        <v>46216</v>
      </c>
      <c r="C4677">
        <v>174.11369323730469</v>
      </c>
      <c r="D4677">
        <f>_xlfn.XLOOKUP(B4677, Oil_Price!A:A, Oil_Price!B:B, "")</f>
        <v>78.139999389648438</v>
      </c>
      <c r="E4677">
        <f t="shared" si="292"/>
        <v>2.4477277736702493E-2</v>
      </c>
      <c r="F4677">
        <f t="shared" si="293"/>
        <v>9.42444389077947E-2</v>
      </c>
      <c r="G4677">
        <f t="shared" si="294"/>
        <v>4.160003662109375</v>
      </c>
      <c r="H4677">
        <f t="shared" si="295"/>
        <v>6.7299957275390625</v>
      </c>
    </row>
    <row r="4678" spans="1:8" x14ac:dyDescent="0.2">
      <c r="A4678" t="s">
        <v>14</v>
      </c>
      <c r="B4678" s="2">
        <v>46217</v>
      </c>
      <c r="C4678">
        <v>171.27732849121091</v>
      </c>
      <c r="D4678">
        <f>_xlfn.XLOOKUP(B4678, Oil_Price!A:A, Oil_Price!B:B, "")</f>
        <v>79.339996337890625</v>
      </c>
      <c r="E4678">
        <f t="shared" si="292"/>
        <v>-1.6290302579636935E-2</v>
      </c>
      <c r="F4678">
        <f t="shared" si="293"/>
        <v>1.5357012511074533E-2</v>
      </c>
      <c r="G4678">
        <f t="shared" si="294"/>
        <v>-2.8363647460937784</v>
      </c>
      <c r="H4678">
        <f t="shared" si="295"/>
        <v>1.1999969482421875</v>
      </c>
    </row>
    <row r="4679" spans="1:8" x14ac:dyDescent="0.2">
      <c r="A4679" t="s">
        <v>14</v>
      </c>
      <c r="B4679" s="2">
        <v>46218</v>
      </c>
      <c r="C4679">
        <v>168.21205139160159</v>
      </c>
      <c r="D4679">
        <f>_xlfn.XLOOKUP(B4679, Oil_Price!A:A, Oil_Price!B:B, "")</f>
        <v>79.599998474121094</v>
      </c>
      <c r="E4679">
        <f t="shared" si="292"/>
        <v>-1.7896572340376109E-2</v>
      </c>
      <c r="F4679">
        <f t="shared" si="293"/>
        <v>3.2770626195037875E-3</v>
      </c>
      <c r="G4679">
        <f t="shared" si="294"/>
        <v>-3.0652770996093182</v>
      </c>
      <c r="H4679">
        <f t="shared" si="295"/>
        <v>0.26000213623046875</v>
      </c>
    </row>
    <row r="4680" spans="1:8" x14ac:dyDescent="0.2">
      <c r="A4680" t="s">
        <v>14</v>
      </c>
      <c r="B4680" s="2">
        <v>46219</v>
      </c>
      <c r="C4680">
        <v>167.5452575683594</v>
      </c>
      <c r="D4680">
        <f>_xlfn.XLOOKUP(B4680, Oil_Price!A:A, Oil_Price!B:B, "")</f>
        <v>78.949996948242188</v>
      </c>
      <c r="E4680">
        <f t="shared" si="292"/>
        <v>-3.9640074401677437E-3</v>
      </c>
      <c r="F4680">
        <f t="shared" si="293"/>
        <v>-8.1658484715955056E-3</v>
      </c>
      <c r="G4680">
        <f t="shared" si="294"/>
        <v>-0.6667938232421875</v>
      </c>
      <c r="H4680">
        <f t="shared" si="295"/>
        <v>-0.65000152587890625</v>
      </c>
    </row>
    <row r="4681" spans="1:8" x14ac:dyDescent="0.2">
      <c r="A4681" t="s">
        <v>14</v>
      </c>
      <c r="B4681" s="2">
        <v>46220</v>
      </c>
      <c r="C4681">
        <v>171.0683288574219</v>
      </c>
      <c r="D4681">
        <f>_xlfn.XLOOKUP(B4681, Oil_Price!A:A, Oil_Price!B:B, "")</f>
        <v>82.489997863769531</v>
      </c>
      <c r="E4681">
        <f t="shared" si="292"/>
        <v>2.1027579892108059E-2</v>
      </c>
      <c r="F4681">
        <f t="shared" si="293"/>
        <v>4.4838518712649066E-2</v>
      </c>
      <c r="G4681">
        <f t="shared" si="294"/>
        <v>3.5230712890625</v>
      </c>
      <c r="H4681">
        <f t="shared" si="295"/>
        <v>3.5400009155273438</v>
      </c>
    </row>
    <row r="4682" spans="1:8" x14ac:dyDescent="0.2">
      <c r="A4682" t="s">
        <v>14</v>
      </c>
      <c r="B4682" s="2">
        <v>46223</v>
      </c>
      <c r="C4682">
        <v>171.6156921386719</v>
      </c>
      <c r="D4682">
        <f>_xlfn.XLOOKUP(B4682, Oil_Price!A:A, Oil_Price!B:B, "")</f>
        <v>83.230003356933594</v>
      </c>
      <c r="E4682">
        <f t="shared" si="292"/>
        <v>3.199676321770839E-3</v>
      </c>
      <c r="F4682">
        <f t="shared" si="293"/>
        <v>8.970851161690727E-3</v>
      </c>
      <c r="G4682">
        <f t="shared" si="294"/>
        <v>0.54736328125</v>
      </c>
      <c r="H4682">
        <f t="shared" si="295"/>
        <v>0.7400054931640625</v>
      </c>
    </row>
    <row r="4683" spans="1:8" x14ac:dyDescent="0.2">
      <c r="A4683" t="s">
        <v>14</v>
      </c>
      <c r="B4683" s="2">
        <v>46224</v>
      </c>
      <c r="C4683">
        <v>174.7506408691406</v>
      </c>
      <c r="D4683">
        <f>_xlfn.XLOOKUP(B4683, Oil_Price!A:A, Oil_Price!B:B, "")</f>
        <v>84.910003662109375</v>
      </c>
      <c r="E4683">
        <f t="shared" si="292"/>
        <v>1.8267261527200773E-2</v>
      </c>
      <c r="F4683">
        <f t="shared" si="293"/>
        <v>2.0185032289030017E-2</v>
      </c>
      <c r="G4683">
        <f t="shared" si="294"/>
        <v>3.1349487304686932</v>
      </c>
      <c r="H4683">
        <f t="shared" si="295"/>
        <v>1.6800003051757812</v>
      </c>
    </row>
    <row r="4684" spans="1:8" x14ac:dyDescent="0.2">
      <c r="A4684" t="s">
        <v>14</v>
      </c>
      <c r="B4684" s="2">
        <v>46225</v>
      </c>
      <c r="C4684">
        <v>176.20365905761719</v>
      </c>
      <c r="D4684">
        <f>_xlfn.XLOOKUP(B4684, Oil_Price!A:A, Oil_Price!B:B, "")</f>
        <v>86.830001831054688</v>
      </c>
      <c r="E4684">
        <f t="shared" si="292"/>
        <v>8.3148089257347093E-3</v>
      </c>
      <c r="F4684">
        <f t="shared" si="293"/>
        <v>2.2612155059911994E-2</v>
      </c>
      <c r="G4684">
        <f t="shared" si="294"/>
        <v>1.4530181884765909</v>
      </c>
      <c r="H4684">
        <f t="shared" si="295"/>
        <v>1.9199981689453125</v>
      </c>
    </row>
    <row r="4685" spans="1:8" x14ac:dyDescent="0.2">
      <c r="A4685" t="s">
        <v>14</v>
      </c>
      <c r="B4685" s="2">
        <v>46226</v>
      </c>
      <c r="C4685">
        <v>180.61247253417969</v>
      </c>
      <c r="D4685">
        <f>_xlfn.XLOOKUP(B4685, Oil_Price!A:A, Oil_Price!B:B, "")</f>
        <v>92.19000244140625</v>
      </c>
      <c r="E4685">
        <f t="shared" si="292"/>
        <v>2.5021123285078054E-2</v>
      </c>
      <c r="F4685">
        <f t="shared" si="293"/>
        <v>6.1729822611089273E-2</v>
      </c>
      <c r="G4685">
        <f t="shared" si="294"/>
        <v>4.4088134765625</v>
      </c>
      <c r="H4685">
        <f t="shared" si="295"/>
        <v>5.3600006103515625</v>
      </c>
    </row>
    <row r="4686" spans="1:8" x14ac:dyDescent="0.2">
      <c r="A4686" t="s">
        <v>14</v>
      </c>
      <c r="B4686" s="2">
        <v>46227</v>
      </c>
      <c r="C4686">
        <v>180.42338562011719</v>
      </c>
      <c r="D4686">
        <f>_xlfn.XLOOKUP(B4686, Oil_Price!A:A, Oil_Price!B:B, "")</f>
        <v>89.30999755859375</v>
      </c>
      <c r="E4686">
        <f t="shared" si="292"/>
        <v>-1.0469205775737143E-3</v>
      </c>
      <c r="F4686">
        <f t="shared" si="293"/>
        <v>-3.1239882921610312E-2</v>
      </c>
      <c r="G4686">
        <f t="shared" si="294"/>
        <v>-0.1890869140625</v>
      </c>
      <c r="H4686">
        <f t="shared" si="295"/>
        <v>-2.8800048828125</v>
      </c>
    </row>
    <row r="4687" spans="1:8" x14ac:dyDescent="0.2">
      <c r="A4687" t="s">
        <v>14</v>
      </c>
      <c r="B4687" s="2">
        <v>46230</v>
      </c>
      <c r="C4687">
        <v>176.8704528808594</v>
      </c>
      <c r="D4687">
        <f>_xlfn.XLOOKUP(B4687, Oil_Price!A:A, Oil_Price!B:B, "")</f>
        <v>82.610000610351562</v>
      </c>
      <c r="E4687">
        <f t="shared" si="292"/>
        <v>-1.9692196369369273E-2</v>
      </c>
      <c r="F4687">
        <f t="shared" si="293"/>
        <v>-7.5019562550614899E-2</v>
      </c>
      <c r="G4687">
        <f t="shared" si="294"/>
        <v>-3.5529327392577841</v>
      </c>
      <c r="H4687">
        <f t="shared" si="295"/>
        <v>-6.6999969482421875</v>
      </c>
    </row>
    <row r="4688" spans="1:8" x14ac:dyDescent="0.2">
      <c r="A4688" t="s">
        <v>14</v>
      </c>
      <c r="B4688" s="2">
        <v>46231</v>
      </c>
      <c r="C4688">
        <v>176.73112487792969</v>
      </c>
      <c r="D4688">
        <f>_xlfn.XLOOKUP(B4688, Oil_Price!A:A, Oil_Price!B:B, "")</f>
        <v>79.260002136230469</v>
      </c>
      <c r="E4688">
        <f t="shared" si="292"/>
        <v>-7.8774040921107257E-4</v>
      </c>
      <c r="F4688">
        <f t="shared" si="293"/>
        <v>-4.0551972513861931E-2</v>
      </c>
      <c r="G4688">
        <f t="shared" si="294"/>
        <v>-0.13932800292971592</v>
      </c>
      <c r="H4688">
        <f t="shared" si="295"/>
        <v>-3.3499984741210938</v>
      </c>
    </row>
    <row r="4689" spans="1:8" x14ac:dyDescent="0.2">
      <c r="A4689" t="s">
        <v>14</v>
      </c>
      <c r="B4689" s="2">
        <v>46232</v>
      </c>
      <c r="C4689">
        <v>180.094970703125</v>
      </c>
      <c r="D4689">
        <f>_xlfn.XLOOKUP(B4689, Oil_Price!A:A, Oil_Price!B:B, "")</f>
        <v>84.459999084472656</v>
      </c>
      <c r="E4689">
        <f t="shared" si="292"/>
        <v>1.903369215535046E-2</v>
      </c>
      <c r="F4689">
        <f t="shared" si="293"/>
        <v>6.5606823215883084E-2</v>
      </c>
      <c r="G4689">
        <f t="shared" si="294"/>
        <v>3.3638458251953125</v>
      </c>
      <c r="H4689">
        <f t="shared" si="295"/>
        <v>5.1999969482421875</v>
      </c>
    </row>
    <row r="4690" spans="1:8" x14ac:dyDescent="0.2">
      <c r="A4690" t="s">
        <v>14</v>
      </c>
      <c r="B4690" s="2">
        <v>46233</v>
      </c>
      <c r="C4690">
        <v>179.97554016113281</v>
      </c>
      <c r="D4690">
        <f>_xlfn.XLOOKUP(B4690, Oil_Price!A:A, Oil_Price!B:B, "")</f>
        <v>83.589996337890625</v>
      </c>
      <c r="E4690">
        <f t="shared" si="292"/>
        <v>-6.6315312152198343E-4</v>
      </c>
      <c r="F4690">
        <f t="shared" si="293"/>
        <v>-1.0300766706283031E-2</v>
      </c>
      <c r="G4690">
        <f t="shared" si="294"/>
        <v>-0.1194305419921875</v>
      </c>
      <c r="H4690">
        <f t="shared" si="295"/>
        <v>-0.87000274658203125</v>
      </c>
    </row>
    <row r="4691" spans="1:8" x14ac:dyDescent="0.2">
      <c r="A4691" t="s">
        <v>14</v>
      </c>
      <c r="B4691" s="2">
        <v>46234</v>
      </c>
      <c r="C4691">
        <v>180.8811950683594</v>
      </c>
      <c r="D4691">
        <f>_xlfn.XLOOKUP(B4691, Oil_Price!A:A, Oil_Price!B:B, "")</f>
        <v>84.669998168945312</v>
      </c>
      <c r="E4691">
        <f t="shared" si="292"/>
        <v>5.032099953225613E-3</v>
      </c>
      <c r="F4691">
        <f t="shared" si="293"/>
        <v>1.2920228237468315E-2</v>
      </c>
      <c r="G4691">
        <f t="shared" si="294"/>
        <v>0.90565490722659092</v>
      </c>
      <c r="H4691">
        <f t="shared" si="295"/>
        <v>1.0800018310546875</v>
      </c>
    </row>
    <row r="4692" spans="1:8" x14ac:dyDescent="0.2">
      <c r="A4692" t="s">
        <v>14</v>
      </c>
      <c r="B4692" s="2">
        <v>46238</v>
      </c>
      <c r="C4692">
        <v>178.70166015625</v>
      </c>
      <c r="D4692">
        <f>_xlfn.XLOOKUP(B4692, Oil_Price!A:A, Oil_Price!B:B, "")</f>
        <v>75.769996643066406</v>
      </c>
      <c r="E4692">
        <f t="shared" si="292"/>
        <v>-1.2049538434803596E-2</v>
      </c>
      <c r="F4692">
        <f t="shared" si="293"/>
        <v>-0.10511399218552468</v>
      </c>
      <c r="G4692">
        <f t="shared" si="294"/>
        <v>-2.1795349121094034</v>
      </c>
      <c r="H4692">
        <f t="shared" si="295"/>
        <v>-8.9000015258789062</v>
      </c>
    </row>
    <row r="4693" spans="1:8" x14ac:dyDescent="0.2">
      <c r="A4693" t="s">
        <v>14</v>
      </c>
      <c r="B4693" s="2">
        <v>46239</v>
      </c>
      <c r="C4693">
        <v>174.88002014160159</v>
      </c>
      <c r="D4693">
        <f>_xlfn.XLOOKUP(B4693, Oil_Price!A:A, Oil_Price!B:B, "")</f>
        <v>75.220001220703125</v>
      </c>
      <c r="E4693">
        <f t="shared" si="292"/>
        <v>-2.138558763979535E-2</v>
      </c>
      <c r="F4693">
        <f t="shared" si="293"/>
        <v>-7.2587494619298027E-3</v>
      </c>
      <c r="G4693">
        <f t="shared" si="294"/>
        <v>-3.8216400146484091</v>
      </c>
      <c r="H4693">
        <f t="shared" si="295"/>
        <v>-0.54999542236328125</v>
      </c>
    </row>
    <row r="4694" spans="1:8" x14ac:dyDescent="0.2">
      <c r="A4694" t="s">
        <v>14</v>
      </c>
      <c r="B4694" s="2">
        <v>46240</v>
      </c>
      <c r="C4694">
        <v>176.1936950683594</v>
      </c>
      <c r="D4694">
        <f>_xlfn.XLOOKUP(B4694, Oil_Price!A:A, Oil_Price!B:B, "")</f>
        <v>77.290000915527344</v>
      </c>
      <c r="E4694">
        <f t="shared" si="292"/>
        <v>7.5118639950642763E-3</v>
      </c>
      <c r="F4694">
        <f t="shared" si="293"/>
        <v>2.7519272284383903E-2</v>
      </c>
      <c r="G4694">
        <f t="shared" si="294"/>
        <v>1.3136749267578125</v>
      </c>
      <c r="H4694">
        <f t="shared" si="295"/>
        <v>2.0699996948242188</v>
      </c>
    </row>
    <row r="4695" spans="1:8" x14ac:dyDescent="0.2">
      <c r="A4695" t="s">
        <v>14</v>
      </c>
      <c r="B4695" s="2">
        <v>46241</v>
      </c>
      <c r="C4695">
        <v>173.37724304199219</v>
      </c>
      <c r="D4695">
        <f>_xlfn.XLOOKUP(B4695, Oil_Price!A:A, Oil_Price!B:B, "")</f>
        <v>78.180000305175781</v>
      </c>
      <c r="E4695">
        <f t="shared" si="292"/>
        <v>-1.5984976223323386E-2</v>
      </c>
      <c r="F4695">
        <f t="shared" si="293"/>
        <v>1.1515065068004666E-2</v>
      </c>
      <c r="G4695">
        <f t="shared" si="294"/>
        <v>-2.8164520263672159</v>
      </c>
      <c r="H4695">
        <f t="shared" si="295"/>
        <v>0.8899993896484375</v>
      </c>
    </row>
    <row r="4696" spans="1:8" x14ac:dyDescent="0.2">
      <c r="A4696" t="s">
        <v>14</v>
      </c>
      <c r="B4696" s="2">
        <v>46244</v>
      </c>
      <c r="C4696">
        <v>178.64195251464841</v>
      </c>
      <c r="D4696">
        <f>_xlfn.XLOOKUP(B4696, Oil_Price!A:A, Oil_Price!B:B, "")</f>
        <v>82.129997253417969</v>
      </c>
      <c r="E4696">
        <f t="shared" si="292"/>
        <v>3.0365631499752837E-2</v>
      </c>
      <c r="F4696">
        <f t="shared" si="293"/>
        <v>5.0524391568474887E-2</v>
      </c>
      <c r="G4696">
        <f t="shared" si="294"/>
        <v>5.2647094726562216</v>
      </c>
      <c r="H4696">
        <f t="shared" si="295"/>
        <v>3.9499969482421875</v>
      </c>
    </row>
    <row r="4697" spans="1:8" x14ac:dyDescent="0.2">
      <c r="A4697" t="s">
        <v>14</v>
      </c>
      <c r="B4697" s="2">
        <v>46245</v>
      </c>
      <c r="C4697">
        <v>179.59736633300781</v>
      </c>
      <c r="D4697">
        <f>_xlfn.XLOOKUP(B4697, Oil_Price!A:A, Oil_Price!B:B, "")</f>
        <v>83.199996948242188</v>
      </c>
      <c r="E4697">
        <f t="shared" si="292"/>
        <v>5.3482051943037328E-3</v>
      </c>
      <c r="F4697">
        <f t="shared" si="293"/>
        <v>1.3028122861402982E-2</v>
      </c>
      <c r="G4697">
        <f t="shared" si="294"/>
        <v>0.95541381835940342</v>
      </c>
      <c r="H4697">
        <f t="shared" si="295"/>
        <v>1.0699996948242188</v>
      </c>
    </row>
    <row r="4698" spans="1:8" x14ac:dyDescent="0.2">
      <c r="A4698" t="s">
        <v>14</v>
      </c>
      <c r="B4698" s="2">
        <v>46246</v>
      </c>
      <c r="C4698">
        <v>181.1300048828125</v>
      </c>
      <c r="D4698">
        <f>_xlfn.XLOOKUP(B4698, Oil_Price!A:A, Oil_Price!B:B, "")</f>
        <v>83.269996643066406</v>
      </c>
      <c r="E4698">
        <f t="shared" si="292"/>
        <v>8.5337473544176753E-3</v>
      </c>
      <c r="F4698">
        <f t="shared" si="293"/>
        <v>8.4134251672827337E-4</v>
      </c>
      <c r="G4698">
        <f t="shared" si="294"/>
        <v>1.5326385498046875</v>
      </c>
      <c r="H4698">
        <f t="shared" si="295"/>
        <v>6.999969482421875E-2</v>
      </c>
    </row>
    <row r="4699" spans="1:8" x14ac:dyDescent="0.2">
      <c r="A4699" t="s">
        <v>14</v>
      </c>
      <c r="B4699" s="2">
        <v>46247</v>
      </c>
      <c r="C4699">
        <v>183.84693908691409</v>
      </c>
      <c r="D4699">
        <f>_xlfn.XLOOKUP(B4699, Oil_Price!A:A, Oil_Price!B:B, "")</f>
        <v>81.25</v>
      </c>
      <c r="E4699">
        <f t="shared" si="292"/>
        <v>1.4999912388118099E-2</v>
      </c>
      <c r="F4699">
        <f t="shared" si="293"/>
        <v>-2.4258397075780404E-2</v>
      </c>
      <c r="G4699">
        <f t="shared" si="294"/>
        <v>2.7169342041015909</v>
      </c>
      <c r="H4699">
        <f t="shared" si="295"/>
        <v>-2.0199966430664062</v>
      </c>
    </row>
    <row r="4700" spans="1:8" x14ac:dyDescent="0.2">
      <c r="A4700" t="s">
        <v>14</v>
      </c>
      <c r="B4700" s="2">
        <v>46248</v>
      </c>
      <c r="C4700">
        <v>184.25498962402341</v>
      </c>
      <c r="D4700">
        <f>_xlfn.XLOOKUP(B4700, Oil_Price!A:A, Oil_Price!B:B, "")</f>
        <v>82.400001525878906</v>
      </c>
      <c r="E4700">
        <f t="shared" si="292"/>
        <v>2.2195122700215926E-3</v>
      </c>
      <c r="F4700">
        <f t="shared" si="293"/>
        <v>1.4153864933894231E-2</v>
      </c>
      <c r="G4700">
        <f t="shared" si="294"/>
        <v>0.40805053710931816</v>
      </c>
      <c r="H4700">
        <f t="shared" si="295"/>
        <v>1.1500015258789062</v>
      </c>
    </row>
    <row r="4701" spans="1:8" x14ac:dyDescent="0.2">
      <c r="A4701" t="s">
        <v>14</v>
      </c>
      <c r="B4701" s="2">
        <v>46251</v>
      </c>
      <c r="C4701">
        <v>186.30513000488281</v>
      </c>
      <c r="D4701">
        <f>_xlfn.XLOOKUP(B4701, Oil_Price!A:A, Oil_Price!B:B, "")</f>
        <v>84.5</v>
      </c>
      <c r="E4701">
        <f t="shared" si="292"/>
        <v>1.1126647832130692E-2</v>
      </c>
      <c r="F4701">
        <f t="shared" si="293"/>
        <v>2.548541790331835E-2</v>
      </c>
      <c r="G4701">
        <f t="shared" si="294"/>
        <v>2.0501403808594034</v>
      </c>
      <c r="H4701">
        <f t="shared" si="295"/>
        <v>2.0999984741210938</v>
      </c>
    </row>
    <row r="4702" spans="1:8" x14ac:dyDescent="0.2">
      <c r="A4702" t="s">
        <v>14</v>
      </c>
      <c r="B4702" s="2">
        <v>46252</v>
      </c>
      <c r="C4702">
        <v>187.64869689941409</v>
      </c>
      <c r="D4702">
        <f>_xlfn.XLOOKUP(B4702, Oil_Price!A:A, Oil_Price!B:B, "")</f>
        <v>84.94000244140625</v>
      </c>
      <c r="E4702">
        <f t="shared" si="292"/>
        <v>7.211647336259959E-3</v>
      </c>
      <c r="F4702">
        <f t="shared" si="293"/>
        <v>5.2071294840976331E-3</v>
      </c>
      <c r="G4702">
        <f t="shared" si="294"/>
        <v>1.3435668945312784</v>
      </c>
      <c r="H4702">
        <f t="shared" si="295"/>
        <v>0.44000244140625</v>
      </c>
    </row>
    <row r="4703" spans="1:8" x14ac:dyDescent="0.2">
      <c r="A4703" t="s">
        <v>14</v>
      </c>
      <c r="B4703" s="2">
        <v>46253</v>
      </c>
      <c r="C4703">
        <v>187.13116455078119</v>
      </c>
      <c r="D4703">
        <f>_xlfn.XLOOKUP(B4703, Oil_Price!A:A, Oil_Price!B:B, "")</f>
        <v>85.830001831054688</v>
      </c>
      <c r="E4703">
        <f t="shared" si="292"/>
        <v>-2.7579853054365321E-3</v>
      </c>
      <c r="F4703">
        <f t="shared" si="293"/>
        <v>1.0477976972774182E-2</v>
      </c>
      <c r="G4703">
        <f t="shared" si="294"/>
        <v>-0.51753234863289777</v>
      </c>
      <c r="H4703">
        <f t="shared" si="295"/>
        <v>0.8899993896484375</v>
      </c>
    </row>
    <row r="4704" spans="1:8" x14ac:dyDescent="0.2">
      <c r="A4704" t="s">
        <v>14</v>
      </c>
      <c r="B4704" s="2">
        <v>46254</v>
      </c>
      <c r="C4704">
        <v>187.947265625</v>
      </c>
      <c r="D4704">
        <f>_xlfn.XLOOKUP(B4704, Oil_Price!A:A, Oil_Price!B:B, "")</f>
        <v>87.830001831054688</v>
      </c>
      <c r="E4704">
        <f t="shared" si="292"/>
        <v>4.3611179152222082E-3</v>
      </c>
      <c r="F4704">
        <f t="shared" si="293"/>
        <v>2.3301875303891322E-2</v>
      </c>
      <c r="G4704">
        <f t="shared" si="294"/>
        <v>0.81610107421880684</v>
      </c>
      <c r="H4704">
        <f t="shared" si="295"/>
        <v>2</v>
      </c>
    </row>
    <row r="4705" spans="1:8" x14ac:dyDescent="0.2">
      <c r="A4705" t="s">
        <v>14</v>
      </c>
      <c r="B4705" s="2">
        <v>46255</v>
      </c>
      <c r="C4705">
        <v>189.09175109863281</v>
      </c>
      <c r="D4705">
        <f>_xlfn.XLOOKUP(B4705, Oil_Price!A:A, Oil_Price!B:B, "")</f>
        <v>87.05999755859375</v>
      </c>
      <c r="E4705">
        <f t="shared" si="292"/>
        <v>6.0893967774787224E-3</v>
      </c>
      <c r="F4705">
        <f t="shared" si="293"/>
        <v>-8.7669845885017562E-3</v>
      </c>
      <c r="G4705">
        <f t="shared" si="294"/>
        <v>1.1444854736328125</v>
      </c>
      <c r="H4705">
        <f t="shared" si="295"/>
        <v>-0.7700042724609375</v>
      </c>
    </row>
    <row r="4706" spans="1:8" x14ac:dyDescent="0.2">
      <c r="A4706" t="s">
        <v>14</v>
      </c>
      <c r="B4706" s="2">
        <v>46258</v>
      </c>
      <c r="C4706">
        <v>188.90266418457031</v>
      </c>
      <c r="D4706">
        <f>_xlfn.XLOOKUP(B4706, Oil_Price!A:A, Oil_Price!B:B, "")</f>
        <v>85.010002136230469</v>
      </c>
      <c r="E4706">
        <f t="shared" si="292"/>
        <v>-9.9997441963435899E-4</v>
      </c>
      <c r="F4706">
        <f t="shared" si="293"/>
        <v>-2.3546927174947122E-2</v>
      </c>
      <c r="G4706">
        <f t="shared" si="294"/>
        <v>-0.1890869140625</v>
      </c>
      <c r="H4706">
        <f t="shared" si="295"/>
        <v>-2.0499954223632812</v>
      </c>
    </row>
    <row r="4707" spans="1:8" x14ac:dyDescent="0.2">
      <c r="A4707" t="s">
        <v>14</v>
      </c>
      <c r="B4707" s="2">
        <v>46259</v>
      </c>
      <c r="C4707">
        <v>180.97076416015619</v>
      </c>
      <c r="D4707">
        <f>_xlfn.XLOOKUP(B4707, Oil_Price!A:A, Oil_Price!B:B, "")</f>
        <v>82.360000610351562</v>
      </c>
      <c r="E4707">
        <f t="shared" si="292"/>
        <v>-4.1989349693152725E-2</v>
      </c>
      <c r="F4707">
        <f t="shared" si="293"/>
        <v>-3.117282036568142E-2</v>
      </c>
      <c r="G4707">
        <f t="shared" si="294"/>
        <v>-7.9319000244141193</v>
      </c>
      <c r="H4707">
        <f t="shared" si="295"/>
        <v>-2.6500015258789062</v>
      </c>
    </row>
    <row r="4708" spans="1:8" x14ac:dyDescent="0.2">
      <c r="A4708" t="s">
        <v>14</v>
      </c>
      <c r="B4708" s="2">
        <v>46260</v>
      </c>
      <c r="C4708">
        <v>181.4186096191406</v>
      </c>
      <c r="D4708">
        <f>_xlfn.XLOOKUP(B4708, Oil_Price!A:A, Oil_Price!B:B, "")</f>
        <v>82.230003356933594</v>
      </c>
      <c r="E4708">
        <f t="shared" si="292"/>
        <v>2.474684024586797E-3</v>
      </c>
      <c r="F4708">
        <f t="shared" si="293"/>
        <v>-1.5784027738536687E-3</v>
      </c>
      <c r="G4708">
        <f t="shared" si="294"/>
        <v>0.44784545898440342</v>
      </c>
      <c r="H4708">
        <f t="shared" si="295"/>
        <v>-0.12999725341796875</v>
      </c>
    </row>
    <row r="4709" spans="1:8" x14ac:dyDescent="0.2">
      <c r="A4709" t="s">
        <v>14</v>
      </c>
      <c r="B4709" s="2">
        <v>46261</v>
      </c>
      <c r="C4709">
        <v>182.35411071777341</v>
      </c>
      <c r="D4709">
        <f>_xlfn.XLOOKUP(B4709, Oil_Price!A:A, Oil_Price!B:B, "")</f>
        <v>83.529998779296875</v>
      </c>
      <c r="E4709">
        <f t="shared" si="292"/>
        <v>5.1565884040052322E-3</v>
      </c>
      <c r="F4709">
        <f t="shared" si="293"/>
        <v>1.5809259020949148E-2</v>
      </c>
      <c r="G4709">
        <f t="shared" si="294"/>
        <v>0.9355010986328125</v>
      </c>
      <c r="H4709">
        <f t="shared" si="295"/>
        <v>1.2999954223632812</v>
      </c>
    </row>
    <row r="4710" spans="1:8" x14ac:dyDescent="0.2">
      <c r="A4710" t="s">
        <v>14</v>
      </c>
      <c r="B4710" s="2">
        <v>46262</v>
      </c>
      <c r="C4710">
        <v>180.47314453125</v>
      </c>
      <c r="D4710">
        <f>_xlfn.XLOOKUP(B4710, Oil_Price!A:A, Oil_Price!B:B, "")</f>
        <v>83.400001525878906</v>
      </c>
      <c r="E4710">
        <f t="shared" si="292"/>
        <v>-1.0314909705734853E-2</v>
      </c>
      <c r="F4710">
        <f t="shared" si="293"/>
        <v>-1.5562942094785341E-3</v>
      </c>
      <c r="G4710">
        <f t="shared" si="294"/>
        <v>-1.8809661865234091</v>
      </c>
      <c r="H4710">
        <f t="shared" si="295"/>
        <v>-0.12999725341796875</v>
      </c>
    </row>
    <row r="4711" spans="1:8" x14ac:dyDescent="0.2">
      <c r="A4711" t="s">
        <v>14</v>
      </c>
      <c r="B4711" s="2">
        <v>46265</v>
      </c>
      <c r="C4711">
        <v>181.26933288574219</v>
      </c>
      <c r="D4711">
        <f>_xlfn.XLOOKUP(B4711, Oil_Price!A:A, Oil_Price!B:B, "")</f>
        <v>85.760002136230469</v>
      </c>
      <c r="E4711">
        <f t="shared" si="292"/>
        <v>4.411672199540596E-3</v>
      </c>
      <c r="F4711">
        <f t="shared" si="293"/>
        <v>2.8297368910949691E-2</v>
      </c>
      <c r="G4711">
        <f t="shared" si="294"/>
        <v>0.7961883544921875</v>
      </c>
      <c r="H4711">
        <f t="shared" si="295"/>
        <v>2.3600006103515625</v>
      </c>
    </row>
    <row r="4712" spans="1:8" x14ac:dyDescent="0.2">
      <c r="A4712" t="s">
        <v>14</v>
      </c>
      <c r="B4712" s="2">
        <v>46266</v>
      </c>
      <c r="C4712">
        <v>186.7828369140625</v>
      </c>
      <c r="D4712">
        <f>_xlfn.XLOOKUP(B4712, Oil_Price!A:A, Oil_Price!B:B, "")</f>
        <v>90.220001220703125</v>
      </c>
      <c r="E4712">
        <f t="shared" si="292"/>
        <v>3.0416088262406681E-2</v>
      </c>
      <c r="F4712">
        <f t="shared" si="293"/>
        <v>5.2005585044038488E-2</v>
      </c>
      <c r="G4712">
        <f t="shared" si="294"/>
        <v>5.5135040283203125</v>
      </c>
      <c r="H4712">
        <f t="shared" si="295"/>
        <v>4.4599990844726562</v>
      </c>
    </row>
    <row r="4713" spans="1:8" x14ac:dyDescent="0.2">
      <c r="A4713" t="s">
        <v>14</v>
      </c>
      <c r="B4713" s="2">
        <v>46267</v>
      </c>
      <c r="C4713">
        <v>183.28962707519531</v>
      </c>
      <c r="D4713">
        <f>_xlfn.XLOOKUP(B4713, Oil_Price!A:A, Oil_Price!B:B, "")</f>
        <v>91.010002136230469</v>
      </c>
      <c r="E4713">
        <f t="shared" si="292"/>
        <v>-1.8701985131933666E-2</v>
      </c>
      <c r="F4713">
        <f t="shared" si="293"/>
        <v>8.7563833389314918E-3</v>
      </c>
      <c r="G4713">
        <f t="shared" si="294"/>
        <v>-3.4932098388671875</v>
      </c>
      <c r="H4713">
        <f t="shared" si="295"/>
        <v>0.79000091552734375</v>
      </c>
    </row>
    <row r="4714" spans="1:8" x14ac:dyDescent="0.2">
      <c r="A4714" t="s">
        <v>14</v>
      </c>
      <c r="B4714" s="2">
        <v>46268</v>
      </c>
      <c r="C4714">
        <v>181.1300048828125</v>
      </c>
      <c r="D4714">
        <f>_xlfn.XLOOKUP(B4714, Oil_Price!A:A, Oil_Price!B:B, "")</f>
        <v>91.300003051757812</v>
      </c>
      <c r="E4714">
        <f t="shared" si="292"/>
        <v>-1.1782566350559591E-2</v>
      </c>
      <c r="F4714">
        <f t="shared" si="293"/>
        <v>3.1864730108812551E-3</v>
      </c>
      <c r="G4714">
        <f t="shared" si="294"/>
        <v>-2.1596221923828125</v>
      </c>
      <c r="H4714">
        <f t="shared" si="295"/>
        <v>0.29000091552734375</v>
      </c>
    </row>
    <row r="4715" spans="1:8" x14ac:dyDescent="0.2">
      <c r="A4715" t="s">
        <v>14</v>
      </c>
      <c r="B4715" s="2">
        <v>46269</v>
      </c>
      <c r="C4715">
        <v>177.99000549316409</v>
      </c>
      <c r="D4715">
        <f>_xlfn.XLOOKUP(B4715, Oil_Price!A:A, Oil_Price!B:B, "")</f>
        <v>91.480003356933594</v>
      </c>
      <c r="E4715">
        <f t="shared" si="292"/>
        <v>-1.7335611466912541E-2</v>
      </c>
      <c r="F4715">
        <f t="shared" si="293"/>
        <v>1.9715257301113056E-3</v>
      </c>
      <c r="G4715">
        <f t="shared" si="294"/>
        <v>-3.1399993896484091</v>
      </c>
      <c r="H4715">
        <f t="shared" si="295"/>
        <v>0.18000030517578125</v>
      </c>
    </row>
    <row r="4716" spans="1:8" x14ac:dyDescent="0.2">
      <c r="A4716" t="s">
        <v>14</v>
      </c>
      <c r="B4716" s="2">
        <v>46273</v>
      </c>
      <c r="C4716">
        <v>180.8399963378906</v>
      </c>
      <c r="D4716">
        <f>_xlfn.XLOOKUP(B4716, Oil_Price!A:A, Oil_Price!B:B, "")</f>
        <v>93.029998779296875</v>
      </c>
      <c r="E4716">
        <f t="shared" si="292"/>
        <v>1.6012083582052378E-2</v>
      </c>
      <c r="F4716">
        <f t="shared" si="293"/>
        <v>1.694354356673514E-2</v>
      </c>
      <c r="G4716">
        <f t="shared" si="294"/>
        <v>2.8499908447265057</v>
      </c>
      <c r="H4716">
        <f t="shared" si="295"/>
        <v>1.5499954223632812</v>
      </c>
    </row>
    <row r="4717" spans="1:8" x14ac:dyDescent="0.2">
      <c r="A4717" t="s">
        <v>14</v>
      </c>
      <c r="B4717" s="2">
        <v>46274</v>
      </c>
      <c r="C4717">
        <v>181.80000305175781</v>
      </c>
      <c r="D4717">
        <f>_xlfn.XLOOKUP(B4717, Oil_Price!A:A, Oil_Price!B:B, "")</f>
        <v>96.050003051757812</v>
      </c>
      <c r="E4717">
        <f t="shared" si="292"/>
        <v>5.3085972865952223E-3</v>
      </c>
      <c r="F4717">
        <f t="shared" si="293"/>
        <v>3.2462692809719959E-2</v>
      </c>
      <c r="G4717">
        <f t="shared" si="294"/>
        <v>0.96000671386721592</v>
      </c>
      <c r="H4717">
        <f t="shared" si="295"/>
        <v>3.0200042724609375</v>
      </c>
    </row>
    <row r="4718" spans="1:8" x14ac:dyDescent="0.2">
      <c r="A4718" t="s">
        <v>14</v>
      </c>
      <c r="B4718" s="2">
        <v>46275</v>
      </c>
      <c r="C4718">
        <v>181.17999267578119</v>
      </c>
      <c r="D4718">
        <f>_xlfn.XLOOKUP(B4718, Oil_Price!A:A, Oil_Price!B:B, "")</f>
        <v>102.48000335693359</v>
      </c>
      <c r="E4718">
        <f t="shared" si="292"/>
        <v>-3.4103980504340508E-3</v>
      </c>
      <c r="F4718">
        <f t="shared" si="293"/>
        <v>6.6944300894096698E-2</v>
      </c>
      <c r="G4718">
        <f t="shared" si="294"/>
        <v>-0.62001037597661934</v>
      </c>
      <c r="H4718">
        <f t="shared" si="295"/>
        <v>6.4300003051757812</v>
      </c>
    </row>
    <row r="4719" spans="1:8" x14ac:dyDescent="0.2">
      <c r="A4719" t="s">
        <v>14</v>
      </c>
      <c r="B4719" s="2">
        <v>46276</v>
      </c>
      <c r="C4719">
        <v>180.36000061035159</v>
      </c>
      <c r="D4719">
        <f>_xlfn.XLOOKUP(B4719, Oil_Price!A:A, Oil_Price!B:B, "")</f>
        <v>100.0500030517578</v>
      </c>
      <c r="E4719">
        <f t="shared" si="292"/>
        <v>-4.5258422484703671E-3</v>
      </c>
      <c r="F4719">
        <f t="shared" si="293"/>
        <v>-2.3711945995085554E-2</v>
      </c>
      <c r="G4719">
        <f t="shared" si="294"/>
        <v>-0.81999206542960223</v>
      </c>
      <c r="H4719">
        <f t="shared" si="295"/>
        <v>-2.4300003051757955</v>
      </c>
    </row>
    <row r="4720" spans="1:8" x14ac:dyDescent="0.2">
      <c r="A4720" t="s">
        <v>14</v>
      </c>
      <c r="B4720" s="2">
        <v>46279</v>
      </c>
      <c r="C4720">
        <v>183.16999816894531</v>
      </c>
      <c r="D4720">
        <f>_xlfn.XLOOKUP(B4720, Oil_Price!A:A, Oil_Price!B:B, "")</f>
        <v>101.38999938964839</v>
      </c>
      <c r="E4720">
        <f t="shared" si="292"/>
        <v>1.5579937619674439E-2</v>
      </c>
      <c r="F4720">
        <f t="shared" si="293"/>
        <v>1.3393266337007412E-2</v>
      </c>
      <c r="G4720">
        <f t="shared" si="294"/>
        <v>2.8099975585937216</v>
      </c>
      <c r="H4720">
        <f t="shared" si="295"/>
        <v>1.3399963378905966</v>
      </c>
    </row>
    <row r="4721" spans="1:8" x14ac:dyDescent="0.2">
      <c r="A4721" t="s">
        <v>14</v>
      </c>
      <c r="B4721" s="2">
        <v>46280</v>
      </c>
      <c r="C4721">
        <v>188.11000061035159</v>
      </c>
      <c r="D4721">
        <f>_xlfn.XLOOKUP(B4721, Oil_Price!A:A, Oil_Price!B:B, "")</f>
        <v>105.8300018310547</v>
      </c>
      <c r="E4721">
        <f t="shared" si="292"/>
        <v>2.696949550029426E-2</v>
      </c>
      <c r="F4721">
        <f t="shared" si="293"/>
        <v>4.3791325260226971E-2</v>
      </c>
      <c r="G4721">
        <f t="shared" si="294"/>
        <v>4.9400024414062784</v>
      </c>
      <c r="H4721">
        <f t="shared" si="295"/>
        <v>4.4400024414063068</v>
      </c>
    </row>
    <row r="4722" spans="1:8" x14ac:dyDescent="0.2">
      <c r="D4722" t="str">
        <f>_xlfn.XLOOKUP(B4722, Oil_Price!A:A, Oil_Price!B:B, "")</f>
        <v/>
      </c>
      <c r="E4722" t="str">
        <f t="shared" si="292"/>
        <v/>
      </c>
      <c r="F4722" t="str">
        <f t="shared" si="293"/>
        <v/>
      </c>
      <c r="G4722" t="str">
        <f t="shared" si="294"/>
        <v/>
      </c>
      <c r="H4722" t="str">
        <f t="shared" si="295"/>
        <v/>
      </c>
    </row>
    <row r="4723" spans="1:8" x14ac:dyDescent="0.2">
      <c r="D4723" t="str">
        <f>_xlfn.XLOOKUP(B4723, Oil_Price!A:A, Oil_Price!B:B, "")</f>
        <v/>
      </c>
      <c r="E4723" t="str">
        <f t="shared" si="292"/>
        <v/>
      </c>
      <c r="F4723" t="str">
        <f t="shared" si="293"/>
        <v/>
      </c>
      <c r="G4723" t="str">
        <f t="shared" si="294"/>
        <v/>
      </c>
      <c r="H4723" t="str">
        <f t="shared" si="295"/>
        <v/>
      </c>
    </row>
    <row r="4724" spans="1:8" x14ac:dyDescent="0.2">
      <c r="D4724" t="str">
        <f>_xlfn.XLOOKUP(B4724, Oil_Price!A:A, Oil_Price!B:B, "")</f>
        <v/>
      </c>
      <c r="E4724" t="str">
        <f t="shared" si="292"/>
        <v/>
      </c>
      <c r="F4724" t="str">
        <f t="shared" si="293"/>
        <v/>
      </c>
      <c r="G4724" t="str">
        <f t="shared" si="294"/>
        <v/>
      </c>
      <c r="H4724" t="str">
        <f t="shared" si="295"/>
        <v/>
      </c>
    </row>
  </sheetData>
  <autoFilter ref="A1:C4721" xr:uid="{00000000-0001-0000-01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13"/>
  <sheetViews>
    <sheetView workbookViewId="0"/>
  </sheetViews>
  <sheetFormatPr baseColWidth="10" defaultColWidth="8.83203125" defaultRowHeight="15" x14ac:dyDescent="0.2"/>
  <cols>
    <col min="1" max="1" width="17.33203125" customWidth="1"/>
    <col min="2" max="2" width="22.33203125" customWidth="1"/>
    <col min="3" max="3" width="21.5" customWidth="1"/>
  </cols>
  <sheetData>
    <row r="1" spans="1:3" x14ac:dyDescent="0.2">
      <c r="A1" s="1" t="s">
        <v>0</v>
      </c>
      <c r="B1" s="1" t="s">
        <v>23</v>
      </c>
      <c r="C1" s="1" t="s">
        <v>24</v>
      </c>
    </row>
    <row r="2" spans="1:3" x14ac:dyDescent="0.2">
      <c r="A2" t="s">
        <v>4</v>
      </c>
      <c r="B2" s="2">
        <v>44565</v>
      </c>
      <c r="C2">
        <v>21.116487503051761</v>
      </c>
    </row>
    <row r="3" spans="1:3" x14ac:dyDescent="0.2">
      <c r="A3" t="s">
        <v>4</v>
      </c>
      <c r="B3" s="2">
        <v>44566</v>
      </c>
      <c r="C3">
        <v>21.371286392211911</v>
      </c>
    </row>
    <row r="4" spans="1:3" x14ac:dyDescent="0.2">
      <c r="A4" t="s">
        <v>4</v>
      </c>
      <c r="B4" s="2">
        <v>44567</v>
      </c>
      <c r="C4">
        <v>22.467643737792969</v>
      </c>
    </row>
    <row r="5" spans="1:3" x14ac:dyDescent="0.2">
      <c r="A5" t="s">
        <v>4</v>
      </c>
      <c r="B5" s="2">
        <v>44568</v>
      </c>
      <c r="C5">
        <v>23.069869995117191</v>
      </c>
    </row>
    <row r="6" spans="1:3" x14ac:dyDescent="0.2">
      <c r="A6" t="s">
        <v>4</v>
      </c>
      <c r="B6" s="2">
        <v>44571</v>
      </c>
      <c r="C6">
        <v>23.027397155761719</v>
      </c>
    </row>
    <row r="7" spans="1:3" x14ac:dyDescent="0.2">
      <c r="A7" t="s">
        <v>4</v>
      </c>
      <c r="B7" s="2">
        <v>44572</v>
      </c>
      <c r="C7">
        <v>23.436601638793949</v>
      </c>
    </row>
    <row r="8" spans="1:3" x14ac:dyDescent="0.2">
      <c r="A8" t="s">
        <v>4</v>
      </c>
      <c r="B8" s="2">
        <v>44573</v>
      </c>
      <c r="C8">
        <v>23.82264518737793</v>
      </c>
    </row>
    <row r="9" spans="1:3" x14ac:dyDescent="0.2">
      <c r="A9" t="s">
        <v>4</v>
      </c>
      <c r="B9" s="2">
        <v>44574</v>
      </c>
      <c r="C9">
        <v>24.285894393920898</v>
      </c>
    </row>
    <row r="10" spans="1:3" x14ac:dyDescent="0.2">
      <c r="A10" t="s">
        <v>4</v>
      </c>
      <c r="B10" s="2">
        <v>44575</v>
      </c>
      <c r="C10">
        <v>25.162214279174801</v>
      </c>
    </row>
    <row r="11" spans="1:3" x14ac:dyDescent="0.2">
      <c r="A11" t="s">
        <v>4</v>
      </c>
      <c r="B11" s="2">
        <v>44578</v>
      </c>
      <c r="C11">
        <v>25.532815933227539</v>
      </c>
    </row>
    <row r="12" spans="1:3" x14ac:dyDescent="0.2">
      <c r="A12" t="s">
        <v>4</v>
      </c>
      <c r="B12" s="2">
        <v>44579</v>
      </c>
      <c r="C12">
        <v>25.509651184082031</v>
      </c>
    </row>
    <row r="13" spans="1:3" x14ac:dyDescent="0.2">
      <c r="A13" t="s">
        <v>4</v>
      </c>
      <c r="B13" s="2">
        <v>44580</v>
      </c>
      <c r="C13">
        <v>25.579143524169918</v>
      </c>
    </row>
    <row r="14" spans="1:3" x14ac:dyDescent="0.2">
      <c r="A14" t="s">
        <v>4</v>
      </c>
      <c r="B14" s="2">
        <v>44581</v>
      </c>
      <c r="C14">
        <v>25.498067855834961</v>
      </c>
    </row>
    <row r="15" spans="1:3" x14ac:dyDescent="0.2">
      <c r="A15" t="s">
        <v>4</v>
      </c>
      <c r="B15" s="2">
        <v>44582</v>
      </c>
      <c r="C15">
        <v>24.683523178100589</v>
      </c>
    </row>
    <row r="16" spans="1:3" x14ac:dyDescent="0.2">
      <c r="A16" t="s">
        <v>4</v>
      </c>
      <c r="B16" s="2">
        <v>44585</v>
      </c>
      <c r="C16">
        <v>24.050411224365231</v>
      </c>
    </row>
    <row r="17" spans="1:3" x14ac:dyDescent="0.2">
      <c r="A17" t="s">
        <v>4</v>
      </c>
      <c r="B17" s="2">
        <v>44586</v>
      </c>
      <c r="C17">
        <v>24.702823638916019</v>
      </c>
    </row>
    <row r="18" spans="1:3" x14ac:dyDescent="0.2">
      <c r="A18" t="s">
        <v>4</v>
      </c>
      <c r="B18" s="2">
        <v>44587</v>
      </c>
      <c r="C18">
        <v>24.764591217041019</v>
      </c>
    </row>
    <row r="19" spans="1:3" x14ac:dyDescent="0.2">
      <c r="A19" t="s">
        <v>4</v>
      </c>
      <c r="B19" s="2">
        <v>44588</v>
      </c>
      <c r="C19">
        <v>25.193096160888668</v>
      </c>
    </row>
    <row r="20" spans="1:3" x14ac:dyDescent="0.2">
      <c r="A20" t="s">
        <v>4</v>
      </c>
      <c r="B20" s="2">
        <v>44589</v>
      </c>
      <c r="C20">
        <v>25.081144332885739</v>
      </c>
    </row>
    <row r="21" spans="1:3" x14ac:dyDescent="0.2">
      <c r="A21" t="s">
        <v>4</v>
      </c>
      <c r="B21" s="2">
        <v>44592</v>
      </c>
      <c r="C21">
        <v>24.961467742919918</v>
      </c>
    </row>
    <row r="22" spans="1:3" x14ac:dyDescent="0.2">
      <c r="A22" t="s">
        <v>4</v>
      </c>
      <c r="B22" s="2">
        <v>44593</v>
      </c>
      <c r="C22">
        <v>25.691085815429691</v>
      </c>
    </row>
    <row r="23" spans="1:3" x14ac:dyDescent="0.2">
      <c r="A23" t="s">
        <v>4</v>
      </c>
      <c r="B23" s="2">
        <v>44594</v>
      </c>
      <c r="C23">
        <v>25.83006477355957</v>
      </c>
    </row>
    <row r="24" spans="1:3" x14ac:dyDescent="0.2">
      <c r="A24" t="s">
        <v>4</v>
      </c>
      <c r="B24" s="2">
        <v>44595</v>
      </c>
      <c r="C24">
        <v>25.837787628173832</v>
      </c>
    </row>
    <row r="25" spans="1:3" x14ac:dyDescent="0.2">
      <c r="A25" t="s">
        <v>4</v>
      </c>
      <c r="B25" s="2">
        <v>44596</v>
      </c>
      <c r="C25">
        <v>26.366670608520511</v>
      </c>
    </row>
    <row r="26" spans="1:3" x14ac:dyDescent="0.2">
      <c r="A26" t="s">
        <v>4</v>
      </c>
      <c r="B26" s="2">
        <v>44599</v>
      </c>
      <c r="C26">
        <v>26.096431732177731</v>
      </c>
    </row>
    <row r="27" spans="1:3" x14ac:dyDescent="0.2">
      <c r="A27" t="s">
        <v>4</v>
      </c>
      <c r="B27" s="2">
        <v>44600</v>
      </c>
      <c r="C27">
        <v>24.80705451965332</v>
      </c>
    </row>
    <row r="28" spans="1:3" x14ac:dyDescent="0.2">
      <c r="A28" t="s">
        <v>4</v>
      </c>
      <c r="B28" s="2">
        <v>44601</v>
      </c>
      <c r="C28">
        <v>25.104310989379879</v>
      </c>
    </row>
    <row r="29" spans="1:3" x14ac:dyDescent="0.2">
      <c r="A29" t="s">
        <v>4</v>
      </c>
      <c r="B29" s="2">
        <v>44602</v>
      </c>
      <c r="C29">
        <v>25.3552360534668</v>
      </c>
    </row>
    <row r="30" spans="1:3" x14ac:dyDescent="0.2">
      <c r="A30" t="s">
        <v>4</v>
      </c>
      <c r="B30" s="2">
        <v>44603</v>
      </c>
      <c r="C30">
        <v>26.096431732177731</v>
      </c>
    </row>
    <row r="31" spans="1:3" x14ac:dyDescent="0.2">
      <c r="A31" t="s">
        <v>4</v>
      </c>
      <c r="B31" s="2">
        <v>44606</v>
      </c>
      <c r="C31">
        <v>25.884115219116211</v>
      </c>
    </row>
    <row r="32" spans="1:3" x14ac:dyDescent="0.2">
      <c r="A32" t="s">
        <v>4</v>
      </c>
      <c r="B32" s="2">
        <v>44607</v>
      </c>
      <c r="C32">
        <v>25.887968063354489</v>
      </c>
    </row>
    <row r="33" spans="1:3" x14ac:dyDescent="0.2">
      <c r="A33" t="s">
        <v>4</v>
      </c>
      <c r="B33" s="2">
        <v>44608</v>
      </c>
      <c r="C33">
        <v>26.416851043701168</v>
      </c>
    </row>
    <row r="34" spans="1:3" x14ac:dyDescent="0.2">
      <c r="A34" t="s">
        <v>4</v>
      </c>
      <c r="B34" s="2">
        <v>44609</v>
      </c>
      <c r="C34">
        <v>26.44001579284668</v>
      </c>
    </row>
    <row r="35" spans="1:3" x14ac:dyDescent="0.2">
      <c r="A35" t="s">
        <v>4</v>
      </c>
      <c r="B35" s="2">
        <v>44610</v>
      </c>
      <c r="C35">
        <v>25.552114486694339</v>
      </c>
    </row>
    <row r="36" spans="1:3" x14ac:dyDescent="0.2">
      <c r="A36" t="s">
        <v>4</v>
      </c>
      <c r="B36" s="2">
        <v>44614</v>
      </c>
      <c r="C36">
        <v>25.733554840087891</v>
      </c>
    </row>
    <row r="37" spans="1:3" x14ac:dyDescent="0.2">
      <c r="A37" t="s">
        <v>4</v>
      </c>
      <c r="B37" s="2">
        <v>44615</v>
      </c>
      <c r="C37">
        <v>25.679506301879879</v>
      </c>
    </row>
    <row r="38" spans="1:3" x14ac:dyDescent="0.2">
      <c r="A38" t="s">
        <v>4</v>
      </c>
      <c r="B38" s="2">
        <v>44616</v>
      </c>
      <c r="C38">
        <v>25.9420166015625</v>
      </c>
    </row>
    <row r="39" spans="1:3" x14ac:dyDescent="0.2">
      <c r="A39" t="s">
        <v>4</v>
      </c>
      <c r="B39" s="2">
        <v>44617</v>
      </c>
      <c r="C39">
        <v>26.84535980224609</v>
      </c>
    </row>
    <row r="40" spans="1:3" x14ac:dyDescent="0.2">
      <c r="A40" t="s">
        <v>4</v>
      </c>
      <c r="B40" s="2">
        <v>44620</v>
      </c>
      <c r="C40">
        <v>27.335628509521481</v>
      </c>
    </row>
    <row r="41" spans="1:3" x14ac:dyDescent="0.2">
      <c r="A41" t="s">
        <v>4</v>
      </c>
      <c r="B41" s="2">
        <v>44621</v>
      </c>
      <c r="C41">
        <v>27.547954559326168</v>
      </c>
    </row>
    <row r="42" spans="1:3" x14ac:dyDescent="0.2">
      <c r="A42" t="s">
        <v>4</v>
      </c>
      <c r="B42" s="2">
        <v>44622</v>
      </c>
      <c r="C42">
        <v>28.111574172973629</v>
      </c>
    </row>
    <row r="43" spans="1:3" x14ac:dyDescent="0.2">
      <c r="A43" t="s">
        <v>4</v>
      </c>
      <c r="B43" s="2">
        <v>44623</v>
      </c>
      <c r="C43">
        <v>27.984182357788089</v>
      </c>
    </row>
    <row r="44" spans="1:3" x14ac:dyDescent="0.2">
      <c r="A44" t="s">
        <v>4</v>
      </c>
      <c r="B44" s="2">
        <v>44624</v>
      </c>
      <c r="C44">
        <v>28.968587875366211</v>
      </c>
    </row>
    <row r="45" spans="1:3" x14ac:dyDescent="0.2">
      <c r="A45" t="s">
        <v>4</v>
      </c>
      <c r="B45" s="2">
        <v>44627</v>
      </c>
      <c r="C45">
        <v>29.458864212036129</v>
      </c>
    </row>
    <row r="46" spans="1:3" x14ac:dyDescent="0.2">
      <c r="A46" t="s">
        <v>4</v>
      </c>
      <c r="B46" s="2">
        <v>44628</v>
      </c>
      <c r="C46">
        <v>29.717502593994141</v>
      </c>
    </row>
    <row r="47" spans="1:3" x14ac:dyDescent="0.2">
      <c r="A47" t="s">
        <v>4</v>
      </c>
      <c r="B47" s="2">
        <v>44629</v>
      </c>
      <c r="C47">
        <v>28.648174285888668</v>
      </c>
    </row>
    <row r="48" spans="1:3" x14ac:dyDescent="0.2">
      <c r="A48" t="s">
        <v>4</v>
      </c>
      <c r="B48" s="2">
        <v>44630</v>
      </c>
      <c r="C48">
        <v>29.694343566894531</v>
      </c>
    </row>
    <row r="49" spans="1:3" x14ac:dyDescent="0.2">
      <c r="A49" t="s">
        <v>4</v>
      </c>
      <c r="B49" s="2">
        <v>44631</v>
      </c>
      <c r="C49">
        <v>29.968437194824219</v>
      </c>
    </row>
    <row r="50" spans="1:3" x14ac:dyDescent="0.2">
      <c r="A50" t="s">
        <v>4</v>
      </c>
      <c r="B50" s="2">
        <v>44634</v>
      </c>
      <c r="C50">
        <v>28.648174285888668</v>
      </c>
    </row>
    <row r="51" spans="1:3" x14ac:dyDescent="0.2">
      <c r="A51" t="s">
        <v>4</v>
      </c>
      <c r="B51" s="2">
        <v>44635</v>
      </c>
      <c r="C51">
        <v>28.501483917236332</v>
      </c>
    </row>
    <row r="52" spans="1:3" x14ac:dyDescent="0.2">
      <c r="A52" t="s">
        <v>4</v>
      </c>
      <c r="B52" s="2">
        <v>44636</v>
      </c>
      <c r="C52">
        <v>28.81802940368652</v>
      </c>
    </row>
    <row r="53" spans="1:3" x14ac:dyDescent="0.2">
      <c r="A53" t="s">
        <v>4</v>
      </c>
      <c r="B53" s="2">
        <v>44637</v>
      </c>
      <c r="C53">
        <v>30.19459342956543</v>
      </c>
    </row>
    <row r="54" spans="1:3" x14ac:dyDescent="0.2">
      <c r="A54" t="s">
        <v>4</v>
      </c>
      <c r="B54" s="2">
        <v>44638</v>
      </c>
      <c r="C54">
        <v>29.792934417724609</v>
      </c>
    </row>
    <row r="55" spans="1:3" x14ac:dyDescent="0.2">
      <c r="A55" t="s">
        <v>4</v>
      </c>
      <c r="B55" s="2">
        <v>44641</v>
      </c>
      <c r="C55">
        <v>30.717142105102539</v>
      </c>
    </row>
    <row r="56" spans="1:3" x14ac:dyDescent="0.2">
      <c r="A56" t="s">
        <v>4</v>
      </c>
      <c r="B56" s="2">
        <v>44642</v>
      </c>
      <c r="C56">
        <v>30.264785766601559</v>
      </c>
    </row>
    <row r="57" spans="1:3" x14ac:dyDescent="0.2">
      <c r="A57" t="s">
        <v>4</v>
      </c>
      <c r="B57" s="2">
        <v>44643</v>
      </c>
      <c r="C57">
        <v>30.990104675292969</v>
      </c>
    </row>
    <row r="58" spans="1:3" x14ac:dyDescent="0.2">
      <c r="A58" t="s">
        <v>4</v>
      </c>
      <c r="B58" s="2">
        <v>44644</v>
      </c>
      <c r="C58">
        <v>30.763933181762699</v>
      </c>
    </row>
    <row r="59" spans="1:3" x14ac:dyDescent="0.2">
      <c r="A59" t="s">
        <v>4</v>
      </c>
      <c r="B59" s="2">
        <v>44645</v>
      </c>
      <c r="C59">
        <v>30.947206497192379</v>
      </c>
    </row>
    <row r="60" spans="1:3" x14ac:dyDescent="0.2">
      <c r="A60" t="s">
        <v>4</v>
      </c>
      <c r="B60" s="2">
        <v>44648</v>
      </c>
      <c r="C60">
        <v>30.38177490234375</v>
      </c>
    </row>
    <row r="61" spans="1:3" x14ac:dyDescent="0.2">
      <c r="A61" t="s">
        <v>4</v>
      </c>
      <c r="B61" s="2">
        <v>44649</v>
      </c>
      <c r="C61">
        <v>30.3388786315918</v>
      </c>
    </row>
    <row r="62" spans="1:3" x14ac:dyDescent="0.2">
      <c r="A62" t="s">
        <v>4</v>
      </c>
      <c r="B62" s="2">
        <v>44650</v>
      </c>
      <c r="C62">
        <v>30.4909553527832</v>
      </c>
    </row>
    <row r="63" spans="1:3" x14ac:dyDescent="0.2">
      <c r="A63" t="s">
        <v>4</v>
      </c>
      <c r="B63" s="2">
        <v>44651</v>
      </c>
      <c r="C63">
        <v>30.18679046630859</v>
      </c>
    </row>
    <row r="64" spans="1:3" x14ac:dyDescent="0.2">
      <c r="A64" t="s">
        <v>4</v>
      </c>
      <c r="B64" s="2">
        <v>44652</v>
      </c>
      <c r="C64">
        <v>30.763933181762699</v>
      </c>
    </row>
    <row r="65" spans="1:3" x14ac:dyDescent="0.2">
      <c r="A65" t="s">
        <v>4</v>
      </c>
      <c r="B65" s="2">
        <v>44655</v>
      </c>
      <c r="C65">
        <v>31.188991546630859</v>
      </c>
    </row>
    <row r="66" spans="1:3" x14ac:dyDescent="0.2">
      <c r="A66" t="s">
        <v>4</v>
      </c>
      <c r="B66" s="2">
        <v>44656</v>
      </c>
      <c r="C66">
        <v>30.494852066040039</v>
      </c>
    </row>
    <row r="67" spans="1:3" x14ac:dyDescent="0.2">
      <c r="A67" t="s">
        <v>4</v>
      </c>
      <c r="B67" s="2">
        <v>44657</v>
      </c>
      <c r="C67">
        <v>30.416866302490231</v>
      </c>
    </row>
    <row r="68" spans="1:3" x14ac:dyDescent="0.2">
      <c r="A68" t="s">
        <v>4</v>
      </c>
      <c r="B68" s="2">
        <v>44658</v>
      </c>
      <c r="C68">
        <v>30.939413070678711</v>
      </c>
    </row>
    <row r="69" spans="1:3" x14ac:dyDescent="0.2">
      <c r="A69" t="s">
        <v>4</v>
      </c>
      <c r="B69" s="2">
        <v>44659</v>
      </c>
      <c r="C69">
        <v>31.508754730224609</v>
      </c>
    </row>
    <row r="70" spans="1:3" x14ac:dyDescent="0.2">
      <c r="A70" t="s">
        <v>4</v>
      </c>
      <c r="B70" s="2">
        <v>44662</v>
      </c>
      <c r="C70">
        <v>30.75223350524902</v>
      </c>
    </row>
    <row r="71" spans="1:3" x14ac:dyDescent="0.2">
      <c r="A71" t="s">
        <v>4</v>
      </c>
      <c r="B71" s="2">
        <v>44663</v>
      </c>
      <c r="C71">
        <v>31.78172492980957</v>
      </c>
    </row>
    <row r="72" spans="1:3" x14ac:dyDescent="0.2">
      <c r="A72" t="s">
        <v>4</v>
      </c>
      <c r="B72" s="2">
        <v>44664</v>
      </c>
      <c r="C72">
        <v>32.078098297119141</v>
      </c>
    </row>
    <row r="73" spans="1:3" x14ac:dyDescent="0.2">
      <c r="A73" t="s">
        <v>4</v>
      </c>
      <c r="B73" s="2">
        <v>44665</v>
      </c>
      <c r="C73">
        <v>32.366664886474609</v>
      </c>
    </row>
    <row r="74" spans="1:3" x14ac:dyDescent="0.2">
      <c r="A74" t="s">
        <v>4</v>
      </c>
      <c r="B74" s="2">
        <v>44669</v>
      </c>
      <c r="C74">
        <v>33.021793365478523</v>
      </c>
    </row>
    <row r="75" spans="1:3" x14ac:dyDescent="0.2">
      <c r="A75" t="s">
        <v>4</v>
      </c>
      <c r="B75" s="2">
        <v>44670</v>
      </c>
      <c r="C75">
        <v>32.951610565185547</v>
      </c>
    </row>
    <row r="76" spans="1:3" x14ac:dyDescent="0.2">
      <c r="A76" t="s">
        <v>4</v>
      </c>
      <c r="B76" s="2">
        <v>44671</v>
      </c>
      <c r="C76">
        <v>33.517047882080078</v>
      </c>
    </row>
    <row r="77" spans="1:3" x14ac:dyDescent="0.2">
      <c r="A77" t="s">
        <v>4</v>
      </c>
      <c r="B77" s="2">
        <v>44672</v>
      </c>
      <c r="C77">
        <v>32.401752471923828</v>
      </c>
    </row>
    <row r="78" spans="1:3" x14ac:dyDescent="0.2">
      <c r="A78" t="s">
        <v>4</v>
      </c>
      <c r="B78" s="2">
        <v>44673</v>
      </c>
      <c r="C78">
        <v>31.676445007324219</v>
      </c>
    </row>
    <row r="79" spans="1:3" x14ac:dyDescent="0.2">
      <c r="A79" t="s">
        <v>4</v>
      </c>
      <c r="B79" s="2">
        <v>44676</v>
      </c>
      <c r="C79">
        <v>30.43636322021484</v>
      </c>
    </row>
    <row r="80" spans="1:3" x14ac:dyDescent="0.2">
      <c r="A80" t="s">
        <v>4</v>
      </c>
      <c r="B80" s="2">
        <v>44677</v>
      </c>
      <c r="C80">
        <v>30.311580657958981</v>
      </c>
    </row>
    <row r="81" spans="1:3" x14ac:dyDescent="0.2">
      <c r="A81" t="s">
        <v>4</v>
      </c>
      <c r="B81" s="2">
        <v>44678</v>
      </c>
      <c r="C81">
        <v>30.763933181762699</v>
      </c>
    </row>
    <row r="82" spans="1:3" x14ac:dyDescent="0.2">
      <c r="A82" t="s">
        <v>4</v>
      </c>
      <c r="B82" s="2">
        <v>44679</v>
      </c>
      <c r="C82">
        <v>31.255283355712891</v>
      </c>
    </row>
    <row r="83" spans="1:3" x14ac:dyDescent="0.2">
      <c r="A83" t="s">
        <v>4</v>
      </c>
      <c r="B83" s="2">
        <v>44680</v>
      </c>
      <c r="C83">
        <v>31.005704879760739</v>
      </c>
    </row>
    <row r="84" spans="1:3" x14ac:dyDescent="0.2">
      <c r="A84" t="s">
        <v>4</v>
      </c>
      <c r="B84" s="2">
        <v>44683</v>
      </c>
      <c r="C84">
        <v>30.72883224487305</v>
      </c>
    </row>
    <row r="85" spans="1:3" x14ac:dyDescent="0.2">
      <c r="A85" t="s">
        <v>4</v>
      </c>
      <c r="B85" s="2">
        <v>44684</v>
      </c>
      <c r="C85">
        <v>31.941606521606449</v>
      </c>
    </row>
    <row r="86" spans="1:3" x14ac:dyDescent="0.2">
      <c r="A86" t="s">
        <v>4</v>
      </c>
      <c r="B86" s="2">
        <v>44685</v>
      </c>
      <c r="C86">
        <v>32.608444213867188</v>
      </c>
    </row>
    <row r="87" spans="1:3" x14ac:dyDescent="0.2">
      <c r="A87" t="s">
        <v>4</v>
      </c>
      <c r="B87" s="2">
        <v>44686</v>
      </c>
      <c r="C87">
        <v>31.937715530395511</v>
      </c>
    </row>
    <row r="88" spans="1:3" x14ac:dyDescent="0.2">
      <c r="A88" t="s">
        <v>4</v>
      </c>
      <c r="B88" s="2">
        <v>44687</v>
      </c>
      <c r="C88">
        <v>31.992307662963871</v>
      </c>
    </row>
    <row r="89" spans="1:3" x14ac:dyDescent="0.2">
      <c r="A89" t="s">
        <v>4</v>
      </c>
      <c r="B89" s="2">
        <v>44690</v>
      </c>
      <c r="C89">
        <v>29.699342727661129</v>
      </c>
    </row>
    <row r="90" spans="1:3" x14ac:dyDescent="0.2">
      <c r="A90" t="s">
        <v>4</v>
      </c>
      <c r="B90" s="2">
        <v>44691</v>
      </c>
      <c r="C90">
        <v>29.66813850402832</v>
      </c>
    </row>
    <row r="91" spans="1:3" x14ac:dyDescent="0.2">
      <c r="A91" t="s">
        <v>4</v>
      </c>
      <c r="B91" s="2">
        <v>44692</v>
      </c>
      <c r="C91">
        <v>29.652542114257809</v>
      </c>
    </row>
    <row r="92" spans="1:3" x14ac:dyDescent="0.2">
      <c r="A92" t="s">
        <v>4</v>
      </c>
      <c r="B92" s="2">
        <v>44693</v>
      </c>
      <c r="C92">
        <v>29.2703857421875</v>
      </c>
    </row>
    <row r="93" spans="1:3" x14ac:dyDescent="0.2">
      <c r="A93" t="s">
        <v>4</v>
      </c>
      <c r="B93" s="2">
        <v>44694</v>
      </c>
      <c r="C93">
        <v>30.658638000488281</v>
      </c>
    </row>
    <row r="94" spans="1:3" x14ac:dyDescent="0.2">
      <c r="A94" t="s">
        <v>4</v>
      </c>
      <c r="B94" s="2">
        <v>44697</v>
      </c>
      <c r="C94">
        <v>31.5477409362793</v>
      </c>
    </row>
    <row r="95" spans="1:3" x14ac:dyDescent="0.2">
      <c r="A95" t="s">
        <v>4</v>
      </c>
      <c r="B95" s="2">
        <v>44698</v>
      </c>
      <c r="C95">
        <v>31.500957489013668</v>
      </c>
    </row>
    <row r="96" spans="1:3" x14ac:dyDescent="0.2">
      <c r="A96" t="s">
        <v>4</v>
      </c>
      <c r="B96" s="2">
        <v>44699</v>
      </c>
      <c r="C96">
        <v>30.721027374267582</v>
      </c>
    </row>
    <row r="97" spans="1:3" x14ac:dyDescent="0.2">
      <c r="A97" t="s">
        <v>4</v>
      </c>
      <c r="B97" s="2">
        <v>44700</v>
      </c>
      <c r="C97">
        <v>30.880912780761719</v>
      </c>
    </row>
    <row r="98" spans="1:3" x14ac:dyDescent="0.2">
      <c r="A98" t="s">
        <v>4</v>
      </c>
      <c r="B98" s="2">
        <v>44701</v>
      </c>
      <c r="C98">
        <v>30.935518264770511</v>
      </c>
    </row>
    <row r="99" spans="1:3" x14ac:dyDescent="0.2">
      <c r="A99" t="s">
        <v>4</v>
      </c>
      <c r="B99" s="2">
        <v>44705</v>
      </c>
      <c r="C99">
        <v>32.156085968017578</v>
      </c>
    </row>
    <row r="100" spans="1:3" x14ac:dyDescent="0.2">
      <c r="A100" t="s">
        <v>4</v>
      </c>
      <c r="B100" s="2">
        <v>44706</v>
      </c>
      <c r="C100">
        <v>32.483646392822273</v>
      </c>
    </row>
    <row r="101" spans="1:3" x14ac:dyDescent="0.2">
      <c r="A101" t="s">
        <v>4</v>
      </c>
      <c r="B101" s="2">
        <v>44707</v>
      </c>
      <c r="C101">
        <v>32.783924102783203</v>
      </c>
    </row>
    <row r="102" spans="1:3" x14ac:dyDescent="0.2">
      <c r="A102" t="s">
        <v>4</v>
      </c>
      <c r="B102" s="2">
        <v>44708</v>
      </c>
      <c r="C102">
        <v>33.142681121826172</v>
      </c>
    </row>
    <row r="103" spans="1:3" x14ac:dyDescent="0.2">
      <c r="A103" t="s">
        <v>4</v>
      </c>
      <c r="B103" s="2">
        <v>44711</v>
      </c>
      <c r="C103">
        <v>33.942104339599609</v>
      </c>
    </row>
    <row r="104" spans="1:3" x14ac:dyDescent="0.2">
      <c r="A104" t="s">
        <v>4</v>
      </c>
      <c r="B104" s="2">
        <v>44712</v>
      </c>
      <c r="C104">
        <v>32.643543243408203</v>
      </c>
    </row>
    <row r="105" spans="1:3" x14ac:dyDescent="0.2">
      <c r="A105" t="s">
        <v>4</v>
      </c>
      <c r="B105" s="2">
        <v>44713</v>
      </c>
      <c r="C105">
        <v>33.314266204833977</v>
      </c>
    </row>
    <row r="106" spans="1:3" x14ac:dyDescent="0.2">
      <c r="A106" t="s">
        <v>4</v>
      </c>
      <c r="B106" s="2">
        <v>44714</v>
      </c>
      <c r="C106">
        <v>33.411758422851562</v>
      </c>
    </row>
    <row r="107" spans="1:3" x14ac:dyDescent="0.2">
      <c r="A107" t="s">
        <v>4</v>
      </c>
      <c r="B107" s="2">
        <v>44715</v>
      </c>
      <c r="C107">
        <v>33.220680236816413</v>
      </c>
    </row>
    <row r="108" spans="1:3" x14ac:dyDescent="0.2">
      <c r="A108" t="s">
        <v>4</v>
      </c>
      <c r="B108" s="2">
        <v>44718</v>
      </c>
      <c r="C108">
        <v>32.764419555664062</v>
      </c>
    </row>
    <row r="109" spans="1:3" x14ac:dyDescent="0.2">
      <c r="A109" t="s">
        <v>4</v>
      </c>
      <c r="B109" s="2">
        <v>44719</v>
      </c>
      <c r="C109">
        <v>33.52874755859375</v>
      </c>
    </row>
    <row r="110" spans="1:3" x14ac:dyDescent="0.2">
      <c r="A110" t="s">
        <v>4</v>
      </c>
      <c r="B110" s="2">
        <v>44720</v>
      </c>
      <c r="C110">
        <v>33.450748443603523</v>
      </c>
    </row>
    <row r="111" spans="1:3" x14ac:dyDescent="0.2">
      <c r="A111" t="s">
        <v>4</v>
      </c>
      <c r="B111" s="2">
        <v>44721</v>
      </c>
      <c r="C111">
        <v>33.017898559570312</v>
      </c>
    </row>
    <row r="112" spans="1:3" x14ac:dyDescent="0.2">
      <c r="A112" t="s">
        <v>4</v>
      </c>
      <c r="B112" s="2">
        <v>44722</v>
      </c>
      <c r="C112">
        <v>32.300376892089837</v>
      </c>
    </row>
    <row r="113" spans="1:3" x14ac:dyDescent="0.2">
      <c r="A113" t="s">
        <v>4</v>
      </c>
      <c r="B113" s="2">
        <v>44725</v>
      </c>
      <c r="C113">
        <v>30.962808609008789</v>
      </c>
    </row>
    <row r="114" spans="1:3" x14ac:dyDescent="0.2">
      <c r="A114" t="s">
        <v>4</v>
      </c>
      <c r="B114" s="2">
        <v>44726</v>
      </c>
      <c r="C114">
        <v>30.604055404663089</v>
      </c>
    </row>
    <row r="115" spans="1:3" x14ac:dyDescent="0.2">
      <c r="A115" t="s">
        <v>4</v>
      </c>
      <c r="B115" s="2">
        <v>44727</v>
      </c>
      <c r="C115">
        <v>30.097105026245121</v>
      </c>
    </row>
    <row r="116" spans="1:3" x14ac:dyDescent="0.2">
      <c r="A116" t="s">
        <v>4</v>
      </c>
      <c r="B116" s="2">
        <v>44728</v>
      </c>
      <c r="C116">
        <v>28.348686218261719</v>
      </c>
    </row>
    <row r="117" spans="1:3" x14ac:dyDescent="0.2">
      <c r="A117" t="s">
        <v>4</v>
      </c>
      <c r="B117" s="2">
        <v>44729</v>
      </c>
      <c r="C117">
        <v>26.91530799865723</v>
      </c>
    </row>
    <row r="118" spans="1:3" x14ac:dyDescent="0.2">
      <c r="A118" t="s">
        <v>4</v>
      </c>
      <c r="B118" s="2">
        <v>44732</v>
      </c>
      <c r="C118">
        <v>27.427228927612301</v>
      </c>
    </row>
    <row r="119" spans="1:3" x14ac:dyDescent="0.2">
      <c r="A119" t="s">
        <v>4</v>
      </c>
      <c r="B119" s="2">
        <v>44733</v>
      </c>
      <c r="C119">
        <v>27.947025299072269</v>
      </c>
    </row>
    <row r="120" spans="1:3" x14ac:dyDescent="0.2">
      <c r="A120" t="s">
        <v>4</v>
      </c>
      <c r="B120" s="2">
        <v>44734</v>
      </c>
      <c r="C120">
        <v>26.525459289550781</v>
      </c>
    </row>
    <row r="121" spans="1:3" x14ac:dyDescent="0.2">
      <c r="A121" t="s">
        <v>4</v>
      </c>
      <c r="B121" s="2">
        <v>44735</v>
      </c>
      <c r="C121">
        <v>25.438608169555661</v>
      </c>
    </row>
    <row r="122" spans="1:3" x14ac:dyDescent="0.2">
      <c r="A122" t="s">
        <v>4</v>
      </c>
      <c r="B122" s="2">
        <v>44736</v>
      </c>
      <c r="C122">
        <v>25.651248931884769</v>
      </c>
    </row>
    <row r="123" spans="1:3" x14ac:dyDescent="0.2">
      <c r="A123" t="s">
        <v>4</v>
      </c>
      <c r="B123" s="2">
        <v>44739</v>
      </c>
      <c r="C123">
        <v>27.068880081176761</v>
      </c>
    </row>
    <row r="124" spans="1:3" x14ac:dyDescent="0.2">
      <c r="A124" t="s">
        <v>4</v>
      </c>
      <c r="B124" s="2">
        <v>44740</v>
      </c>
      <c r="C124">
        <v>28.285675048828121</v>
      </c>
    </row>
    <row r="125" spans="1:3" x14ac:dyDescent="0.2">
      <c r="A125" t="s">
        <v>4</v>
      </c>
      <c r="B125" s="2">
        <v>44741</v>
      </c>
      <c r="C125">
        <v>27.624126434326168</v>
      </c>
    </row>
    <row r="126" spans="1:3" x14ac:dyDescent="0.2">
      <c r="A126" t="s">
        <v>4</v>
      </c>
      <c r="B126" s="2">
        <v>44742</v>
      </c>
      <c r="C126">
        <v>27.238210678100589</v>
      </c>
    </row>
    <row r="127" spans="1:3" x14ac:dyDescent="0.2">
      <c r="A127" t="s">
        <v>4</v>
      </c>
      <c r="B127" s="2">
        <v>44746</v>
      </c>
      <c r="C127">
        <v>28.293560028076168</v>
      </c>
    </row>
    <row r="128" spans="1:3" x14ac:dyDescent="0.2">
      <c r="A128" t="s">
        <v>4</v>
      </c>
      <c r="B128" s="2">
        <v>44747</v>
      </c>
      <c r="C128">
        <v>26.34431266784668</v>
      </c>
    </row>
    <row r="129" spans="1:3" x14ac:dyDescent="0.2">
      <c r="A129" t="s">
        <v>4</v>
      </c>
      <c r="B129" s="2">
        <v>44748</v>
      </c>
      <c r="C129">
        <v>24.78885650634766</v>
      </c>
    </row>
    <row r="130" spans="1:3" x14ac:dyDescent="0.2">
      <c r="A130" t="s">
        <v>4</v>
      </c>
      <c r="B130" s="2">
        <v>44749</v>
      </c>
      <c r="C130">
        <v>25.489801406860352</v>
      </c>
    </row>
    <row r="131" spans="1:3" x14ac:dyDescent="0.2">
      <c r="A131" t="s">
        <v>4</v>
      </c>
      <c r="B131" s="2">
        <v>44750</v>
      </c>
      <c r="C131">
        <v>25.178705215454102</v>
      </c>
    </row>
    <row r="132" spans="1:3" x14ac:dyDescent="0.2">
      <c r="A132" t="s">
        <v>4</v>
      </c>
      <c r="B132" s="2">
        <v>44753</v>
      </c>
      <c r="C132">
        <v>25.088129043579102</v>
      </c>
    </row>
    <row r="133" spans="1:3" x14ac:dyDescent="0.2">
      <c r="A133" t="s">
        <v>4</v>
      </c>
      <c r="B133" s="2">
        <v>44754</v>
      </c>
      <c r="C133">
        <v>24.568338394165039</v>
      </c>
    </row>
    <row r="134" spans="1:3" x14ac:dyDescent="0.2">
      <c r="A134" t="s">
        <v>4</v>
      </c>
      <c r="B134" s="2">
        <v>44755</v>
      </c>
      <c r="C134">
        <v>24.288747787475589</v>
      </c>
    </row>
    <row r="135" spans="1:3" x14ac:dyDescent="0.2">
      <c r="A135" t="s">
        <v>4</v>
      </c>
      <c r="B135" s="2">
        <v>44756</v>
      </c>
      <c r="C135">
        <v>24.056415557861332</v>
      </c>
    </row>
    <row r="136" spans="1:3" x14ac:dyDescent="0.2">
      <c r="A136" t="s">
        <v>4</v>
      </c>
      <c r="B136" s="2">
        <v>44757</v>
      </c>
      <c r="C136">
        <v>24.249374389648441</v>
      </c>
    </row>
    <row r="137" spans="1:3" x14ac:dyDescent="0.2">
      <c r="A137" t="s">
        <v>4</v>
      </c>
      <c r="B137" s="2">
        <v>44760</v>
      </c>
      <c r="C137">
        <v>24.938497543334961</v>
      </c>
    </row>
    <row r="138" spans="1:3" x14ac:dyDescent="0.2">
      <c r="A138" t="s">
        <v>4</v>
      </c>
      <c r="B138" s="2">
        <v>44761</v>
      </c>
      <c r="C138">
        <v>25.363784790039059</v>
      </c>
    </row>
    <row r="139" spans="1:3" x14ac:dyDescent="0.2">
      <c r="A139" t="s">
        <v>4</v>
      </c>
      <c r="B139" s="2">
        <v>44762</v>
      </c>
      <c r="C139">
        <v>25.899335861206051</v>
      </c>
    </row>
    <row r="140" spans="1:3" x14ac:dyDescent="0.2">
      <c r="A140" t="s">
        <v>4</v>
      </c>
      <c r="B140" s="2">
        <v>44763</v>
      </c>
      <c r="C140">
        <v>25.580373764038089</v>
      </c>
    </row>
    <row r="141" spans="1:3" x14ac:dyDescent="0.2">
      <c r="A141" t="s">
        <v>4</v>
      </c>
      <c r="B141" s="2">
        <v>44764</v>
      </c>
      <c r="C141">
        <v>25.332284927368161</v>
      </c>
    </row>
    <row r="142" spans="1:3" x14ac:dyDescent="0.2">
      <c r="A142" t="s">
        <v>4</v>
      </c>
      <c r="B142" s="2">
        <v>44767</v>
      </c>
      <c r="C142">
        <v>26.037160873413089</v>
      </c>
    </row>
    <row r="143" spans="1:3" x14ac:dyDescent="0.2">
      <c r="A143" t="s">
        <v>4</v>
      </c>
      <c r="B143" s="2">
        <v>44768</v>
      </c>
      <c r="C143">
        <v>25.836330413818359</v>
      </c>
    </row>
    <row r="144" spans="1:3" x14ac:dyDescent="0.2">
      <c r="A144" t="s">
        <v>4</v>
      </c>
      <c r="B144" s="2">
        <v>44769</v>
      </c>
      <c r="C144">
        <v>26.529390335083011</v>
      </c>
    </row>
    <row r="145" spans="1:3" x14ac:dyDescent="0.2">
      <c r="A145" t="s">
        <v>4</v>
      </c>
      <c r="B145" s="2">
        <v>44770</v>
      </c>
      <c r="C145">
        <v>26.907428741455082</v>
      </c>
    </row>
    <row r="146" spans="1:3" x14ac:dyDescent="0.2">
      <c r="A146" t="s">
        <v>4</v>
      </c>
      <c r="B146" s="2">
        <v>44771</v>
      </c>
      <c r="C146">
        <v>27.84464263916016</v>
      </c>
    </row>
    <row r="147" spans="1:3" x14ac:dyDescent="0.2">
      <c r="A147" t="s">
        <v>4</v>
      </c>
      <c r="B147" s="2">
        <v>44775</v>
      </c>
      <c r="C147">
        <v>27.399662017822269</v>
      </c>
    </row>
    <row r="148" spans="1:3" x14ac:dyDescent="0.2">
      <c r="A148" t="s">
        <v>4</v>
      </c>
      <c r="B148" s="2">
        <v>44776</v>
      </c>
      <c r="C148">
        <v>26.34431266784668</v>
      </c>
    </row>
    <row r="149" spans="1:3" x14ac:dyDescent="0.2">
      <c r="A149" t="s">
        <v>4</v>
      </c>
      <c r="B149" s="2">
        <v>44777</v>
      </c>
      <c r="C149">
        <v>25.757572174072269</v>
      </c>
    </row>
    <row r="150" spans="1:3" x14ac:dyDescent="0.2">
      <c r="A150" t="s">
        <v>4</v>
      </c>
      <c r="B150" s="2">
        <v>44778</v>
      </c>
      <c r="C150">
        <v>26.478202819824219</v>
      </c>
    </row>
    <row r="151" spans="1:3" x14ac:dyDescent="0.2">
      <c r="A151" t="s">
        <v>4</v>
      </c>
      <c r="B151" s="2">
        <v>44781</v>
      </c>
      <c r="C151">
        <v>26.55695724487305</v>
      </c>
    </row>
    <row r="152" spans="1:3" x14ac:dyDescent="0.2">
      <c r="A152" t="s">
        <v>4</v>
      </c>
      <c r="B152" s="2">
        <v>44782</v>
      </c>
      <c r="C152">
        <v>26.722345352172852</v>
      </c>
    </row>
    <row r="153" spans="1:3" x14ac:dyDescent="0.2">
      <c r="A153" t="s">
        <v>4</v>
      </c>
      <c r="B153" s="2">
        <v>44783</v>
      </c>
      <c r="C153">
        <v>27.108257293701168</v>
      </c>
    </row>
    <row r="154" spans="1:3" x14ac:dyDescent="0.2">
      <c r="A154" t="s">
        <v>4</v>
      </c>
      <c r="B154" s="2">
        <v>44784</v>
      </c>
      <c r="C154">
        <v>28.080913543701168</v>
      </c>
    </row>
    <row r="155" spans="1:3" x14ac:dyDescent="0.2">
      <c r="A155" t="s">
        <v>4</v>
      </c>
      <c r="B155" s="2">
        <v>44785</v>
      </c>
      <c r="C155">
        <v>28.2974967956543</v>
      </c>
    </row>
    <row r="156" spans="1:3" x14ac:dyDescent="0.2">
      <c r="A156" t="s">
        <v>4</v>
      </c>
      <c r="B156" s="2">
        <v>44788</v>
      </c>
      <c r="C156">
        <v>27.81707763671875</v>
      </c>
    </row>
    <row r="157" spans="1:3" x14ac:dyDescent="0.2">
      <c r="A157" t="s">
        <v>4</v>
      </c>
      <c r="B157" s="2">
        <v>44789</v>
      </c>
      <c r="C157">
        <v>27.47054481506348</v>
      </c>
    </row>
    <row r="158" spans="1:3" x14ac:dyDescent="0.2">
      <c r="A158" t="s">
        <v>4</v>
      </c>
      <c r="B158" s="2">
        <v>44790</v>
      </c>
      <c r="C158">
        <v>27.72257041931152</v>
      </c>
    </row>
    <row r="159" spans="1:3" x14ac:dyDescent="0.2">
      <c r="A159" t="s">
        <v>4</v>
      </c>
      <c r="B159" s="2">
        <v>44791</v>
      </c>
      <c r="C159">
        <v>28.518011093139648</v>
      </c>
    </row>
    <row r="160" spans="1:3" x14ac:dyDescent="0.2">
      <c r="A160" t="s">
        <v>4</v>
      </c>
      <c r="B160" s="2">
        <v>44792</v>
      </c>
      <c r="C160">
        <v>28.506204605102539</v>
      </c>
    </row>
    <row r="161" spans="1:3" x14ac:dyDescent="0.2">
      <c r="A161" t="s">
        <v>4</v>
      </c>
      <c r="B161" s="2">
        <v>44795</v>
      </c>
      <c r="C161">
        <v>29.29850006103516</v>
      </c>
    </row>
    <row r="162" spans="1:3" x14ac:dyDescent="0.2">
      <c r="A162" t="s">
        <v>4</v>
      </c>
      <c r="B162" s="2">
        <v>44796</v>
      </c>
      <c r="C162">
        <v>29.848892211914059</v>
      </c>
    </row>
    <row r="163" spans="1:3" x14ac:dyDescent="0.2">
      <c r="A163" t="s">
        <v>4</v>
      </c>
      <c r="B163" s="2">
        <v>44797</v>
      </c>
      <c r="C163">
        <v>30.132314682006839</v>
      </c>
    </row>
    <row r="164" spans="1:3" x14ac:dyDescent="0.2">
      <c r="A164" t="s">
        <v>4</v>
      </c>
      <c r="B164" s="2">
        <v>44798</v>
      </c>
      <c r="C164">
        <v>30.64985275268555</v>
      </c>
    </row>
    <row r="165" spans="1:3" x14ac:dyDescent="0.2">
      <c r="A165" t="s">
        <v>4</v>
      </c>
      <c r="B165" s="2">
        <v>44799</v>
      </c>
      <c r="C165">
        <v>30.460908889770511</v>
      </c>
    </row>
    <row r="166" spans="1:3" x14ac:dyDescent="0.2">
      <c r="A166" t="s">
        <v>4</v>
      </c>
      <c r="B166" s="2">
        <v>44802</v>
      </c>
      <c r="C166">
        <v>30.97023773193359</v>
      </c>
    </row>
    <row r="167" spans="1:3" x14ac:dyDescent="0.2">
      <c r="A167" t="s">
        <v>4</v>
      </c>
      <c r="B167" s="2">
        <v>44803</v>
      </c>
      <c r="C167">
        <v>29.873554229736332</v>
      </c>
    </row>
    <row r="168" spans="1:3" x14ac:dyDescent="0.2">
      <c r="A168" t="s">
        <v>4</v>
      </c>
      <c r="B168" s="2">
        <v>44804</v>
      </c>
      <c r="C168">
        <v>29.573696136474609</v>
      </c>
    </row>
    <row r="169" spans="1:3" x14ac:dyDescent="0.2">
      <c r="A169" t="s">
        <v>4</v>
      </c>
      <c r="B169" s="2">
        <v>44805</v>
      </c>
      <c r="C169">
        <v>29.130086898803711</v>
      </c>
    </row>
    <row r="170" spans="1:3" x14ac:dyDescent="0.2">
      <c r="A170" t="s">
        <v>4</v>
      </c>
      <c r="B170" s="2">
        <v>44806</v>
      </c>
      <c r="C170">
        <v>29.684597015380859</v>
      </c>
    </row>
    <row r="171" spans="1:3" x14ac:dyDescent="0.2">
      <c r="A171" t="s">
        <v>4</v>
      </c>
      <c r="B171" s="2">
        <v>44810</v>
      </c>
      <c r="C171">
        <v>29.047946929931641</v>
      </c>
    </row>
    <row r="172" spans="1:3" x14ac:dyDescent="0.2">
      <c r="A172" t="s">
        <v>4</v>
      </c>
      <c r="B172" s="2">
        <v>44811</v>
      </c>
      <c r="C172">
        <v>28.292165756225589</v>
      </c>
    </row>
    <row r="173" spans="1:3" x14ac:dyDescent="0.2">
      <c r="A173" t="s">
        <v>4</v>
      </c>
      <c r="B173" s="2">
        <v>44812</v>
      </c>
      <c r="C173">
        <v>28.579696655273441</v>
      </c>
    </row>
    <row r="174" spans="1:3" x14ac:dyDescent="0.2">
      <c r="A174" t="s">
        <v>4</v>
      </c>
      <c r="B174" s="2">
        <v>44813</v>
      </c>
      <c r="C174">
        <v>29.532621383666989</v>
      </c>
    </row>
    <row r="175" spans="1:3" x14ac:dyDescent="0.2">
      <c r="A175" t="s">
        <v>4</v>
      </c>
      <c r="B175" s="2">
        <v>44816</v>
      </c>
      <c r="C175">
        <v>30.009084701538089</v>
      </c>
    </row>
    <row r="176" spans="1:3" x14ac:dyDescent="0.2">
      <c r="A176" t="s">
        <v>4</v>
      </c>
      <c r="B176" s="2">
        <v>44817</v>
      </c>
      <c r="C176">
        <v>29.639421463012699</v>
      </c>
    </row>
    <row r="177" spans="1:3" x14ac:dyDescent="0.2">
      <c r="A177" t="s">
        <v>4</v>
      </c>
      <c r="B177" s="2">
        <v>44818</v>
      </c>
      <c r="C177">
        <v>30.341802597045898</v>
      </c>
    </row>
    <row r="178" spans="1:3" x14ac:dyDescent="0.2">
      <c r="A178" t="s">
        <v>4</v>
      </c>
      <c r="B178" s="2">
        <v>44819</v>
      </c>
      <c r="C178">
        <v>29.698606491088871</v>
      </c>
    </row>
    <row r="179" spans="1:3" x14ac:dyDescent="0.2">
      <c r="A179" t="s">
        <v>4</v>
      </c>
      <c r="B179" s="2">
        <v>44820</v>
      </c>
      <c r="C179">
        <v>29.673711776733398</v>
      </c>
    </row>
    <row r="180" spans="1:3" x14ac:dyDescent="0.2">
      <c r="A180" t="s">
        <v>4</v>
      </c>
      <c r="B180" s="2">
        <v>44823</v>
      </c>
      <c r="C180">
        <v>29.665412902832031</v>
      </c>
    </row>
    <row r="181" spans="1:3" x14ac:dyDescent="0.2">
      <c r="A181" t="s">
        <v>4</v>
      </c>
      <c r="B181" s="2">
        <v>44824</v>
      </c>
      <c r="C181">
        <v>29.545074462890621</v>
      </c>
    </row>
    <row r="182" spans="1:3" x14ac:dyDescent="0.2">
      <c r="A182" t="s">
        <v>4</v>
      </c>
      <c r="B182" s="2">
        <v>44825</v>
      </c>
      <c r="C182">
        <v>28.843795776367191</v>
      </c>
    </row>
    <row r="183" spans="1:3" x14ac:dyDescent="0.2">
      <c r="A183" t="s">
        <v>4</v>
      </c>
      <c r="B183" s="2">
        <v>44826</v>
      </c>
      <c r="C183">
        <v>28.4412841796875</v>
      </c>
    </row>
    <row r="184" spans="1:3" x14ac:dyDescent="0.2">
      <c r="A184" t="s">
        <v>4</v>
      </c>
      <c r="B184" s="2">
        <v>44827</v>
      </c>
      <c r="C184">
        <v>26.441183090209961</v>
      </c>
    </row>
    <row r="185" spans="1:3" x14ac:dyDescent="0.2">
      <c r="A185" t="s">
        <v>4</v>
      </c>
      <c r="B185" s="2">
        <v>44830</v>
      </c>
      <c r="C185">
        <v>25.53657150268555</v>
      </c>
    </row>
    <row r="186" spans="1:3" x14ac:dyDescent="0.2">
      <c r="A186" t="s">
        <v>4</v>
      </c>
      <c r="B186" s="2">
        <v>44831</v>
      </c>
      <c r="C186">
        <v>25.806291580200199</v>
      </c>
    </row>
    <row r="187" spans="1:3" x14ac:dyDescent="0.2">
      <c r="A187" t="s">
        <v>4</v>
      </c>
      <c r="B187" s="2">
        <v>44832</v>
      </c>
      <c r="C187">
        <v>26.34988975524902</v>
      </c>
    </row>
    <row r="188" spans="1:3" x14ac:dyDescent="0.2">
      <c r="A188" t="s">
        <v>4</v>
      </c>
      <c r="B188" s="2">
        <v>44833</v>
      </c>
      <c r="C188">
        <v>26.598867416381839</v>
      </c>
    </row>
    <row r="189" spans="1:3" x14ac:dyDescent="0.2">
      <c r="A189" t="s">
        <v>4</v>
      </c>
      <c r="B189" s="2">
        <v>44834</v>
      </c>
      <c r="C189">
        <v>26.68185997009277</v>
      </c>
    </row>
    <row r="190" spans="1:3" x14ac:dyDescent="0.2">
      <c r="A190" t="s">
        <v>4</v>
      </c>
      <c r="B190" s="2">
        <v>44837</v>
      </c>
      <c r="C190">
        <v>28.35828971862793</v>
      </c>
    </row>
    <row r="191" spans="1:3" x14ac:dyDescent="0.2">
      <c r="A191" t="s">
        <v>4</v>
      </c>
      <c r="B191" s="2">
        <v>44838</v>
      </c>
      <c r="C191">
        <v>30.022275924682621</v>
      </c>
    </row>
    <row r="192" spans="1:3" x14ac:dyDescent="0.2">
      <c r="A192" t="s">
        <v>4</v>
      </c>
      <c r="B192" s="2">
        <v>44839</v>
      </c>
      <c r="C192">
        <v>30.3874397277832</v>
      </c>
    </row>
    <row r="193" spans="1:3" x14ac:dyDescent="0.2">
      <c r="A193" t="s">
        <v>4</v>
      </c>
      <c r="B193" s="2">
        <v>44840</v>
      </c>
      <c r="C193">
        <v>30.80654144287109</v>
      </c>
    </row>
    <row r="194" spans="1:3" x14ac:dyDescent="0.2">
      <c r="A194" t="s">
        <v>4</v>
      </c>
      <c r="B194" s="2">
        <v>44841</v>
      </c>
      <c r="C194">
        <v>31.27130126953125</v>
      </c>
    </row>
    <row r="195" spans="1:3" x14ac:dyDescent="0.2">
      <c r="A195" t="s">
        <v>4</v>
      </c>
      <c r="B195" s="2">
        <v>44845</v>
      </c>
      <c r="C195">
        <v>30.233907699584961</v>
      </c>
    </row>
    <row r="196" spans="1:3" x14ac:dyDescent="0.2">
      <c r="A196" t="s">
        <v>4</v>
      </c>
      <c r="B196" s="2">
        <v>44846</v>
      </c>
      <c r="C196">
        <v>30.088666915893551</v>
      </c>
    </row>
    <row r="197" spans="1:3" x14ac:dyDescent="0.2">
      <c r="A197" t="s">
        <v>4</v>
      </c>
      <c r="B197" s="2">
        <v>44847</v>
      </c>
      <c r="C197">
        <v>31.18830680847168</v>
      </c>
    </row>
    <row r="198" spans="1:3" x14ac:dyDescent="0.2">
      <c r="A198" t="s">
        <v>4</v>
      </c>
      <c r="B198" s="2">
        <v>44848</v>
      </c>
      <c r="C198">
        <v>30.52852821350098</v>
      </c>
    </row>
    <row r="199" spans="1:3" x14ac:dyDescent="0.2">
      <c r="A199" t="s">
        <v>4</v>
      </c>
      <c r="B199" s="2">
        <v>44851</v>
      </c>
      <c r="C199">
        <v>30.507778167724609</v>
      </c>
    </row>
    <row r="200" spans="1:3" x14ac:dyDescent="0.2">
      <c r="A200" t="s">
        <v>4</v>
      </c>
      <c r="B200" s="2">
        <v>44852</v>
      </c>
      <c r="C200">
        <v>30.370841979980469</v>
      </c>
    </row>
    <row r="201" spans="1:3" x14ac:dyDescent="0.2">
      <c r="A201" t="s">
        <v>4</v>
      </c>
      <c r="B201" s="2">
        <v>44853</v>
      </c>
      <c r="C201">
        <v>31.628166198730469</v>
      </c>
    </row>
    <row r="202" spans="1:3" x14ac:dyDescent="0.2">
      <c r="A202" t="s">
        <v>4</v>
      </c>
      <c r="B202" s="2">
        <v>44854</v>
      </c>
      <c r="C202">
        <v>32.420742034912109</v>
      </c>
    </row>
    <row r="203" spans="1:3" x14ac:dyDescent="0.2">
      <c r="A203" t="s">
        <v>4</v>
      </c>
      <c r="B203" s="2">
        <v>44855</v>
      </c>
      <c r="C203">
        <v>33.21331787109375</v>
      </c>
    </row>
    <row r="204" spans="1:3" x14ac:dyDescent="0.2">
      <c r="A204" t="s">
        <v>4</v>
      </c>
      <c r="B204" s="2">
        <v>44858</v>
      </c>
      <c r="C204">
        <v>33.379306793212891</v>
      </c>
    </row>
    <row r="205" spans="1:3" x14ac:dyDescent="0.2">
      <c r="A205" t="s">
        <v>4</v>
      </c>
      <c r="B205" s="2">
        <v>44859</v>
      </c>
      <c r="C205">
        <v>33.528682708740227</v>
      </c>
    </row>
    <row r="206" spans="1:3" x14ac:dyDescent="0.2">
      <c r="A206" t="s">
        <v>4</v>
      </c>
      <c r="B206" s="2">
        <v>44860</v>
      </c>
      <c r="C206">
        <v>33.827449798583977</v>
      </c>
    </row>
    <row r="207" spans="1:3" x14ac:dyDescent="0.2">
      <c r="A207" t="s">
        <v>4</v>
      </c>
      <c r="B207" s="2">
        <v>44861</v>
      </c>
      <c r="C207">
        <v>33.777652740478523</v>
      </c>
    </row>
    <row r="208" spans="1:3" x14ac:dyDescent="0.2">
      <c r="A208" t="s">
        <v>4</v>
      </c>
      <c r="B208" s="2">
        <v>44862</v>
      </c>
      <c r="C208">
        <v>33.765205383300781</v>
      </c>
    </row>
    <row r="209" spans="1:3" x14ac:dyDescent="0.2">
      <c r="A209" t="s">
        <v>4</v>
      </c>
      <c r="B209" s="2">
        <v>44865</v>
      </c>
      <c r="C209">
        <v>33.906299591064453</v>
      </c>
    </row>
    <row r="210" spans="1:3" x14ac:dyDescent="0.2">
      <c r="A210" t="s">
        <v>4</v>
      </c>
      <c r="B210" s="2">
        <v>44866</v>
      </c>
      <c r="C210">
        <v>34.122074127197273</v>
      </c>
    </row>
    <row r="211" spans="1:3" x14ac:dyDescent="0.2">
      <c r="A211" t="s">
        <v>4</v>
      </c>
      <c r="B211" s="2">
        <v>44867</v>
      </c>
      <c r="C211">
        <v>34.063980102539062</v>
      </c>
    </row>
    <row r="212" spans="1:3" x14ac:dyDescent="0.2">
      <c r="A212" t="s">
        <v>4</v>
      </c>
      <c r="B212" s="2">
        <v>44868</v>
      </c>
      <c r="C212">
        <v>34.209209442138672</v>
      </c>
    </row>
    <row r="213" spans="1:3" x14ac:dyDescent="0.2">
      <c r="A213" t="s">
        <v>4</v>
      </c>
      <c r="B213" s="2">
        <v>44869</v>
      </c>
      <c r="C213">
        <v>34.213359832763672</v>
      </c>
    </row>
    <row r="214" spans="1:3" x14ac:dyDescent="0.2">
      <c r="A214" t="s">
        <v>4</v>
      </c>
      <c r="B214" s="2">
        <v>44872</v>
      </c>
      <c r="C214">
        <v>34.225807189941413</v>
      </c>
    </row>
    <row r="215" spans="1:3" x14ac:dyDescent="0.2">
      <c r="A215" t="s">
        <v>4</v>
      </c>
      <c r="B215" s="2">
        <v>44873</v>
      </c>
      <c r="C215">
        <v>33.868942260742188</v>
      </c>
    </row>
    <row r="216" spans="1:3" x14ac:dyDescent="0.2">
      <c r="A216" t="s">
        <v>4</v>
      </c>
      <c r="B216" s="2">
        <v>44874</v>
      </c>
      <c r="C216">
        <v>33.076370239257812</v>
      </c>
    </row>
    <row r="217" spans="1:3" x14ac:dyDescent="0.2">
      <c r="A217" t="s">
        <v>4</v>
      </c>
      <c r="B217" s="2">
        <v>44875</v>
      </c>
      <c r="C217">
        <v>33.698814392089837</v>
      </c>
    </row>
    <row r="218" spans="1:3" x14ac:dyDescent="0.2">
      <c r="A218" t="s">
        <v>4</v>
      </c>
      <c r="B218" s="2">
        <v>44876</v>
      </c>
      <c r="C218">
        <v>34.084720611572273</v>
      </c>
    </row>
    <row r="219" spans="1:3" x14ac:dyDescent="0.2">
      <c r="A219" t="s">
        <v>4</v>
      </c>
      <c r="B219" s="2">
        <v>44879</v>
      </c>
      <c r="C219">
        <v>33.636566162109382</v>
      </c>
    </row>
    <row r="220" spans="1:3" x14ac:dyDescent="0.2">
      <c r="A220" t="s">
        <v>4</v>
      </c>
      <c r="B220" s="2">
        <v>44880</v>
      </c>
      <c r="C220">
        <v>34.358592987060547</v>
      </c>
    </row>
    <row r="221" spans="1:3" x14ac:dyDescent="0.2">
      <c r="A221" t="s">
        <v>4</v>
      </c>
      <c r="B221" s="2">
        <v>44881</v>
      </c>
      <c r="C221">
        <v>33.570178985595703</v>
      </c>
    </row>
    <row r="222" spans="1:3" x14ac:dyDescent="0.2">
      <c r="A222" t="s">
        <v>4</v>
      </c>
      <c r="B222" s="2">
        <v>44882</v>
      </c>
      <c r="C222">
        <v>33.205013275146477</v>
      </c>
    </row>
    <row r="223" spans="1:3" x14ac:dyDescent="0.2">
      <c r="A223" t="s">
        <v>4</v>
      </c>
      <c r="B223" s="2">
        <v>44883</v>
      </c>
      <c r="C223">
        <v>33.175956726074219</v>
      </c>
    </row>
    <row r="224" spans="1:3" x14ac:dyDescent="0.2">
      <c r="A224" t="s">
        <v>4</v>
      </c>
      <c r="B224" s="2">
        <v>44886</v>
      </c>
      <c r="C224">
        <v>33.13446044921875</v>
      </c>
    </row>
    <row r="225" spans="1:3" x14ac:dyDescent="0.2">
      <c r="A225" t="s">
        <v>4</v>
      </c>
      <c r="B225" s="2">
        <v>44887</v>
      </c>
      <c r="C225">
        <v>33.702957153320312</v>
      </c>
    </row>
    <row r="226" spans="1:3" x14ac:dyDescent="0.2">
      <c r="A226" t="s">
        <v>4</v>
      </c>
      <c r="B226" s="2">
        <v>44888</v>
      </c>
      <c r="C226">
        <v>33.217460632324219</v>
      </c>
    </row>
    <row r="227" spans="1:3" x14ac:dyDescent="0.2">
      <c r="A227" t="s">
        <v>4</v>
      </c>
      <c r="B227" s="2">
        <v>44889</v>
      </c>
      <c r="C227">
        <v>33.321193695068359</v>
      </c>
    </row>
    <row r="228" spans="1:3" x14ac:dyDescent="0.2">
      <c r="A228" t="s">
        <v>4</v>
      </c>
      <c r="B228" s="2">
        <v>44890</v>
      </c>
      <c r="C228">
        <v>33.412483215332031</v>
      </c>
    </row>
    <row r="229" spans="1:3" x14ac:dyDescent="0.2">
      <c r="A229" t="s">
        <v>4</v>
      </c>
      <c r="B229" s="2">
        <v>44893</v>
      </c>
      <c r="C229">
        <v>33.084671020507812</v>
      </c>
    </row>
    <row r="230" spans="1:3" x14ac:dyDescent="0.2">
      <c r="A230" t="s">
        <v>4</v>
      </c>
      <c r="B230" s="2">
        <v>44894</v>
      </c>
      <c r="C230">
        <v>33.491329193115227</v>
      </c>
    </row>
    <row r="231" spans="1:3" x14ac:dyDescent="0.2">
      <c r="A231" t="s">
        <v>4</v>
      </c>
      <c r="B231" s="2">
        <v>44895</v>
      </c>
      <c r="C231">
        <v>33.325355529785163</v>
      </c>
    </row>
    <row r="232" spans="1:3" x14ac:dyDescent="0.2">
      <c r="A232" t="s">
        <v>4</v>
      </c>
      <c r="B232" s="2">
        <v>44896</v>
      </c>
      <c r="C232">
        <v>33.337799072265618</v>
      </c>
    </row>
    <row r="233" spans="1:3" x14ac:dyDescent="0.2">
      <c r="A233" t="s">
        <v>4</v>
      </c>
      <c r="B233" s="2">
        <v>44897</v>
      </c>
      <c r="C233">
        <v>33.4830322265625</v>
      </c>
    </row>
    <row r="234" spans="1:3" x14ac:dyDescent="0.2">
      <c r="A234" t="s">
        <v>4</v>
      </c>
      <c r="B234" s="2">
        <v>44900</v>
      </c>
      <c r="C234">
        <v>32.246456146240227</v>
      </c>
    </row>
    <row r="235" spans="1:3" x14ac:dyDescent="0.2">
      <c r="A235" t="s">
        <v>4</v>
      </c>
      <c r="B235" s="2">
        <v>44901</v>
      </c>
      <c r="C235">
        <v>31.366743087768551</v>
      </c>
    </row>
    <row r="236" spans="1:3" x14ac:dyDescent="0.2">
      <c r="A236" t="s">
        <v>4</v>
      </c>
      <c r="B236" s="2">
        <v>44902</v>
      </c>
      <c r="C236">
        <v>31.134366989135739</v>
      </c>
    </row>
    <row r="237" spans="1:3" x14ac:dyDescent="0.2">
      <c r="A237" t="s">
        <v>4</v>
      </c>
      <c r="B237" s="2">
        <v>44903</v>
      </c>
      <c r="C237">
        <v>30.943479537963871</v>
      </c>
    </row>
    <row r="238" spans="1:3" x14ac:dyDescent="0.2">
      <c r="A238" t="s">
        <v>4</v>
      </c>
      <c r="B238" s="2">
        <v>44904</v>
      </c>
      <c r="C238">
        <v>30.976675033569339</v>
      </c>
    </row>
    <row r="239" spans="1:3" x14ac:dyDescent="0.2">
      <c r="A239" t="s">
        <v>4</v>
      </c>
      <c r="B239" s="2">
        <v>44907</v>
      </c>
      <c r="C239">
        <v>31.159261703491211</v>
      </c>
    </row>
    <row r="240" spans="1:3" x14ac:dyDescent="0.2">
      <c r="A240" t="s">
        <v>4</v>
      </c>
      <c r="B240" s="2">
        <v>44908</v>
      </c>
      <c r="C240">
        <v>31.760955810546879</v>
      </c>
    </row>
    <row r="241" spans="1:3" x14ac:dyDescent="0.2">
      <c r="A241" t="s">
        <v>4</v>
      </c>
      <c r="B241" s="2">
        <v>44909</v>
      </c>
      <c r="C241">
        <v>31.48708534240723</v>
      </c>
    </row>
    <row r="242" spans="1:3" x14ac:dyDescent="0.2">
      <c r="A242" t="s">
        <v>4</v>
      </c>
      <c r="B242" s="2">
        <v>44910</v>
      </c>
      <c r="C242">
        <v>31.180732727050781</v>
      </c>
    </row>
    <row r="243" spans="1:3" x14ac:dyDescent="0.2">
      <c r="A243" t="s">
        <v>4</v>
      </c>
      <c r="B243" s="2">
        <v>44911</v>
      </c>
      <c r="C243">
        <v>30.131584167480469</v>
      </c>
    </row>
    <row r="244" spans="1:3" x14ac:dyDescent="0.2">
      <c r="A244" t="s">
        <v>4</v>
      </c>
      <c r="B244" s="2">
        <v>44914</v>
      </c>
      <c r="C244">
        <v>30.463108062744141</v>
      </c>
    </row>
    <row r="245" spans="1:3" x14ac:dyDescent="0.2">
      <c r="A245" t="s">
        <v>4</v>
      </c>
      <c r="B245" s="2">
        <v>44915</v>
      </c>
      <c r="C245">
        <v>30.777858734130859</v>
      </c>
    </row>
    <row r="246" spans="1:3" x14ac:dyDescent="0.2">
      <c r="A246" t="s">
        <v>4</v>
      </c>
      <c r="B246" s="2">
        <v>44916</v>
      </c>
      <c r="C246">
        <v>31.428327560424801</v>
      </c>
    </row>
    <row r="247" spans="1:3" x14ac:dyDescent="0.2">
      <c r="A247" t="s">
        <v>4</v>
      </c>
      <c r="B247" s="2">
        <v>44917</v>
      </c>
      <c r="C247">
        <v>30.479898452758789</v>
      </c>
    </row>
    <row r="248" spans="1:3" x14ac:dyDescent="0.2">
      <c r="A248" t="s">
        <v>4</v>
      </c>
      <c r="B248" s="2">
        <v>44918</v>
      </c>
      <c r="C248">
        <v>31.839591979980469</v>
      </c>
    </row>
    <row r="249" spans="1:3" x14ac:dyDescent="0.2">
      <c r="A249" t="s">
        <v>4</v>
      </c>
      <c r="B249" s="2">
        <v>44923</v>
      </c>
      <c r="C249">
        <v>31.07161712646484</v>
      </c>
    </row>
    <row r="250" spans="1:3" x14ac:dyDescent="0.2">
      <c r="A250" t="s">
        <v>4</v>
      </c>
      <c r="B250" s="2">
        <v>44924</v>
      </c>
      <c r="C250">
        <v>31.650753021240231</v>
      </c>
    </row>
    <row r="251" spans="1:3" x14ac:dyDescent="0.2">
      <c r="A251" t="s">
        <v>4</v>
      </c>
      <c r="B251" s="2">
        <v>44925</v>
      </c>
      <c r="C251">
        <v>31.55422401428223</v>
      </c>
    </row>
    <row r="252" spans="1:3" x14ac:dyDescent="0.2">
      <c r="A252" t="s">
        <v>4</v>
      </c>
      <c r="B252" s="2">
        <v>44929</v>
      </c>
      <c r="C252">
        <v>29.91755294799805</v>
      </c>
    </row>
    <row r="253" spans="1:3" x14ac:dyDescent="0.2">
      <c r="A253" t="s">
        <v>4</v>
      </c>
      <c r="B253" s="2">
        <v>44930</v>
      </c>
      <c r="C253">
        <v>29.573431015014648</v>
      </c>
    </row>
    <row r="254" spans="1:3" x14ac:dyDescent="0.2">
      <c r="A254" t="s">
        <v>4</v>
      </c>
      <c r="B254" s="2">
        <v>44931</v>
      </c>
      <c r="C254">
        <v>29.636386871337891</v>
      </c>
    </row>
    <row r="255" spans="1:3" x14ac:dyDescent="0.2">
      <c r="A255" t="s">
        <v>4</v>
      </c>
      <c r="B255" s="2">
        <v>44932</v>
      </c>
      <c r="C255">
        <v>30.756866455078121</v>
      </c>
    </row>
    <row r="256" spans="1:3" x14ac:dyDescent="0.2">
      <c r="A256" t="s">
        <v>4</v>
      </c>
      <c r="B256" s="2">
        <v>44935</v>
      </c>
      <c r="C256">
        <v>31.004465103149411</v>
      </c>
    </row>
    <row r="257" spans="1:3" x14ac:dyDescent="0.2">
      <c r="A257" t="s">
        <v>4</v>
      </c>
      <c r="B257" s="2">
        <v>44936</v>
      </c>
      <c r="C257">
        <v>31.210109710693359</v>
      </c>
    </row>
    <row r="258" spans="1:3" x14ac:dyDescent="0.2">
      <c r="A258" t="s">
        <v>4</v>
      </c>
      <c r="B258" s="2">
        <v>44937</v>
      </c>
      <c r="C258">
        <v>31.373769760131839</v>
      </c>
    </row>
    <row r="259" spans="1:3" x14ac:dyDescent="0.2">
      <c r="A259" t="s">
        <v>4</v>
      </c>
      <c r="B259" s="2">
        <v>44938</v>
      </c>
      <c r="C259">
        <v>31.931924819946289</v>
      </c>
    </row>
    <row r="260" spans="1:3" x14ac:dyDescent="0.2">
      <c r="A260" t="s">
        <v>4</v>
      </c>
      <c r="B260" s="2">
        <v>44939</v>
      </c>
      <c r="C260">
        <v>32.238277435302727</v>
      </c>
    </row>
    <row r="261" spans="1:3" x14ac:dyDescent="0.2">
      <c r="A261" t="s">
        <v>4</v>
      </c>
      <c r="B261" s="2">
        <v>44942</v>
      </c>
      <c r="C261">
        <v>32.229881286621087</v>
      </c>
    </row>
    <row r="262" spans="1:3" x14ac:dyDescent="0.2">
      <c r="A262" t="s">
        <v>4</v>
      </c>
      <c r="B262" s="2">
        <v>44943</v>
      </c>
      <c r="C262">
        <v>32.838382720947273</v>
      </c>
    </row>
    <row r="263" spans="1:3" x14ac:dyDescent="0.2">
      <c r="A263" t="s">
        <v>4</v>
      </c>
      <c r="B263" s="2">
        <v>44944</v>
      </c>
      <c r="C263">
        <v>32.997852325439453</v>
      </c>
    </row>
    <row r="264" spans="1:3" x14ac:dyDescent="0.2">
      <c r="A264" t="s">
        <v>4</v>
      </c>
      <c r="B264" s="2">
        <v>44945</v>
      </c>
      <c r="C264">
        <v>33.602169036865227</v>
      </c>
    </row>
    <row r="265" spans="1:3" x14ac:dyDescent="0.2">
      <c r="A265" t="s">
        <v>4</v>
      </c>
      <c r="B265" s="2">
        <v>44946</v>
      </c>
      <c r="C265">
        <v>33.879142761230469</v>
      </c>
    </row>
    <row r="266" spans="1:3" x14ac:dyDescent="0.2">
      <c r="A266" t="s">
        <v>4</v>
      </c>
      <c r="B266" s="2">
        <v>44949</v>
      </c>
      <c r="C266">
        <v>34.277820587158203</v>
      </c>
    </row>
    <row r="267" spans="1:3" x14ac:dyDescent="0.2">
      <c r="A267" t="s">
        <v>4</v>
      </c>
      <c r="B267" s="2">
        <v>44950</v>
      </c>
      <c r="C267">
        <v>33.958873748779297</v>
      </c>
    </row>
    <row r="268" spans="1:3" x14ac:dyDescent="0.2">
      <c r="A268" t="s">
        <v>4</v>
      </c>
      <c r="B268" s="2">
        <v>44951</v>
      </c>
      <c r="C268">
        <v>33.476264953613281</v>
      </c>
    </row>
    <row r="269" spans="1:3" x14ac:dyDescent="0.2">
      <c r="A269" t="s">
        <v>4</v>
      </c>
      <c r="B269" s="2">
        <v>44952</v>
      </c>
      <c r="C269">
        <v>34.026027679443359</v>
      </c>
    </row>
    <row r="270" spans="1:3" x14ac:dyDescent="0.2">
      <c r="A270" t="s">
        <v>4</v>
      </c>
      <c r="B270" s="2">
        <v>44953</v>
      </c>
      <c r="C270">
        <v>34.726856231689453</v>
      </c>
    </row>
    <row r="271" spans="1:3" x14ac:dyDescent="0.2">
      <c r="A271" t="s">
        <v>4</v>
      </c>
      <c r="B271" s="2">
        <v>44956</v>
      </c>
      <c r="C271">
        <v>33.942092895507812</v>
      </c>
    </row>
    <row r="272" spans="1:3" x14ac:dyDescent="0.2">
      <c r="A272" t="s">
        <v>4</v>
      </c>
      <c r="B272" s="2">
        <v>44957</v>
      </c>
      <c r="C272">
        <v>34.273624420166023</v>
      </c>
    </row>
    <row r="273" spans="1:3" x14ac:dyDescent="0.2">
      <c r="A273" t="s">
        <v>4</v>
      </c>
      <c r="B273" s="2">
        <v>44958</v>
      </c>
      <c r="C273">
        <v>33.027229309082031</v>
      </c>
    </row>
    <row r="274" spans="1:3" x14ac:dyDescent="0.2">
      <c r="A274" t="s">
        <v>4</v>
      </c>
      <c r="B274" s="2">
        <v>44959</v>
      </c>
      <c r="C274">
        <v>32.326400756835938</v>
      </c>
    </row>
    <row r="275" spans="1:3" x14ac:dyDescent="0.2">
      <c r="A275" t="s">
        <v>4</v>
      </c>
      <c r="B275" s="2">
        <v>44960</v>
      </c>
      <c r="C275">
        <v>32.620166778564453</v>
      </c>
    </row>
    <row r="276" spans="1:3" x14ac:dyDescent="0.2">
      <c r="A276" t="s">
        <v>4</v>
      </c>
      <c r="B276" s="2">
        <v>44963</v>
      </c>
      <c r="C276">
        <v>32.603370666503913</v>
      </c>
    </row>
    <row r="277" spans="1:3" x14ac:dyDescent="0.2">
      <c r="A277" t="s">
        <v>4</v>
      </c>
      <c r="B277" s="2">
        <v>44964</v>
      </c>
      <c r="C277">
        <v>33.291622161865227</v>
      </c>
    </row>
    <row r="278" spans="1:3" x14ac:dyDescent="0.2">
      <c r="A278" t="s">
        <v>4</v>
      </c>
      <c r="B278" s="2">
        <v>44965</v>
      </c>
      <c r="C278">
        <v>33.463680267333977</v>
      </c>
    </row>
    <row r="279" spans="1:3" x14ac:dyDescent="0.2">
      <c r="A279" t="s">
        <v>4</v>
      </c>
      <c r="B279" s="2">
        <v>44966</v>
      </c>
      <c r="C279">
        <v>33.287422180175781</v>
      </c>
    </row>
    <row r="280" spans="1:3" x14ac:dyDescent="0.2">
      <c r="A280" t="s">
        <v>4</v>
      </c>
      <c r="B280" s="2">
        <v>44967</v>
      </c>
      <c r="C280">
        <v>33.963077545166023</v>
      </c>
    </row>
    <row r="281" spans="1:3" x14ac:dyDescent="0.2">
      <c r="A281" t="s">
        <v>4</v>
      </c>
      <c r="B281" s="2">
        <v>44970</v>
      </c>
      <c r="C281">
        <v>34.185497283935547</v>
      </c>
    </row>
    <row r="282" spans="1:3" x14ac:dyDescent="0.2">
      <c r="A282" t="s">
        <v>4</v>
      </c>
      <c r="B282" s="2">
        <v>44971</v>
      </c>
      <c r="C282">
        <v>33.719676971435547</v>
      </c>
    </row>
    <row r="283" spans="1:3" x14ac:dyDescent="0.2">
      <c r="A283" t="s">
        <v>4</v>
      </c>
      <c r="B283" s="2">
        <v>44972</v>
      </c>
      <c r="C283">
        <v>33.396537780761719</v>
      </c>
    </row>
    <row r="284" spans="1:3" x14ac:dyDescent="0.2">
      <c r="A284" t="s">
        <v>4</v>
      </c>
      <c r="B284" s="2">
        <v>44973</v>
      </c>
      <c r="C284">
        <v>33.018844604492188</v>
      </c>
    </row>
    <row r="285" spans="1:3" x14ac:dyDescent="0.2">
      <c r="A285" t="s">
        <v>4</v>
      </c>
      <c r="B285" s="2">
        <v>44974</v>
      </c>
      <c r="C285">
        <v>31.495477676391602</v>
      </c>
    </row>
    <row r="286" spans="1:3" x14ac:dyDescent="0.2">
      <c r="A286" t="s">
        <v>4</v>
      </c>
      <c r="B286" s="2">
        <v>44978</v>
      </c>
      <c r="C286">
        <v>31.3527946472168</v>
      </c>
    </row>
    <row r="287" spans="1:3" x14ac:dyDescent="0.2">
      <c r="A287" t="s">
        <v>4</v>
      </c>
      <c r="B287" s="2">
        <v>44979</v>
      </c>
      <c r="C287">
        <v>31.256267547607418</v>
      </c>
    </row>
    <row r="288" spans="1:3" x14ac:dyDescent="0.2">
      <c r="A288" t="s">
        <v>4</v>
      </c>
      <c r="B288" s="2">
        <v>44980</v>
      </c>
      <c r="C288">
        <v>31.70111083984375</v>
      </c>
    </row>
    <row r="289" spans="1:3" x14ac:dyDescent="0.2">
      <c r="A289" t="s">
        <v>4</v>
      </c>
      <c r="B289" s="2">
        <v>44981</v>
      </c>
      <c r="C289">
        <v>32.309616088867188</v>
      </c>
    </row>
    <row r="290" spans="1:3" x14ac:dyDescent="0.2">
      <c r="A290" t="s">
        <v>4</v>
      </c>
      <c r="B290" s="2">
        <v>44984</v>
      </c>
      <c r="C290">
        <v>32.527843475341797</v>
      </c>
    </row>
    <row r="291" spans="1:3" x14ac:dyDescent="0.2">
      <c r="A291" t="s">
        <v>4</v>
      </c>
      <c r="B291" s="2">
        <v>44985</v>
      </c>
      <c r="C291">
        <v>32.359970092773438</v>
      </c>
    </row>
    <row r="292" spans="1:3" x14ac:dyDescent="0.2">
      <c r="A292" t="s">
        <v>4</v>
      </c>
      <c r="B292" s="2">
        <v>44986</v>
      </c>
      <c r="C292">
        <v>33.048221588134773</v>
      </c>
    </row>
    <row r="293" spans="1:3" x14ac:dyDescent="0.2">
      <c r="A293" t="s">
        <v>4</v>
      </c>
      <c r="B293" s="2">
        <v>44987</v>
      </c>
      <c r="C293">
        <v>33.639934539794922</v>
      </c>
    </row>
    <row r="294" spans="1:3" x14ac:dyDescent="0.2">
      <c r="A294" t="s">
        <v>4</v>
      </c>
      <c r="B294" s="2">
        <v>44988</v>
      </c>
      <c r="C294">
        <v>34.353359222412109</v>
      </c>
    </row>
    <row r="295" spans="1:3" x14ac:dyDescent="0.2">
      <c r="A295" t="s">
        <v>4</v>
      </c>
      <c r="B295" s="2">
        <v>44991</v>
      </c>
      <c r="C295">
        <v>34.067989349365227</v>
      </c>
    </row>
    <row r="296" spans="1:3" x14ac:dyDescent="0.2">
      <c r="A296" t="s">
        <v>4</v>
      </c>
      <c r="B296" s="2">
        <v>44992</v>
      </c>
      <c r="C296">
        <v>33.316791534423828</v>
      </c>
    </row>
    <row r="297" spans="1:3" x14ac:dyDescent="0.2">
      <c r="A297" t="s">
        <v>4</v>
      </c>
      <c r="B297" s="2">
        <v>44993</v>
      </c>
      <c r="C297">
        <v>33.421714782714837</v>
      </c>
    </row>
    <row r="298" spans="1:3" x14ac:dyDescent="0.2">
      <c r="A298" t="s">
        <v>4</v>
      </c>
      <c r="B298" s="2">
        <v>44994</v>
      </c>
      <c r="C298">
        <v>33.291622161865227</v>
      </c>
    </row>
    <row r="299" spans="1:3" x14ac:dyDescent="0.2">
      <c r="A299" t="s">
        <v>4</v>
      </c>
      <c r="B299" s="2">
        <v>44995</v>
      </c>
      <c r="C299">
        <v>32.729274749755859</v>
      </c>
    </row>
    <row r="300" spans="1:3" x14ac:dyDescent="0.2">
      <c r="A300" t="s">
        <v>4</v>
      </c>
      <c r="B300" s="2">
        <v>44998</v>
      </c>
      <c r="C300">
        <v>31.365373611450199</v>
      </c>
    </row>
    <row r="301" spans="1:3" x14ac:dyDescent="0.2">
      <c r="A301" t="s">
        <v>4</v>
      </c>
      <c r="B301" s="2">
        <v>44999</v>
      </c>
      <c r="C301">
        <v>30.731691360473629</v>
      </c>
    </row>
    <row r="302" spans="1:3" x14ac:dyDescent="0.2">
      <c r="A302" t="s">
        <v>4</v>
      </c>
      <c r="B302" s="2">
        <v>45000</v>
      </c>
      <c r="C302">
        <v>29.279666900634769</v>
      </c>
    </row>
    <row r="303" spans="1:3" x14ac:dyDescent="0.2">
      <c r="A303" t="s">
        <v>4</v>
      </c>
      <c r="B303" s="2">
        <v>45001</v>
      </c>
      <c r="C303">
        <v>29.65379524230957</v>
      </c>
    </row>
    <row r="304" spans="1:3" x14ac:dyDescent="0.2">
      <c r="A304" t="s">
        <v>4</v>
      </c>
      <c r="B304" s="2">
        <v>45002</v>
      </c>
      <c r="C304">
        <v>29.186138153076168</v>
      </c>
    </row>
    <row r="305" spans="1:3" x14ac:dyDescent="0.2">
      <c r="A305" t="s">
        <v>4</v>
      </c>
      <c r="B305" s="2">
        <v>45005</v>
      </c>
      <c r="C305">
        <v>29.938640594482418</v>
      </c>
    </row>
    <row r="306" spans="1:3" x14ac:dyDescent="0.2">
      <c r="A306" t="s">
        <v>4</v>
      </c>
      <c r="B306" s="2">
        <v>45006</v>
      </c>
      <c r="C306">
        <v>30.835693359375</v>
      </c>
    </row>
    <row r="307" spans="1:3" x14ac:dyDescent="0.2">
      <c r="A307" t="s">
        <v>4</v>
      </c>
      <c r="B307" s="2">
        <v>45007</v>
      </c>
      <c r="C307">
        <v>30.300014495849609</v>
      </c>
    </row>
    <row r="308" spans="1:3" x14ac:dyDescent="0.2">
      <c r="A308" t="s">
        <v>4</v>
      </c>
      <c r="B308" s="2">
        <v>45008</v>
      </c>
      <c r="C308">
        <v>30.010915756225589</v>
      </c>
    </row>
    <row r="309" spans="1:3" x14ac:dyDescent="0.2">
      <c r="A309" t="s">
        <v>4</v>
      </c>
      <c r="B309" s="2">
        <v>45009</v>
      </c>
      <c r="C309">
        <v>30.015169143676761</v>
      </c>
    </row>
    <row r="310" spans="1:3" x14ac:dyDescent="0.2">
      <c r="A310" t="s">
        <v>4</v>
      </c>
      <c r="B310" s="2">
        <v>45012</v>
      </c>
      <c r="C310">
        <v>30.584856033325199</v>
      </c>
    </row>
    <row r="311" spans="1:3" x14ac:dyDescent="0.2">
      <c r="A311" t="s">
        <v>4</v>
      </c>
      <c r="B311" s="2">
        <v>45013</v>
      </c>
      <c r="C311">
        <v>31.090780258178711</v>
      </c>
    </row>
    <row r="312" spans="1:3" x14ac:dyDescent="0.2">
      <c r="A312" t="s">
        <v>4</v>
      </c>
      <c r="B312" s="2">
        <v>45014</v>
      </c>
      <c r="C312">
        <v>31.45640754699707</v>
      </c>
    </row>
    <row r="313" spans="1:3" x14ac:dyDescent="0.2">
      <c r="A313" t="s">
        <v>4</v>
      </c>
      <c r="B313" s="2">
        <v>45015</v>
      </c>
      <c r="C313">
        <v>31.588203430175781</v>
      </c>
    </row>
    <row r="314" spans="1:3" x14ac:dyDescent="0.2">
      <c r="A314" t="s">
        <v>4</v>
      </c>
      <c r="B314" s="2">
        <v>45016</v>
      </c>
      <c r="C314">
        <v>31.796524047851559</v>
      </c>
    </row>
    <row r="315" spans="1:3" x14ac:dyDescent="0.2">
      <c r="A315" t="s">
        <v>4</v>
      </c>
      <c r="B315" s="2">
        <v>45019</v>
      </c>
      <c r="C315">
        <v>33.756439208984382</v>
      </c>
    </row>
    <row r="316" spans="1:3" x14ac:dyDescent="0.2">
      <c r="A316" t="s">
        <v>4</v>
      </c>
      <c r="B316" s="2">
        <v>45020</v>
      </c>
      <c r="C316">
        <v>33.773441314697273</v>
      </c>
    </row>
    <row r="317" spans="1:3" x14ac:dyDescent="0.2">
      <c r="A317" t="s">
        <v>4</v>
      </c>
      <c r="B317" s="2">
        <v>45021</v>
      </c>
      <c r="C317">
        <v>33.730926513671882</v>
      </c>
    </row>
    <row r="318" spans="1:3" x14ac:dyDescent="0.2">
      <c r="A318" t="s">
        <v>4</v>
      </c>
      <c r="B318" s="2">
        <v>45022</v>
      </c>
      <c r="C318">
        <v>33.556617736816413</v>
      </c>
    </row>
    <row r="319" spans="1:3" x14ac:dyDescent="0.2">
      <c r="A319" t="s">
        <v>4</v>
      </c>
      <c r="B319" s="2">
        <v>45026</v>
      </c>
      <c r="C319">
        <v>33.696918487548828</v>
      </c>
    </row>
    <row r="320" spans="1:3" x14ac:dyDescent="0.2">
      <c r="A320" t="s">
        <v>4</v>
      </c>
      <c r="B320" s="2">
        <v>45027</v>
      </c>
      <c r="C320">
        <v>33.973258972167969</v>
      </c>
    </row>
    <row r="321" spans="1:3" x14ac:dyDescent="0.2">
      <c r="A321" t="s">
        <v>4</v>
      </c>
      <c r="B321" s="2">
        <v>45028</v>
      </c>
      <c r="C321">
        <v>34.126308441162109</v>
      </c>
    </row>
    <row r="322" spans="1:3" x14ac:dyDescent="0.2">
      <c r="A322" t="s">
        <v>4</v>
      </c>
      <c r="B322" s="2">
        <v>45029</v>
      </c>
      <c r="C322">
        <v>34.827796936035163</v>
      </c>
    </row>
    <row r="323" spans="1:3" x14ac:dyDescent="0.2">
      <c r="A323" t="s">
        <v>4</v>
      </c>
      <c r="B323" s="2">
        <v>45030</v>
      </c>
      <c r="C323">
        <v>35.223186492919922</v>
      </c>
    </row>
    <row r="324" spans="1:3" x14ac:dyDescent="0.2">
      <c r="A324" t="s">
        <v>4</v>
      </c>
      <c r="B324" s="2">
        <v>45033</v>
      </c>
      <c r="C324">
        <v>34.9595947265625</v>
      </c>
    </row>
    <row r="325" spans="1:3" x14ac:dyDescent="0.2">
      <c r="A325" t="s">
        <v>4</v>
      </c>
      <c r="B325" s="2">
        <v>45034</v>
      </c>
      <c r="C325">
        <v>34.793788909912109</v>
      </c>
    </row>
    <row r="326" spans="1:3" x14ac:dyDescent="0.2">
      <c r="A326" t="s">
        <v>4</v>
      </c>
      <c r="B326" s="2">
        <v>45035</v>
      </c>
      <c r="C326">
        <v>34.819297790527337</v>
      </c>
    </row>
    <row r="327" spans="1:3" x14ac:dyDescent="0.2">
      <c r="A327" t="s">
        <v>4</v>
      </c>
      <c r="B327" s="2">
        <v>45036</v>
      </c>
      <c r="C327">
        <v>34.241104125976562</v>
      </c>
    </row>
    <row r="328" spans="1:3" x14ac:dyDescent="0.2">
      <c r="A328" t="s">
        <v>4</v>
      </c>
      <c r="B328" s="2">
        <v>45037</v>
      </c>
      <c r="C328">
        <v>34.432411193847663</v>
      </c>
    </row>
    <row r="329" spans="1:3" x14ac:dyDescent="0.2">
      <c r="A329" t="s">
        <v>4</v>
      </c>
      <c r="B329" s="2">
        <v>45040</v>
      </c>
      <c r="C329">
        <v>34.781028747558587</v>
      </c>
    </row>
    <row r="330" spans="1:3" x14ac:dyDescent="0.2">
      <c r="A330" t="s">
        <v>4</v>
      </c>
      <c r="B330" s="2">
        <v>45041</v>
      </c>
      <c r="C330">
        <v>34.249599456787109</v>
      </c>
    </row>
    <row r="331" spans="1:3" x14ac:dyDescent="0.2">
      <c r="A331" t="s">
        <v>4</v>
      </c>
      <c r="B331" s="2">
        <v>45042</v>
      </c>
      <c r="C331">
        <v>34.126308441162109</v>
      </c>
    </row>
    <row r="332" spans="1:3" x14ac:dyDescent="0.2">
      <c r="A332" t="s">
        <v>4</v>
      </c>
      <c r="B332" s="2">
        <v>45043</v>
      </c>
      <c r="C332">
        <v>34.389900207519531</v>
      </c>
    </row>
    <row r="333" spans="1:3" x14ac:dyDescent="0.2">
      <c r="A333" t="s">
        <v>4</v>
      </c>
      <c r="B333" s="2">
        <v>45044</v>
      </c>
      <c r="C333">
        <v>35.099895477294922</v>
      </c>
    </row>
    <row r="334" spans="1:3" x14ac:dyDescent="0.2">
      <c r="A334" t="s">
        <v>4</v>
      </c>
      <c r="B334" s="2">
        <v>45047</v>
      </c>
      <c r="C334">
        <v>34.691753387451172</v>
      </c>
    </row>
    <row r="335" spans="1:3" x14ac:dyDescent="0.2">
      <c r="A335" t="s">
        <v>4</v>
      </c>
      <c r="B335" s="2">
        <v>45048</v>
      </c>
      <c r="C335">
        <v>33.148483276367188</v>
      </c>
    </row>
    <row r="336" spans="1:3" x14ac:dyDescent="0.2">
      <c r="A336" t="s">
        <v>4</v>
      </c>
      <c r="B336" s="2">
        <v>45049</v>
      </c>
      <c r="C336">
        <v>32.498012542724609</v>
      </c>
    </row>
    <row r="337" spans="1:3" x14ac:dyDescent="0.2">
      <c r="A337" t="s">
        <v>4</v>
      </c>
      <c r="B337" s="2">
        <v>45050</v>
      </c>
      <c r="C337">
        <v>31.537185668945309</v>
      </c>
    </row>
    <row r="338" spans="1:3" x14ac:dyDescent="0.2">
      <c r="A338" t="s">
        <v>4</v>
      </c>
      <c r="B338" s="2">
        <v>45051</v>
      </c>
      <c r="C338">
        <v>32.774349212646477</v>
      </c>
    </row>
    <row r="339" spans="1:3" x14ac:dyDescent="0.2">
      <c r="A339" t="s">
        <v>4</v>
      </c>
      <c r="B339" s="2">
        <v>45054</v>
      </c>
      <c r="C339">
        <v>32.493755340576172</v>
      </c>
    </row>
    <row r="340" spans="1:3" x14ac:dyDescent="0.2">
      <c r="A340" t="s">
        <v>4</v>
      </c>
      <c r="B340" s="2">
        <v>45055</v>
      </c>
      <c r="C340">
        <v>32.451236724853523</v>
      </c>
    </row>
    <row r="341" spans="1:3" x14ac:dyDescent="0.2">
      <c r="A341" t="s">
        <v>4</v>
      </c>
      <c r="B341" s="2">
        <v>45056</v>
      </c>
      <c r="C341">
        <v>32.174907684326172</v>
      </c>
    </row>
    <row r="342" spans="1:3" x14ac:dyDescent="0.2">
      <c r="A342" t="s">
        <v>4</v>
      </c>
      <c r="B342" s="2">
        <v>45057</v>
      </c>
      <c r="C342">
        <v>31.96657752990723</v>
      </c>
    </row>
    <row r="343" spans="1:3" x14ac:dyDescent="0.2">
      <c r="A343" t="s">
        <v>4</v>
      </c>
      <c r="B343" s="2">
        <v>45058</v>
      </c>
      <c r="C343">
        <v>31.96657752990723</v>
      </c>
    </row>
    <row r="344" spans="1:3" x14ac:dyDescent="0.2">
      <c r="A344" t="s">
        <v>4</v>
      </c>
      <c r="B344" s="2">
        <v>45061</v>
      </c>
      <c r="C344">
        <v>32.395977020263672</v>
      </c>
    </row>
    <row r="345" spans="1:3" x14ac:dyDescent="0.2">
      <c r="A345" t="s">
        <v>4</v>
      </c>
      <c r="B345" s="2">
        <v>45062</v>
      </c>
      <c r="C345">
        <v>31.60945892333984</v>
      </c>
    </row>
    <row r="346" spans="1:3" x14ac:dyDescent="0.2">
      <c r="A346" t="s">
        <v>4</v>
      </c>
      <c r="B346" s="2">
        <v>45063</v>
      </c>
      <c r="C346">
        <v>32.030345916748047</v>
      </c>
    </row>
    <row r="347" spans="1:3" x14ac:dyDescent="0.2">
      <c r="A347" t="s">
        <v>4</v>
      </c>
      <c r="B347" s="2">
        <v>45064</v>
      </c>
      <c r="C347">
        <v>32.179157257080078</v>
      </c>
    </row>
    <row r="348" spans="1:3" x14ac:dyDescent="0.2">
      <c r="A348" t="s">
        <v>4</v>
      </c>
      <c r="B348" s="2">
        <v>45065</v>
      </c>
      <c r="C348">
        <v>32.761600494384773</v>
      </c>
    </row>
    <row r="349" spans="1:3" x14ac:dyDescent="0.2">
      <c r="A349" t="s">
        <v>4</v>
      </c>
      <c r="B349" s="2">
        <v>45069</v>
      </c>
      <c r="C349">
        <v>33.352550506591797</v>
      </c>
    </row>
    <row r="350" spans="1:3" x14ac:dyDescent="0.2">
      <c r="A350" t="s">
        <v>4</v>
      </c>
      <c r="B350" s="2">
        <v>45070</v>
      </c>
      <c r="C350">
        <v>32.935905456542969</v>
      </c>
    </row>
    <row r="351" spans="1:3" x14ac:dyDescent="0.2">
      <c r="A351" t="s">
        <v>4</v>
      </c>
      <c r="B351" s="2">
        <v>45071</v>
      </c>
      <c r="C351">
        <v>31.95808219909668</v>
      </c>
    </row>
    <row r="352" spans="1:3" x14ac:dyDescent="0.2">
      <c r="A352" t="s">
        <v>4</v>
      </c>
      <c r="B352" s="2">
        <v>45072</v>
      </c>
      <c r="C352">
        <v>32.234420776367188</v>
      </c>
    </row>
    <row r="353" spans="1:3" x14ac:dyDescent="0.2">
      <c r="A353" t="s">
        <v>4</v>
      </c>
      <c r="B353" s="2">
        <v>45075</v>
      </c>
      <c r="C353">
        <v>32.374717712402337</v>
      </c>
    </row>
    <row r="354" spans="1:3" x14ac:dyDescent="0.2">
      <c r="A354" t="s">
        <v>4</v>
      </c>
      <c r="B354" s="2">
        <v>45076</v>
      </c>
      <c r="C354">
        <v>31.656223297119141</v>
      </c>
    </row>
    <row r="355" spans="1:3" x14ac:dyDescent="0.2">
      <c r="A355" t="s">
        <v>4</v>
      </c>
      <c r="B355" s="2">
        <v>45077</v>
      </c>
      <c r="C355">
        <v>31.090780258178711</v>
      </c>
    </row>
    <row r="356" spans="1:3" x14ac:dyDescent="0.2">
      <c r="A356" t="s">
        <v>4</v>
      </c>
      <c r="B356" s="2">
        <v>45078</v>
      </c>
      <c r="C356">
        <v>31.384134292602539</v>
      </c>
    </row>
    <row r="357" spans="1:3" x14ac:dyDescent="0.2">
      <c r="A357" t="s">
        <v>4</v>
      </c>
      <c r="B357" s="2">
        <v>45079</v>
      </c>
      <c r="C357">
        <v>32.000591278076172</v>
      </c>
    </row>
    <row r="358" spans="1:3" x14ac:dyDescent="0.2">
      <c r="A358" t="s">
        <v>4</v>
      </c>
      <c r="B358" s="2">
        <v>45082</v>
      </c>
      <c r="C358">
        <v>31.660482406616211</v>
      </c>
    </row>
    <row r="359" spans="1:3" x14ac:dyDescent="0.2">
      <c r="A359" t="s">
        <v>4</v>
      </c>
      <c r="B359" s="2">
        <v>45083</v>
      </c>
      <c r="C359">
        <v>31.839035034179691</v>
      </c>
    </row>
    <row r="360" spans="1:3" x14ac:dyDescent="0.2">
      <c r="A360" t="s">
        <v>4</v>
      </c>
      <c r="B360" s="2">
        <v>45084</v>
      </c>
      <c r="C360">
        <v>31.96657752990723</v>
      </c>
    </row>
    <row r="361" spans="1:3" x14ac:dyDescent="0.2">
      <c r="A361" t="s">
        <v>4</v>
      </c>
      <c r="B361" s="2">
        <v>45085</v>
      </c>
      <c r="C361">
        <v>31.873050689697269</v>
      </c>
    </row>
    <row r="362" spans="1:3" x14ac:dyDescent="0.2">
      <c r="A362" t="s">
        <v>4</v>
      </c>
      <c r="B362" s="2">
        <v>45086</v>
      </c>
      <c r="C362">
        <v>32.000591278076172</v>
      </c>
    </row>
    <row r="363" spans="1:3" x14ac:dyDescent="0.2">
      <c r="A363" t="s">
        <v>4</v>
      </c>
      <c r="B363" s="2">
        <v>45089</v>
      </c>
      <c r="C363">
        <v>31.235332489013668</v>
      </c>
    </row>
    <row r="364" spans="1:3" x14ac:dyDescent="0.2">
      <c r="A364" t="s">
        <v>4</v>
      </c>
      <c r="B364" s="2">
        <v>45090</v>
      </c>
      <c r="C364">
        <v>31.749750137329102</v>
      </c>
    </row>
    <row r="365" spans="1:3" x14ac:dyDescent="0.2">
      <c r="A365" t="s">
        <v>4</v>
      </c>
      <c r="B365" s="2">
        <v>45091</v>
      </c>
      <c r="C365">
        <v>31.430902481079102</v>
      </c>
    </row>
    <row r="366" spans="1:3" x14ac:dyDescent="0.2">
      <c r="A366" t="s">
        <v>4</v>
      </c>
      <c r="B366" s="2">
        <v>45092</v>
      </c>
      <c r="C366">
        <v>31.641786575317379</v>
      </c>
    </row>
    <row r="367" spans="1:3" x14ac:dyDescent="0.2">
      <c r="A367" t="s">
        <v>4</v>
      </c>
      <c r="B367" s="2">
        <v>45093</v>
      </c>
      <c r="C367">
        <v>31.22861480712891</v>
      </c>
    </row>
    <row r="368" spans="1:3" x14ac:dyDescent="0.2">
      <c r="A368" t="s">
        <v>4</v>
      </c>
      <c r="B368" s="2">
        <v>45096</v>
      </c>
      <c r="C368">
        <v>31.220010757446289</v>
      </c>
    </row>
    <row r="369" spans="1:3" x14ac:dyDescent="0.2">
      <c r="A369" t="s">
        <v>4</v>
      </c>
      <c r="B369" s="2">
        <v>45097</v>
      </c>
      <c r="C369">
        <v>30.36784744262695</v>
      </c>
    </row>
    <row r="370" spans="1:3" x14ac:dyDescent="0.2">
      <c r="A370" t="s">
        <v>4</v>
      </c>
      <c r="B370" s="2">
        <v>45098</v>
      </c>
      <c r="C370">
        <v>30.978988647460941</v>
      </c>
    </row>
    <row r="371" spans="1:3" x14ac:dyDescent="0.2">
      <c r="A371" t="s">
        <v>4</v>
      </c>
      <c r="B371" s="2">
        <v>45099</v>
      </c>
      <c r="C371">
        <v>30.570137023925781</v>
      </c>
    </row>
    <row r="372" spans="1:3" x14ac:dyDescent="0.2">
      <c r="A372" t="s">
        <v>4</v>
      </c>
      <c r="B372" s="2">
        <v>45100</v>
      </c>
      <c r="C372">
        <v>30.277469635009769</v>
      </c>
    </row>
    <row r="373" spans="1:3" x14ac:dyDescent="0.2">
      <c r="A373" t="s">
        <v>4</v>
      </c>
      <c r="B373" s="2">
        <v>45103</v>
      </c>
      <c r="C373">
        <v>30.948873519897461</v>
      </c>
    </row>
    <row r="374" spans="1:3" x14ac:dyDescent="0.2">
      <c r="A374" t="s">
        <v>4</v>
      </c>
      <c r="B374" s="2">
        <v>45104</v>
      </c>
      <c r="C374">
        <v>30.92735481262207</v>
      </c>
    </row>
    <row r="375" spans="1:3" x14ac:dyDescent="0.2">
      <c r="A375" t="s">
        <v>4</v>
      </c>
      <c r="B375" s="2">
        <v>45105</v>
      </c>
      <c r="C375">
        <v>31.357730865478519</v>
      </c>
    </row>
    <row r="376" spans="1:3" x14ac:dyDescent="0.2">
      <c r="A376" t="s">
        <v>4</v>
      </c>
      <c r="B376" s="2">
        <v>45106</v>
      </c>
      <c r="C376">
        <v>31.732160568237301</v>
      </c>
    </row>
    <row r="377" spans="1:3" x14ac:dyDescent="0.2">
      <c r="A377" t="s">
        <v>4</v>
      </c>
      <c r="B377" s="2">
        <v>45107</v>
      </c>
      <c r="C377">
        <v>32.054950714111328</v>
      </c>
    </row>
    <row r="378" spans="1:3" x14ac:dyDescent="0.2">
      <c r="A378" t="s">
        <v>4</v>
      </c>
      <c r="B378" s="2">
        <v>45111</v>
      </c>
      <c r="C378">
        <v>32.054950714111328</v>
      </c>
    </row>
    <row r="379" spans="1:3" x14ac:dyDescent="0.2">
      <c r="A379" t="s">
        <v>4</v>
      </c>
      <c r="B379" s="2">
        <v>45112</v>
      </c>
      <c r="C379">
        <v>31.757987976074219</v>
      </c>
    </row>
    <row r="380" spans="1:3" x14ac:dyDescent="0.2">
      <c r="A380" t="s">
        <v>4</v>
      </c>
      <c r="B380" s="2">
        <v>45113</v>
      </c>
      <c r="C380">
        <v>31.082284927368161</v>
      </c>
    </row>
    <row r="381" spans="1:3" x14ac:dyDescent="0.2">
      <c r="A381" t="s">
        <v>4</v>
      </c>
      <c r="B381" s="2">
        <v>45114</v>
      </c>
      <c r="C381">
        <v>31.921539306640621</v>
      </c>
    </row>
    <row r="382" spans="1:3" x14ac:dyDescent="0.2">
      <c r="A382" t="s">
        <v>4</v>
      </c>
      <c r="B382" s="2">
        <v>45117</v>
      </c>
      <c r="C382">
        <v>32.016223907470703</v>
      </c>
    </row>
    <row r="383" spans="1:3" x14ac:dyDescent="0.2">
      <c r="A383" t="s">
        <v>4</v>
      </c>
      <c r="B383" s="2">
        <v>45118</v>
      </c>
      <c r="C383">
        <v>32.459510803222663</v>
      </c>
    </row>
    <row r="384" spans="1:3" x14ac:dyDescent="0.2">
      <c r="A384" t="s">
        <v>4</v>
      </c>
      <c r="B384" s="2">
        <v>45119</v>
      </c>
      <c r="C384">
        <v>32.786605834960938</v>
      </c>
    </row>
    <row r="385" spans="1:3" x14ac:dyDescent="0.2">
      <c r="A385" t="s">
        <v>4</v>
      </c>
      <c r="B385" s="2">
        <v>45120</v>
      </c>
      <c r="C385">
        <v>33.079265594482422</v>
      </c>
    </row>
    <row r="386" spans="1:3" x14ac:dyDescent="0.2">
      <c r="A386" t="s">
        <v>4</v>
      </c>
      <c r="B386" s="2">
        <v>45121</v>
      </c>
      <c r="C386">
        <v>32.222801208496087</v>
      </c>
    </row>
    <row r="387" spans="1:3" x14ac:dyDescent="0.2">
      <c r="A387" t="s">
        <v>4</v>
      </c>
      <c r="B387" s="2">
        <v>45124</v>
      </c>
      <c r="C387">
        <v>31.710647583007809</v>
      </c>
    </row>
    <row r="388" spans="1:3" x14ac:dyDescent="0.2">
      <c r="A388" t="s">
        <v>4</v>
      </c>
      <c r="B388" s="2">
        <v>45125</v>
      </c>
      <c r="C388">
        <v>32.640274047851562</v>
      </c>
    </row>
    <row r="389" spans="1:3" x14ac:dyDescent="0.2">
      <c r="A389" t="s">
        <v>4</v>
      </c>
      <c r="B389" s="2">
        <v>45126</v>
      </c>
      <c r="C389">
        <v>32.747879028320312</v>
      </c>
    </row>
    <row r="390" spans="1:3" x14ac:dyDescent="0.2">
      <c r="A390" t="s">
        <v>4</v>
      </c>
      <c r="B390" s="2">
        <v>45127</v>
      </c>
      <c r="C390">
        <v>32.821037292480469</v>
      </c>
    </row>
    <row r="391" spans="1:3" x14ac:dyDescent="0.2">
      <c r="A391" t="s">
        <v>4</v>
      </c>
      <c r="B391" s="2">
        <v>45128</v>
      </c>
      <c r="C391">
        <v>33.15673828125</v>
      </c>
    </row>
    <row r="392" spans="1:3" x14ac:dyDescent="0.2">
      <c r="A392" t="s">
        <v>4</v>
      </c>
      <c r="B392" s="2">
        <v>45131</v>
      </c>
      <c r="C392">
        <v>33.841045379638672</v>
      </c>
    </row>
    <row r="393" spans="1:3" x14ac:dyDescent="0.2">
      <c r="A393" t="s">
        <v>4</v>
      </c>
      <c r="B393" s="2">
        <v>45132</v>
      </c>
      <c r="C393">
        <v>34.21978759765625</v>
      </c>
    </row>
    <row r="394" spans="1:3" x14ac:dyDescent="0.2">
      <c r="A394" t="s">
        <v>4</v>
      </c>
      <c r="B394" s="2">
        <v>45133</v>
      </c>
      <c r="C394">
        <v>34.064842224121087</v>
      </c>
    </row>
    <row r="395" spans="1:3" x14ac:dyDescent="0.2">
      <c r="A395" t="s">
        <v>4</v>
      </c>
      <c r="B395" s="2">
        <v>45134</v>
      </c>
      <c r="C395">
        <v>33.716236114501953</v>
      </c>
    </row>
    <row r="396" spans="1:3" x14ac:dyDescent="0.2">
      <c r="A396" t="s">
        <v>4</v>
      </c>
      <c r="B396" s="2">
        <v>45135</v>
      </c>
      <c r="C396">
        <v>34.417762756347663</v>
      </c>
    </row>
    <row r="397" spans="1:3" x14ac:dyDescent="0.2">
      <c r="A397" t="s">
        <v>4</v>
      </c>
      <c r="B397" s="2">
        <v>45138</v>
      </c>
      <c r="C397">
        <v>34.512443542480469</v>
      </c>
    </row>
    <row r="398" spans="1:3" x14ac:dyDescent="0.2">
      <c r="A398" t="s">
        <v>4</v>
      </c>
      <c r="B398" s="2">
        <v>45139</v>
      </c>
      <c r="C398">
        <v>34.818016052246087</v>
      </c>
    </row>
    <row r="399" spans="1:3" x14ac:dyDescent="0.2">
      <c r="A399" t="s">
        <v>4</v>
      </c>
      <c r="B399" s="2">
        <v>45140</v>
      </c>
      <c r="C399">
        <v>34.034717559814453</v>
      </c>
    </row>
    <row r="400" spans="1:3" x14ac:dyDescent="0.2">
      <c r="A400" t="s">
        <v>4</v>
      </c>
      <c r="B400" s="2">
        <v>45141</v>
      </c>
      <c r="C400">
        <v>34.430671691894531</v>
      </c>
    </row>
    <row r="401" spans="1:3" x14ac:dyDescent="0.2">
      <c r="A401" t="s">
        <v>4</v>
      </c>
      <c r="B401" s="2">
        <v>45142</v>
      </c>
      <c r="C401">
        <v>35.080551147460938</v>
      </c>
    </row>
    <row r="402" spans="1:3" x14ac:dyDescent="0.2">
      <c r="A402" t="s">
        <v>4</v>
      </c>
      <c r="B402" s="2">
        <v>45146</v>
      </c>
      <c r="C402">
        <v>35.192447662353523</v>
      </c>
    </row>
    <row r="403" spans="1:3" x14ac:dyDescent="0.2">
      <c r="A403" t="s">
        <v>4</v>
      </c>
      <c r="B403" s="2">
        <v>45147</v>
      </c>
      <c r="C403">
        <v>35.424858093261719</v>
      </c>
    </row>
    <row r="404" spans="1:3" x14ac:dyDescent="0.2">
      <c r="A404" t="s">
        <v>4</v>
      </c>
      <c r="B404" s="2">
        <v>45148</v>
      </c>
      <c r="C404">
        <v>35.566879272460938</v>
      </c>
    </row>
    <row r="405" spans="1:3" x14ac:dyDescent="0.2">
      <c r="A405" t="s">
        <v>4</v>
      </c>
      <c r="B405" s="2">
        <v>45149</v>
      </c>
      <c r="C405">
        <v>35.816505432128913</v>
      </c>
    </row>
    <row r="406" spans="1:3" x14ac:dyDescent="0.2">
      <c r="A406" t="s">
        <v>4</v>
      </c>
      <c r="B406" s="2">
        <v>45152</v>
      </c>
      <c r="C406">
        <v>35.794990539550781</v>
      </c>
    </row>
    <row r="407" spans="1:3" x14ac:dyDescent="0.2">
      <c r="A407" t="s">
        <v>4</v>
      </c>
      <c r="B407" s="2">
        <v>45153</v>
      </c>
      <c r="C407">
        <v>34.749153137207031</v>
      </c>
    </row>
    <row r="408" spans="1:3" x14ac:dyDescent="0.2">
      <c r="A408" t="s">
        <v>4</v>
      </c>
      <c r="B408" s="2">
        <v>45154</v>
      </c>
      <c r="C408">
        <v>34.800804138183587</v>
      </c>
    </row>
    <row r="409" spans="1:3" x14ac:dyDescent="0.2">
      <c r="A409" t="s">
        <v>4</v>
      </c>
      <c r="B409" s="2">
        <v>45155</v>
      </c>
      <c r="C409">
        <v>35.235488891601562</v>
      </c>
    </row>
    <row r="410" spans="1:3" x14ac:dyDescent="0.2">
      <c r="A410" t="s">
        <v>4</v>
      </c>
      <c r="B410" s="2">
        <v>45156</v>
      </c>
      <c r="C410">
        <v>35.893978118896477</v>
      </c>
    </row>
    <row r="411" spans="1:3" x14ac:dyDescent="0.2">
      <c r="A411" t="s">
        <v>4</v>
      </c>
      <c r="B411" s="2">
        <v>45159</v>
      </c>
      <c r="C411">
        <v>35.8035888671875</v>
      </c>
    </row>
    <row r="412" spans="1:3" x14ac:dyDescent="0.2">
      <c r="A412" t="s">
        <v>4</v>
      </c>
      <c r="B412" s="2">
        <v>45160</v>
      </c>
      <c r="C412">
        <v>35.769168853759773</v>
      </c>
    </row>
    <row r="413" spans="1:3" x14ac:dyDescent="0.2">
      <c r="A413" t="s">
        <v>4</v>
      </c>
      <c r="B413" s="2">
        <v>45161</v>
      </c>
      <c r="C413">
        <v>35.541057586669922</v>
      </c>
    </row>
    <row r="414" spans="1:3" x14ac:dyDescent="0.2">
      <c r="A414" t="s">
        <v>4</v>
      </c>
      <c r="B414" s="2">
        <v>45162</v>
      </c>
      <c r="C414">
        <v>35.097766876220703</v>
      </c>
    </row>
    <row r="415" spans="1:3" x14ac:dyDescent="0.2">
      <c r="A415" t="s">
        <v>4</v>
      </c>
      <c r="B415" s="2">
        <v>45163</v>
      </c>
      <c r="C415">
        <v>35.640045166015618</v>
      </c>
    </row>
    <row r="416" spans="1:3" x14ac:dyDescent="0.2">
      <c r="A416" t="s">
        <v>4</v>
      </c>
      <c r="B416" s="2">
        <v>45166</v>
      </c>
      <c r="C416">
        <v>36.522327423095703</v>
      </c>
    </row>
    <row r="417" spans="1:3" x14ac:dyDescent="0.2">
      <c r="A417" t="s">
        <v>4</v>
      </c>
      <c r="B417" s="2">
        <v>45167</v>
      </c>
      <c r="C417">
        <v>37.361576080322273</v>
      </c>
    </row>
    <row r="418" spans="1:3" x14ac:dyDescent="0.2">
      <c r="A418" t="s">
        <v>4</v>
      </c>
      <c r="B418" s="2">
        <v>45168</v>
      </c>
      <c r="C418">
        <v>37.434749603271477</v>
      </c>
    </row>
    <row r="419" spans="1:3" x14ac:dyDescent="0.2">
      <c r="A419" t="s">
        <v>4</v>
      </c>
      <c r="B419" s="2">
        <v>45169</v>
      </c>
      <c r="C419">
        <v>37.624114990234382</v>
      </c>
    </row>
    <row r="420" spans="1:3" x14ac:dyDescent="0.2">
      <c r="A420" t="s">
        <v>4</v>
      </c>
      <c r="B420" s="2">
        <v>45170</v>
      </c>
      <c r="C420">
        <v>38.015758514404297</v>
      </c>
    </row>
    <row r="421" spans="1:3" x14ac:dyDescent="0.2">
      <c r="A421" t="s">
        <v>4</v>
      </c>
      <c r="B421" s="2">
        <v>45174</v>
      </c>
      <c r="C421">
        <v>38.355766296386719</v>
      </c>
    </row>
    <row r="422" spans="1:3" x14ac:dyDescent="0.2">
      <c r="A422" t="s">
        <v>4</v>
      </c>
      <c r="B422" s="2">
        <v>45175</v>
      </c>
      <c r="C422">
        <v>38.394496917724609</v>
      </c>
    </row>
    <row r="423" spans="1:3" x14ac:dyDescent="0.2">
      <c r="A423" t="s">
        <v>4</v>
      </c>
      <c r="B423" s="2">
        <v>45176</v>
      </c>
      <c r="C423">
        <v>38.467666625976562</v>
      </c>
    </row>
    <row r="424" spans="1:3" x14ac:dyDescent="0.2">
      <c r="A424" t="s">
        <v>4</v>
      </c>
      <c r="B424" s="2">
        <v>45177</v>
      </c>
      <c r="C424">
        <v>38.127658843994141</v>
      </c>
    </row>
    <row r="425" spans="1:3" x14ac:dyDescent="0.2">
      <c r="A425" t="s">
        <v>4</v>
      </c>
      <c r="B425" s="2">
        <v>45180</v>
      </c>
      <c r="C425">
        <v>37.038799285888672</v>
      </c>
    </row>
    <row r="426" spans="1:3" x14ac:dyDescent="0.2">
      <c r="A426" t="s">
        <v>4</v>
      </c>
      <c r="B426" s="2">
        <v>45181</v>
      </c>
      <c r="C426">
        <v>37.774742126464837</v>
      </c>
    </row>
    <row r="427" spans="1:3" x14ac:dyDescent="0.2">
      <c r="A427" t="s">
        <v>4</v>
      </c>
      <c r="B427" s="2">
        <v>45182</v>
      </c>
      <c r="C427">
        <v>37.507915496826172</v>
      </c>
    </row>
    <row r="428" spans="1:3" x14ac:dyDescent="0.2">
      <c r="A428" t="s">
        <v>4</v>
      </c>
      <c r="B428" s="2">
        <v>45183</v>
      </c>
      <c r="C428">
        <v>38.016712188720703</v>
      </c>
    </row>
    <row r="429" spans="1:3" x14ac:dyDescent="0.2">
      <c r="A429" t="s">
        <v>4</v>
      </c>
      <c r="B429" s="2">
        <v>45184</v>
      </c>
      <c r="C429">
        <v>37.894950866699219</v>
      </c>
    </row>
    <row r="430" spans="1:3" x14ac:dyDescent="0.2">
      <c r="A430" t="s">
        <v>4</v>
      </c>
      <c r="B430" s="2">
        <v>45187</v>
      </c>
      <c r="C430">
        <v>37.921047210693359</v>
      </c>
    </row>
    <row r="431" spans="1:3" x14ac:dyDescent="0.2">
      <c r="A431" t="s">
        <v>4</v>
      </c>
      <c r="B431" s="2">
        <v>45188</v>
      </c>
      <c r="C431">
        <v>37.373104095458977</v>
      </c>
    </row>
    <row r="432" spans="1:3" x14ac:dyDescent="0.2">
      <c r="A432" t="s">
        <v>4</v>
      </c>
      <c r="B432" s="2">
        <v>45189</v>
      </c>
      <c r="C432">
        <v>36.790370941162109</v>
      </c>
    </row>
    <row r="433" spans="1:3" x14ac:dyDescent="0.2">
      <c r="A433" t="s">
        <v>4</v>
      </c>
      <c r="B433" s="2">
        <v>45190</v>
      </c>
      <c r="C433">
        <v>36.151107788085938</v>
      </c>
    </row>
    <row r="434" spans="1:3" x14ac:dyDescent="0.2">
      <c r="A434" t="s">
        <v>4</v>
      </c>
      <c r="B434" s="2">
        <v>45191</v>
      </c>
      <c r="C434">
        <v>36.151107788085938</v>
      </c>
    </row>
    <row r="435" spans="1:3" x14ac:dyDescent="0.2">
      <c r="A435" t="s">
        <v>4</v>
      </c>
      <c r="B435" s="2">
        <v>45194</v>
      </c>
      <c r="C435">
        <v>37.007804870605469</v>
      </c>
    </row>
    <row r="436" spans="1:3" x14ac:dyDescent="0.2">
      <c r="A436" t="s">
        <v>4</v>
      </c>
      <c r="B436" s="2">
        <v>45195</v>
      </c>
      <c r="C436">
        <v>37.881908416748047</v>
      </c>
    </row>
    <row r="437" spans="1:3" x14ac:dyDescent="0.2">
      <c r="A437" t="s">
        <v>4</v>
      </c>
      <c r="B437" s="2">
        <v>45196</v>
      </c>
      <c r="C437">
        <v>38.747299194335938</v>
      </c>
    </row>
    <row r="438" spans="1:3" x14ac:dyDescent="0.2">
      <c r="A438" t="s">
        <v>4</v>
      </c>
      <c r="B438" s="2">
        <v>45197</v>
      </c>
      <c r="C438">
        <v>38.816883087158203</v>
      </c>
    </row>
    <row r="439" spans="1:3" x14ac:dyDescent="0.2">
      <c r="A439" t="s">
        <v>4</v>
      </c>
      <c r="B439" s="2">
        <v>45198</v>
      </c>
      <c r="C439">
        <v>38.199359893798828</v>
      </c>
    </row>
    <row r="440" spans="1:3" x14ac:dyDescent="0.2">
      <c r="A440" t="s">
        <v>4</v>
      </c>
      <c r="B440" s="2">
        <v>45201</v>
      </c>
      <c r="C440">
        <v>37.525306701660163</v>
      </c>
    </row>
    <row r="441" spans="1:3" x14ac:dyDescent="0.2">
      <c r="A441" t="s">
        <v>4</v>
      </c>
      <c r="B441" s="2">
        <v>45202</v>
      </c>
      <c r="C441">
        <v>37.716651916503913</v>
      </c>
    </row>
    <row r="442" spans="1:3" x14ac:dyDescent="0.2">
      <c r="A442" t="s">
        <v>4</v>
      </c>
      <c r="B442" s="2">
        <v>45203</v>
      </c>
      <c r="C442">
        <v>35.964107513427727</v>
      </c>
    </row>
    <row r="443" spans="1:3" x14ac:dyDescent="0.2">
      <c r="A443" t="s">
        <v>4</v>
      </c>
      <c r="B443" s="2">
        <v>45204</v>
      </c>
      <c r="C443">
        <v>36.05108642578125</v>
      </c>
    </row>
    <row r="444" spans="1:3" x14ac:dyDescent="0.2">
      <c r="A444" t="s">
        <v>4</v>
      </c>
      <c r="B444" s="2">
        <v>45205</v>
      </c>
      <c r="C444">
        <v>36.512050628662109</v>
      </c>
    </row>
    <row r="445" spans="1:3" x14ac:dyDescent="0.2">
      <c r="A445" t="s">
        <v>4</v>
      </c>
      <c r="B445" s="2">
        <v>45209</v>
      </c>
      <c r="C445">
        <v>38.503772735595703</v>
      </c>
    </row>
    <row r="446" spans="1:3" x14ac:dyDescent="0.2">
      <c r="A446" t="s">
        <v>4</v>
      </c>
      <c r="B446" s="2">
        <v>45210</v>
      </c>
      <c r="C446">
        <v>38.516819000244141</v>
      </c>
    </row>
    <row r="447" spans="1:3" x14ac:dyDescent="0.2">
      <c r="A447" t="s">
        <v>4</v>
      </c>
      <c r="B447" s="2">
        <v>45211</v>
      </c>
      <c r="C447">
        <v>38.912551879882812</v>
      </c>
    </row>
    <row r="448" spans="1:3" x14ac:dyDescent="0.2">
      <c r="A448" t="s">
        <v>4</v>
      </c>
      <c r="B448" s="2">
        <v>45212</v>
      </c>
      <c r="C448">
        <v>39.656192779541023</v>
      </c>
    </row>
    <row r="449" spans="1:3" x14ac:dyDescent="0.2">
      <c r="A449" t="s">
        <v>4</v>
      </c>
      <c r="B449" s="2">
        <v>45215</v>
      </c>
      <c r="C449">
        <v>39.912769317626953</v>
      </c>
    </row>
    <row r="450" spans="1:3" x14ac:dyDescent="0.2">
      <c r="A450" t="s">
        <v>4</v>
      </c>
      <c r="B450" s="2">
        <v>45216</v>
      </c>
      <c r="C450">
        <v>39.786655426025391</v>
      </c>
    </row>
    <row r="451" spans="1:3" x14ac:dyDescent="0.2">
      <c r="A451" t="s">
        <v>4</v>
      </c>
      <c r="B451" s="2">
        <v>45217</v>
      </c>
      <c r="C451">
        <v>39.869281768798828</v>
      </c>
    </row>
    <row r="452" spans="1:3" x14ac:dyDescent="0.2">
      <c r="A452" t="s">
        <v>4</v>
      </c>
      <c r="B452" s="2">
        <v>45218</v>
      </c>
      <c r="C452">
        <v>39.638797760009773</v>
      </c>
    </row>
    <row r="453" spans="1:3" x14ac:dyDescent="0.2">
      <c r="A453" t="s">
        <v>4</v>
      </c>
      <c r="B453" s="2">
        <v>45219</v>
      </c>
      <c r="C453">
        <v>39.038669586181641</v>
      </c>
    </row>
    <row r="454" spans="1:3" x14ac:dyDescent="0.2">
      <c r="A454" t="s">
        <v>4</v>
      </c>
      <c r="B454" s="2">
        <v>45222</v>
      </c>
      <c r="C454">
        <v>38.516819000244141</v>
      </c>
    </row>
    <row r="455" spans="1:3" x14ac:dyDescent="0.2">
      <c r="A455" t="s">
        <v>4</v>
      </c>
      <c r="B455" s="2">
        <v>45223</v>
      </c>
      <c r="C455">
        <v>38.012374877929688</v>
      </c>
    </row>
    <row r="456" spans="1:3" x14ac:dyDescent="0.2">
      <c r="A456" t="s">
        <v>4</v>
      </c>
      <c r="B456" s="2">
        <v>45224</v>
      </c>
      <c r="C456">
        <v>38.564655303955078</v>
      </c>
    </row>
    <row r="457" spans="1:3" x14ac:dyDescent="0.2">
      <c r="A457" t="s">
        <v>4</v>
      </c>
      <c r="B457" s="2">
        <v>45225</v>
      </c>
      <c r="C457">
        <v>38.590751647949219</v>
      </c>
    </row>
    <row r="458" spans="1:3" x14ac:dyDescent="0.2">
      <c r="A458" t="s">
        <v>4</v>
      </c>
      <c r="B458" s="2">
        <v>45226</v>
      </c>
      <c r="C458">
        <v>38.268943786621087</v>
      </c>
    </row>
    <row r="459" spans="1:3" x14ac:dyDescent="0.2">
      <c r="A459" t="s">
        <v>4</v>
      </c>
      <c r="B459" s="2">
        <v>45229</v>
      </c>
      <c r="C459">
        <v>38.312435150146477</v>
      </c>
    </row>
    <row r="460" spans="1:3" x14ac:dyDescent="0.2">
      <c r="A460" t="s">
        <v>4</v>
      </c>
      <c r="B460" s="2">
        <v>45230</v>
      </c>
      <c r="C460">
        <v>38.295032501220703</v>
      </c>
    </row>
    <row r="461" spans="1:3" x14ac:dyDescent="0.2">
      <c r="A461" t="s">
        <v>4</v>
      </c>
      <c r="B461" s="2">
        <v>45231</v>
      </c>
      <c r="C461">
        <v>39.012577056884773</v>
      </c>
    </row>
    <row r="462" spans="1:3" x14ac:dyDescent="0.2">
      <c r="A462" t="s">
        <v>4</v>
      </c>
      <c r="B462" s="2">
        <v>45232</v>
      </c>
      <c r="C462">
        <v>40.569435119628913</v>
      </c>
    </row>
    <row r="463" spans="1:3" x14ac:dyDescent="0.2">
      <c r="A463" t="s">
        <v>4</v>
      </c>
      <c r="B463" s="2">
        <v>45233</v>
      </c>
      <c r="C463">
        <v>39.812744140625</v>
      </c>
    </row>
    <row r="464" spans="1:3" x14ac:dyDescent="0.2">
      <c r="A464" t="s">
        <v>4</v>
      </c>
      <c r="B464" s="2">
        <v>45236</v>
      </c>
      <c r="C464">
        <v>39.625755310058587</v>
      </c>
    </row>
    <row r="465" spans="1:3" x14ac:dyDescent="0.2">
      <c r="A465" t="s">
        <v>4</v>
      </c>
      <c r="B465" s="2">
        <v>45237</v>
      </c>
      <c r="C465">
        <v>38.195014953613281</v>
      </c>
    </row>
    <row r="466" spans="1:3" x14ac:dyDescent="0.2">
      <c r="A466" t="s">
        <v>4</v>
      </c>
      <c r="B466" s="2">
        <v>45238</v>
      </c>
      <c r="C466">
        <v>37.42529296875</v>
      </c>
    </row>
    <row r="467" spans="1:3" x14ac:dyDescent="0.2">
      <c r="A467" t="s">
        <v>4</v>
      </c>
      <c r="B467" s="2">
        <v>45239</v>
      </c>
      <c r="C467">
        <v>38.1776123046875</v>
      </c>
    </row>
    <row r="468" spans="1:3" x14ac:dyDescent="0.2">
      <c r="A468" t="s">
        <v>4</v>
      </c>
      <c r="B468" s="2">
        <v>45240</v>
      </c>
      <c r="C468">
        <v>38.742950439453118</v>
      </c>
    </row>
    <row r="469" spans="1:3" x14ac:dyDescent="0.2">
      <c r="A469" t="s">
        <v>4</v>
      </c>
      <c r="B469" s="2">
        <v>45243</v>
      </c>
      <c r="C469">
        <v>39.112594604492188</v>
      </c>
    </row>
    <row r="470" spans="1:3" x14ac:dyDescent="0.2">
      <c r="A470" t="s">
        <v>4</v>
      </c>
      <c r="B470" s="2">
        <v>45244</v>
      </c>
      <c r="C470">
        <v>39.482242584228523</v>
      </c>
    </row>
    <row r="471" spans="1:3" x14ac:dyDescent="0.2">
      <c r="A471" t="s">
        <v>4</v>
      </c>
      <c r="B471" s="2">
        <v>45245</v>
      </c>
      <c r="C471">
        <v>38.899509429931641</v>
      </c>
    </row>
    <row r="472" spans="1:3" x14ac:dyDescent="0.2">
      <c r="A472" t="s">
        <v>4</v>
      </c>
      <c r="B472" s="2">
        <v>45246</v>
      </c>
      <c r="C472">
        <v>38.264595031738281</v>
      </c>
    </row>
    <row r="473" spans="1:3" x14ac:dyDescent="0.2">
      <c r="A473" t="s">
        <v>4</v>
      </c>
      <c r="B473" s="2">
        <v>45247</v>
      </c>
      <c r="C473">
        <v>39.695331573486328</v>
      </c>
    </row>
    <row r="474" spans="1:3" x14ac:dyDescent="0.2">
      <c r="A474" t="s">
        <v>4</v>
      </c>
      <c r="B474" s="2">
        <v>45250</v>
      </c>
      <c r="C474">
        <v>39.873630523681641</v>
      </c>
    </row>
    <row r="475" spans="1:3" x14ac:dyDescent="0.2">
      <c r="A475" t="s">
        <v>4</v>
      </c>
      <c r="B475" s="2">
        <v>45251</v>
      </c>
      <c r="C475">
        <v>39.373519897460938</v>
      </c>
    </row>
    <row r="476" spans="1:3" x14ac:dyDescent="0.2">
      <c r="A476" t="s">
        <v>4</v>
      </c>
      <c r="B476" s="2">
        <v>45252</v>
      </c>
      <c r="C476">
        <v>38.638576507568359</v>
      </c>
    </row>
    <row r="477" spans="1:3" x14ac:dyDescent="0.2">
      <c r="A477" t="s">
        <v>4</v>
      </c>
      <c r="B477" s="2">
        <v>45253</v>
      </c>
      <c r="C477">
        <v>38.847328186035163</v>
      </c>
    </row>
    <row r="478" spans="1:3" x14ac:dyDescent="0.2">
      <c r="A478" t="s">
        <v>4</v>
      </c>
      <c r="B478" s="2">
        <v>45254</v>
      </c>
      <c r="C478">
        <v>38.825580596923828</v>
      </c>
    </row>
    <row r="479" spans="1:3" x14ac:dyDescent="0.2">
      <c r="A479" t="s">
        <v>4</v>
      </c>
      <c r="B479" s="2">
        <v>45257</v>
      </c>
      <c r="C479">
        <v>37.855819702148438</v>
      </c>
    </row>
    <row r="480" spans="1:3" x14ac:dyDescent="0.2">
      <c r="A480" t="s">
        <v>4</v>
      </c>
      <c r="B480" s="2">
        <v>45258</v>
      </c>
      <c r="C480">
        <v>38.590751647949219</v>
      </c>
    </row>
    <row r="481" spans="1:3" x14ac:dyDescent="0.2">
      <c r="A481" t="s">
        <v>4</v>
      </c>
      <c r="B481" s="2">
        <v>45259</v>
      </c>
      <c r="C481">
        <v>39.216964721679688</v>
      </c>
    </row>
    <row r="482" spans="1:3" x14ac:dyDescent="0.2">
      <c r="A482" t="s">
        <v>4</v>
      </c>
      <c r="B482" s="2">
        <v>45260</v>
      </c>
      <c r="C482">
        <v>39.403957366943359</v>
      </c>
    </row>
    <row r="483" spans="1:3" x14ac:dyDescent="0.2">
      <c r="A483" t="s">
        <v>4</v>
      </c>
      <c r="B483" s="2">
        <v>45261</v>
      </c>
      <c r="C483">
        <v>39.847541809082031</v>
      </c>
    </row>
    <row r="484" spans="1:3" x14ac:dyDescent="0.2">
      <c r="A484" t="s">
        <v>4</v>
      </c>
      <c r="B484" s="2">
        <v>45264</v>
      </c>
      <c r="C484">
        <v>39.277854919433587</v>
      </c>
    </row>
    <row r="485" spans="1:3" x14ac:dyDescent="0.2">
      <c r="A485" t="s">
        <v>4</v>
      </c>
      <c r="B485" s="2">
        <v>45265</v>
      </c>
      <c r="C485">
        <v>39.234363555908203</v>
      </c>
    </row>
    <row r="486" spans="1:3" x14ac:dyDescent="0.2">
      <c r="A486" t="s">
        <v>4</v>
      </c>
      <c r="B486" s="2">
        <v>45266</v>
      </c>
      <c r="C486">
        <v>37.003456115722663</v>
      </c>
    </row>
    <row r="487" spans="1:3" x14ac:dyDescent="0.2">
      <c r="A487" t="s">
        <v>4</v>
      </c>
      <c r="B487" s="2">
        <v>45267</v>
      </c>
      <c r="C487">
        <v>36.642616271972663</v>
      </c>
    </row>
    <row r="488" spans="1:3" x14ac:dyDescent="0.2">
      <c r="A488" t="s">
        <v>4</v>
      </c>
      <c r="B488" s="2">
        <v>45268</v>
      </c>
      <c r="C488">
        <v>37.315891265869141</v>
      </c>
    </row>
    <row r="489" spans="1:3" x14ac:dyDescent="0.2">
      <c r="A489" t="s">
        <v>4</v>
      </c>
      <c r="B489" s="2">
        <v>45271</v>
      </c>
      <c r="C489">
        <v>37.307086944580078</v>
      </c>
    </row>
    <row r="490" spans="1:3" x14ac:dyDescent="0.2">
      <c r="A490" t="s">
        <v>4</v>
      </c>
      <c r="B490" s="2">
        <v>45272</v>
      </c>
      <c r="C490">
        <v>36.757030487060547</v>
      </c>
    </row>
    <row r="491" spans="1:3" x14ac:dyDescent="0.2">
      <c r="A491" t="s">
        <v>4</v>
      </c>
      <c r="B491" s="2">
        <v>45273</v>
      </c>
      <c r="C491">
        <v>37.716331481933587</v>
      </c>
    </row>
    <row r="492" spans="1:3" x14ac:dyDescent="0.2">
      <c r="A492" t="s">
        <v>4</v>
      </c>
      <c r="B492" s="2">
        <v>45274</v>
      </c>
      <c r="C492">
        <v>38.143184661865227</v>
      </c>
    </row>
    <row r="493" spans="1:3" x14ac:dyDescent="0.2">
      <c r="A493" t="s">
        <v>4</v>
      </c>
      <c r="B493" s="2">
        <v>45275</v>
      </c>
      <c r="C493">
        <v>36.721820831298828</v>
      </c>
    </row>
    <row r="494" spans="1:3" x14ac:dyDescent="0.2">
      <c r="A494" t="s">
        <v>4</v>
      </c>
      <c r="B494" s="2">
        <v>45278</v>
      </c>
      <c r="C494">
        <v>37.324691772460938</v>
      </c>
    </row>
    <row r="495" spans="1:3" x14ac:dyDescent="0.2">
      <c r="A495" t="s">
        <v>4</v>
      </c>
      <c r="B495" s="2">
        <v>45279</v>
      </c>
      <c r="C495">
        <v>37.738338470458977</v>
      </c>
    </row>
    <row r="496" spans="1:3" x14ac:dyDescent="0.2">
      <c r="A496" t="s">
        <v>4</v>
      </c>
      <c r="B496" s="2">
        <v>45280</v>
      </c>
      <c r="C496">
        <v>37.531517028808587</v>
      </c>
    </row>
    <row r="497" spans="1:3" x14ac:dyDescent="0.2">
      <c r="A497" t="s">
        <v>4</v>
      </c>
      <c r="B497" s="2">
        <v>45281</v>
      </c>
      <c r="C497">
        <v>37.901149749755859</v>
      </c>
    </row>
    <row r="498" spans="1:3" x14ac:dyDescent="0.2">
      <c r="A498" t="s">
        <v>4</v>
      </c>
      <c r="B498" s="2">
        <v>45282</v>
      </c>
      <c r="C498">
        <v>38.05517578125</v>
      </c>
    </row>
    <row r="499" spans="1:3" x14ac:dyDescent="0.2">
      <c r="A499" t="s">
        <v>4</v>
      </c>
      <c r="B499" s="2">
        <v>45287</v>
      </c>
      <c r="C499">
        <v>38.671237945556641</v>
      </c>
    </row>
    <row r="500" spans="1:3" x14ac:dyDescent="0.2">
      <c r="A500" t="s">
        <v>4</v>
      </c>
      <c r="B500" s="2">
        <v>45288</v>
      </c>
      <c r="C500">
        <v>38.037563323974609</v>
      </c>
    </row>
    <row r="501" spans="1:3" x14ac:dyDescent="0.2">
      <c r="A501" t="s">
        <v>4</v>
      </c>
      <c r="B501" s="2">
        <v>45289</v>
      </c>
      <c r="C501">
        <v>38.200382232666023</v>
      </c>
    </row>
    <row r="502" spans="1:3" x14ac:dyDescent="0.2">
      <c r="A502" t="s">
        <v>4</v>
      </c>
      <c r="B502" s="2">
        <v>45293</v>
      </c>
      <c r="C502">
        <v>38.552417755126953</v>
      </c>
    </row>
    <row r="503" spans="1:3" x14ac:dyDescent="0.2">
      <c r="A503" t="s">
        <v>4</v>
      </c>
      <c r="B503" s="2">
        <v>45294</v>
      </c>
      <c r="C503">
        <v>39.692134857177727</v>
      </c>
    </row>
    <row r="504" spans="1:3" x14ac:dyDescent="0.2">
      <c r="A504" t="s">
        <v>4</v>
      </c>
      <c r="B504" s="2">
        <v>45295</v>
      </c>
      <c r="C504">
        <v>39.155284881591797</v>
      </c>
    </row>
    <row r="505" spans="1:3" x14ac:dyDescent="0.2">
      <c r="A505" t="s">
        <v>4</v>
      </c>
      <c r="B505" s="2">
        <v>45296</v>
      </c>
      <c r="C505">
        <v>39.428112030029297</v>
      </c>
    </row>
    <row r="506" spans="1:3" x14ac:dyDescent="0.2">
      <c r="A506" t="s">
        <v>4</v>
      </c>
      <c r="B506" s="2">
        <v>45299</v>
      </c>
      <c r="C506">
        <v>38.477615356445312</v>
      </c>
    </row>
    <row r="507" spans="1:3" x14ac:dyDescent="0.2">
      <c r="A507" t="s">
        <v>4</v>
      </c>
      <c r="B507" s="2">
        <v>45300</v>
      </c>
      <c r="C507">
        <v>38.398410797119141</v>
      </c>
    </row>
    <row r="508" spans="1:3" x14ac:dyDescent="0.2">
      <c r="A508" t="s">
        <v>4</v>
      </c>
      <c r="B508" s="2">
        <v>45301</v>
      </c>
      <c r="C508">
        <v>37.997959136962891</v>
      </c>
    </row>
    <row r="509" spans="1:3" x14ac:dyDescent="0.2">
      <c r="A509" t="s">
        <v>4</v>
      </c>
      <c r="B509" s="2">
        <v>45302</v>
      </c>
      <c r="C509">
        <v>38.336803436279297</v>
      </c>
    </row>
    <row r="510" spans="1:3" x14ac:dyDescent="0.2">
      <c r="A510" t="s">
        <v>4</v>
      </c>
      <c r="B510" s="2">
        <v>45303</v>
      </c>
      <c r="C510">
        <v>38.47320556640625</v>
      </c>
    </row>
    <row r="511" spans="1:3" x14ac:dyDescent="0.2">
      <c r="A511" t="s">
        <v>4</v>
      </c>
      <c r="B511" s="2">
        <v>45306</v>
      </c>
      <c r="C511">
        <v>38.944061279296882</v>
      </c>
    </row>
    <row r="512" spans="1:3" x14ac:dyDescent="0.2">
      <c r="A512" t="s">
        <v>4</v>
      </c>
      <c r="B512" s="2">
        <v>45307</v>
      </c>
      <c r="C512">
        <v>37.738338470458977</v>
      </c>
    </row>
    <row r="513" spans="1:3" x14ac:dyDescent="0.2">
      <c r="A513" t="s">
        <v>4</v>
      </c>
      <c r="B513" s="2">
        <v>45308</v>
      </c>
      <c r="C513">
        <v>37.412696838378913</v>
      </c>
    </row>
    <row r="514" spans="1:3" x14ac:dyDescent="0.2">
      <c r="A514" t="s">
        <v>4</v>
      </c>
      <c r="B514" s="2">
        <v>45309</v>
      </c>
      <c r="C514">
        <v>37.179473876953118</v>
      </c>
    </row>
    <row r="515" spans="1:3" x14ac:dyDescent="0.2">
      <c r="A515" t="s">
        <v>4</v>
      </c>
      <c r="B515" s="2">
        <v>45310</v>
      </c>
      <c r="C515">
        <v>37.205883026123047</v>
      </c>
    </row>
    <row r="516" spans="1:3" x14ac:dyDescent="0.2">
      <c r="A516" t="s">
        <v>4</v>
      </c>
      <c r="B516" s="2">
        <v>45313</v>
      </c>
      <c r="C516">
        <v>37.016658782958977</v>
      </c>
    </row>
    <row r="517" spans="1:3" x14ac:dyDescent="0.2">
      <c r="A517" t="s">
        <v>4</v>
      </c>
      <c r="B517" s="2">
        <v>45314</v>
      </c>
      <c r="C517">
        <v>37.166275024414062</v>
      </c>
    </row>
    <row r="518" spans="1:3" x14ac:dyDescent="0.2">
      <c r="A518" t="s">
        <v>4</v>
      </c>
      <c r="B518" s="2">
        <v>45315</v>
      </c>
      <c r="C518">
        <v>37.549114227294922</v>
      </c>
    </row>
    <row r="519" spans="1:3" x14ac:dyDescent="0.2">
      <c r="A519" t="s">
        <v>4</v>
      </c>
      <c r="B519" s="2">
        <v>45316</v>
      </c>
      <c r="C519">
        <v>38.200382232666023</v>
      </c>
    </row>
    <row r="520" spans="1:3" x14ac:dyDescent="0.2">
      <c r="A520" t="s">
        <v>4</v>
      </c>
      <c r="B520" s="2">
        <v>45317</v>
      </c>
      <c r="C520">
        <v>38.063976287841797</v>
      </c>
    </row>
    <row r="521" spans="1:3" x14ac:dyDescent="0.2">
      <c r="A521" t="s">
        <v>4</v>
      </c>
      <c r="B521" s="2">
        <v>45320</v>
      </c>
      <c r="C521">
        <v>37.694328308105469</v>
      </c>
    </row>
    <row r="522" spans="1:3" x14ac:dyDescent="0.2">
      <c r="A522" t="s">
        <v>4</v>
      </c>
      <c r="B522" s="2">
        <v>45321</v>
      </c>
      <c r="C522">
        <v>38.3323974609375</v>
      </c>
    </row>
    <row r="523" spans="1:3" x14ac:dyDescent="0.2">
      <c r="A523" t="s">
        <v>4</v>
      </c>
      <c r="B523" s="2">
        <v>45322</v>
      </c>
      <c r="C523">
        <v>37.861549377441413</v>
      </c>
    </row>
    <row r="524" spans="1:3" x14ac:dyDescent="0.2">
      <c r="A524" t="s">
        <v>4</v>
      </c>
      <c r="B524" s="2">
        <v>45323</v>
      </c>
      <c r="C524">
        <v>37.175075531005859</v>
      </c>
    </row>
    <row r="525" spans="1:3" x14ac:dyDescent="0.2">
      <c r="A525" t="s">
        <v>4</v>
      </c>
      <c r="B525" s="2">
        <v>45324</v>
      </c>
      <c r="C525">
        <v>35.916542053222663</v>
      </c>
    </row>
    <row r="526" spans="1:3" x14ac:dyDescent="0.2">
      <c r="A526" t="s">
        <v>4</v>
      </c>
      <c r="B526" s="2">
        <v>45327</v>
      </c>
      <c r="C526">
        <v>35.731723785400391</v>
      </c>
    </row>
    <row r="527" spans="1:3" x14ac:dyDescent="0.2">
      <c r="A527" t="s">
        <v>4</v>
      </c>
      <c r="B527" s="2">
        <v>45328</v>
      </c>
      <c r="C527">
        <v>36.184974670410163</v>
      </c>
    </row>
    <row r="528" spans="1:3" x14ac:dyDescent="0.2">
      <c r="A528" t="s">
        <v>4</v>
      </c>
      <c r="B528" s="2">
        <v>45329</v>
      </c>
      <c r="C528">
        <v>35.753726959228523</v>
      </c>
    </row>
    <row r="529" spans="1:3" x14ac:dyDescent="0.2">
      <c r="A529" t="s">
        <v>4</v>
      </c>
      <c r="B529" s="2">
        <v>45330</v>
      </c>
      <c r="C529">
        <v>35.876937866210938</v>
      </c>
    </row>
    <row r="530" spans="1:3" x14ac:dyDescent="0.2">
      <c r="A530" t="s">
        <v>4</v>
      </c>
      <c r="B530" s="2">
        <v>45331</v>
      </c>
      <c r="C530">
        <v>36.022159576416023</v>
      </c>
    </row>
    <row r="531" spans="1:3" x14ac:dyDescent="0.2">
      <c r="A531" t="s">
        <v>4</v>
      </c>
      <c r="B531" s="2">
        <v>45334</v>
      </c>
      <c r="C531">
        <v>36.114570617675781</v>
      </c>
    </row>
    <row r="532" spans="1:3" x14ac:dyDescent="0.2">
      <c r="A532" t="s">
        <v>4</v>
      </c>
      <c r="B532" s="2">
        <v>45335</v>
      </c>
      <c r="C532">
        <v>35.467697143554688</v>
      </c>
    </row>
    <row r="533" spans="1:3" x14ac:dyDescent="0.2">
      <c r="A533" t="s">
        <v>4</v>
      </c>
      <c r="B533" s="2">
        <v>45336</v>
      </c>
      <c r="C533">
        <v>35.819732666015618</v>
      </c>
    </row>
    <row r="534" spans="1:3" x14ac:dyDescent="0.2">
      <c r="A534" t="s">
        <v>4</v>
      </c>
      <c r="B534" s="2">
        <v>45337</v>
      </c>
      <c r="C534">
        <v>37.29388427734375</v>
      </c>
    </row>
    <row r="535" spans="1:3" x14ac:dyDescent="0.2">
      <c r="A535" t="s">
        <v>4</v>
      </c>
      <c r="B535" s="2">
        <v>45338</v>
      </c>
      <c r="C535">
        <v>37.47430419921875</v>
      </c>
    </row>
    <row r="536" spans="1:3" x14ac:dyDescent="0.2">
      <c r="A536" t="s">
        <v>4</v>
      </c>
      <c r="B536" s="2">
        <v>45342</v>
      </c>
      <c r="C536">
        <v>37.593124389648438</v>
      </c>
    </row>
    <row r="537" spans="1:3" x14ac:dyDescent="0.2">
      <c r="A537" t="s">
        <v>4</v>
      </c>
      <c r="B537" s="2">
        <v>45343</v>
      </c>
      <c r="C537">
        <v>38.680030822753913</v>
      </c>
    </row>
    <row r="538" spans="1:3" x14ac:dyDescent="0.2">
      <c r="A538" t="s">
        <v>4</v>
      </c>
      <c r="B538" s="2">
        <v>45344</v>
      </c>
      <c r="C538">
        <v>39.326896667480469</v>
      </c>
    </row>
    <row r="539" spans="1:3" x14ac:dyDescent="0.2">
      <c r="A539" t="s">
        <v>4</v>
      </c>
      <c r="B539" s="2">
        <v>45345</v>
      </c>
      <c r="C539">
        <v>38.807651519775391</v>
      </c>
    </row>
    <row r="540" spans="1:3" x14ac:dyDescent="0.2">
      <c r="A540" t="s">
        <v>4</v>
      </c>
      <c r="B540" s="2">
        <v>45348</v>
      </c>
      <c r="C540">
        <v>39.155284881591797</v>
      </c>
    </row>
    <row r="541" spans="1:3" x14ac:dyDescent="0.2">
      <c r="A541" t="s">
        <v>4</v>
      </c>
      <c r="B541" s="2">
        <v>45349</v>
      </c>
      <c r="C541">
        <v>39.375301361083977</v>
      </c>
    </row>
    <row r="542" spans="1:3" x14ac:dyDescent="0.2">
      <c r="A542" t="s">
        <v>4</v>
      </c>
      <c r="B542" s="2">
        <v>45350</v>
      </c>
      <c r="C542">
        <v>39.564525604248047</v>
      </c>
    </row>
    <row r="543" spans="1:3" x14ac:dyDescent="0.2">
      <c r="A543" t="s">
        <v>4</v>
      </c>
      <c r="B543" s="2">
        <v>45351</v>
      </c>
      <c r="C543">
        <v>41.601936340332031</v>
      </c>
    </row>
    <row r="544" spans="1:3" x14ac:dyDescent="0.2">
      <c r="A544" t="s">
        <v>4</v>
      </c>
      <c r="B544" s="2">
        <v>45352</v>
      </c>
      <c r="C544">
        <v>42.992481231689453</v>
      </c>
    </row>
    <row r="545" spans="1:3" x14ac:dyDescent="0.2">
      <c r="A545" t="s">
        <v>4</v>
      </c>
      <c r="B545" s="2">
        <v>45355</v>
      </c>
      <c r="C545">
        <v>42.129989624023438</v>
      </c>
    </row>
    <row r="546" spans="1:3" x14ac:dyDescent="0.2">
      <c r="A546" t="s">
        <v>4</v>
      </c>
      <c r="B546" s="2">
        <v>45356</v>
      </c>
      <c r="C546">
        <v>42.666847229003913</v>
      </c>
    </row>
    <row r="547" spans="1:3" x14ac:dyDescent="0.2">
      <c r="A547" t="s">
        <v>4</v>
      </c>
      <c r="B547" s="2">
        <v>45357</v>
      </c>
      <c r="C547">
        <v>42.732852935791023</v>
      </c>
    </row>
    <row r="548" spans="1:3" x14ac:dyDescent="0.2">
      <c r="A548" t="s">
        <v>4</v>
      </c>
      <c r="B548" s="2">
        <v>45358</v>
      </c>
      <c r="C548">
        <v>42.706459045410163</v>
      </c>
    </row>
    <row r="549" spans="1:3" x14ac:dyDescent="0.2">
      <c r="A549" t="s">
        <v>4</v>
      </c>
      <c r="B549" s="2">
        <v>45359</v>
      </c>
      <c r="C549">
        <v>42.561241149902337</v>
      </c>
    </row>
    <row r="550" spans="1:3" x14ac:dyDescent="0.2">
      <c r="A550" t="s">
        <v>4</v>
      </c>
      <c r="B550" s="2">
        <v>45362</v>
      </c>
      <c r="C550">
        <v>42.798862457275391</v>
      </c>
    </row>
    <row r="551" spans="1:3" x14ac:dyDescent="0.2">
      <c r="A551" t="s">
        <v>4</v>
      </c>
      <c r="B551" s="2">
        <v>45363</v>
      </c>
      <c r="C551">
        <v>42.794464111328118</v>
      </c>
    </row>
    <row r="552" spans="1:3" x14ac:dyDescent="0.2">
      <c r="A552" t="s">
        <v>4</v>
      </c>
      <c r="B552" s="2">
        <v>45364</v>
      </c>
      <c r="C552">
        <v>43.824161529541023</v>
      </c>
    </row>
    <row r="553" spans="1:3" x14ac:dyDescent="0.2">
      <c r="A553" t="s">
        <v>4</v>
      </c>
      <c r="B553" s="2">
        <v>45365</v>
      </c>
      <c r="C553">
        <v>44.300029754638672</v>
      </c>
    </row>
    <row r="554" spans="1:3" x14ac:dyDescent="0.2">
      <c r="A554" t="s">
        <v>4</v>
      </c>
      <c r="B554" s="2">
        <v>45366</v>
      </c>
      <c r="C554">
        <v>43.708538055419922</v>
      </c>
    </row>
    <row r="555" spans="1:3" x14ac:dyDescent="0.2">
      <c r="A555" t="s">
        <v>4</v>
      </c>
      <c r="B555" s="2">
        <v>45369</v>
      </c>
      <c r="C555">
        <v>44.188854217529297</v>
      </c>
    </row>
    <row r="556" spans="1:3" x14ac:dyDescent="0.2">
      <c r="A556" t="s">
        <v>4</v>
      </c>
      <c r="B556" s="2">
        <v>45370</v>
      </c>
      <c r="C556">
        <v>44.357845306396477</v>
      </c>
    </row>
    <row r="557" spans="1:3" x14ac:dyDescent="0.2">
      <c r="A557" t="s">
        <v>4</v>
      </c>
      <c r="B557" s="2">
        <v>45371</v>
      </c>
      <c r="C557">
        <v>44.260005950927727</v>
      </c>
    </row>
    <row r="558" spans="1:3" x14ac:dyDescent="0.2">
      <c r="A558" t="s">
        <v>4</v>
      </c>
      <c r="B558" s="2">
        <v>45372</v>
      </c>
      <c r="C558">
        <v>44.686958312988281</v>
      </c>
    </row>
    <row r="559" spans="1:3" x14ac:dyDescent="0.2">
      <c r="A559" t="s">
        <v>4</v>
      </c>
      <c r="B559" s="2">
        <v>45373</v>
      </c>
      <c r="C559">
        <v>44.824817657470703</v>
      </c>
    </row>
    <row r="560" spans="1:3" x14ac:dyDescent="0.2">
      <c r="A560" t="s">
        <v>4</v>
      </c>
      <c r="B560" s="2">
        <v>45376</v>
      </c>
      <c r="C560">
        <v>45.785449981689453</v>
      </c>
    </row>
    <row r="561" spans="1:3" x14ac:dyDescent="0.2">
      <c r="A561" t="s">
        <v>4</v>
      </c>
      <c r="B561" s="2">
        <v>45377</v>
      </c>
      <c r="C561">
        <v>45.380741119384773</v>
      </c>
    </row>
    <row r="562" spans="1:3" x14ac:dyDescent="0.2">
      <c r="A562" t="s">
        <v>4</v>
      </c>
      <c r="B562" s="2">
        <v>45378</v>
      </c>
      <c r="C562">
        <v>45.558635711669922</v>
      </c>
    </row>
    <row r="563" spans="1:3" x14ac:dyDescent="0.2">
      <c r="A563" t="s">
        <v>4</v>
      </c>
      <c r="B563" s="2">
        <v>45379</v>
      </c>
      <c r="C563">
        <v>45.954456329345703</v>
      </c>
    </row>
    <row r="564" spans="1:3" x14ac:dyDescent="0.2">
      <c r="A564" t="s">
        <v>4</v>
      </c>
      <c r="B564" s="2">
        <v>45383</v>
      </c>
      <c r="C564">
        <v>46.559284210205078</v>
      </c>
    </row>
    <row r="565" spans="1:3" x14ac:dyDescent="0.2">
      <c r="A565" t="s">
        <v>4</v>
      </c>
      <c r="B565" s="2">
        <v>45384</v>
      </c>
      <c r="C565">
        <v>47.190807342529297</v>
      </c>
    </row>
    <row r="566" spans="1:3" x14ac:dyDescent="0.2">
      <c r="A566" t="s">
        <v>4</v>
      </c>
      <c r="B566" s="2">
        <v>45385</v>
      </c>
      <c r="C566">
        <v>47.777858734130859</v>
      </c>
    </row>
    <row r="567" spans="1:3" x14ac:dyDescent="0.2">
      <c r="A567" t="s">
        <v>4</v>
      </c>
      <c r="B567" s="2">
        <v>45386</v>
      </c>
      <c r="C567">
        <v>48.267066955566413</v>
      </c>
    </row>
    <row r="568" spans="1:3" x14ac:dyDescent="0.2">
      <c r="A568" t="s">
        <v>4</v>
      </c>
      <c r="B568" s="2">
        <v>45387</v>
      </c>
      <c r="C568">
        <v>49.063140869140618</v>
      </c>
    </row>
    <row r="569" spans="1:3" x14ac:dyDescent="0.2">
      <c r="A569" t="s">
        <v>4</v>
      </c>
      <c r="B569" s="2">
        <v>45390</v>
      </c>
      <c r="C569">
        <v>48.769622802734382</v>
      </c>
    </row>
    <row r="570" spans="1:3" x14ac:dyDescent="0.2">
      <c r="A570" t="s">
        <v>4</v>
      </c>
      <c r="B570" s="2">
        <v>45391</v>
      </c>
      <c r="C570">
        <v>49.361122131347663</v>
      </c>
    </row>
    <row r="571" spans="1:3" x14ac:dyDescent="0.2">
      <c r="A571" t="s">
        <v>4</v>
      </c>
      <c r="B571" s="2">
        <v>45392</v>
      </c>
      <c r="C571">
        <v>50.081588745117188</v>
      </c>
    </row>
    <row r="572" spans="1:3" x14ac:dyDescent="0.2">
      <c r="A572" t="s">
        <v>4</v>
      </c>
      <c r="B572" s="2">
        <v>45393</v>
      </c>
      <c r="C572">
        <v>49.347774505615227</v>
      </c>
    </row>
    <row r="573" spans="1:3" x14ac:dyDescent="0.2">
      <c r="A573" t="s">
        <v>4</v>
      </c>
      <c r="B573" s="2">
        <v>45394</v>
      </c>
      <c r="C573">
        <v>48.493885040283203</v>
      </c>
    </row>
    <row r="574" spans="1:3" x14ac:dyDescent="0.2">
      <c r="A574" t="s">
        <v>4</v>
      </c>
      <c r="B574" s="2">
        <v>45397</v>
      </c>
      <c r="C574">
        <v>47.519916534423828</v>
      </c>
    </row>
    <row r="575" spans="1:3" x14ac:dyDescent="0.2">
      <c r="A575" t="s">
        <v>4</v>
      </c>
      <c r="B575" s="2">
        <v>45398</v>
      </c>
      <c r="C575">
        <v>47.599964141845703</v>
      </c>
    </row>
    <row r="576" spans="1:3" x14ac:dyDescent="0.2">
      <c r="A576" t="s">
        <v>4</v>
      </c>
      <c r="B576" s="2">
        <v>45399</v>
      </c>
      <c r="C576">
        <v>47.275314331054688</v>
      </c>
    </row>
    <row r="577" spans="1:3" x14ac:dyDescent="0.2">
      <c r="A577" t="s">
        <v>4</v>
      </c>
      <c r="B577" s="2">
        <v>45400</v>
      </c>
      <c r="C577">
        <v>47.070728302001953</v>
      </c>
    </row>
    <row r="578" spans="1:3" x14ac:dyDescent="0.2">
      <c r="A578" t="s">
        <v>4</v>
      </c>
      <c r="B578" s="2">
        <v>45401</v>
      </c>
      <c r="C578">
        <v>46.835018157958977</v>
      </c>
    </row>
    <row r="579" spans="1:3" x14ac:dyDescent="0.2">
      <c r="A579" t="s">
        <v>4</v>
      </c>
      <c r="B579" s="2">
        <v>45404</v>
      </c>
      <c r="C579">
        <v>46.772754669189453</v>
      </c>
    </row>
    <row r="580" spans="1:3" x14ac:dyDescent="0.2">
      <c r="A580" t="s">
        <v>4</v>
      </c>
      <c r="B580" s="2">
        <v>45405</v>
      </c>
      <c r="C580">
        <v>46.812786102294922</v>
      </c>
    </row>
    <row r="581" spans="1:3" x14ac:dyDescent="0.2">
      <c r="A581" t="s">
        <v>4</v>
      </c>
      <c r="B581" s="2">
        <v>45406</v>
      </c>
      <c r="C581">
        <v>46.888393402099609</v>
      </c>
    </row>
    <row r="582" spans="1:3" x14ac:dyDescent="0.2">
      <c r="A582" t="s">
        <v>4</v>
      </c>
      <c r="B582" s="2">
        <v>45407</v>
      </c>
      <c r="C582">
        <v>46.999568939208977</v>
      </c>
    </row>
    <row r="583" spans="1:3" x14ac:dyDescent="0.2">
      <c r="A583" t="s">
        <v>4</v>
      </c>
      <c r="B583" s="2">
        <v>45408</v>
      </c>
      <c r="C583">
        <v>47.373146057128913</v>
      </c>
    </row>
    <row r="584" spans="1:3" x14ac:dyDescent="0.2">
      <c r="A584" t="s">
        <v>4</v>
      </c>
      <c r="B584" s="2">
        <v>45411</v>
      </c>
      <c r="C584">
        <v>47.511020660400391</v>
      </c>
    </row>
    <row r="585" spans="1:3" x14ac:dyDescent="0.2">
      <c r="A585" t="s">
        <v>4</v>
      </c>
      <c r="B585" s="2">
        <v>45412</v>
      </c>
      <c r="C585">
        <v>46.394733428955078</v>
      </c>
    </row>
    <row r="586" spans="1:3" x14ac:dyDescent="0.2">
      <c r="A586" t="s">
        <v>4</v>
      </c>
      <c r="B586" s="2">
        <v>45413</v>
      </c>
      <c r="C586">
        <v>45.816581726074219</v>
      </c>
    </row>
    <row r="587" spans="1:3" x14ac:dyDescent="0.2">
      <c r="A587" t="s">
        <v>4</v>
      </c>
      <c r="B587" s="2">
        <v>45414</v>
      </c>
      <c r="C587">
        <v>45.536399841308587</v>
      </c>
    </row>
    <row r="588" spans="1:3" x14ac:dyDescent="0.2">
      <c r="A588" t="s">
        <v>4</v>
      </c>
      <c r="B588" s="2">
        <v>45415</v>
      </c>
      <c r="C588">
        <v>45.407417297363281</v>
      </c>
    </row>
    <row r="589" spans="1:3" x14ac:dyDescent="0.2">
      <c r="A589" t="s">
        <v>4</v>
      </c>
      <c r="B589" s="2">
        <v>45418</v>
      </c>
      <c r="C589">
        <v>46.194610595703118</v>
      </c>
    </row>
    <row r="590" spans="1:3" x14ac:dyDescent="0.2">
      <c r="A590" t="s">
        <v>4</v>
      </c>
      <c r="B590" s="2">
        <v>45419</v>
      </c>
      <c r="C590">
        <v>46.652687072753913</v>
      </c>
    </row>
    <row r="591" spans="1:3" x14ac:dyDescent="0.2">
      <c r="A591" t="s">
        <v>4</v>
      </c>
      <c r="B591" s="2">
        <v>45420</v>
      </c>
      <c r="C591">
        <v>47.124099731445312</v>
      </c>
    </row>
    <row r="592" spans="1:3" x14ac:dyDescent="0.2">
      <c r="A592" t="s">
        <v>4</v>
      </c>
      <c r="B592" s="2">
        <v>45421</v>
      </c>
      <c r="C592">
        <v>47.177474975585938</v>
      </c>
    </row>
    <row r="593" spans="1:3" x14ac:dyDescent="0.2">
      <c r="A593" t="s">
        <v>4</v>
      </c>
      <c r="B593" s="2">
        <v>45422</v>
      </c>
      <c r="C593">
        <v>46.514816284179688</v>
      </c>
    </row>
    <row r="594" spans="1:3" x14ac:dyDescent="0.2">
      <c r="A594" t="s">
        <v>4</v>
      </c>
      <c r="B594" s="2">
        <v>45425</v>
      </c>
      <c r="C594">
        <v>46.452552795410163</v>
      </c>
    </row>
    <row r="595" spans="1:3" x14ac:dyDescent="0.2">
      <c r="A595" t="s">
        <v>4</v>
      </c>
      <c r="B595" s="2">
        <v>45426</v>
      </c>
      <c r="C595">
        <v>46.030052185058587</v>
      </c>
    </row>
    <row r="596" spans="1:3" x14ac:dyDescent="0.2">
      <c r="A596" t="s">
        <v>4</v>
      </c>
      <c r="B596" s="2">
        <v>45427</v>
      </c>
      <c r="C596">
        <v>46.016716003417969</v>
      </c>
    </row>
    <row r="597" spans="1:3" x14ac:dyDescent="0.2">
      <c r="A597" t="s">
        <v>4</v>
      </c>
      <c r="B597" s="2">
        <v>45428</v>
      </c>
      <c r="C597">
        <v>45.887737274169922</v>
      </c>
    </row>
    <row r="598" spans="1:3" x14ac:dyDescent="0.2">
      <c r="A598" t="s">
        <v>4</v>
      </c>
      <c r="B598" s="2">
        <v>45429</v>
      </c>
      <c r="C598">
        <v>46.652687072753913</v>
      </c>
    </row>
    <row r="599" spans="1:3" x14ac:dyDescent="0.2">
      <c r="A599" t="s">
        <v>4</v>
      </c>
      <c r="B599" s="2">
        <v>45433</v>
      </c>
      <c r="C599">
        <v>46.830577850341797</v>
      </c>
    </row>
    <row r="600" spans="1:3" x14ac:dyDescent="0.2">
      <c r="A600" t="s">
        <v>4</v>
      </c>
      <c r="B600" s="2">
        <v>45434</v>
      </c>
      <c r="C600">
        <v>45.918869018554688</v>
      </c>
    </row>
    <row r="601" spans="1:3" x14ac:dyDescent="0.2">
      <c r="A601" t="s">
        <v>4</v>
      </c>
      <c r="B601" s="2">
        <v>45435</v>
      </c>
      <c r="C601">
        <v>46.052291870117188</v>
      </c>
    </row>
    <row r="602" spans="1:3" x14ac:dyDescent="0.2">
      <c r="A602" t="s">
        <v>4</v>
      </c>
      <c r="B602" s="2">
        <v>45436</v>
      </c>
      <c r="C602">
        <v>46.545944213867188</v>
      </c>
    </row>
    <row r="603" spans="1:3" x14ac:dyDescent="0.2">
      <c r="A603" t="s">
        <v>4</v>
      </c>
      <c r="B603" s="2">
        <v>45439</v>
      </c>
      <c r="C603">
        <v>46.603759765625</v>
      </c>
    </row>
    <row r="604" spans="1:3" x14ac:dyDescent="0.2">
      <c r="A604" t="s">
        <v>4</v>
      </c>
      <c r="B604" s="2">
        <v>45440</v>
      </c>
      <c r="C604">
        <v>46.995124816894531</v>
      </c>
    </row>
    <row r="605" spans="1:3" x14ac:dyDescent="0.2">
      <c r="A605" t="s">
        <v>4</v>
      </c>
      <c r="B605" s="2">
        <v>45441</v>
      </c>
      <c r="C605">
        <v>45.821029663085938</v>
      </c>
    </row>
    <row r="606" spans="1:3" x14ac:dyDescent="0.2">
      <c r="A606" t="s">
        <v>4</v>
      </c>
      <c r="B606" s="2">
        <v>45442</v>
      </c>
      <c r="C606">
        <v>46.110103607177727</v>
      </c>
    </row>
    <row r="607" spans="1:3" x14ac:dyDescent="0.2">
      <c r="A607" t="s">
        <v>4</v>
      </c>
      <c r="B607" s="2">
        <v>45443</v>
      </c>
      <c r="C607">
        <v>46.563732147216797</v>
      </c>
    </row>
    <row r="608" spans="1:3" x14ac:dyDescent="0.2">
      <c r="A608" t="s">
        <v>4</v>
      </c>
      <c r="B608" s="2">
        <v>45446</v>
      </c>
      <c r="C608">
        <v>44.433448791503913</v>
      </c>
    </row>
    <row r="609" spans="1:3" x14ac:dyDescent="0.2">
      <c r="A609" t="s">
        <v>4</v>
      </c>
      <c r="B609" s="2">
        <v>45447</v>
      </c>
      <c r="C609">
        <v>43.615146636962891</v>
      </c>
    </row>
    <row r="610" spans="1:3" x14ac:dyDescent="0.2">
      <c r="A610" t="s">
        <v>4</v>
      </c>
      <c r="B610" s="2">
        <v>45448</v>
      </c>
      <c r="C610">
        <v>43.606246948242188</v>
      </c>
    </row>
    <row r="611" spans="1:3" x14ac:dyDescent="0.2">
      <c r="A611" t="s">
        <v>4</v>
      </c>
      <c r="B611" s="2">
        <v>45449</v>
      </c>
      <c r="C611">
        <v>43.770801544189453</v>
      </c>
    </row>
    <row r="612" spans="1:3" x14ac:dyDescent="0.2">
      <c r="A612" t="s">
        <v>4</v>
      </c>
      <c r="B612" s="2">
        <v>45450</v>
      </c>
      <c r="C612">
        <v>43.023654937744141</v>
      </c>
    </row>
    <row r="613" spans="1:3" x14ac:dyDescent="0.2">
      <c r="A613" t="s">
        <v>4</v>
      </c>
      <c r="B613" s="2">
        <v>45453</v>
      </c>
      <c r="C613">
        <v>43.410564422607422</v>
      </c>
    </row>
    <row r="614" spans="1:3" x14ac:dyDescent="0.2">
      <c r="A614" t="s">
        <v>4</v>
      </c>
      <c r="B614" s="2">
        <v>45454</v>
      </c>
      <c r="C614">
        <v>43.512855529785163</v>
      </c>
    </row>
    <row r="615" spans="1:3" x14ac:dyDescent="0.2">
      <c r="A615" t="s">
        <v>4</v>
      </c>
      <c r="B615" s="2">
        <v>45455</v>
      </c>
      <c r="C615">
        <v>43.174858093261719</v>
      </c>
    </row>
    <row r="616" spans="1:3" x14ac:dyDescent="0.2">
      <c r="A616" t="s">
        <v>4</v>
      </c>
      <c r="B616" s="2">
        <v>45456</v>
      </c>
      <c r="C616">
        <v>41.689437866210938</v>
      </c>
    </row>
    <row r="617" spans="1:3" x14ac:dyDescent="0.2">
      <c r="A617" t="s">
        <v>4</v>
      </c>
      <c r="B617" s="2">
        <v>45457</v>
      </c>
      <c r="C617">
        <v>41.467071533203118</v>
      </c>
    </row>
    <row r="618" spans="1:3" x14ac:dyDescent="0.2">
      <c r="A618" t="s">
        <v>4</v>
      </c>
      <c r="B618" s="2">
        <v>45460</v>
      </c>
      <c r="C618">
        <v>41.606513977050781</v>
      </c>
    </row>
    <row r="619" spans="1:3" x14ac:dyDescent="0.2">
      <c r="A619" t="s">
        <v>4</v>
      </c>
      <c r="B619" s="2">
        <v>45461</v>
      </c>
      <c r="C619">
        <v>42.524105072021477</v>
      </c>
    </row>
    <row r="620" spans="1:3" x14ac:dyDescent="0.2">
      <c r="A620" t="s">
        <v>4</v>
      </c>
      <c r="B620" s="2">
        <v>45462</v>
      </c>
      <c r="C620">
        <v>42.488124847412109</v>
      </c>
    </row>
    <row r="621" spans="1:3" x14ac:dyDescent="0.2">
      <c r="A621" t="s">
        <v>4</v>
      </c>
      <c r="B621" s="2">
        <v>45463</v>
      </c>
      <c r="C621">
        <v>43.072856903076172</v>
      </c>
    </row>
    <row r="622" spans="1:3" x14ac:dyDescent="0.2">
      <c r="A622" t="s">
        <v>4</v>
      </c>
      <c r="B622" s="2">
        <v>45464</v>
      </c>
      <c r="C622">
        <v>42.461132049560547</v>
      </c>
    </row>
    <row r="623" spans="1:3" x14ac:dyDescent="0.2">
      <c r="A623" t="s">
        <v>4</v>
      </c>
      <c r="B623" s="2">
        <v>45467</v>
      </c>
      <c r="C623">
        <v>43.8375244140625</v>
      </c>
    </row>
    <row r="624" spans="1:3" x14ac:dyDescent="0.2">
      <c r="A624" t="s">
        <v>4</v>
      </c>
      <c r="B624" s="2">
        <v>45468</v>
      </c>
      <c r="C624">
        <v>43.513668060302727</v>
      </c>
    </row>
    <row r="625" spans="1:3" x14ac:dyDescent="0.2">
      <c r="A625" t="s">
        <v>4</v>
      </c>
      <c r="B625" s="2">
        <v>45469</v>
      </c>
      <c r="C625">
        <v>43.495670318603523</v>
      </c>
    </row>
    <row r="626" spans="1:3" x14ac:dyDescent="0.2">
      <c r="A626" t="s">
        <v>4</v>
      </c>
      <c r="B626" s="2">
        <v>45470</v>
      </c>
      <c r="C626">
        <v>43.927486419677727</v>
      </c>
    </row>
    <row r="627" spans="1:3" x14ac:dyDescent="0.2">
      <c r="A627" t="s">
        <v>4</v>
      </c>
      <c r="B627" s="2">
        <v>45471</v>
      </c>
      <c r="C627">
        <v>43.8375244140625</v>
      </c>
    </row>
    <row r="628" spans="1:3" x14ac:dyDescent="0.2">
      <c r="A628" t="s">
        <v>4</v>
      </c>
      <c r="B628" s="2">
        <v>45475</v>
      </c>
      <c r="C628">
        <v>44.332302093505859</v>
      </c>
    </row>
    <row r="629" spans="1:3" x14ac:dyDescent="0.2">
      <c r="A629" t="s">
        <v>4</v>
      </c>
      <c r="B629" s="2">
        <v>45476</v>
      </c>
      <c r="C629">
        <v>44.818080902099609</v>
      </c>
    </row>
    <row r="630" spans="1:3" x14ac:dyDescent="0.2">
      <c r="A630" t="s">
        <v>4</v>
      </c>
      <c r="B630" s="2">
        <v>45477</v>
      </c>
      <c r="C630">
        <v>44.818080902099609</v>
      </c>
    </row>
    <row r="631" spans="1:3" x14ac:dyDescent="0.2">
      <c r="A631" t="s">
        <v>4</v>
      </c>
      <c r="B631" s="2">
        <v>45478</v>
      </c>
      <c r="C631">
        <v>44.125389099121087</v>
      </c>
    </row>
    <row r="632" spans="1:3" x14ac:dyDescent="0.2">
      <c r="A632" t="s">
        <v>4</v>
      </c>
      <c r="B632" s="2">
        <v>45481</v>
      </c>
      <c r="C632">
        <v>44.143386840820312</v>
      </c>
    </row>
    <row r="633" spans="1:3" x14ac:dyDescent="0.2">
      <c r="A633" t="s">
        <v>4</v>
      </c>
      <c r="B633" s="2">
        <v>45482</v>
      </c>
      <c r="C633">
        <v>43.477680206298828</v>
      </c>
    </row>
    <row r="634" spans="1:3" x14ac:dyDescent="0.2">
      <c r="A634" t="s">
        <v>4</v>
      </c>
      <c r="B634" s="2">
        <v>45483</v>
      </c>
      <c r="C634">
        <v>44.143386840820312</v>
      </c>
    </row>
    <row r="635" spans="1:3" x14ac:dyDescent="0.2">
      <c r="A635" t="s">
        <v>4</v>
      </c>
      <c r="B635" s="2">
        <v>45484</v>
      </c>
      <c r="C635">
        <v>44.854068756103523</v>
      </c>
    </row>
    <row r="636" spans="1:3" x14ac:dyDescent="0.2">
      <c r="A636" t="s">
        <v>4</v>
      </c>
      <c r="B636" s="2">
        <v>45485</v>
      </c>
      <c r="C636">
        <v>44.278324127197273</v>
      </c>
    </row>
    <row r="637" spans="1:3" x14ac:dyDescent="0.2">
      <c r="A637" t="s">
        <v>4</v>
      </c>
      <c r="B637" s="2">
        <v>45488</v>
      </c>
      <c r="C637">
        <v>45.123947143554688</v>
      </c>
    </row>
    <row r="638" spans="1:3" x14ac:dyDescent="0.2">
      <c r="A638" t="s">
        <v>4</v>
      </c>
      <c r="B638" s="2">
        <v>45489</v>
      </c>
      <c r="C638">
        <v>44.215354919433587</v>
      </c>
    </row>
    <row r="639" spans="1:3" x14ac:dyDescent="0.2">
      <c r="A639" t="s">
        <v>4</v>
      </c>
      <c r="B639" s="2">
        <v>45490</v>
      </c>
      <c r="C639">
        <v>43.927486419677727</v>
      </c>
    </row>
    <row r="640" spans="1:3" x14ac:dyDescent="0.2">
      <c r="A640" t="s">
        <v>4</v>
      </c>
      <c r="B640" s="2">
        <v>45491</v>
      </c>
      <c r="C640">
        <v>44.008441925048828</v>
      </c>
    </row>
    <row r="641" spans="1:3" x14ac:dyDescent="0.2">
      <c r="A641" t="s">
        <v>4</v>
      </c>
      <c r="B641" s="2">
        <v>45492</v>
      </c>
      <c r="C641">
        <v>43.468685150146477</v>
      </c>
    </row>
    <row r="642" spans="1:3" x14ac:dyDescent="0.2">
      <c r="A642" t="s">
        <v>4</v>
      </c>
      <c r="B642" s="2">
        <v>45495</v>
      </c>
      <c r="C642">
        <v>43.810527801513672</v>
      </c>
    </row>
    <row r="643" spans="1:3" x14ac:dyDescent="0.2">
      <c r="A643" t="s">
        <v>4</v>
      </c>
      <c r="B643" s="2">
        <v>45496</v>
      </c>
      <c r="C643">
        <v>43.0098876953125</v>
      </c>
    </row>
    <row r="644" spans="1:3" x14ac:dyDescent="0.2">
      <c r="A644" t="s">
        <v>4</v>
      </c>
      <c r="B644" s="2">
        <v>45497</v>
      </c>
      <c r="C644">
        <v>42.811973571777337</v>
      </c>
    </row>
    <row r="645" spans="1:3" x14ac:dyDescent="0.2">
      <c r="A645" t="s">
        <v>4</v>
      </c>
      <c r="B645" s="2">
        <v>45498</v>
      </c>
      <c r="C645">
        <v>42.820968627929688</v>
      </c>
    </row>
    <row r="646" spans="1:3" x14ac:dyDescent="0.2">
      <c r="A646" t="s">
        <v>4</v>
      </c>
      <c r="B646" s="2">
        <v>45499</v>
      </c>
      <c r="C646">
        <v>42.84796142578125</v>
      </c>
    </row>
    <row r="647" spans="1:3" x14ac:dyDescent="0.2">
      <c r="A647" t="s">
        <v>4</v>
      </c>
      <c r="B647" s="2">
        <v>45502</v>
      </c>
      <c r="C647">
        <v>42.497123718261719</v>
      </c>
    </row>
    <row r="648" spans="1:3" x14ac:dyDescent="0.2">
      <c r="A648" t="s">
        <v>4</v>
      </c>
      <c r="B648" s="2">
        <v>45503</v>
      </c>
      <c r="C648">
        <v>42.614067077636719</v>
      </c>
    </row>
    <row r="649" spans="1:3" x14ac:dyDescent="0.2">
      <c r="A649" t="s">
        <v>4</v>
      </c>
      <c r="B649" s="2">
        <v>45504</v>
      </c>
      <c r="C649">
        <v>44.098411560058587</v>
      </c>
    </row>
    <row r="650" spans="1:3" x14ac:dyDescent="0.2">
      <c r="A650" t="s">
        <v>4</v>
      </c>
      <c r="B650" s="2">
        <v>45505</v>
      </c>
      <c r="C650">
        <v>43.612625122070312</v>
      </c>
    </row>
    <row r="651" spans="1:3" x14ac:dyDescent="0.2">
      <c r="A651" t="s">
        <v>4</v>
      </c>
      <c r="B651" s="2">
        <v>45506</v>
      </c>
      <c r="C651">
        <v>41.606513977050781</v>
      </c>
    </row>
    <row r="652" spans="1:3" x14ac:dyDescent="0.2">
      <c r="A652" t="s">
        <v>4</v>
      </c>
      <c r="B652" s="2">
        <v>45510</v>
      </c>
      <c r="C652">
        <v>41.228683471679688</v>
      </c>
    </row>
    <row r="653" spans="1:3" x14ac:dyDescent="0.2">
      <c r="A653" t="s">
        <v>4</v>
      </c>
      <c r="B653" s="2">
        <v>45511</v>
      </c>
      <c r="C653">
        <v>41.489566802978523</v>
      </c>
    </row>
    <row r="654" spans="1:3" x14ac:dyDescent="0.2">
      <c r="A654" t="s">
        <v>4</v>
      </c>
      <c r="B654" s="2">
        <v>45512</v>
      </c>
      <c r="C654">
        <v>42.497123718261719</v>
      </c>
    </row>
    <row r="655" spans="1:3" x14ac:dyDescent="0.2">
      <c r="A655" t="s">
        <v>4</v>
      </c>
      <c r="B655" s="2">
        <v>45513</v>
      </c>
      <c r="C655">
        <v>43.018886566162109</v>
      </c>
    </row>
    <row r="656" spans="1:3" x14ac:dyDescent="0.2">
      <c r="A656" t="s">
        <v>4</v>
      </c>
      <c r="B656" s="2">
        <v>45516</v>
      </c>
      <c r="C656">
        <v>44.170375823974609</v>
      </c>
    </row>
    <row r="657" spans="1:3" x14ac:dyDescent="0.2">
      <c r="A657" t="s">
        <v>4</v>
      </c>
      <c r="B657" s="2">
        <v>45517</v>
      </c>
      <c r="C657">
        <v>44.152381896972663</v>
      </c>
    </row>
    <row r="658" spans="1:3" x14ac:dyDescent="0.2">
      <c r="A658" t="s">
        <v>4</v>
      </c>
      <c r="B658" s="2">
        <v>45518</v>
      </c>
      <c r="C658">
        <v>44.602180480957031</v>
      </c>
    </row>
    <row r="659" spans="1:3" x14ac:dyDescent="0.2">
      <c r="A659" t="s">
        <v>4</v>
      </c>
      <c r="B659" s="2">
        <v>45519</v>
      </c>
      <c r="C659">
        <v>45.420822143554688</v>
      </c>
    </row>
    <row r="660" spans="1:3" x14ac:dyDescent="0.2">
      <c r="A660" t="s">
        <v>4</v>
      </c>
      <c r="B660" s="2">
        <v>45520</v>
      </c>
      <c r="C660">
        <v>44.980010986328118</v>
      </c>
    </row>
    <row r="661" spans="1:3" x14ac:dyDescent="0.2">
      <c r="A661" t="s">
        <v>4</v>
      </c>
      <c r="B661" s="2">
        <v>45523</v>
      </c>
      <c r="C661">
        <v>44.890060424804688</v>
      </c>
    </row>
    <row r="662" spans="1:3" x14ac:dyDescent="0.2">
      <c r="A662" t="s">
        <v>4</v>
      </c>
      <c r="B662" s="2">
        <v>45524</v>
      </c>
      <c r="C662">
        <v>43.765552520751953</v>
      </c>
    </row>
    <row r="663" spans="1:3" x14ac:dyDescent="0.2">
      <c r="A663" t="s">
        <v>4</v>
      </c>
      <c r="B663" s="2">
        <v>45525</v>
      </c>
      <c r="C663">
        <v>43.630615234375</v>
      </c>
    </row>
    <row r="664" spans="1:3" x14ac:dyDescent="0.2">
      <c r="A664" t="s">
        <v>4</v>
      </c>
      <c r="B664" s="2">
        <v>45526</v>
      </c>
      <c r="C664">
        <v>43.846519470214837</v>
      </c>
    </row>
    <row r="665" spans="1:3" x14ac:dyDescent="0.2">
      <c r="A665" t="s">
        <v>4</v>
      </c>
      <c r="B665" s="2">
        <v>45527</v>
      </c>
      <c r="C665">
        <v>44.29632568359375</v>
      </c>
    </row>
    <row r="666" spans="1:3" x14ac:dyDescent="0.2">
      <c r="A666" t="s">
        <v>4</v>
      </c>
      <c r="B666" s="2">
        <v>45530</v>
      </c>
      <c r="C666">
        <v>45.393833160400391</v>
      </c>
    </row>
    <row r="667" spans="1:3" x14ac:dyDescent="0.2">
      <c r="A667" t="s">
        <v>4</v>
      </c>
      <c r="B667" s="2">
        <v>45531</v>
      </c>
      <c r="C667">
        <v>44.683147430419922</v>
      </c>
    </row>
    <row r="668" spans="1:3" x14ac:dyDescent="0.2">
      <c r="A668" t="s">
        <v>4</v>
      </c>
      <c r="B668" s="2">
        <v>45532</v>
      </c>
      <c r="C668">
        <v>44.278324127197273</v>
      </c>
    </row>
    <row r="669" spans="1:3" x14ac:dyDescent="0.2">
      <c r="A669" t="s">
        <v>4</v>
      </c>
      <c r="B669" s="2">
        <v>45533</v>
      </c>
      <c r="C669">
        <v>44.791107177734382</v>
      </c>
    </row>
    <row r="670" spans="1:3" x14ac:dyDescent="0.2">
      <c r="A670" t="s">
        <v>4</v>
      </c>
      <c r="B670" s="2">
        <v>45534</v>
      </c>
      <c r="C670">
        <v>43.882495880126953</v>
      </c>
    </row>
    <row r="671" spans="1:3" x14ac:dyDescent="0.2">
      <c r="A671" t="s">
        <v>4</v>
      </c>
      <c r="B671" s="2">
        <v>45538</v>
      </c>
      <c r="C671">
        <v>42.398162841796882</v>
      </c>
    </row>
    <row r="672" spans="1:3" x14ac:dyDescent="0.2">
      <c r="A672" t="s">
        <v>4</v>
      </c>
      <c r="B672" s="2">
        <v>45539</v>
      </c>
      <c r="C672">
        <v>41.561531066894531</v>
      </c>
    </row>
    <row r="673" spans="1:3" x14ac:dyDescent="0.2">
      <c r="A673" t="s">
        <v>4</v>
      </c>
      <c r="B673" s="2">
        <v>45540</v>
      </c>
      <c r="C673">
        <v>41.057758331298828</v>
      </c>
    </row>
    <row r="674" spans="1:3" x14ac:dyDescent="0.2">
      <c r="A674" t="s">
        <v>4</v>
      </c>
      <c r="B674" s="2">
        <v>45541</v>
      </c>
      <c r="C674">
        <v>40.54498291015625</v>
      </c>
    </row>
    <row r="675" spans="1:3" x14ac:dyDescent="0.2">
      <c r="A675" t="s">
        <v>4</v>
      </c>
      <c r="B675" s="2">
        <v>45544</v>
      </c>
      <c r="C675">
        <v>40.841854095458977</v>
      </c>
    </row>
    <row r="676" spans="1:3" x14ac:dyDescent="0.2">
      <c r="A676" t="s">
        <v>4</v>
      </c>
      <c r="B676" s="2">
        <v>45545</v>
      </c>
      <c r="C676">
        <v>39.411487579345703</v>
      </c>
    </row>
    <row r="677" spans="1:3" x14ac:dyDescent="0.2">
      <c r="A677" t="s">
        <v>4</v>
      </c>
      <c r="B677" s="2">
        <v>45546</v>
      </c>
      <c r="C677">
        <v>39.537429809570312</v>
      </c>
    </row>
    <row r="678" spans="1:3" x14ac:dyDescent="0.2">
      <c r="A678" t="s">
        <v>4</v>
      </c>
      <c r="B678" s="2">
        <v>45547</v>
      </c>
      <c r="C678">
        <v>39.852291107177727</v>
      </c>
    </row>
    <row r="679" spans="1:3" x14ac:dyDescent="0.2">
      <c r="A679" t="s">
        <v>4</v>
      </c>
      <c r="B679" s="2">
        <v>45548</v>
      </c>
      <c r="C679">
        <v>39.510898590087891</v>
      </c>
    </row>
    <row r="680" spans="1:3" x14ac:dyDescent="0.2">
      <c r="A680" t="s">
        <v>4</v>
      </c>
      <c r="B680" s="2">
        <v>45551</v>
      </c>
      <c r="C680">
        <v>39.993396759033203</v>
      </c>
    </row>
    <row r="681" spans="1:3" x14ac:dyDescent="0.2">
      <c r="A681" t="s">
        <v>4</v>
      </c>
      <c r="B681" s="2">
        <v>45552</v>
      </c>
      <c r="C681">
        <v>40.676197052001953</v>
      </c>
    </row>
    <row r="682" spans="1:3" x14ac:dyDescent="0.2">
      <c r="A682" t="s">
        <v>4</v>
      </c>
      <c r="B682" s="2">
        <v>45553</v>
      </c>
      <c r="C682">
        <v>40.712612152099609</v>
      </c>
    </row>
    <row r="683" spans="1:3" x14ac:dyDescent="0.2">
      <c r="A683" t="s">
        <v>4</v>
      </c>
      <c r="B683" s="2">
        <v>45554</v>
      </c>
      <c r="C683">
        <v>41.695827484130859</v>
      </c>
    </row>
    <row r="684" spans="1:3" x14ac:dyDescent="0.2">
      <c r="A684" t="s">
        <v>4</v>
      </c>
      <c r="B684" s="2">
        <v>45555</v>
      </c>
      <c r="C684">
        <v>41.195117950439453</v>
      </c>
    </row>
    <row r="685" spans="1:3" x14ac:dyDescent="0.2">
      <c r="A685" t="s">
        <v>4</v>
      </c>
      <c r="B685" s="2">
        <v>45558</v>
      </c>
      <c r="C685">
        <v>41.577480316162109</v>
      </c>
    </row>
    <row r="686" spans="1:3" x14ac:dyDescent="0.2">
      <c r="A686" t="s">
        <v>4</v>
      </c>
      <c r="B686" s="2">
        <v>45559</v>
      </c>
      <c r="C686">
        <v>42.351314544677727</v>
      </c>
    </row>
    <row r="687" spans="1:3" x14ac:dyDescent="0.2">
      <c r="A687" t="s">
        <v>4</v>
      </c>
      <c r="B687" s="2">
        <v>45560</v>
      </c>
      <c r="C687">
        <v>41.386295318603523</v>
      </c>
    </row>
    <row r="688" spans="1:3" x14ac:dyDescent="0.2">
      <c r="A688" t="s">
        <v>4</v>
      </c>
      <c r="B688" s="2">
        <v>45561</v>
      </c>
      <c r="C688">
        <v>40.029815673828118</v>
      </c>
    </row>
    <row r="689" spans="1:3" x14ac:dyDescent="0.2">
      <c r="A689" t="s">
        <v>4</v>
      </c>
      <c r="B689" s="2">
        <v>45562</v>
      </c>
      <c r="C689">
        <v>40.867378234863281</v>
      </c>
    </row>
    <row r="690" spans="1:3" x14ac:dyDescent="0.2">
      <c r="A690" t="s">
        <v>4</v>
      </c>
      <c r="B690" s="2">
        <v>45565</v>
      </c>
      <c r="C690">
        <v>40.885585784912109</v>
      </c>
    </row>
    <row r="691" spans="1:3" x14ac:dyDescent="0.2">
      <c r="A691" t="s">
        <v>4</v>
      </c>
      <c r="B691" s="2">
        <v>45566</v>
      </c>
      <c r="C691">
        <v>42.715469360351562</v>
      </c>
    </row>
    <row r="692" spans="1:3" x14ac:dyDescent="0.2">
      <c r="A692" t="s">
        <v>4</v>
      </c>
      <c r="B692" s="2">
        <v>45567</v>
      </c>
      <c r="C692">
        <v>42.597118377685547</v>
      </c>
    </row>
    <row r="693" spans="1:3" x14ac:dyDescent="0.2">
      <c r="A693" t="s">
        <v>4</v>
      </c>
      <c r="B693" s="2">
        <v>45568</v>
      </c>
      <c r="C693">
        <v>43.534820556640618</v>
      </c>
    </row>
    <row r="694" spans="1:3" x14ac:dyDescent="0.2">
      <c r="A694" t="s">
        <v>4</v>
      </c>
      <c r="B694" s="2">
        <v>45569</v>
      </c>
      <c r="C694">
        <v>43.898975372314453</v>
      </c>
    </row>
    <row r="695" spans="1:3" x14ac:dyDescent="0.2">
      <c r="A695" t="s">
        <v>4</v>
      </c>
      <c r="B695" s="2">
        <v>45572</v>
      </c>
      <c r="C695">
        <v>45.34649658203125</v>
      </c>
    </row>
    <row r="696" spans="1:3" x14ac:dyDescent="0.2">
      <c r="A696" t="s">
        <v>4</v>
      </c>
      <c r="B696" s="2">
        <v>45573</v>
      </c>
      <c r="C696">
        <v>45.164409637451172</v>
      </c>
    </row>
    <row r="697" spans="1:3" x14ac:dyDescent="0.2">
      <c r="A697" t="s">
        <v>4</v>
      </c>
      <c r="B697" s="2">
        <v>45574</v>
      </c>
      <c r="C697">
        <v>45.619609832763672</v>
      </c>
    </row>
    <row r="698" spans="1:3" x14ac:dyDescent="0.2">
      <c r="A698" t="s">
        <v>4</v>
      </c>
      <c r="B698" s="2">
        <v>45575</v>
      </c>
      <c r="C698">
        <v>46.857738494873047</v>
      </c>
    </row>
    <row r="699" spans="1:3" x14ac:dyDescent="0.2">
      <c r="A699" t="s">
        <v>4</v>
      </c>
      <c r="B699" s="2">
        <v>45576</v>
      </c>
      <c r="C699">
        <v>47.076229095458977</v>
      </c>
    </row>
    <row r="700" spans="1:3" x14ac:dyDescent="0.2">
      <c r="A700" t="s">
        <v>4</v>
      </c>
      <c r="B700" s="2">
        <v>45580</v>
      </c>
      <c r="C700">
        <v>44.381481170654297</v>
      </c>
    </row>
    <row r="701" spans="1:3" x14ac:dyDescent="0.2">
      <c r="A701" t="s">
        <v>4</v>
      </c>
      <c r="B701" s="2">
        <v>45581</v>
      </c>
      <c r="C701">
        <v>44.135677337646477</v>
      </c>
    </row>
    <row r="702" spans="1:3" x14ac:dyDescent="0.2">
      <c r="A702" t="s">
        <v>4</v>
      </c>
      <c r="B702" s="2">
        <v>45582</v>
      </c>
      <c r="C702">
        <v>44.836681365966797</v>
      </c>
    </row>
    <row r="703" spans="1:3" x14ac:dyDescent="0.2">
      <c r="A703" t="s">
        <v>4</v>
      </c>
      <c r="B703" s="2">
        <v>45583</v>
      </c>
      <c r="C703">
        <v>44.663700103759773</v>
      </c>
    </row>
    <row r="704" spans="1:3" x14ac:dyDescent="0.2">
      <c r="A704" t="s">
        <v>4</v>
      </c>
      <c r="B704" s="2">
        <v>45586</v>
      </c>
      <c r="C704">
        <v>44.973232269287109</v>
      </c>
    </row>
    <row r="705" spans="1:3" x14ac:dyDescent="0.2">
      <c r="A705" t="s">
        <v>4</v>
      </c>
      <c r="B705" s="2">
        <v>45587</v>
      </c>
      <c r="C705">
        <v>44.627288818359382</v>
      </c>
    </row>
    <row r="706" spans="1:3" x14ac:dyDescent="0.2">
      <c r="A706" t="s">
        <v>4</v>
      </c>
      <c r="B706" s="2">
        <v>45588</v>
      </c>
      <c r="C706">
        <v>44.226715087890618</v>
      </c>
    </row>
    <row r="707" spans="1:3" x14ac:dyDescent="0.2">
      <c r="A707" t="s">
        <v>4</v>
      </c>
      <c r="B707" s="2">
        <v>45589</v>
      </c>
      <c r="C707">
        <v>44.254024505615227</v>
      </c>
    </row>
    <row r="708" spans="1:3" x14ac:dyDescent="0.2">
      <c r="A708" t="s">
        <v>4</v>
      </c>
      <c r="B708" s="2">
        <v>45590</v>
      </c>
      <c r="C708">
        <v>44.964134216308587</v>
      </c>
    </row>
    <row r="709" spans="1:3" x14ac:dyDescent="0.2">
      <c r="A709" t="s">
        <v>4</v>
      </c>
      <c r="B709" s="2">
        <v>45593</v>
      </c>
      <c r="C709">
        <v>43.898975372314453</v>
      </c>
    </row>
    <row r="710" spans="1:3" x14ac:dyDescent="0.2">
      <c r="A710" t="s">
        <v>4</v>
      </c>
      <c r="B710" s="2">
        <v>45594</v>
      </c>
      <c r="C710">
        <v>43.607650756835938</v>
      </c>
    </row>
    <row r="711" spans="1:3" x14ac:dyDescent="0.2">
      <c r="A711" t="s">
        <v>4</v>
      </c>
      <c r="B711" s="2">
        <v>45595</v>
      </c>
      <c r="C711">
        <v>43.243492126464837</v>
      </c>
    </row>
    <row r="712" spans="1:3" x14ac:dyDescent="0.2">
      <c r="A712" t="s">
        <v>4</v>
      </c>
      <c r="B712" s="2">
        <v>45596</v>
      </c>
      <c r="C712">
        <v>43.106929779052727</v>
      </c>
    </row>
    <row r="713" spans="1:3" x14ac:dyDescent="0.2">
      <c r="A713" t="s">
        <v>4</v>
      </c>
      <c r="B713" s="2">
        <v>45597</v>
      </c>
      <c r="C713">
        <v>43.043212890625</v>
      </c>
    </row>
    <row r="714" spans="1:3" x14ac:dyDescent="0.2">
      <c r="A714" t="s">
        <v>4</v>
      </c>
      <c r="B714" s="2">
        <v>45600</v>
      </c>
      <c r="C714">
        <v>43.361843109130859</v>
      </c>
    </row>
    <row r="715" spans="1:3" x14ac:dyDescent="0.2">
      <c r="A715" t="s">
        <v>4</v>
      </c>
      <c r="B715" s="2">
        <v>45601</v>
      </c>
      <c r="C715">
        <v>43.325424194335938</v>
      </c>
    </row>
    <row r="716" spans="1:3" x14ac:dyDescent="0.2">
      <c r="A716" t="s">
        <v>4</v>
      </c>
      <c r="B716" s="2">
        <v>45602</v>
      </c>
      <c r="C716">
        <v>44.008216857910163</v>
      </c>
    </row>
    <row r="717" spans="1:3" x14ac:dyDescent="0.2">
      <c r="A717" t="s">
        <v>4</v>
      </c>
      <c r="B717" s="2">
        <v>45603</v>
      </c>
      <c r="C717">
        <v>43.935386657714837</v>
      </c>
    </row>
    <row r="718" spans="1:3" x14ac:dyDescent="0.2">
      <c r="A718" t="s">
        <v>4</v>
      </c>
      <c r="B718" s="2">
        <v>45604</v>
      </c>
      <c r="C718">
        <v>43.307216644287109</v>
      </c>
    </row>
    <row r="719" spans="1:3" x14ac:dyDescent="0.2">
      <c r="A719" t="s">
        <v>4</v>
      </c>
      <c r="B719" s="2">
        <v>45607</v>
      </c>
      <c r="C719">
        <v>43.425575256347663</v>
      </c>
    </row>
    <row r="720" spans="1:3" x14ac:dyDescent="0.2">
      <c r="A720" t="s">
        <v>4</v>
      </c>
      <c r="B720" s="2">
        <v>45608</v>
      </c>
      <c r="C720">
        <v>42.852020263671882</v>
      </c>
    </row>
    <row r="721" spans="1:3" x14ac:dyDescent="0.2">
      <c r="A721" t="s">
        <v>4</v>
      </c>
      <c r="B721" s="2">
        <v>45609</v>
      </c>
      <c r="C721">
        <v>42.515182495117188</v>
      </c>
    </row>
    <row r="722" spans="1:3" x14ac:dyDescent="0.2">
      <c r="A722" t="s">
        <v>4</v>
      </c>
      <c r="B722" s="2">
        <v>45610</v>
      </c>
      <c r="C722">
        <v>43.562126159667969</v>
      </c>
    </row>
    <row r="723" spans="1:3" x14ac:dyDescent="0.2">
      <c r="A723" t="s">
        <v>4</v>
      </c>
      <c r="B723" s="2">
        <v>45611</v>
      </c>
      <c r="C723">
        <v>42.433246612548828</v>
      </c>
    </row>
    <row r="724" spans="1:3" x14ac:dyDescent="0.2">
      <c r="A724" t="s">
        <v>4</v>
      </c>
      <c r="B724" s="2">
        <v>45614</v>
      </c>
      <c r="C724">
        <v>42.943058013916023</v>
      </c>
    </row>
    <row r="725" spans="1:3" x14ac:dyDescent="0.2">
      <c r="A725" t="s">
        <v>4</v>
      </c>
      <c r="B725" s="2">
        <v>45615</v>
      </c>
      <c r="C725">
        <v>42.824714660644531</v>
      </c>
    </row>
    <row r="726" spans="1:3" x14ac:dyDescent="0.2">
      <c r="A726" t="s">
        <v>4</v>
      </c>
      <c r="B726" s="2">
        <v>45616</v>
      </c>
      <c r="C726">
        <v>42.979476928710938</v>
      </c>
    </row>
    <row r="727" spans="1:3" x14ac:dyDescent="0.2">
      <c r="A727" t="s">
        <v>4</v>
      </c>
      <c r="B727" s="2">
        <v>45617</v>
      </c>
      <c r="C727">
        <v>43.9718017578125</v>
      </c>
    </row>
    <row r="728" spans="1:3" x14ac:dyDescent="0.2">
      <c r="A728" t="s">
        <v>4</v>
      </c>
      <c r="B728" s="2">
        <v>45618</v>
      </c>
      <c r="C728">
        <v>44.345066070556641</v>
      </c>
    </row>
    <row r="729" spans="1:3" x14ac:dyDescent="0.2">
      <c r="A729" t="s">
        <v>4</v>
      </c>
      <c r="B729" s="2">
        <v>45621</v>
      </c>
      <c r="C729">
        <v>43.325424194335938</v>
      </c>
    </row>
    <row r="730" spans="1:3" x14ac:dyDescent="0.2">
      <c r="A730" t="s">
        <v>4</v>
      </c>
      <c r="B730" s="2">
        <v>45622</v>
      </c>
      <c r="C730">
        <v>42.515182495117188</v>
      </c>
    </row>
    <row r="731" spans="1:3" x14ac:dyDescent="0.2">
      <c r="A731" t="s">
        <v>4</v>
      </c>
      <c r="B731" s="2">
        <v>45623</v>
      </c>
      <c r="C731">
        <v>42.806510925292969</v>
      </c>
    </row>
    <row r="732" spans="1:3" x14ac:dyDescent="0.2">
      <c r="A732" t="s">
        <v>4</v>
      </c>
      <c r="B732" s="2">
        <v>45624</v>
      </c>
      <c r="C732">
        <v>43.261699676513672</v>
      </c>
    </row>
    <row r="733" spans="1:3" x14ac:dyDescent="0.2">
      <c r="A733" t="s">
        <v>4</v>
      </c>
      <c r="B733" s="2">
        <v>45625</v>
      </c>
      <c r="C733">
        <v>43.261699676513672</v>
      </c>
    </row>
    <row r="734" spans="1:3" x14ac:dyDescent="0.2">
      <c r="A734" t="s">
        <v>4</v>
      </c>
      <c r="B734" s="2">
        <v>45628</v>
      </c>
      <c r="C734">
        <v>42.997692108154297</v>
      </c>
    </row>
    <row r="735" spans="1:3" x14ac:dyDescent="0.2">
      <c r="A735" t="s">
        <v>4</v>
      </c>
      <c r="B735" s="2">
        <v>45629</v>
      </c>
      <c r="C735">
        <v>43.826141357421882</v>
      </c>
    </row>
    <row r="736" spans="1:3" x14ac:dyDescent="0.2">
      <c r="A736" t="s">
        <v>4</v>
      </c>
      <c r="B736" s="2">
        <v>45630</v>
      </c>
      <c r="C736">
        <v>42.405933380126953</v>
      </c>
    </row>
    <row r="737" spans="1:3" x14ac:dyDescent="0.2">
      <c r="A737" t="s">
        <v>4</v>
      </c>
      <c r="B737" s="2">
        <v>45631</v>
      </c>
      <c r="C737">
        <v>42.460559844970703</v>
      </c>
    </row>
    <row r="738" spans="1:3" x14ac:dyDescent="0.2">
      <c r="A738" t="s">
        <v>4</v>
      </c>
      <c r="B738" s="2">
        <v>45632</v>
      </c>
      <c r="C738">
        <v>41.568374633789062</v>
      </c>
    </row>
    <row r="739" spans="1:3" x14ac:dyDescent="0.2">
      <c r="A739" t="s">
        <v>4</v>
      </c>
      <c r="B739" s="2">
        <v>45635</v>
      </c>
      <c r="C739">
        <v>41.786869049072273</v>
      </c>
    </row>
    <row r="740" spans="1:3" x14ac:dyDescent="0.2">
      <c r="A740" t="s">
        <v>4</v>
      </c>
      <c r="B740" s="2">
        <v>45636</v>
      </c>
      <c r="C740">
        <v>41.468235015869141</v>
      </c>
    </row>
    <row r="741" spans="1:3" x14ac:dyDescent="0.2">
      <c r="A741" t="s">
        <v>4</v>
      </c>
      <c r="B741" s="2">
        <v>45637</v>
      </c>
      <c r="C741">
        <v>41.932533264160163</v>
      </c>
    </row>
    <row r="742" spans="1:3" x14ac:dyDescent="0.2">
      <c r="A742" t="s">
        <v>4</v>
      </c>
      <c r="B742" s="2">
        <v>45638</v>
      </c>
      <c r="C742">
        <v>40.985725402832031</v>
      </c>
    </row>
    <row r="743" spans="1:3" x14ac:dyDescent="0.2">
      <c r="A743" t="s">
        <v>4</v>
      </c>
      <c r="B743" s="2">
        <v>45639</v>
      </c>
      <c r="C743">
        <v>41.28350830078125</v>
      </c>
    </row>
    <row r="744" spans="1:3" x14ac:dyDescent="0.2">
      <c r="A744" t="s">
        <v>4</v>
      </c>
      <c r="B744" s="2">
        <v>45642</v>
      </c>
      <c r="C744">
        <v>40.518310546875</v>
      </c>
    </row>
    <row r="745" spans="1:3" x14ac:dyDescent="0.2">
      <c r="A745" t="s">
        <v>4</v>
      </c>
      <c r="B745" s="2">
        <v>45643</v>
      </c>
      <c r="C745">
        <v>40.380023956298828</v>
      </c>
    </row>
    <row r="746" spans="1:3" x14ac:dyDescent="0.2">
      <c r="A746" t="s">
        <v>4</v>
      </c>
      <c r="B746" s="2">
        <v>45644</v>
      </c>
      <c r="C746">
        <v>39.494987487792969</v>
      </c>
    </row>
    <row r="747" spans="1:3" x14ac:dyDescent="0.2">
      <c r="A747" t="s">
        <v>4</v>
      </c>
      <c r="B747" s="2">
        <v>45645</v>
      </c>
      <c r="C747">
        <v>39.163097381591797</v>
      </c>
    </row>
    <row r="748" spans="1:3" x14ac:dyDescent="0.2">
      <c r="A748" t="s">
        <v>4</v>
      </c>
      <c r="B748" s="2">
        <v>45646</v>
      </c>
      <c r="C748">
        <v>39.181529998779297</v>
      </c>
    </row>
    <row r="749" spans="1:3" x14ac:dyDescent="0.2">
      <c r="A749" t="s">
        <v>4</v>
      </c>
      <c r="B749" s="2">
        <v>45649</v>
      </c>
      <c r="C749">
        <v>39.799217224121087</v>
      </c>
    </row>
    <row r="750" spans="1:3" x14ac:dyDescent="0.2">
      <c r="A750" t="s">
        <v>4</v>
      </c>
      <c r="B750" s="2">
        <v>45650</v>
      </c>
      <c r="C750">
        <v>40.075794219970703</v>
      </c>
    </row>
    <row r="751" spans="1:3" x14ac:dyDescent="0.2">
      <c r="A751" t="s">
        <v>4</v>
      </c>
      <c r="B751" s="2">
        <v>45653</v>
      </c>
      <c r="C751">
        <v>40.085010528564453</v>
      </c>
    </row>
    <row r="752" spans="1:3" x14ac:dyDescent="0.2">
      <c r="A752" t="s">
        <v>4</v>
      </c>
      <c r="B752" s="2">
        <v>45656</v>
      </c>
      <c r="C752">
        <v>40.038909912109382</v>
      </c>
    </row>
    <row r="753" spans="1:3" x14ac:dyDescent="0.2">
      <c r="A753" t="s">
        <v>4</v>
      </c>
      <c r="B753" s="2">
        <v>45657</v>
      </c>
      <c r="C753">
        <v>40.914741516113281</v>
      </c>
    </row>
    <row r="754" spans="1:3" x14ac:dyDescent="0.2">
      <c r="A754" t="s">
        <v>4</v>
      </c>
      <c r="B754" s="2">
        <v>45659</v>
      </c>
      <c r="C754">
        <v>41.652278900146477</v>
      </c>
    </row>
    <row r="755" spans="1:3" x14ac:dyDescent="0.2">
      <c r="A755" t="s">
        <v>4</v>
      </c>
      <c r="B755" s="2">
        <v>45660</v>
      </c>
      <c r="C755">
        <v>42.048702239990227</v>
      </c>
    </row>
    <row r="756" spans="1:3" x14ac:dyDescent="0.2">
      <c r="A756" t="s">
        <v>4</v>
      </c>
      <c r="B756" s="2">
        <v>45663</v>
      </c>
      <c r="C756">
        <v>42.620285034179688</v>
      </c>
    </row>
    <row r="757" spans="1:3" x14ac:dyDescent="0.2">
      <c r="A757" t="s">
        <v>4</v>
      </c>
      <c r="B757" s="2">
        <v>45664</v>
      </c>
      <c r="C757">
        <v>43.339382171630859</v>
      </c>
    </row>
    <row r="758" spans="1:3" x14ac:dyDescent="0.2">
      <c r="A758" t="s">
        <v>4</v>
      </c>
      <c r="B758" s="2">
        <v>45665</v>
      </c>
      <c r="C758">
        <v>43.320945739746087</v>
      </c>
    </row>
    <row r="759" spans="1:3" x14ac:dyDescent="0.2">
      <c r="A759" t="s">
        <v>4</v>
      </c>
      <c r="B759" s="2">
        <v>45666</v>
      </c>
      <c r="C759">
        <v>43.2471923828125</v>
      </c>
    </row>
    <row r="760" spans="1:3" x14ac:dyDescent="0.2">
      <c r="A760" t="s">
        <v>4</v>
      </c>
      <c r="B760" s="2">
        <v>45667</v>
      </c>
      <c r="C760">
        <v>43.579082489013672</v>
      </c>
    </row>
    <row r="761" spans="1:3" x14ac:dyDescent="0.2">
      <c r="A761" t="s">
        <v>4</v>
      </c>
      <c r="B761" s="2">
        <v>45670</v>
      </c>
      <c r="C761">
        <v>41.901191711425781</v>
      </c>
    </row>
    <row r="762" spans="1:3" x14ac:dyDescent="0.2">
      <c r="A762" t="s">
        <v>4</v>
      </c>
      <c r="B762" s="2">
        <v>45671</v>
      </c>
      <c r="C762">
        <v>41.726020812988281</v>
      </c>
    </row>
    <row r="763" spans="1:3" x14ac:dyDescent="0.2">
      <c r="A763" t="s">
        <v>4</v>
      </c>
      <c r="B763" s="2">
        <v>45672</v>
      </c>
      <c r="C763">
        <v>41.615398406982422</v>
      </c>
    </row>
    <row r="764" spans="1:3" x14ac:dyDescent="0.2">
      <c r="A764" t="s">
        <v>4</v>
      </c>
      <c r="B764" s="2">
        <v>45673</v>
      </c>
      <c r="C764">
        <v>40.868640899658203</v>
      </c>
    </row>
    <row r="765" spans="1:3" x14ac:dyDescent="0.2">
      <c r="A765" t="s">
        <v>4</v>
      </c>
      <c r="B765" s="2">
        <v>45674</v>
      </c>
      <c r="C765">
        <v>41.49554443359375</v>
      </c>
    </row>
    <row r="766" spans="1:3" x14ac:dyDescent="0.2">
      <c r="A766" t="s">
        <v>4</v>
      </c>
      <c r="B766" s="2">
        <v>45677</v>
      </c>
      <c r="C766">
        <v>43.302509307861328</v>
      </c>
    </row>
    <row r="767" spans="1:3" x14ac:dyDescent="0.2">
      <c r="A767" t="s">
        <v>4</v>
      </c>
      <c r="B767" s="2">
        <v>45678</v>
      </c>
      <c r="C767">
        <v>42.085575103759773</v>
      </c>
    </row>
    <row r="768" spans="1:3" x14ac:dyDescent="0.2">
      <c r="A768" t="s">
        <v>4</v>
      </c>
      <c r="B768" s="2">
        <v>45679</v>
      </c>
      <c r="C768">
        <v>41.845874786376953</v>
      </c>
    </row>
    <row r="769" spans="1:3" x14ac:dyDescent="0.2">
      <c r="A769" t="s">
        <v>4</v>
      </c>
      <c r="B769" s="2">
        <v>45680</v>
      </c>
      <c r="C769">
        <v>41.901191711425781</v>
      </c>
    </row>
    <row r="770" spans="1:3" x14ac:dyDescent="0.2">
      <c r="A770" t="s">
        <v>4</v>
      </c>
      <c r="B770" s="2">
        <v>45681</v>
      </c>
      <c r="C770">
        <v>41.440235137939453</v>
      </c>
    </row>
    <row r="771" spans="1:3" x14ac:dyDescent="0.2">
      <c r="A771" t="s">
        <v>4</v>
      </c>
      <c r="B771" s="2">
        <v>45684</v>
      </c>
      <c r="C771">
        <v>41.053020477294922</v>
      </c>
    </row>
    <row r="772" spans="1:3" x14ac:dyDescent="0.2">
      <c r="A772" t="s">
        <v>4</v>
      </c>
      <c r="B772" s="2">
        <v>45685</v>
      </c>
      <c r="C772">
        <v>40.361587524414062</v>
      </c>
    </row>
    <row r="773" spans="1:3" x14ac:dyDescent="0.2">
      <c r="A773" t="s">
        <v>4</v>
      </c>
      <c r="B773" s="2">
        <v>45686</v>
      </c>
      <c r="C773">
        <v>40.804103851318359</v>
      </c>
    </row>
    <row r="774" spans="1:3" x14ac:dyDescent="0.2">
      <c r="A774" t="s">
        <v>4</v>
      </c>
      <c r="B774" s="2">
        <v>45687</v>
      </c>
      <c r="C774">
        <v>41.30194091796875</v>
      </c>
    </row>
    <row r="775" spans="1:3" x14ac:dyDescent="0.2">
      <c r="A775" t="s">
        <v>4</v>
      </c>
      <c r="B775" s="2">
        <v>45688</v>
      </c>
      <c r="C775">
        <v>40.70269775390625</v>
      </c>
    </row>
    <row r="776" spans="1:3" x14ac:dyDescent="0.2">
      <c r="A776" t="s">
        <v>4</v>
      </c>
      <c r="B776" s="2">
        <v>45691</v>
      </c>
      <c r="C776">
        <v>40.31549072265625</v>
      </c>
    </row>
    <row r="777" spans="1:3" x14ac:dyDescent="0.2">
      <c r="A777" t="s">
        <v>4</v>
      </c>
      <c r="B777" s="2">
        <v>45692</v>
      </c>
      <c r="C777">
        <v>40.933177947998047</v>
      </c>
    </row>
    <row r="778" spans="1:3" x14ac:dyDescent="0.2">
      <c r="A778" t="s">
        <v>4</v>
      </c>
      <c r="B778" s="2">
        <v>45693</v>
      </c>
      <c r="C778">
        <v>41.080684661865227</v>
      </c>
    </row>
    <row r="779" spans="1:3" x14ac:dyDescent="0.2">
      <c r="A779" t="s">
        <v>4</v>
      </c>
      <c r="B779" s="2">
        <v>45694</v>
      </c>
      <c r="C779">
        <v>40.518310546875</v>
      </c>
    </row>
    <row r="780" spans="1:3" x14ac:dyDescent="0.2">
      <c r="A780" t="s">
        <v>4</v>
      </c>
      <c r="B780" s="2">
        <v>45695</v>
      </c>
      <c r="C780">
        <v>40.029689788818359</v>
      </c>
    </row>
    <row r="781" spans="1:3" x14ac:dyDescent="0.2">
      <c r="A781" t="s">
        <v>4</v>
      </c>
      <c r="B781" s="2">
        <v>45698</v>
      </c>
      <c r="C781">
        <v>40.499870300292969</v>
      </c>
    </row>
    <row r="782" spans="1:3" x14ac:dyDescent="0.2">
      <c r="A782" t="s">
        <v>4</v>
      </c>
      <c r="B782" s="2">
        <v>45699</v>
      </c>
      <c r="C782">
        <v>40.730358123779297</v>
      </c>
    </row>
    <row r="783" spans="1:3" x14ac:dyDescent="0.2">
      <c r="A783" t="s">
        <v>4</v>
      </c>
      <c r="B783" s="2">
        <v>45700</v>
      </c>
      <c r="C783">
        <v>39.550304412841797</v>
      </c>
    </row>
    <row r="784" spans="1:3" x14ac:dyDescent="0.2">
      <c r="A784" t="s">
        <v>4</v>
      </c>
      <c r="B784" s="2">
        <v>45701</v>
      </c>
      <c r="C784">
        <v>39.762340545654297</v>
      </c>
    </row>
    <row r="785" spans="1:3" x14ac:dyDescent="0.2">
      <c r="A785" t="s">
        <v>4</v>
      </c>
      <c r="B785" s="2">
        <v>45702</v>
      </c>
      <c r="C785">
        <v>39.3382568359375</v>
      </c>
    </row>
    <row r="786" spans="1:3" x14ac:dyDescent="0.2">
      <c r="A786" t="s">
        <v>4</v>
      </c>
      <c r="B786" s="2">
        <v>45706</v>
      </c>
      <c r="C786">
        <v>39.734683990478523</v>
      </c>
    </row>
    <row r="787" spans="1:3" x14ac:dyDescent="0.2">
      <c r="A787" t="s">
        <v>4</v>
      </c>
      <c r="B787" s="2">
        <v>45707</v>
      </c>
      <c r="C787">
        <v>39.9190673828125</v>
      </c>
    </row>
    <row r="788" spans="1:3" x14ac:dyDescent="0.2">
      <c r="A788" t="s">
        <v>4</v>
      </c>
      <c r="B788" s="2">
        <v>45708</v>
      </c>
      <c r="C788">
        <v>40.103450775146477</v>
      </c>
    </row>
    <row r="789" spans="1:3" x14ac:dyDescent="0.2">
      <c r="A789" t="s">
        <v>4</v>
      </c>
      <c r="B789" s="2">
        <v>45709</v>
      </c>
      <c r="C789">
        <v>39.329036712646477</v>
      </c>
    </row>
    <row r="790" spans="1:3" x14ac:dyDescent="0.2">
      <c r="A790" t="s">
        <v>4</v>
      </c>
      <c r="B790" s="2">
        <v>45712</v>
      </c>
      <c r="C790">
        <v>38.619155883789062</v>
      </c>
    </row>
    <row r="791" spans="1:3" x14ac:dyDescent="0.2">
      <c r="A791" t="s">
        <v>4</v>
      </c>
      <c r="B791" s="2">
        <v>45713</v>
      </c>
      <c r="C791">
        <v>38.038349151611328</v>
      </c>
    </row>
    <row r="792" spans="1:3" x14ac:dyDescent="0.2">
      <c r="A792" t="s">
        <v>4</v>
      </c>
      <c r="B792" s="2">
        <v>45714</v>
      </c>
      <c r="C792">
        <v>37.872406005859382</v>
      </c>
    </row>
    <row r="793" spans="1:3" x14ac:dyDescent="0.2">
      <c r="A793" t="s">
        <v>4</v>
      </c>
      <c r="B793" s="2">
        <v>45715</v>
      </c>
      <c r="C793">
        <v>37.614269256591797</v>
      </c>
    </row>
    <row r="794" spans="1:3" x14ac:dyDescent="0.2">
      <c r="A794" t="s">
        <v>4</v>
      </c>
      <c r="B794" s="2">
        <v>45716</v>
      </c>
      <c r="C794">
        <v>37.660366058349609</v>
      </c>
    </row>
    <row r="795" spans="1:3" x14ac:dyDescent="0.2">
      <c r="A795" t="s">
        <v>4</v>
      </c>
      <c r="B795" s="2">
        <v>45719</v>
      </c>
      <c r="C795">
        <v>35.724338531494141</v>
      </c>
    </row>
    <row r="796" spans="1:3" x14ac:dyDescent="0.2">
      <c r="A796" t="s">
        <v>4</v>
      </c>
      <c r="B796" s="2">
        <v>45720</v>
      </c>
      <c r="C796">
        <v>35.936378479003913</v>
      </c>
    </row>
    <row r="797" spans="1:3" x14ac:dyDescent="0.2">
      <c r="A797" t="s">
        <v>4</v>
      </c>
      <c r="B797" s="2">
        <v>45721</v>
      </c>
      <c r="C797">
        <v>36.332805633544922</v>
      </c>
    </row>
    <row r="798" spans="1:3" x14ac:dyDescent="0.2">
      <c r="A798" t="s">
        <v>4</v>
      </c>
      <c r="B798" s="2">
        <v>45722</v>
      </c>
      <c r="C798">
        <v>36.830638885498047</v>
      </c>
    </row>
    <row r="799" spans="1:3" x14ac:dyDescent="0.2">
      <c r="A799" t="s">
        <v>4</v>
      </c>
      <c r="B799" s="2">
        <v>45723</v>
      </c>
      <c r="C799">
        <v>37.5589599609375</v>
      </c>
    </row>
    <row r="800" spans="1:3" x14ac:dyDescent="0.2">
      <c r="A800" t="s">
        <v>4</v>
      </c>
      <c r="B800" s="2">
        <v>45726</v>
      </c>
      <c r="C800">
        <v>37.715682983398438</v>
      </c>
    </row>
    <row r="801" spans="1:3" x14ac:dyDescent="0.2">
      <c r="A801" t="s">
        <v>4</v>
      </c>
      <c r="B801" s="2">
        <v>45727</v>
      </c>
      <c r="C801">
        <v>38.167423248291023</v>
      </c>
    </row>
    <row r="802" spans="1:3" x14ac:dyDescent="0.2">
      <c r="A802" t="s">
        <v>4</v>
      </c>
      <c r="B802" s="2">
        <v>45728</v>
      </c>
      <c r="C802">
        <v>38.739009857177727</v>
      </c>
    </row>
    <row r="803" spans="1:3" x14ac:dyDescent="0.2">
      <c r="A803" t="s">
        <v>4</v>
      </c>
      <c r="B803" s="2">
        <v>45729</v>
      </c>
      <c r="C803">
        <v>38.158203125</v>
      </c>
    </row>
    <row r="804" spans="1:3" x14ac:dyDescent="0.2">
      <c r="A804" t="s">
        <v>4</v>
      </c>
      <c r="B804" s="2">
        <v>45730</v>
      </c>
      <c r="C804">
        <v>38.914180755615227</v>
      </c>
    </row>
    <row r="805" spans="1:3" x14ac:dyDescent="0.2">
      <c r="A805" t="s">
        <v>4</v>
      </c>
      <c r="B805" s="2">
        <v>45733</v>
      </c>
      <c r="C805">
        <v>39.264503479003913</v>
      </c>
    </row>
    <row r="806" spans="1:3" x14ac:dyDescent="0.2">
      <c r="A806" t="s">
        <v>4</v>
      </c>
      <c r="B806" s="2">
        <v>45734</v>
      </c>
      <c r="C806">
        <v>39.504203796386719</v>
      </c>
    </row>
    <row r="807" spans="1:3" x14ac:dyDescent="0.2">
      <c r="A807" t="s">
        <v>4</v>
      </c>
      <c r="B807" s="2">
        <v>45735</v>
      </c>
      <c r="C807">
        <v>40.573631286621087</v>
      </c>
    </row>
    <row r="808" spans="1:3" x14ac:dyDescent="0.2">
      <c r="A808" t="s">
        <v>4</v>
      </c>
      <c r="B808" s="2">
        <v>45736</v>
      </c>
      <c r="C808">
        <v>40.684257507324219</v>
      </c>
    </row>
    <row r="809" spans="1:3" x14ac:dyDescent="0.2">
      <c r="A809" t="s">
        <v>4</v>
      </c>
      <c r="B809" s="2">
        <v>45737</v>
      </c>
      <c r="C809">
        <v>40.616985321044922</v>
      </c>
    </row>
    <row r="810" spans="1:3" x14ac:dyDescent="0.2">
      <c r="A810" t="s">
        <v>4</v>
      </c>
      <c r="B810" s="2">
        <v>45740</v>
      </c>
      <c r="C810">
        <v>41.186954498291023</v>
      </c>
    </row>
    <row r="811" spans="1:3" x14ac:dyDescent="0.2">
      <c r="A811" t="s">
        <v>4</v>
      </c>
      <c r="B811" s="2">
        <v>45741</v>
      </c>
      <c r="C811">
        <v>41.532661437988281</v>
      </c>
    </row>
    <row r="812" spans="1:3" x14ac:dyDescent="0.2">
      <c r="A812" t="s">
        <v>4</v>
      </c>
      <c r="B812" s="2">
        <v>45742</v>
      </c>
      <c r="C812">
        <v>41.756916046142578</v>
      </c>
    </row>
    <row r="813" spans="1:3" x14ac:dyDescent="0.2">
      <c r="A813" t="s">
        <v>4</v>
      </c>
      <c r="B813" s="2">
        <v>45743</v>
      </c>
      <c r="C813">
        <v>41.373817443847663</v>
      </c>
    </row>
    <row r="814" spans="1:3" x14ac:dyDescent="0.2">
      <c r="A814" t="s">
        <v>4</v>
      </c>
      <c r="B814" s="2">
        <v>45744</v>
      </c>
      <c r="C814">
        <v>40.85992431640625</v>
      </c>
    </row>
    <row r="815" spans="1:3" x14ac:dyDescent="0.2">
      <c r="A815" t="s">
        <v>4</v>
      </c>
      <c r="B815" s="2">
        <v>45747</v>
      </c>
      <c r="C815">
        <v>41.373817443847663</v>
      </c>
    </row>
    <row r="816" spans="1:3" x14ac:dyDescent="0.2">
      <c r="A816" t="s">
        <v>4</v>
      </c>
      <c r="B816" s="2">
        <v>45748</v>
      </c>
      <c r="C816">
        <v>41.878376007080078</v>
      </c>
    </row>
    <row r="817" spans="1:3" x14ac:dyDescent="0.2">
      <c r="A817" t="s">
        <v>4</v>
      </c>
      <c r="B817" s="2">
        <v>45749</v>
      </c>
      <c r="C817">
        <v>42.102634429931641</v>
      </c>
    </row>
    <row r="818" spans="1:3" x14ac:dyDescent="0.2">
      <c r="A818" t="s">
        <v>4</v>
      </c>
      <c r="B818" s="2">
        <v>45750</v>
      </c>
      <c r="C818">
        <v>39.290176391601562</v>
      </c>
    </row>
    <row r="819" spans="1:3" x14ac:dyDescent="0.2">
      <c r="A819" t="s">
        <v>4</v>
      </c>
      <c r="B819" s="2">
        <v>45751</v>
      </c>
      <c r="C819">
        <v>36.664608001708977</v>
      </c>
    </row>
    <row r="820" spans="1:3" x14ac:dyDescent="0.2">
      <c r="A820" t="s">
        <v>4</v>
      </c>
      <c r="B820" s="2">
        <v>45754</v>
      </c>
      <c r="C820">
        <v>35.356491088867188</v>
      </c>
    </row>
    <row r="821" spans="1:3" x14ac:dyDescent="0.2">
      <c r="A821" t="s">
        <v>4</v>
      </c>
      <c r="B821" s="2">
        <v>45755</v>
      </c>
      <c r="C821">
        <v>33.497093200683587</v>
      </c>
    </row>
    <row r="822" spans="1:3" x14ac:dyDescent="0.2">
      <c r="A822" t="s">
        <v>4</v>
      </c>
      <c r="B822" s="2">
        <v>45756</v>
      </c>
      <c r="C822">
        <v>36.683292388916023</v>
      </c>
    </row>
    <row r="823" spans="1:3" x14ac:dyDescent="0.2">
      <c r="A823" t="s">
        <v>4</v>
      </c>
      <c r="B823" s="2">
        <v>45757</v>
      </c>
      <c r="C823">
        <v>34.207225799560547</v>
      </c>
    </row>
    <row r="824" spans="1:3" x14ac:dyDescent="0.2">
      <c r="A824" t="s">
        <v>4</v>
      </c>
      <c r="B824" s="2">
        <v>45758</v>
      </c>
      <c r="C824">
        <v>35.244369506835938</v>
      </c>
    </row>
    <row r="825" spans="1:3" x14ac:dyDescent="0.2">
      <c r="A825" t="s">
        <v>4</v>
      </c>
      <c r="B825" s="2">
        <v>45761</v>
      </c>
      <c r="C825">
        <v>35.49664306640625</v>
      </c>
    </row>
    <row r="826" spans="1:3" x14ac:dyDescent="0.2">
      <c r="A826" t="s">
        <v>4</v>
      </c>
      <c r="B826" s="2">
        <v>45762</v>
      </c>
      <c r="C826">
        <v>35.70220947265625</v>
      </c>
    </row>
    <row r="827" spans="1:3" x14ac:dyDescent="0.2">
      <c r="A827" t="s">
        <v>4</v>
      </c>
      <c r="B827" s="2">
        <v>45763</v>
      </c>
      <c r="C827">
        <v>36.505760192871087</v>
      </c>
    </row>
    <row r="828" spans="1:3" x14ac:dyDescent="0.2">
      <c r="A828" t="s">
        <v>4</v>
      </c>
      <c r="B828" s="2">
        <v>45764</v>
      </c>
      <c r="C828">
        <v>37.262603759765618</v>
      </c>
    </row>
    <row r="829" spans="1:3" x14ac:dyDescent="0.2">
      <c r="A829" t="s">
        <v>4</v>
      </c>
      <c r="B829" s="2">
        <v>45768</v>
      </c>
      <c r="C829">
        <v>37.019668579101562</v>
      </c>
    </row>
    <row r="830" spans="1:3" x14ac:dyDescent="0.2">
      <c r="A830" t="s">
        <v>4</v>
      </c>
      <c r="B830" s="2">
        <v>45769</v>
      </c>
      <c r="C830">
        <v>37.860595703125</v>
      </c>
    </row>
    <row r="831" spans="1:3" x14ac:dyDescent="0.2">
      <c r="A831" t="s">
        <v>4</v>
      </c>
      <c r="B831" s="2">
        <v>45770</v>
      </c>
      <c r="C831">
        <v>37.580291748046882</v>
      </c>
    </row>
    <row r="832" spans="1:3" x14ac:dyDescent="0.2">
      <c r="A832" t="s">
        <v>4</v>
      </c>
      <c r="B832" s="2">
        <v>45771</v>
      </c>
      <c r="C832">
        <v>38.019439697265618</v>
      </c>
    </row>
    <row r="833" spans="1:3" x14ac:dyDescent="0.2">
      <c r="A833" t="s">
        <v>4</v>
      </c>
      <c r="B833" s="2">
        <v>45772</v>
      </c>
      <c r="C833">
        <v>38.010097503662109</v>
      </c>
    </row>
    <row r="834" spans="1:3" x14ac:dyDescent="0.2">
      <c r="A834" t="s">
        <v>4</v>
      </c>
      <c r="B834" s="2">
        <v>45775</v>
      </c>
      <c r="C834">
        <v>38.215660095214837</v>
      </c>
    </row>
    <row r="835" spans="1:3" x14ac:dyDescent="0.2">
      <c r="A835" t="s">
        <v>4</v>
      </c>
      <c r="B835" s="2">
        <v>45776</v>
      </c>
      <c r="C835">
        <v>37.888629913330078</v>
      </c>
    </row>
    <row r="836" spans="1:3" x14ac:dyDescent="0.2">
      <c r="A836" t="s">
        <v>4</v>
      </c>
      <c r="B836" s="2">
        <v>45777</v>
      </c>
      <c r="C836">
        <v>36.963603973388672</v>
      </c>
    </row>
    <row r="837" spans="1:3" x14ac:dyDescent="0.2">
      <c r="A837" t="s">
        <v>4</v>
      </c>
      <c r="B837" s="2">
        <v>45778</v>
      </c>
      <c r="C837">
        <v>37.374732971191413</v>
      </c>
    </row>
    <row r="838" spans="1:3" x14ac:dyDescent="0.2">
      <c r="A838" t="s">
        <v>4</v>
      </c>
      <c r="B838" s="2">
        <v>45779</v>
      </c>
      <c r="C838">
        <v>37.412101745605469</v>
      </c>
    </row>
    <row r="839" spans="1:3" x14ac:dyDescent="0.2">
      <c r="A839" t="s">
        <v>4</v>
      </c>
      <c r="B839" s="2">
        <v>45782</v>
      </c>
      <c r="C839">
        <v>36.13201904296875</v>
      </c>
    </row>
    <row r="840" spans="1:3" x14ac:dyDescent="0.2">
      <c r="A840" t="s">
        <v>4</v>
      </c>
      <c r="B840" s="2">
        <v>45783</v>
      </c>
      <c r="C840">
        <v>36.701980590820312</v>
      </c>
    </row>
    <row r="841" spans="1:3" x14ac:dyDescent="0.2">
      <c r="A841" t="s">
        <v>4</v>
      </c>
      <c r="B841" s="2">
        <v>45784</v>
      </c>
      <c r="C841">
        <v>37.20654296875</v>
      </c>
    </row>
    <row r="842" spans="1:3" x14ac:dyDescent="0.2">
      <c r="A842" t="s">
        <v>4</v>
      </c>
      <c r="B842" s="2">
        <v>45785</v>
      </c>
      <c r="C842">
        <v>39.075275421142578</v>
      </c>
    </row>
    <row r="843" spans="1:3" x14ac:dyDescent="0.2">
      <c r="A843" t="s">
        <v>4</v>
      </c>
      <c r="B843" s="2">
        <v>45786</v>
      </c>
      <c r="C843">
        <v>39.738681793212891</v>
      </c>
    </row>
    <row r="844" spans="1:3" x14ac:dyDescent="0.2">
      <c r="A844" t="s">
        <v>4</v>
      </c>
      <c r="B844" s="2">
        <v>45789</v>
      </c>
      <c r="C844">
        <v>41.074821472167969</v>
      </c>
    </row>
    <row r="845" spans="1:3" x14ac:dyDescent="0.2">
      <c r="A845" t="s">
        <v>4</v>
      </c>
      <c r="B845" s="2">
        <v>45790</v>
      </c>
      <c r="C845">
        <v>41.981166839599609</v>
      </c>
    </row>
    <row r="846" spans="1:3" x14ac:dyDescent="0.2">
      <c r="A846" t="s">
        <v>4</v>
      </c>
      <c r="B846" s="2">
        <v>45791</v>
      </c>
      <c r="C846">
        <v>41.018768310546882</v>
      </c>
    </row>
    <row r="847" spans="1:3" x14ac:dyDescent="0.2">
      <c r="A847" t="s">
        <v>4</v>
      </c>
      <c r="B847" s="2">
        <v>45792</v>
      </c>
      <c r="C847">
        <v>40.317985534667969</v>
      </c>
    </row>
    <row r="848" spans="1:3" x14ac:dyDescent="0.2">
      <c r="A848" t="s">
        <v>4</v>
      </c>
      <c r="B848" s="2">
        <v>45793</v>
      </c>
      <c r="C848">
        <v>40.084392547607422</v>
      </c>
    </row>
    <row r="849" spans="1:3" x14ac:dyDescent="0.2">
      <c r="A849" t="s">
        <v>4</v>
      </c>
      <c r="B849" s="2">
        <v>45797</v>
      </c>
      <c r="C849">
        <v>39.925552368164062</v>
      </c>
    </row>
    <row r="850" spans="1:3" x14ac:dyDescent="0.2">
      <c r="A850" t="s">
        <v>4</v>
      </c>
      <c r="B850" s="2">
        <v>45798</v>
      </c>
      <c r="C850">
        <v>39.813426971435547</v>
      </c>
    </row>
    <row r="851" spans="1:3" x14ac:dyDescent="0.2">
      <c r="A851" t="s">
        <v>4</v>
      </c>
      <c r="B851" s="2">
        <v>45799</v>
      </c>
      <c r="C851">
        <v>39.962928771972663</v>
      </c>
    </row>
    <row r="852" spans="1:3" x14ac:dyDescent="0.2">
      <c r="A852" t="s">
        <v>4</v>
      </c>
      <c r="B852" s="2">
        <v>45800</v>
      </c>
      <c r="C852">
        <v>39.813426971435547</v>
      </c>
    </row>
    <row r="853" spans="1:3" x14ac:dyDescent="0.2">
      <c r="A853" t="s">
        <v>4</v>
      </c>
      <c r="B853" s="2">
        <v>45803</v>
      </c>
      <c r="C853">
        <v>39.990959167480469</v>
      </c>
    </row>
    <row r="854" spans="1:3" x14ac:dyDescent="0.2">
      <c r="A854" t="s">
        <v>4</v>
      </c>
      <c r="B854" s="2">
        <v>45804</v>
      </c>
      <c r="C854">
        <v>40.22454833984375</v>
      </c>
    </row>
    <row r="855" spans="1:3" x14ac:dyDescent="0.2">
      <c r="A855" t="s">
        <v>4</v>
      </c>
      <c r="B855" s="2">
        <v>45805</v>
      </c>
      <c r="C855">
        <v>39.757362365722663</v>
      </c>
    </row>
    <row r="856" spans="1:3" x14ac:dyDescent="0.2">
      <c r="A856" t="s">
        <v>4</v>
      </c>
      <c r="B856" s="2">
        <v>45806</v>
      </c>
      <c r="C856">
        <v>39.701309204101562</v>
      </c>
    </row>
    <row r="857" spans="1:3" x14ac:dyDescent="0.2">
      <c r="A857" t="s">
        <v>4</v>
      </c>
      <c r="B857" s="2">
        <v>45807</v>
      </c>
      <c r="C857">
        <v>38.935123443603523</v>
      </c>
    </row>
    <row r="858" spans="1:3" x14ac:dyDescent="0.2">
      <c r="A858" t="s">
        <v>4</v>
      </c>
      <c r="B858" s="2">
        <v>45810</v>
      </c>
      <c r="C858">
        <v>39.449028015136719</v>
      </c>
    </row>
    <row r="859" spans="1:3" x14ac:dyDescent="0.2">
      <c r="A859" t="s">
        <v>4</v>
      </c>
      <c r="B859" s="2">
        <v>45811</v>
      </c>
      <c r="C859">
        <v>40.308639526367188</v>
      </c>
    </row>
    <row r="860" spans="1:3" x14ac:dyDescent="0.2">
      <c r="A860" t="s">
        <v>4</v>
      </c>
      <c r="B860" s="2">
        <v>45812</v>
      </c>
      <c r="C860">
        <v>39.533119201660163</v>
      </c>
    </row>
    <row r="861" spans="1:3" x14ac:dyDescent="0.2">
      <c r="A861" t="s">
        <v>4</v>
      </c>
      <c r="B861" s="2">
        <v>45813</v>
      </c>
      <c r="C861">
        <v>39.579837799072273</v>
      </c>
    </row>
    <row r="862" spans="1:3" x14ac:dyDescent="0.2">
      <c r="A862" t="s">
        <v>4</v>
      </c>
      <c r="B862" s="2">
        <v>45814</v>
      </c>
      <c r="C862">
        <v>40.411422729492188</v>
      </c>
    </row>
    <row r="863" spans="1:3" x14ac:dyDescent="0.2">
      <c r="A863" t="s">
        <v>4</v>
      </c>
      <c r="B863" s="2">
        <v>45817</v>
      </c>
      <c r="C863">
        <v>40.439453125</v>
      </c>
    </row>
    <row r="864" spans="1:3" x14ac:dyDescent="0.2">
      <c r="A864" t="s">
        <v>4</v>
      </c>
      <c r="B864" s="2">
        <v>45818</v>
      </c>
      <c r="C864">
        <v>41.140224456787109</v>
      </c>
    </row>
    <row r="865" spans="1:3" x14ac:dyDescent="0.2">
      <c r="A865" t="s">
        <v>4</v>
      </c>
      <c r="B865" s="2">
        <v>45819</v>
      </c>
      <c r="C865">
        <v>41.794284820556641</v>
      </c>
    </row>
    <row r="866" spans="1:3" x14ac:dyDescent="0.2">
      <c r="A866" t="s">
        <v>4</v>
      </c>
      <c r="B866" s="2">
        <v>45820</v>
      </c>
      <c r="C866">
        <v>42.111968994140618</v>
      </c>
    </row>
    <row r="867" spans="1:3" x14ac:dyDescent="0.2">
      <c r="A867" t="s">
        <v>4</v>
      </c>
      <c r="B867" s="2">
        <v>45821</v>
      </c>
      <c r="C867">
        <v>43.454421997070312</v>
      </c>
    </row>
    <row r="868" spans="1:3" x14ac:dyDescent="0.2">
      <c r="A868" t="s">
        <v>4</v>
      </c>
      <c r="B868" s="2">
        <v>45824</v>
      </c>
      <c r="C868">
        <v>42.82958984375</v>
      </c>
    </row>
    <row r="869" spans="1:3" x14ac:dyDescent="0.2">
      <c r="A869" t="s">
        <v>4</v>
      </c>
      <c r="B869" s="2">
        <v>45825</v>
      </c>
      <c r="C869">
        <v>43.956184387207031</v>
      </c>
    </row>
    <row r="870" spans="1:3" x14ac:dyDescent="0.2">
      <c r="A870" t="s">
        <v>4</v>
      </c>
      <c r="B870" s="2">
        <v>45826</v>
      </c>
      <c r="C870">
        <v>43.549091339111328</v>
      </c>
    </row>
    <row r="871" spans="1:3" x14ac:dyDescent="0.2">
      <c r="A871" t="s">
        <v>4</v>
      </c>
      <c r="B871" s="2">
        <v>45827</v>
      </c>
      <c r="C871">
        <v>43.586963653564453</v>
      </c>
    </row>
    <row r="872" spans="1:3" x14ac:dyDescent="0.2">
      <c r="A872" t="s">
        <v>4</v>
      </c>
      <c r="B872" s="2">
        <v>45828</v>
      </c>
      <c r="C872">
        <v>43.549091339111328</v>
      </c>
    </row>
    <row r="873" spans="1:3" x14ac:dyDescent="0.2">
      <c r="A873" t="s">
        <v>4</v>
      </c>
      <c r="B873" s="2">
        <v>45831</v>
      </c>
      <c r="C873">
        <v>41.769260406494141</v>
      </c>
    </row>
    <row r="874" spans="1:3" x14ac:dyDescent="0.2">
      <c r="A874" t="s">
        <v>4</v>
      </c>
      <c r="B874" s="2">
        <v>45832</v>
      </c>
      <c r="C874">
        <v>40.955085754394531</v>
      </c>
    </row>
    <row r="875" spans="1:3" x14ac:dyDescent="0.2">
      <c r="A875" t="s">
        <v>4</v>
      </c>
      <c r="B875" s="2">
        <v>45833</v>
      </c>
      <c r="C875">
        <v>40.746803283691413</v>
      </c>
    </row>
    <row r="876" spans="1:3" x14ac:dyDescent="0.2">
      <c r="A876" t="s">
        <v>4</v>
      </c>
      <c r="B876" s="2">
        <v>45834</v>
      </c>
      <c r="C876">
        <v>41.239097595214837</v>
      </c>
    </row>
    <row r="877" spans="1:3" x14ac:dyDescent="0.2">
      <c r="A877" t="s">
        <v>4</v>
      </c>
      <c r="B877" s="2">
        <v>45835</v>
      </c>
      <c r="C877">
        <v>40.813076019287109</v>
      </c>
    </row>
    <row r="878" spans="1:3" x14ac:dyDescent="0.2">
      <c r="A878" t="s">
        <v>4</v>
      </c>
      <c r="B878" s="2">
        <v>45838</v>
      </c>
      <c r="C878">
        <v>40.51959228515625</v>
      </c>
    </row>
    <row r="879" spans="1:3" x14ac:dyDescent="0.2">
      <c r="A879" t="s">
        <v>4</v>
      </c>
      <c r="B879" s="2">
        <v>45840</v>
      </c>
      <c r="C879">
        <v>41.712459564208977</v>
      </c>
    </row>
    <row r="880" spans="1:3" x14ac:dyDescent="0.2">
      <c r="A880" t="s">
        <v>4</v>
      </c>
      <c r="B880" s="2">
        <v>45841</v>
      </c>
      <c r="C880">
        <v>41.456844329833977</v>
      </c>
    </row>
    <row r="881" spans="1:3" x14ac:dyDescent="0.2">
      <c r="A881" t="s">
        <v>4</v>
      </c>
      <c r="B881" s="2">
        <v>45842</v>
      </c>
      <c r="C881">
        <v>41.437908172607422</v>
      </c>
    </row>
    <row r="882" spans="1:3" x14ac:dyDescent="0.2">
      <c r="A882" t="s">
        <v>4</v>
      </c>
      <c r="B882" s="2">
        <v>45845</v>
      </c>
      <c r="C882">
        <v>41.078151702880859</v>
      </c>
    </row>
    <row r="883" spans="1:3" x14ac:dyDescent="0.2">
      <c r="A883" t="s">
        <v>4</v>
      </c>
      <c r="B883" s="2">
        <v>45846</v>
      </c>
      <c r="C883">
        <v>41.627254486083977</v>
      </c>
    </row>
    <row r="884" spans="1:3" x14ac:dyDescent="0.2">
      <c r="A884" t="s">
        <v>4</v>
      </c>
      <c r="B884" s="2">
        <v>45847</v>
      </c>
      <c r="C884">
        <v>41.447376251220703</v>
      </c>
    </row>
    <row r="885" spans="1:3" x14ac:dyDescent="0.2">
      <c r="A885" t="s">
        <v>4</v>
      </c>
      <c r="B885" s="2">
        <v>45848</v>
      </c>
      <c r="C885">
        <v>41.144428253173828</v>
      </c>
    </row>
    <row r="886" spans="1:3" x14ac:dyDescent="0.2">
      <c r="A886" t="s">
        <v>4</v>
      </c>
      <c r="B886" s="2">
        <v>45849</v>
      </c>
      <c r="C886">
        <v>41.570449829101562</v>
      </c>
    </row>
    <row r="887" spans="1:3" x14ac:dyDescent="0.2">
      <c r="A887" t="s">
        <v>4</v>
      </c>
      <c r="B887" s="2">
        <v>45852</v>
      </c>
      <c r="C887">
        <v>41.248565673828118</v>
      </c>
    </row>
    <row r="888" spans="1:3" x14ac:dyDescent="0.2">
      <c r="A888" t="s">
        <v>4</v>
      </c>
      <c r="B888" s="2">
        <v>45853</v>
      </c>
      <c r="C888">
        <v>40.680534362792969</v>
      </c>
    </row>
    <row r="889" spans="1:3" x14ac:dyDescent="0.2">
      <c r="A889" t="s">
        <v>4</v>
      </c>
      <c r="B889" s="2">
        <v>45854</v>
      </c>
      <c r="C889">
        <v>40.074634552001953</v>
      </c>
    </row>
    <row r="890" spans="1:3" x14ac:dyDescent="0.2">
      <c r="A890" t="s">
        <v>4</v>
      </c>
      <c r="B890" s="2">
        <v>45855</v>
      </c>
      <c r="C890">
        <v>40.349178314208977</v>
      </c>
    </row>
    <row r="891" spans="1:3" x14ac:dyDescent="0.2">
      <c r="A891" t="s">
        <v>4</v>
      </c>
      <c r="B891" s="2">
        <v>45856</v>
      </c>
      <c r="C891">
        <v>40.046234130859382</v>
      </c>
    </row>
    <row r="892" spans="1:3" x14ac:dyDescent="0.2">
      <c r="A892" t="s">
        <v>4</v>
      </c>
      <c r="B892" s="2">
        <v>45859</v>
      </c>
      <c r="C892">
        <v>39.601276397705078</v>
      </c>
    </row>
    <row r="893" spans="1:3" x14ac:dyDescent="0.2">
      <c r="A893" t="s">
        <v>4</v>
      </c>
      <c r="B893" s="2">
        <v>45860</v>
      </c>
      <c r="C893">
        <v>40.17877197265625</v>
      </c>
    </row>
    <row r="894" spans="1:3" x14ac:dyDescent="0.2">
      <c r="A894" t="s">
        <v>4</v>
      </c>
      <c r="B894" s="2">
        <v>45861</v>
      </c>
      <c r="C894">
        <v>40.405982971191413</v>
      </c>
    </row>
    <row r="895" spans="1:3" x14ac:dyDescent="0.2">
      <c r="A895" t="s">
        <v>4</v>
      </c>
      <c r="B895" s="2">
        <v>45862</v>
      </c>
      <c r="C895">
        <v>40.841476440429688</v>
      </c>
    </row>
    <row r="896" spans="1:3" x14ac:dyDescent="0.2">
      <c r="A896" t="s">
        <v>4</v>
      </c>
      <c r="B896" s="2">
        <v>45863</v>
      </c>
      <c r="C896">
        <v>40.718402862548828</v>
      </c>
    </row>
    <row r="897" spans="1:3" x14ac:dyDescent="0.2">
      <c r="A897" t="s">
        <v>4</v>
      </c>
      <c r="B897" s="2">
        <v>45866</v>
      </c>
      <c r="C897">
        <v>41.532581329345703</v>
      </c>
    </row>
    <row r="898" spans="1:3" x14ac:dyDescent="0.2">
      <c r="A898" t="s">
        <v>4</v>
      </c>
      <c r="B898" s="2">
        <v>45867</v>
      </c>
      <c r="C898">
        <v>42.024871826171882</v>
      </c>
    </row>
    <row r="899" spans="1:3" x14ac:dyDescent="0.2">
      <c r="A899" t="s">
        <v>4</v>
      </c>
      <c r="B899" s="2">
        <v>45868</v>
      </c>
      <c r="C899">
        <v>41.769260406494141</v>
      </c>
    </row>
    <row r="900" spans="1:3" x14ac:dyDescent="0.2">
      <c r="A900" t="s">
        <v>4</v>
      </c>
      <c r="B900" s="2">
        <v>45869</v>
      </c>
      <c r="C900">
        <v>41.523109436035163</v>
      </c>
    </row>
    <row r="901" spans="1:3" x14ac:dyDescent="0.2">
      <c r="A901" t="s">
        <v>4</v>
      </c>
      <c r="B901" s="2">
        <v>45870</v>
      </c>
      <c r="C901">
        <v>40.443855285644531</v>
      </c>
    </row>
    <row r="902" spans="1:3" x14ac:dyDescent="0.2">
      <c r="A902" t="s">
        <v>4</v>
      </c>
      <c r="B902" s="2">
        <v>45874</v>
      </c>
      <c r="C902">
        <v>40.992946624755859</v>
      </c>
    </row>
    <row r="903" spans="1:3" x14ac:dyDescent="0.2">
      <c r="A903" t="s">
        <v>4</v>
      </c>
      <c r="B903" s="2">
        <v>45875</v>
      </c>
      <c r="C903">
        <v>40.822540283203118</v>
      </c>
    </row>
    <row r="904" spans="1:3" x14ac:dyDescent="0.2">
      <c r="A904" t="s">
        <v>4</v>
      </c>
      <c r="B904" s="2">
        <v>45876</v>
      </c>
      <c r="C904">
        <v>39.582340240478523</v>
      </c>
    </row>
    <row r="905" spans="1:3" x14ac:dyDescent="0.2">
      <c r="A905" t="s">
        <v>4</v>
      </c>
      <c r="B905" s="2">
        <v>45877</v>
      </c>
      <c r="C905">
        <v>39.487667083740227</v>
      </c>
    </row>
    <row r="906" spans="1:3" x14ac:dyDescent="0.2">
      <c r="A906" t="s">
        <v>4</v>
      </c>
      <c r="B906" s="2">
        <v>45880</v>
      </c>
      <c r="C906">
        <v>39.004840850830078</v>
      </c>
    </row>
    <row r="907" spans="1:3" x14ac:dyDescent="0.2">
      <c r="A907" t="s">
        <v>4</v>
      </c>
      <c r="B907" s="2">
        <v>45881</v>
      </c>
      <c r="C907">
        <v>38.985904693603523</v>
      </c>
    </row>
    <row r="908" spans="1:3" x14ac:dyDescent="0.2">
      <c r="A908" t="s">
        <v>4</v>
      </c>
      <c r="B908" s="2">
        <v>45882</v>
      </c>
      <c r="C908">
        <v>39.004840850830078</v>
      </c>
    </row>
    <row r="909" spans="1:3" x14ac:dyDescent="0.2">
      <c r="A909" t="s">
        <v>4</v>
      </c>
      <c r="B909" s="2">
        <v>45883</v>
      </c>
      <c r="C909">
        <v>38.957508087158203</v>
      </c>
    </row>
    <row r="910" spans="1:3" x14ac:dyDescent="0.2">
      <c r="A910" t="s">
        <v>4</v>
      </c>
      <c r="B910" s="2">
        <v>45884</v>
      </c>
      <c r="C910">
        <v>39.033241271972663</v>
      </c>
    </row>
    <row r="911" spans="1:3" x14ac:dyDescent="0.2">
      <c r="A911" t="s">
        <v>4</v>
      </c>
      <c r="B911" s="2">
        <v>45887</v>
      </c>
      <c r="C911">
        <v>38.929100036621087</v>
      </c>
    </row>
    <row r="912" spans="1:3" x14ac:dyDescent="0.2">
      <c r="A912" t="s">
        <v>4</v>
      </c>
      <c r="B912" s="2">
        <v>45888</v>
      </c>
      <c r="C912">
        <v>38.493614196777337</v>
      </c>
    </row>
    <row r="913" spans="1:3" x14ac:dyDescent="0.2">
      <c r="A913" t="s">
        <v>4</v>
      </c>
      <c r="B913" s="2">
        <v>45889</v>
      </c>
      <c r="C913">
        <v>38.910167694091797</v>
      </c>
    </row>
    <row r="914" spans="1:3" x14ac:dyDescent="0.2">
      <c r="A914" t="s">
        <v>4</v>
      </c>
      <c r="B914" s="2">
        <v>45890</v>
      </c>
      <c r="C914">
        <v>39.705413818359382</v>
      </c>
    </row>
    <row r="915" spans="1:3" x14ac:dyDescent="0.2">
      <c r="A915" t="s">
        <v>4</v>
      </c>
      <c r="B915" s="2">
        <v>45891</v>
      </c>
      <c r="C915">
        <v>40.775203704833977</v>
      </c>
    </row>
    <row r="916" spans="1:3" x14ac:dyDescent="0.2">
      <c r="A916" t="s">
        <v>4</v>
      </c>
      <c r="B916" s="2">
        <v>45894</v>
      </c>
      <c r="C916">
        <v>40.737335205078118</v>
      </c>
    </row>
    <row r="917" spans="1:3" x14ac:dyDescent="0.2">
      <c r="A917" t="s">
        <v>4</v>
      </c>
      <c r="B917" s="2">
        <v>45895</v>
      </c>
      <c r="C917">
        <v>39.913692474365227</v>
      </c>
    </row>
    <row r="918" spans="1:3" x14ac:dyDescent="0.2">
      <c r="A918" t="s">
        <v>4</v>
      </c>
      <c r="B918" s="2">
        <v>45896</v>
      </c>
      <c r="C918">
        <v>40.860408782958977</v>
      </c>
    </row>
    <row r="919" spans="1:3" x14ac:dyDescent="0.2">
      <c r="A919" t="s">
        <v>4</v>
      </c>
      <c r="B919" s="2">
        <v>45897</v>
      </c>
      <c r="C919">
        <v>41.021358489990227</v>
      </c>
    </row>
    <row r="920" spans="1:3" x14ac:dyDescent="0.2">
      <c r="A920" t="s">
        <v>4</v>
      </c>
      <c r="B920" s="2">
        <v>45898</v>
      </c>
      <c r="C920">
        <v>41.172824859619141</v>
      </c>
    </row>
    <row r="921" spans="1:3" x14ac:dyDescent="0.2">
      <c r="A921" t="s">
        <v>4</v>
      </c>
      <c r="B921" s="2">
        <v>45902</v>
      </c>
      <c r="C921">
        <v>41.759796142578118</v>
      </c>
    </row>
    <row r="922" spans="1:3" x14ac:dyDescent="0.2">
      <c r="A922" t="s">
        <v>4</v>
      </c>
      <c r="B922" s="2">
        <v>45903</v>
      </c>
      <c r="C922">
        <v>40.784679412841797</v>
      </c>
    </row>
    <row r="923" spans="1:3" x14ac:dyDescent="0.2">
      <c r="A923" t="s">
        <v>4</v>
      </c>
      <c r="B923" s="2">
        <v>45904</v>
      </c>
      <c r="C923">
        <v>41.078151702880859</v>
      </c>
    </row>
    <row r="924" spans="1:3" x14ac:dyDescent="0.2">
      <c r="A924" t="s">
        <v>4</v>
      </c>
      <c r="B924" s="2">
        <v>45905</v>
      </c>
      <c r="C924">
        <v>39.819015502929688</v>
      </c>
    </row>
    <row r="925" spans="1:3" x14ac:dyDescent="0.2">
      <c r="A925" t="s">
        <v>4</v>
      </c>
      <c r="B925" s="2">
        <v>45908</v>
      </c>
      <c r="C925">
        <v>39.629676818847663</v>
      </c>
    </row>
    <row r="926" spans="1:3" x14ac:dyDescent="0.2">
      <c r="A926" t="s">
        <v>4</v>
      </c>
      <c r="B926" s="2">
        <v>45909</v>
      </c>
      <c r="C926">
        <v>40.538524627685547</v>
      </c>
    </row>
    <row r="927" spans="1:3" x14ac:dyDescent="0.2">
      <c r="A927" t="s">
        <v>4</v>
      </c>
      <c r="B927" s="2">
        <v>45910</v>
      </c>
      <c r="C927">
        <v>40.936149597167969</v>
      </c>
    </row>
    <row r="928" spans="1:3" x14ac:dyDescent="0.2">
      <c r="A928" t="s">
        <v>4</v>
      </c>
      <c r="B928" s="2">
        <v>45911</v>
      </c>
      <c r="C928">
        <v>40.879344940185547</v>
      </c>
    </row>
    <row r="929" spans="1:3" x14ac:dyDescent="0.2">
      <c r="A929" t="s">
        <v>4</v>
      </c>
      <c r="B929" s="2">
        <v>45912</v>
      </c>
      <c r="C929">
        <v>40.907741546630859</v>
      </c>
    </row>
    <row r="930" spans="1:3" x14ac:dyDescent="0.2">
      <c r="A930" t="s">
        <v>4</v>
      </c>
      <c r="B930" s="2">
        <v>45915</v>
      </c>
      <c r="C930">
        <v>41.797664642333977</v>
      </c>
    </row>
    <row r="931" spans="1:3" x14ac:dyDescent="0.2">
      <c r="A931" t="s">
        <v>4</v>
      </c>
      <c r="B931" s="2">
        <v>45916</v>
      </c>
      <c r="C931">
        <v>42.867454528808587</v>
      </c>
    </row>
    <row r="932" spans="1:3" x14ac:dyDescent="0.2">
      <c r="A932" t="s">
        <v>4</v>
      </c>
      <c r="B932" s="2">
        <v>45917</v>
      </c>
      <c r="C932">
        <v>42.734916687011719</v>
      </c>
    </row>
    <row r="933" spans="1:3" x14ac:dyDescent="0.2">
      <c r="A933" t="s">
        <v>4</v>
      </c>
      <c r="B933" s="2">
        <v>45918</v>
      </c>
      <c r="C933">
        <v>42.498233795166023</v>
      </c>
    </row>
    <row r="934" spans="1:3" x14ac:dyDescent="0.2">
      <c r="A934" t="s">
        <v>4</v>
      </c>
      <c r="B934" s="2">
        <v>45919</v>
      </c>
      <c r="C934">
        <v>41.805629730224609</v>
      </c>
    </row>
    <row r="935" spans="1:3" x14ac:dyDescent="0.2">
      <c r="A935" t="s">
        <v>4</v>
      </c>
      <c r="B935" s="2">
        <v>45922</v>
      </c>
      <c r="C935">
        <v>42.592243194580078</v>
      </c>
    </row>
    <row r="936" spans="1:3" x14ac:dyDescent="0.2">
      <c r="A936" t="s">
        <v>4</v>
      </c>
      <c r="B936" s="2">
        <v>45923</v>
      </c>
      <c r="C936">
        <v>42.630615234375</v>
      </c>
    </row>
    <row r="937" spans="1:3" x14ac:dyDescent="0.2">
      <c r="A937" t="s">
        <v>4</v>
      </c>
      <c r="B937" s="2">
        <v>45924</v>
      </c>
      <c r="C937">
        <v>43.695419311523438</v>
      </c>
    </row>
    <row r="938" spans="1:3" x14ac:dyDescent="0.2">
      <c r="A938" t="s">
        <v>4</v>
      </c>
      <c r="B938" s="2">
        <v>45925</v>
      </c>
      <c r="C938">
        <v>43.426822662353523</v>
      </c>
    </row>
    <row r="939" spans="1:3" x14ac:dyDescent="0.2">
      <c r="A939" t="s">
        <v>4</v>
      </c>
      <c r="B939" s="2">
        <v>45926</v>
      </c>
      <c r="C939">
        <v>43.714607238769531</v>
      </c>
    </row>
    <row r="940" spans="1:3" x14ac:dyDescent="0.2">
      <c r="A940" t="s">
        <v>4</v>
      </c>
      <c r="B940" s="2">
        <v>45929</v>
      </c>
      <c r="C940">
        <v>43.19659423828125</v>
      </c>
    </row>
    <row r="941" spans="1:3" x14ac:dyDescent="0.2">
      <c r="A941" t="s">
        <v>4</v>
      </c>
      <c r="B941" s="2">
        <v>45930</v>
      </c>
      <c r="C941">
        <v>42.68817138671875</v>
      </c>
    </row>
    <row r="942" spans="1:3" x14ac:dyDescent="0.2">
      <c r="A942" t="s">
        <v>4</v>
      </c>
      <c r="B942" s="2">
        <v>45931</v>
      </c>
      <c r="C942">
        <v>42.457942962646477</v>
      </c>
    </row>
    <row r="943" spans="1:3" x14ac:dyDescent="0.2">
      <c r="A943" t="s">
        <v>4</v>
      </c>
      <c r="B943" s="2">
        <v>45932</v>
      </c>
      <c r="C943">
        <v>42.131782531738281</v>
      </c>
    </row>
    <row r="944" spans="1:3" x14ac:dyDescent="0.2">
      <c r="A944" t="s">
        <v>4</v>
      </c>
      <c r="B944" s="2">
        <v>45933</v>
      </c>
      <c r="C944">
        <v>42.592243194580078</v>
      </c>
    </row>
    <row r="945" spans="1:3" x14ac:dyDescent="0.2">
      <c r="A945" t="s">
        <v>4</v>
      </c>
      <c r="B945" s="2">
        <v>45936</v>
      </c>
      <c r="C945">
        <v>43.436412811279297</v>
      </c>
    </row>
    <row r="946" spans="1:3" x14ac:dyDescent="0.2">
      <c r="A946" t="s">
        <v>4</v>
      </c>
      <c r="B946" s="2">
        <v>45937</v>
      </c>
      <c r="C946">
        <v>43.858497619628913</v>
      </c>
    </row>
    <row r="947" spans="1:3" x14ac:dyDescent="0.2">
      <c r="A947" t="s">
        <v>4</v>
      </c>
      <c r="B947" s="2">
        <v>45938</v>
      </c>
      <c r="C947">
        <v>43.695419311523438</v>
      </c>
    </row>
    <row r="948" spans="1:3" x14ac:dyDescent="0.2">
      <c r="A948" t="s">
        <v>4</v>
      </c>
      <c r="B948" s="2">
        <v>45939</v>
      </c>
      <c r="C948">
        <v>44.011985778808587</v>
      </c>
    </row>
    <row r="949" spans="1:3" x14ac:dyDescent="0.2">
      <c r="A949" t="s">
        <v>4</v>
      </c>
      <c r="B949" s="2">
        <v>45940</v>
      </c>
      <c r="C949">
        <v>42.179752349853523</v>
      </c>
    </row>
    <row r="950" spans="1:3" x14ac:dyDescent="0.2">
      <c r="A950" t="s">
        <v>4</v>
      </c>
      <c r="B950" s="2">
        <v>45944</v>
      </c>
      <c r="C950">
        <v>41.671329498291023</v>
      </c>
    </row>
    <row r="951" spans="1:3" x14ac:dyDescent="0.2">
      <c r="A951" t="s">
        <v>4</v>
      </c>
      <c r="B951" s="2">
        <v>45945</v>
      </c>
      <c r="C951">
        <v>41.594589233398438</v>
      </c>
    </row>
    <row r="952" spans="1:3" x14ac:dyDescent="0.2">
      <c r="A952" t="s">
        <v>4</v>
      </c>
      <c r="B952" s="2">
        <v>45946</v>
      </c>
      <c r="C952">
        <v>40.760013580322273</v>
      </c>
    </row>
    <row r="953" spans="1:3" x14ac:dyDescent="0.2">
      <c r="A953" t="s">
        <v>4</v>
      </c>
      <c r="B953" s="2">
        <v>45947</v>
      </c>
      <c r="C953">
        <v>40.472225189208977</v>
      </c>
    </row>
    <row r="954" spans="1:3" x14ac:dyDescent="0.2">
      <c r="A954" t="s">
        <v>4</v>
      </c>
      <c r="B954" s="2">
        <v>45950</v>
      </c>
      <c r="C954">
        <v>40.510597229003913</v>
      </c>
    </row>
    <row r="955" spans="1:3" x14ac:dyDescent="0.2">
      <c r="A955" t="s">
        <v>4</v>
      </c>
      <c r="B955" s="2">
        <v>45951</v>
      </c>
      <c r="C955">
        <v>40.203620910644531</v>
      </c>
    </row>
    <row r="956" spans="1:3" x14ac:dyDescent="0.2">
      <c r="A956" t="s">
        <v>4</v>
      </c>
      <c r="B956" s="2">
        <v>45952</v>
      </c>
      <c r="C956">
        <v>40.721637725830078</v>
      </c>
    </row>
    <row r="957" spans="1:3" x14ac:dyDescent="0.2">
      <c r="A957" t="s">
        <v>4</v>
      </c>
      <c r="B957" s="2">
        <v>45953</v>
      </c>
      <c r="C957">
        <v>41.901557922363281</v>
      </c>
    </row>
    <row r="958" spans="1:3" x14ac:dyDescent="0.2">
      <c r="A958" t="s">
        <v>4</v>
      </c>
      <c r="B958" s="2">
        <v>45954</v>
      </c>
      <c r="C958">
        <v>41.997486114501953</v>
      </c>
    </row>
    <row r="959" spans="1:3" x14ac:dyDescent="0.2">
      <c r="A959" t="s">
        <v>4</v>
      </c>
      <c r="B959" s="2">
        <v>45957</v>
      </c>
      <c r="C959">
        <v>42.314052581787109</v>
      </c>
    </row>
    <row r="960" spans="1:3" x14ac:dyDescent="0.2">
      <c r="A960" t="s">
        <v>4</v>
      </c>
      <c r="B960" s="2">
        <v>45958</v>
      </c>
      <c r="C960">
        <v>41.901557922363281</v>
      </c>
    </row>
    <row r="961" spans="1:3" x14ac:dyDescent="0.2">
      <c r="A961" t="s">
        <v>4</v>
      </c>
      <c r="B961" s="2">
        <v>45959</v>
      </c>
      <c r="C961">
        <v>43.004734039306641</v>
      </c>
    </row>
    <row r="962" spans="1:3" x14ac:dyDescent="0.2">
      <c r="A962" t="s">
        <v>4</v>
      </c>
      <c r="B962" s="2">
        <v>45960</v>
      </c>
      <c r="C962">
        <v>42.851249694824219</v>
      </c>
    </row>
    <row r="963" spans="1:3" x14ac:dyDescent="0.2">
      <c r="A963" t="s">
        <v>4</v>
      </c>
      <c r="B963" s="2">
        <v>45961</v>
      </c>
      <c r="C963">
        <v>43.043106079101562</v>
      </c>
    </row>
    <row r="964" spans="1:3" x14ac:dyDescent="0.2">
      <c r="A964" t="s">
        <v>4</v>
      </c>
      <c r="B964" s="2">
        <v>45964</v>
      </c>
      <c r="C964">
        <v>43.071884155273438</v>
      </c>
    </row>
    <row r="965" spans="1:3" x14ac:dyDescent="0.2">
      <c r="A965" t="s">
        <v>4</v>
      </c>
      <c r="B965" s="2">
        <v>45965</v>
      </c>
      <c r="C965">
        <v>42.381202697753913</v>
      </c>
    </row>
    <row r="966" spans="1:3" x14ac:dyDescent="0.2">
      <c r="A966" t="s">
        <v>4</v>
      </c>
      <c r="B966" s="2">
        <v>45966</v>
      </c>
      <c r="C966">
        <v>43.177402496337891</v>
      </c>
    </row>
    <row r="967" spans="1:3" x14ac:dyDescent="0.2">
      <c r="A967" t="s">
        <v>4</v>
      </c>
      <c r="B967" s="2">
        <v>45967</v>
      </c>
      <c r="C967">
        <v>42.630615234375</v>
      </c>
    </row>
    <row r="968" spans="1:3" x14ac:dyDescent="0.2">
      <c r="A968" t="s">
        <v>4</v>
      </c>
      <c r="B968" s="2">
        <v>45968</v>
      </c>
      <c r="C968">
        <v>42.592243194580078</v>
      </c>
    </row>
    <row r="969" spans="1:3" x14ac:dyDescent="0.2">
      <c r="A969" t="s">
        <v>4</v>
      </c>
      <c r="B969" s="2">
        <v>45971</v>
      </c>
      <c r="C969">
        <v>42.995140075683587</v>
      </c>
    </row>
    <row r="970" spans="1:3" x14ac:dyDescent="0.2">
      <c r="A970" t="s">
        <v>4</v>
      </c>
      <c r="B970" s="2">
        <v>45972</v>
      </c>
      <c r="C970">
        <v>43.532341003417969</v>
      </c>
    </row>
    <row r="971" spans="1:3" x14ac:dyDescent="0.2">
      <c r="A971" t="s">
        <v>4</v>
      </c>
      <c r="B971" s="2">
        <v>45973</v>
      </c>
      <c r="C971">
        <v>43.570716857910163</v>
      </c>
    </row>
    <row r="972" spans="1:3" x14ac:dyDescent="0.2">
      <c r="A972" t="s">
        <v>4</v>
      </c>
      <c r="B972" s="2">
        <v>45974</v>
      </c>
      <c r="C972">
        <v>43.800941467285163</v>
      </c>
    </row>
    <row r="973" spans="1:3" x14ac:dyDescent="0.2">
      <c r="A973" t="s">
        <v>4</v>
      </c>
      <c r="B973" s="2">
        <v>45975</v>
      </c>
      <c r="C973">
        <v>45.143939971923828</v>
      </c>
    </row>
    <row r="974" spans="1:3" x14ac:dyDescent="0.2">
      <c r="A974" t="s">
        <v>4</v>
      </c>
      <c r="B974" s="2">
        <v>45978</v>
      </c>
      <c r="C974">
        <v>44.961673736572273</v>
      </c>
    </row>
    <row r="975" spans="1:3" x14ac:dyDescent="0.2">
      <c r="A975" t="s">
        <v>4</v>
      </c>
      <c r="B975" s="2">
        <v>45979</v>
      </c>
      <c r="C975">
        <v>45.623584747314453</v>
      </c>
    </row>
    <row r="976" spans="1:3" x14ac:dyDescent="0.2">
      <c r="A976" t="s">
        <v>4</v>
      </c>
      <c r="B976" s="2">
        <v>45980</v>
      </c>
      <c r="C976">
        <v>45.844223022460938</v>
      </c>
    </row>
    <row r="977" spans="1:3" x14ac:dyDescent="0.2">
      <c r="A977" t="s">
        <v>4</v>
      </c>
      <c r="B977" s="2">
        <v>45981</v>
      </c>
      <c r="C977">
        <v>45.949741363525391</v>
      </c>
    </row>
    <row r="978" spans="1:3" x14ac:dyDescent="0.2">
      <c r="A978" t="s">
        <v>4</v>
      </c>
      <c r="B978" s="2">
        <v>45982</v>
      </c>
      <c r="C978">
        <v>45.191905975341797</v>
      </c>
    </row>
    <row r="979" spans="1:3" x14ac:dyDescent="0.2">
      <c r="A979" t="s">
        <v>4</v>
      </c>
      <c r="B979" s="2">
        <v>45985</v>
      </c>
      <c r="C979">
        <v>44.587558746337891</v>
      </c>
    </row>
    <row r="980" spans="1:3" x14ac:dyDescent="0.2">
      <c r="A980" t="s">
        <v>4</v>
      </c>
      <c r="B980" s="2">
        <v>45986</v>
      </c>
      <c r="C980">
        <v>44.932899475097663</v>
      </c>
    </row>
    <row r="981" spans="1:3" x14ac:dyDescent="0.2">
      <c r="A981" t="s">
        <v>4</v>
      </c>
      <c r="B981" s="2">
        <v>45987</v>
      </c>
      <c r="C981">
        <v>44.894527435302727</v>
      </c>
    </row>
    <row r="982" spans="1:3" x14ac:dyDescent="0.2">
      <c r="A982" t="s">
        <v>4</v>
      </c>
      <c r="B982" s="2">
        <v>45988</v>
      </c>
      <c r="C982">
        <v>44.827377319335938</v>
      </c>
    </row>
    <row r="983" spans="1:3" x14ac:dyDescent="0.2">
      <c r="A983" t="s">
        <v>4</v>
      </c>
      <c r="B983" s="2">
        <v>45989</v>
      </c>
      <c r="C983">
        <v>45.364574432373047</v>
      </c>
    </row>
    <row r="984" spans="1:3" x14ac:dyDescent="0.2">
      <c r="A984" t="s">
        <v>4</v>
      </c>
      <c r="B984" s="2">
        <v>45992</v>
      </c>
      <c r="C984">
        <v>45.729099273681641</v>
      </c>
    </row>
    <row r="985" spans="1:3" x14ac:dyDescent="0.2">
      <c r="A985" t="s">
        <v>4</v>
      </c>
      <c r="B985" s="2">
        <v>45993</v>
      </c>
      <c r="C985">
        <v>45.028823852539062</v>
      </c>
    </row>
    <row r="986" spans="1:3" x14ac:dyDescent="0.2">
      <c r="A986" t="s">
        <v>4</v>
      </c>
      <c r="B986" s="2">
        <v>45994</v>
      </c>
      <c r="C986">
        <v>45.700328826904297</v>
      </c>
    </row>
    <row r="987" spans="1:3" x14ac:dyDescent="0.2">
      <c r="A987" t="s">
        <v>4</v>
      </c>
      <c r="B987" s="2">
        <v>45995</v>
      </c>
      <c r="C987">
        <v>46.131999969482422</v>
      </c>
    </row>
    <row r="988" spans="1:3" x14ac:dyDescent="0.2">
      <c r="A988" t="s">
        <v>4</v>
      </c>
      <c r="B988" s="2">
        <v>45996</v>
      </c>
      <c r="C988">
        <v>46.007297515869141</v>
      </c>
    </row>
    <row r="989" spans="1:3" x14ac:dyDescent="0.2">
      <c r="A989" t="s">
        <v>4</v>
      </c>
      <c r="B989" s="2">
        <v>45999</v>
      </c>
      <c r="C989">
        <v>45.287834167480469</v>
      </c>
    </row>
    <row r="990" spans="1:3" x14ac:dyDescent="0.2">
      <c r="A990" t="s">
        <v>4</v>
      </c>
      <c r="B990" s="2">
        <v>46000</v>
      </c>
      <c r="C990">
        <v>44.769817352294922</v>
      </c>
    </row>
    <row r="991" spans="1:3" x14ac:dyDescent="0.2">
      <c r="A991" t="s">
        <v>4</v>
      </c>
      <c r="B991" s="2">
        <v>46001</v>
      </c>
      <c r="C991">
        <v>44.6163330078125</v>
      </c>
    </row>
    <row r="992" spans="1:3" x14ac:dyDescent="0.2">
      <c r="A992" t="s">
        <v>4</v>
      </c>
      <c r="B992" s="2">
        <v>46002</v>
      </c>
      <c r="C992">
        <v>43.762565612792969</v>
      </c>
    </row>
    <row r="993" spans="1:3" x14ac:dyDescent="0.2">
      <c r="A993" t="s">
        <v>4</v>
      </c>
      <c r="B993" s="2">
        <v>46003</v>
      </c>
      <c r="C993">
        <v>44.159065246582031</v>
      </c>
    </row>
    <row r="994" spans="1:3" x14ac:dyDescent="0.2">
      <c r="A994" t="s">
        <v>4</v>
      </c>
      <c r="B994" s="2">
        <v>46006</v>
      </c>
      <c r="C994">
        <v>43.401058197021477</v>
      </c>
    </row>
    <row r="995" spans="1:3" x14ac:dyDescent="0.2">
      <c r="A995" t="s">
        <v>4</v>
      </c>
      <c r="B995" s="2">
        <v>46007</v>
      </c>
      <c r="C995">
        <v>41.787853240966797</v>
      </c>
    </row>
    <row r="996" spans="1:3" x14ac:dyDescent="0.2">
      <c r="A996" t="s">
        <v>4</v>
      </c>
      <c r="B996" s="2">
        <v>46008</v>
      </c>
      <c r="C996">
        <v>42.711071014404297</v>
      </c>
    </row>
    <row r="997" spans="1:3" x14ac:dyDescent="0.2">
      <c r="A997" t="s">
        <v>4</v>
      </c>
      <c r="B997" s="2">
        <v>46009</v>
      </c>
      <c r="C997">
        <v>42.186294555664062</v>
      </c>
    </row>
    <row r="998" spans="1:3" x14ac:dyDescent="0.2">
      <c r="A998" t="s">
        <v>4</v>
      </c>
      <c r="B998" s="2">
        <v>46010</v>
      </c>
      <c r="C998">
        <v>42.749950408935547</v>
      </c>
    </row>
    <row r="999" spans="1:3" x14ac:dyDescent="0.2">
      <c r="A999" t="s">
        <v>4</v>
      </c>
      <c r="B999" s="2">
        <v>46013</v>
      </c>
      <c r="C999">
        <v>43.226131439208977</v>
      </c>
    </row>
    <row r="1000" spans="1:3" x14ac:dyDescent="0.2">
      <c r="A1000" t="s">
        <v>4</v>
      </c>
      <c r="B1000" s="2">
        <v>46014</v>
      </c>
      <c r="C1000">
        <v>43.692600250244141</v>
      </c>
    </row>
    <row r="1001" spans="1:3" x14ac:dyDescent="0.2">
      <c r="A1001" t="s">
        <v>4</v>
      </c>
      <c r="B1001" s="2">
        <v>46015</v>
      </c>
      <c r="C1001">
        <v>43.79949951171875</v>
      </c>
    </row>
    <row r="1002" spans="1:3" x14ac:dyDescent="0.2">
      <c r="A1002" t="s">
        <v>4</v>
      </c>
      <c r="B1002" s="2">
        <v>46020</v>
      </c>
      <c r="C1002">
        <v>44.207664489746087</v>
      </c>
    </row>
    <row r="1003" spans="1:3" x14ac:dyDescent="0.2">
      <c r="A1003" t="s">
        <v>4</v>
      </c>
      <c r="B1003" s="2">
        <v>46021</v>
      </c>
      <c r="C1003">
        <v>45.1600341796875</v>
      </c>
    </row>
    <row r="1004" spans="1:3" x14ac:dyDescent="0.2">
      <c r="A1004" t="s">
        <v>4</v>
      </c>
      <c r="B1004" s="2">
        <v>46022</v>
      </c>
      <c r="C1004">
        <v>45.179470062255859</v>
      </c>
    </row>
    <row r="1005" spans="1:3" x14ac:dyDescent="0.2">
      <c r="A1005" t="s">
        <v>12</v>
      </c>
      <c r="B1005" s="2">
        <v>44565</v>
      </c>
      <c r="C1005">
        <v>14.39944648742676</v>
      </c>
    </row>
    <row r="1006" spans="1:3" x14ac:dyDescent="0.2">
      <c r="A1006" t="s">
        <v>12</v>
      </c>
      <c r="B1006" s="2">
        <v>44566</v>
      </c>
      <c r="C1006">
        <v>14.664791107177731</v>
      </c>
    </row>
    <row r="1007" spans="1:3" x14ac:dyDescent="0.2">
      <c r="A1007" t="s">
        <v>12</v>
      </c>
      <c r="B1007" s="2">
        <v>44567</v>
      </c>
      <c r="C1007">
        <v>15.248552322387701</v>
      </c>
    </row>
    <row r="1008" spans="1:3" x14ac:dyDescent="0.2">
      <c r="A1008" t="s">
        <v>12</v>
      </c>
      <c r="B1008" s="2">
        <v>44568</v>
      </c>
      <c r="C1008">
        <v>15.33699989318848</v>
      </c>
    </row>
    <row r="1009" spans="1:3" x14ac:dyDescent="0.2">
      <c r="A1009" t="s">
        <v>12</v>
      </c>
      <c r="B1009" s="2">
        <v>44571</v>
      </c>
      <c r="C1009">
        <v>15.230860710144039</v>
      </c>
    </row>
    <row r="1010" spans="1:3" x14ac:dyDescent="0.2">
      <c r="A1010" t="s">
        <v>12</v>
      </c>
      <c r="B1010" s="2">
        <v>44572</v>
      </c>
      <c r="C1010">
        <v>15.779245376586911</v>
      </c>
    </row>
    <row r="1011" spans="1:3" x14ac:dyDescent="0.2">
      <c r="A1011" t="s">
        <v>12</v>
      </c>
      <c r="B1011" s="2">
        <v>44573</v>
      </c>
      <c r="C1011">
        <v>15.991519927978519</v>
      </c>
    </row>
    <row r="1012" spans="1:3" x14ac:dyDescent="0.2">
      <c r="A1012" t="s">
        <v>12</v>
      </c>
      <c r="B1012" s="2">
        <v>44574</v>
      </c>
      <c r="C1012">
        <v>15.95613956451416</v>
      </c>
    </row>
    <row r="1013" spans="1:3" x14ac:dyDescent="0.2">
      <c r="A1013" t="s">
        <v>12</v>
      </c>
      <c r="B1013" s="2">
        <v>44575</v>
      </c>
      <c r="C1013">
        <v>16.486833572387699</v>
      </c>
    </row>
    <row r="1014" spans="1:3" x14ac:dyDescent="0.2">
      <c r="A1014" t="s">
        <v>12</v>
      </c>
      <c r="B1014" s="2">
        <v>44578</v>
      </c>
      <c r="C1014">
        <v>16.796401977539059</v>
      </c>
    </row>
    <row r="1015" spans="1:3" x14ac:dyDescent="0.2">
      <c r="A1015" t="s">
        <v>12</v>
      </c>
      <c r="B1015" s="2">
        <v>44579</v>
      </c>
      <c r="C1015">
        <v>16.486833572387699</v>
      </c>
    </row>
    <row r="1016" spans="1:3" x14ac:dyDescent="0.2">
      <c r="A1016" t="s">
        <v>12</v>
      </c>
      <c r="B1016" s="2">
        <v>44580</v>
      </c>
      <c r="C1016">
        <v>16.43376350402832</v>
      </c>
    </row>
    <row r="1017" spans="1:3" x14ac:dyDescent="0.2">
      <c r="A1017" t="s">
        <v>12</v>
      </c>
      <c r="B1017" s="2">
        <v>44581</v>
      </c>
      <c r="C1017">
        <v>16.301094055175781</v>
      </c>
    </row>
    <row r="1018" spans="1:3" x14ac:dyDescent="0.2">
      <c r="A1018" t="s">
        <v>12</v>
      </c>
      <c r="B1018" s="2">
        <v>44582</v>
      </c>
      <c r="C1018">
        <v>15.63772583007812</v>
      </c>
    </row>
    <row r="1019" spans="1:3" x14ac:dyDescent="0.2">
      <c r="A1019" t="s">
        <v>12</v>
      </c>
      <c r="B1019" s="2">
        <v>44585</v>
      </c>
      <c r="C1019">
        <v>15.575813293457029</v>
      </c>
    </row>
    <row r="1020" spans="1:3" x14ac:dyDescent="0.2">
      <c r="A1020" t="s">
        <v>12</v>
      </c>
      <c r="B1020" s="2">
        <v>44586</v>
      </c>
      <c r="C1020">
        <v>16.256866455078121</v>
      </c>
    </row>
    <row r="1021" spans="1:3" x14ac:dyDescent="0.2">
      <c r="A1021" t="s">
        <v>12</v>
      </c>
      <c r="B1021" s="2">
        <v>44587</v>
      </c>
      <c r="C1021">
        <v>16.24802398681641</v>
      </c>
    </row>
    <row r="1022" spans="1:3" x14ac:dyDescent="0.2">
      <c r="A1022" t="s">
        <v>12</v>
      </c>
      <c r="B1022" s="2">
        <v>44588</v>
      </c>
      <c r="C1022">
        <v>16.32762336730957</v>
      </c>
    </row>
    <row r="1023" spans="1:3" x14ac:dyDescent="0.2">
      <c r="A1023" t="s">
        <v>12</v>
      </c>
      <c r="B1023" s="2">
        <v>44589</v>
      </c>
      <c r="C1023">
        <v>16.28339958190918</v>
      </c>
    </row>
    <row r="1024" spans="1:3" x14ac:dyDescent="0.2">
      <c r="A1024" t="s">
        <v>12</v>
      </c>
      <c r="B1024" s="2">
        <v>44592</v>
      </c>
      <c r="C1024">
        <v>16.354160308837891</v>
      </c>
    </row>
    <row r="1025" spans="1:3" x14ac:dyDescent="0.2">
      <c r="A1025" t="s">
        <v>12</v>
      </c>
      <c r="B1025" s="2">
        <v>44593</v>
      </c>
      <c r="C1025">
        <v>16.99098968505859</v>
      </c>
    </row>
    <row r="1026" spans="1:3" x14ac:dyDescent="0.2">
      <c r="A1026" t="s">
        <v>12</v>
      </c>
      <c r="B1026" s="2">
        <v>44594</v>
      </c>
      <c r="C1026">
        <v>17.08828163146973</v>
      </c>
    </row>
    <row r="1027" spans="1:3" x14ac:dyDescent="0.2">
      <c r="A1027" t="s">
        <v>12</v>
      </c>
      <c r="B1027" s="2">
        <v>44595</v>
      </c>
      <c r="C1027">
        <v>17.265188217163089</v>
      </c>
    </row>
    <row r="1028" spans="1:3" x14ac:dyDescent="0.2">
      <c r="A1028" t="s">
        <v>12</v>
      </c>
      <c r="B1028" s="2">
        <v>44596</v>
      </c>
      <c r="C1028">
        <v>17.450923919677731</v>
      </c>
    </row>
    <row r="1029" spans="1:3" x14ac:dyDescent="0.2">
      <c r="A1029" t="s">
        <v>12</v>
      </c>
      <c r="B1029" s="2">
        <v>44599</v>
      </c>
      <c r="C1029">
        <v>17.30055999755859</v>
      </c>
    </row>
    <row r="1030" spans="1:3" x14ac:dyDescent="0.2">
      <c r="A1030" t="s">
        <v>12</v>
      </c>
      <c r="B1030" s="2">
        <v>44600</v>
      </c>
      <c r="C1030">
        <v>16.186111450195309</v>
      </c>
    </row>
    <row r="1031" spans="1:3" x14ac:dyDescent="0.2">
      <c r="A1031" t="s">
        <v>12</v>
      </c>
      <c r="B1031" s="2">
        <v>44601</v>
      </c>
      <c r="C1031">
        <v>16.884853363037109</v>
      </c>
    </row>
    <row r="1032" spans="1:3" x14ac:dyDescent="0.2">
      <c r="A1032" t="s">
        <v>12</v>
      </c>
      <c r="B1032" s="2">
        <v>44602</v>
      </c>
      <c r="C1032">
        <v>17.247491836547852</v>
      </c>
    </row>
    <row r="1033" spans="1:3" x14ac:dyDescent="0.2">
      <c r="A1033" t="s">
        <v>12</v>
      </c>
      <c r="B1033" s="2">
        <v>44603</v>
      </c>
      <c r="C1033">
        <v>17.884321212768551</v>
      </c>
    </row>
    <row r="1034" spans="1:3" x14ac:dyDescent="0.2">
      <c r="A1034" t="s">
        <v>12</v>
      </c>
      <c r="B1034" s="2">
        <v>44606</v>
      </c>
      <c r="C1034">
        <v>17.654356002807621</v>
      </c>
    </row>
    <row r="1035" spans="1:3" x14ac:dyDescent="0.2">
      <c r="A1035" t="s">
        <v>12</v>
      </c>
      <c r="B1035" s="2">
        <v>44607</v>
      </c>
      <c r="C1035">
        <v>17.512838363647461</v>
      </c>
    </row>
    <row r="1036" spans="1:3" x14ac:dyDescent="0.2">
      <c r="A1036" t="s">
        <v>12</v>
      </c>
      <c r="B1036" s="2">
        <v>44608</v>
      </c>
      <c r="C1036">
        <v>17.450923919677731</v>
      </c>
    </row>
    <row r="1037" spans="1:3" x14ac:dyDescent="0.2">
      <c r="A1037" t="s">
        <v>12</v>
      </c>
      <c r="B1037" s="2">
        <v>44609</v>
      </c>
      <c r="C1037">
        <v>17.822408676147461</v>
      </c>
    </row>
    <row r="1038" spans="1:3" x14ac:dyDescent="0.2">
      <c r="A1038" t="s">
        <v>12</v>
      </c>
      <c r="B1038" s="2">
        <v>44610</v>
      </c>
      <c r="C1038">
        <v>17.335939407348629</v>
      </c>
    </row>
    <row r="1039" spans="1:3" x14ac:dyDescent="0.2">
      <c r="A1039" t="s">
        <v>12</v>
      </c>
      <c r="B1039" s="2">
        <v>44614</v>
      </c>
      <c r="C1039">
        <v>17.2563362121582</v>
      </c>
    </row>
    <row r="1040" spans="1:3" x14ac:dyDescent="0.2">
      <c r="A1040" t="s">
        <v>12</v>
      </c>
      <c r="B1040" s="2">
        <v>44615</v>
      </c>
      <c r="C1040">
        <v>17.08828163146973</v>
      </c>
    </row>
    <row r="1041" spans="1:3" x14ac:dyDescent="0.2">
      <c r="A1041" t="s">
        <v>12</v>
      </c>
      <c r="B1041" s="2">
        <v>44616</v>
      </c>
      <c r="C1041">
        <v>17.061748504638668</v>
      </c>
    </row>
    <row r="1042" spans="1:3" x14ac:dyDescent="0.2">
      <c r="A1042" t="s">
        <v>12</v>
      </c>
      <c r="B1042" s="2">
        <v>44617</v>
      </c>
      <c r="C1042">
        <v>17.185579299926761</v>
      </c>
    </row>
    <row r="1043" spans="1:3" x14ac:dyDescent="0.2">
      <c r="A1043" t="s">
        <v>12</v>
      </c>
      <c r="B1043" s="2">
        <v>44620</v>
      </c>
      <c r="C1043">
        <v>17.6278190612793</v>
      </c>
    </row>
    <row r="1044" spans="1:3" x14ac:dyDescent="0.2">
      <c r="A1044" t="s">
        <v>12</v>
      </c>
      <c r="B1044" s="2">
        <v>44621</v>
      </c>
      <c r="C1044">
        <v>17.415544509887699</v>
      </c>
    </row>
    <row r="1045" spans="1:3" x14ac:dyDescent="0.2">
      <c r="A1045" t="s">
        <v>12</v>
      </c>
      <c r="B1045" s="2">
        <v>44622</v>
      </c>
      <c r="C1045">
        <v>17.698581695556641</v>
      </c>
    </row>
    <row r="1046" spans="1:3" x14ac:dyDescent="0.2">
      <c r="A1046" t="s">
        <v>12</v>
      </c>
      <c r="B1046" s="2">
        <v>44623</v>
      </c>
      <c r="C1046">
        <v>17.238649368286129</v>
      </c>
    </row>
    <row r="1047" spans="1:3" x14ac:dyDescent="0.2">
      <c r="A1047" t="s">
        <v>12</v>
      </c>
      <c r="B1047" s="2">
        <v>44624</v>
      </c>
      <c r="C1047">
        <v>18.061220169067379</v>
      </c>
    </row>
    <row r="1048" spans="1:3" x14ac:dyDescent="0.2">
      <c r="A1048" t="s">
        <v>12</v>
      </c>
      <c r="B1048" s="2">
        <v>44627</v>
      </c>
      <c r="C1048">
        <v>18.529998779296879</v>
      </c>
    </row>
    <row r="1049" spans="1:3" x14ac:dyDescent="0.2">
      <c r="A1049" t="s">
        <v>12</v>
      </c>
      <c r="B1049" s="2">
        <v>44628</v>
      </c>
      <c r="C1049">
        <v>18.901481628417969</v>
      </c>
    </row>
    <row r="1050" spans="1:3" x14ac:dyDescent="0.2">
      <c r="A1050" t="s">
        <v>12</v>
      </c>
      <c r="B1050" s="2">
        <v>44629</v>
      </c>
      <c r="C1050">
        <v>17.955081939697269</v>
      </c>
    </row>
    <row r="1051" spans="1:3" x14ac:dyDescent="0.2">
      <c r="A1051" t="s">
        <v>12</v>
      </c>
      <c r="B1051" s="2">
        <v>44630</v>
      </c>
      <c r="C1051">
        <v>18.034683227539059</v>
      </c>
    </row>
    <row r="1052" spans="1:3" x14ac:dyDescent="0.2">
      <c r="A1052" t="s">
        <v>12</v>
      </c>
      <c r="B1052" s="2">
        <v>44631</v>
      </c>
      <c r="C1052">
        <v>18.1496696472168</v>
      </c>
    </row>
    <row r="1053" spans="1:3" x14ac:dyDescent="0.2">
      <c r="A1053" t="s">
        <v>12</v>
      </c>
      <c r="B1053" s="2">
        <v>44634</v>
      </c>
      <c r="C1053">
        <v>17.099761962890621</v>
      </c>
    </row>
    <row r="1054" spans="1:3" x14ac:dyDescent="0.2">
      <c r="A1054" t="s">
        <v>12</v>
      </c>
      <c r="B1054" s="2">
        <v>44635</v>
      </c>
      <c r="C1054">
        <v>16.904838562011719</v>
      </c>
    </row>
    <row r="1055" spans="1:3" x14ac:dyDescent="0.2">
      <c r="A1055" t="s">
        <v>12</v>
      </c>
      <c r="B1055" s="2">
        <v>44636</v>
      </c>
      <c r="C1055">
        <v>16.771940231323239</v>
      </c>
    </row>
    <row r="1056" spans="1:3" x14ac:dyDescent="0.2">
      <c r="A1056" t="s">
        <v>12</v>
      </c>
      <c r="B1056" s="2">
        <v>44637</v>
      </c>
      <c r="C1056">
        <v>17.276962280273441</v>
      </c>
    </row>
    <row r="1057" spans="1:3" x14ac:dyDescent="0.2">
      <c r="A1057" t="s">
        <v>12</v>
      </c>
      <c r="B1057" s="2">
        <v>44638</v>
      </c>
      <c r="C1057">
        <v>17.090900421142582</v>
      </c>
    </row>
    <row r="1058" spans="1:3" x14ac:dyDescent="0.2">
      <c r="A1058" t="s">
        <v>12</v>
      </c>
      <c r="B1058" s="2">
        <v>44641</v>
      </c>
      <c r="C1058">
        <v>17.897161483764648</v>
      </c>
    </row>
    <row r="1059" spans="1:3" x14ac:dyDescent="0.2">
      <c r="A1059" t="s">
        <v>12</v>
      </c>
      <c r="B1059" s="2">
        <v>44642</v>
      </c>
      <c r="C1059">
        <v>17.77312088012695</v>
      </c>
    </row>
    <row r="1060" spans="1:3" x14ac:dyDescent="0.2">
      <c r="A1060" t="s">
        <v>12</v>
      </c>
      <c r="B1060" s="2">
        <v>44643</v>
      </c>
      <c r="C1060">
        <v>17.985759735107418</v>
      </c>
    </row>
    <row r="1061" spans="1:3" x14ac:dyDescent="0.2">
      <c r="A1061" t="s">
        <v>12</v>
      </c>
      <c r="B1061" s="2">
        <v>44644</v>
      </c>
      <c r="C1061">
        <v>17.852859497070309</v>
      </c>
    </row>
    <row r="1062" spans="1:3" x14ac:dyDescent="0.2">
      <c r="A1062" t="s">
        <v>12</v>
      </c>
      <c r="B1062" s="2">
        <v>44645</v>
      </c>
      <c r="C1062">
        <v>18.56165885925293</v>
      </c>
    </row>
    <row r="1063" spans="1:3" x14ac:dyDescent="0.2">
      <c r="A1063" t="s">
        <v>12</v>
      </c>
      <c r="B1063" s="2">
        <v>44648</v>
      </c>
      <c r="C1063">
        <v>18.14523887634277</v>
      </c>
    </row>
    <row r="1064" spans="1:3" x14ac:dyDescent="0.2">
      <c r="A1064" t="s">
        <v>12</v>
      </c>
      <c r="B1064" s="2">
        <v>44649</v>
      </c>
      <c r="C1064">
        <v>18.508499145507809</v>
      </c>
    </row>
    <row r="1065" spans="1:3" x14ac:dyDescent="0.2">
      <c r="A1065" t="s">
        <v>12</v>
      </c>
      <c r="B1065" s="2">
        <v>44650</v>
      </c>
      <c r="C1065">
        <v>18.437616348266602</v>
      </c>
    </row>
    <row r="1066" spans="1:3" x14ac:dyDescent="0.2">
      <c r="A1066" t="s">
        <v>12</v>
      </c>
      <c r="B1066" s="2">
        <v>44651</v>
      </c>
      <c r="C1066">
        <v>18.46419525146484</v>
      </c>
    </row>
    <row r="1067" spans="1:3" x14ac:dyDescent="0.2">
      <c r="A1067" t="s">
        <v>12</v>
      </c>
      <c r="B1067" s="2">
        <v>44652</v>
      </c>
      <c r="C1067">
        <v>18.774297714233398</v>
      </c>
    </row>
    <row r="1068" spans="1:3" x14ac:dyDescent="0.2">
      <c r="A1068" t="s">
        <v>12</v>
      </c>
      <c r="B1068" s="2">
        <v>44655</v>
      </c>
      <c r="C1068">
        <v>19.16413497924805</v>
      </c>
    </row>
    <row r="1069" spans="1:3" x14ac:dyDescent="0.2">
      <c r="A1069" t="s">
        <v>12</v>
      </c>
      <c r="B1069" s="2">
        <v>44656</v>
      </c>
      <c r="C1069">
        <v>18.916055679321289</v>
      </c>
    </row>
    <row r="1070" spans="1:3" x14ac:dyDescent="0.2">
      <c r="A1070" t="s">
        <v>12</v>
      </c>
      <c r="B1070" s="2">
        <v>44657</v>
      </c>
      <c r="C1070">
        <v>18.2692756652832</v>
      </c>
    </row>
    <row r="1071" spans="1:3" x14ac:dyDescent="0.2">
      <c r="A1071" t="s">
        <v>12</v>
      </c>
      <c r="B1071" s="2">
        <v>44658</v>
      </c>
      <c r="C1071">
        <v>18.712278366088871</v>
      </c>
    </row>
    <row r="1072" spans="1:3" x14ac:dyDescent="0.2">
      <c r="A1072" t="s">
        <v>12</v>
      </c>
      <c r="B1072" s="2">
        <v>44659</v>
      </c>
      <c r="C1072">
        <v>19.598276138305661</v>
      </c>
    </row>
    <row r="1073" spans="1:3" x14ac:dyDescent="0.2">
      <c r="A1073" t="s">
        <v>12</v>
      </c>
      <c r="B1073" s="2">
        <v>44662</v>
      </c>
      <c r="C1073">
        <v>18.45533561706543</v>
      </c>
    </row>
    <row r="1074" spans="1:3" x14ac:dyDescent="0.2">
      <c r="A1074" t="s">
        <v>12</v>
      </c>
      <c r="B1074" s="2">
        <v>44663</v>
      </c>
      <c r="C1074">
        <v>19.128690719604489</v>
      </c>
    </row>
    <row r="1075" spans="1:3" x14ac:dyDescent="0.2">
      <c r="A1075" t="s">
        <v>12</v>
      </c>
      <c r="B1075" s="2">
        <v>44664</v>
      </c>
      <c r="C1075">
        <v>19.48309326171875</v>
      </c>
    </row>
    <row r="1076" spans="1:3" x14ac:dyDescent="0.2">
      <c r="A1076" t="s">
        <v>12</v>
      </c>
      <c r="B1076" s="2">
        <v>44665</v>
      </c>
      <c r="C1076">
        <v>19.5362548828125</v>
      </c>
    </row>
    <row r="1077" spans="1:3" x14ac:dyDescent="0.2">
      <c r="A1077" t="s">
        <v>12</v>
      </c>
      <c r="B1077" s="2">
        <v>44669</v>
      </c>
      <c r="C1077">
        <v>20.253915786743161</v>
      </c>
    </row>
    <row r="1078" spans="1:3" x14ac:dyDescent="0.2">
      <c r="A1078" t="s">
        <v>12</v>
      </c>
      <c r="B1078" s="2">
        <v>44670</v>
      </c>
      <c r="C1078">
        <v>20.067852020263668</v>
      </c>
    </row>
    <row r="1079" spans="1:3" x14ac:dyDescent="0.2">
      <c r="A1079" t="s">
        <v>12</v>
      </c>
      <c r="B1079" s="2">
        <v>44671</v>
      </c>
      <c r="C1079">
        <v>20.21846771240234</v>
      </c>
    </row>
    <row r="1080" spans="1:3" x14ac:dyDescent="0.2">
      <c r="A1080" t="s">
        <v>12</v>
      </c>
      <c r="B1080" s="2">
        <v>44672</v>
      </c>
      <c r="C1080">
        <v>19.412216186523441</v>
      </c>
    </row>
    <row r="1081" spans="1:3" x14ac:dyDescent="0.2">
      <c r="A1081" t="s">
        <v>12</v>
      </c>
      <c r="B1081" s="2">
        <v>44673</v>
      </c>
      <c r="C1081">
        <v>19.456516265869141</v>
      </c>
    </row>
    <row r="1082" spans="1:3" x14ac:dyDescent="0.2">
      <c r="A1082" t="s">
        <v>12</v>
      </c>
      <c r="B1082" s="2">
        <v>44676</v>
      </c>
      <c r="C1082">
        <v>18.552801132202148</v>
      </c>
    </row>
    <row r="1083" spans="1:3" x14ac:dyDescent="0.2">
      <c r="A1083" t="s">
        <v>12</v>
      </c>
      <c r="B1083" s="2">
        <v>44677</v>
      </c>
      <c r="C1083">
        <v>18.685699462890621</v>
      </c>
    </row>
    <row r="1084" spans="1:3" x14ac:dyDescent="0.2">
      <c r="A1084" t="s">
        <v>12</v>
      </c>
      <c r="B1084" s="2">
        <v>44678</v>
      </c>
      <c r="C1084">
        <v>20.61717414855957</v>
      </c>
    </row>
    <row r="1085" spans="1:3" x14ac:dyDescent="0.2">
      <c r="A1085" t="s">
        <v>12</v>
      </c>
      <c r="B1085" s="2">
        <v>44679</v>
      </c>
      <c r="C1085">
        <v>21.99932861328125</v>
      </c>
    </row>
    <row r="1086" spans="1:3" x14ac:dyDescent="0.2">
      <c r="A1086" t="s">
        <v>12</v>
      </c>
      <c r="B1086" s="2">
        <v>44680</v>
      </c>
      <c r="C1086">
        <v>21.042453765869141</v>
      </c>
    </row>
    <row r="1087" spans="1:3" x14ac:dyDescent="0.2">
      <c r="A1087" t="s">
        <v>12</v>
      </c>
      <c r="B1087" s="2">
        <v>44683</v>
      </c>
      <c r="C1087">
        <v>21.03359413146973</v>
      </c>
    </row>
    <row r="1088" spans="1:3" x14ac:dyDescent="0.2">
      <c r="A1088" t="s">
        <v>12</v>
      </c>
      <c r="B1088" s="2">
        <v>44684</v>
      </c>
      <c r="C1088">
        <v>22.017049789428711</v>
      </c>
    </row>
    <row r="1089" spans="1:3" x14ac:dyDescent="0.2">
      <c r="A1089" t="s">
        <v>12</v>
      </c>
      <c r="B1089" s="2">
        <v>44685</v>
      </c>
      <c r="C1089">
        <v>22.7701530456543</v>
      </c>
    </row>
    <row r="1090" spans="1:3" x14ac:dyDescent="0.2">
      <c r="A1090" t="s">
        <v>12</v>
      </c>
      <c r="B1090" s="2">
        <v>44686</v>
      </c>
      <c r="C1090">
        <v>22.920768737792969</v>
      </c>
    </row>
    <row r="1091" spans="1:3" x14ac:dyDescent="0.2">
      <c r="A1091" t="s">
        <v>12</v>
      </c>
      <c r="B1091" s="2">
        <v>44687</v>
      </c>
      <c r="C1091">
        <v>23.284025192260739</v>
      </c>
    </row>
    <row r="1092" spans="1:3" x14ac:dyDescent="0.2">
      <c r="A1092" t="s">
        <v>12</v>
      </c>
      <c r="B1092" s="2">
        <v>44690</v>
      </c>
      <c r="C1092">
        <v>21.582914352416989</v>
      </c>
    </row>
    <row r="1093" spans="1:3" x14ac:dyDescent="0.2">
      <c r="A1093" t="s">
        <v>12</v>
      </c>
      <c r="B1093" s="2">
        <v>44691</v>
      </c>
      <c r="C1093">
        <v>21.87529182434082</v>
      </c>
    </row>
    <row r="1094" spans="1:3" x14ac:dyDescent="0.2">
      <c r="A1094" t="s">
        <v>12</v>
      </c>
      <c r="B1094" s="2">
        <v>44692</v>
      </c>
      <c r="C1094">
        <v>22.256271362304691</v>
      </c>
    </row>
    <row r="1095" spans="1:3" x14ac:dyDescent="0.2">
      <c r="A1095" t="s">
        <v>12</v>
      </c>
      <c r="B1095" s="2">
        <v>44693</v>
      </c>
      <c r="C1095">
        <v>22.070209503173832</v>
      </c>
    </row>
    <row r="1096" spans="1:3" x14ac:dyDescent="0.2">
      <c r="A1096" t="s">
        <v>12</v>
      </c>
      <c r="B1096" s="2">
        <v>44694</v>
      </c>
      <c r="C1096">
        <v>23.044807434082031</v>
      </c>
    </row>
    <row r="1097" spans="1:3" x14ac:dyDescent="0.2">
      <c r="A1097" t="s">
        <v>12</v>
      </c>
      <c r="B1097" s="2">
        <v>44697</v>
      </c>
      <c r="C1097">
        <v>23.487810134887699</v>
      </c>
    </row>
    <row r="1098" spans="1:3" x14ac:dyDescent="0.2">
      <c r="A1098" t="s">
        <v>12</v>
      </c>
      <c r="B1098" s="2">
        <v>44698</v>
      </c>
      <c r="C1098">
        <v>23.930807113647461</v>
      </c>
    </row>
    <row r="1099" spans="1:3" x14ac:dyDescent="0.2">
      <c r="A1099" t="s">
        <v>12</v>
      </c>
      <c r="B1099" s="2">
        <v>44699</v>
      </c>
      <c r="C1099">
        <v>23.66500282287598</v>
      </c>
    </row>
    <row r="1100" spans="1:3" x14ac:dyDescent="0.2">
      <c r="A1100" t="s">
        <v>12</v>
      </c>
      <c r="B1100" s="2">
        <v>44700</v>
      </c>
      <c r="C1100">
        <v>23.983963012695309</v>
      </c>
    </row>
    <row r="1101" spans="1:3" x14ac:dyDescent="0.2">
      <c r="A1101" t="s">
        <v>12</v>
      </c>
      <c r="B1101" s="2">
        <v>44701</v>
      </c>
      <c r="C1101">
        <v>24.285202026367191</v>
      </c>
    </row>
    <row r="1102" spans="1:3" x14ac:dyDescent="0.2">
      <c r="A1102" t="s">
        <v>12</v>
      </c>
      <c r="B1102" s="2">
        <v>44705</v>
      </c>
      <c r="C1102">
        <v>24.586446762084961</v>
      </c>
    </row>
    <row r="1103" spans="1:3" x14ac:dyDescent="0.2">
      <c r="A1103" t="s">
        <v>12</v>
      </c>
      <c r="B1103" s="2">
        <v>44706</v>
      </c>
      <c r="C1103">
        <v>24.887680053710941</v>
      </c>
    </row>
    <row r="1104" spans="1:3" x14ac:dyDescent="0.2">
      <c r="A1104" t="s">
        <v>12</v>
      </c>
      <c r="B1104" s="2">
        <v>44707</v>
      </c>
      <c r="C1104">
        <v>24.967426300048832</v>
      </c>
    </row>
    <row r="1105" spans="1:3" x14ac:dyDescent="0.2">
      <c r="A1105" t="s">
        <v>12</v>
      </c>
      <c r="B1105" s="2">
        <v>44708</v>
      </c>
      <c r="C1105">
        <v>25.516740798950199</v>
      </c>
    </row>
    <row r="1106" spans="1:3" x14ac:dyDescent="0.2">
      <c r="A1106" t="s">
        <v>12</v>
      </c>
      <c r="B1106" s="2">
        <v>44711</v>
      </c>
      <c r="C1106">
        <v>26.385017395019531</v>
      </c>
    </row>
    <row r="1107" spans="1:3" x14ac:dyDescent="0.2">
      <c r="A1107" t="s">
        <v>12</v>
      </c>
      <c r="B1107" s="2">
        <v>44712</v>
      </c>
      <c r="C1107">
        <v>25.977457046508789</v>
      </c>
    </row>
    <row r="1108" spans="1:3" x14ac:dyDescent="0.2">
      <c r="A1108" t="s">
        <v>12</v>
      </c>
      <c r="B1108" s="2">
        <v>44713</v>
      </c>
      <c r="C1108">
        <v>26.73941802978516</v>
      </c>
    </row>
    <row r="1109" spans="1:3" x14ac:dyDescent="0.2">
      <c r="A1109" t="s">
        <v>12</v>
      </c>
      <c r="B1109" s="2">
        <v>44714</v>
      </c>
      <c r="C1109">
        <v>26.597663879394531</v>
      </c>
    </row>
    <row r="1110" spans="1:3" x14ac:dyDescent="0.2">
      <c r="A1110" t="s">
        <v>12</v>
      </c>
      <c r="B1110" s="2">
        <v>44715</v>
      </c>
      <c r="C1110">
        <v>26.78371429443359</v>
      </c>
    </row>
    <row r="1111" spans="1:3" x14ac:dyDescent="0.2">
      <c r="A1111" t="s">
        <v>12</v>
      </c>
      <c r="B1111" s="2">
        <v>44718</v>
      </c>
      <c r="C1111">
        <v>26.624238967895511</v>
      </c>
    </row>
    <row r="1112" spans="1:3" x14ac:dyDescent="0.2">
      <c r="A1112" t="s">
        <v>12</v>
      </c>
      <c r="B1112" s="2">
        <v>44719</v>
      </c>
      <c r="C1112">
        <v>27.421638488769531</v>
      </c>
    </row>
    <row r="1113" spans="1:3" x14ac:dyDescent="0.2">
      <c r="A1113" t="s">
        <v>12</v>
      </c>
      <c r="B1113" s="2">
        <v>44720</v>
      </c>
      <c r="C1113">
        <v>27.279876708984379</v>
      </c>
    </row>
    <row r="1114" spans="1:3" x14ac:dyDescent="0.2">
      <c r="A1114" t="s">
        <v>12</v>
      </c>
      <c r="B1114" s="2">
        <v>44721</v>
      </c>
      <c r="C1114">
        <v>27.200139999389648</v>
      </c>
    </row>
    <row r="1115" spans="1:3" x14ac:dyDescent="0.2">
      <c r="A1115" t="s">
        <v>12</v>
      </c>
      <c r="B1115" s="2">
        <v>44722</v>
      </c>
      <c r="C1115">
        <v>26.659677505493161</v>
      </c>
    </row>
    <row r="1116" spans="1:3" x14ac:dyDescent="0.2">
      <c r="A1116" t="s">
        <v>12</v>
      </c>
      <c r="B1116" s="2">
        <v>44725</v>
      </c>
      <c r="C1116">
        <v>25.76482009887695</v>
      </c>
    </row>
    <row r="1117" spans="1:3" x14ac:dyDescent="0.2">
      <c r="A1117" t="s">
        <v>12</v>
      </c>
      <c r="B1117" s="2">
        <v>44726</v>
      </c>
      <c r="C1117">
        <v>25.546964645385739</v>
      </c>
    </row>
    <row r="1118" spans="1:3" x14ac:dyDescent="0.2">
      <c r="A1118" t="s">
        <v>12</v>
      </c>
      <c r="B1118" s="2">
        <v>44727</v>
      </c>
      <c r="C1118">
        <v>24.639974594116211</v>
      </c>
    </row>
    <row r="1119" spans="1:3" x14ac:dyDescent="0.2">
      <c r="A1119" t="s">
        <v>12</v>
      </c>
      <c r="B1119" s="2">
        <v>44728</v>
      </c>
      <c r="C1119">
        <v>23.07496452331543</v>
      </c>
    </row>
    <row r="1120" spans="1:3" x14ac:dyDescent="0.2">
      <c r="A1120" t="s">
        <v>12</v>
      </c>
      <c r="B1120" s="2">
        <v>44729</v>
      </c>
      <c r="C1120">
        <v>22.061264038085941</v>
      </c>
    </row>
    <row r="1121" spans="1:3" x14ac:dyDescent="0.2">
      <c r="A1121" t="s">
        <v>12</v>
      </c>
      <c r="B1121" s="2">
        <v>44732</v>
      </c>
      <c r="C1121">
        <v>22.523651123046879</v>
      </c>
    </row>
    <row r="1122" spans="1:3" x14ac:dyDescent="0.2">
      <c r="A1122" t="s">
        <v>12</v>
      </c>
      <c r="B1122" s="2">
        <v>44733</v>
      </c>
      <c r="C1122">
        <v>23.07496452331543</v>
      </c>
    </row>
    <row r="1123" spans="1:3" x14ac:dyDescent="0.2">
      <c r="A1123" t="s">
        <v>12</v>
      </c>
      <c r="B1123" s="2">
        <v>44734</v>
      </c>
      <c r="C1123">
        <v>22.345809936523441</v>
      </c>
    </row>
    <row r="1124" spans="1:3" x14ac:dyDescent="0.2">
      <c r="A1124" t="s">
        <v>12</v>
      </c>
      <c r="B1124" s="2">
        <v>44735</v>
      </c>
      <c r="C1124">
        <v>20.558502197265621</v>
      </c>
    </row>
    <row r="1125" spans="1:3" x14ac:dyDescent="0.2">
      <c r="A1125" t="s">
        <v>12</v>
      </c>
      <c r="B1125" s="2">
        <v>44736</v>
      </c>
      <c r="C1125">
        <v>21.598875045776371</v>
      </c>
    </row>
    <row r="1126" spans="1:3" x14ac:dyDescent="0.2">
      <c r="A1126" t="s">
        <v>12</v>
      </c>
      <c r="B1126" s="2">
        <v>44739</v>
      </c>
      <c r="C1126">
        <v>22.452518463134769</v>
      </c>
    </row>
    <row r="1127" spans="1:3" x14ac:dyDescent="0.2">
      <c r="A1127" t="s">
        <v>12</v>
      </c>
      <c r="B1127" s="2">
        <v>44740</v>
      </c>
      <c r="C1127">
        <v>23.279481887817379</v>
      </c>
    </row>
    <row r="1128" spans="1:3" x14ac:dyDescent="0.2">
      <c r="A1128" t="s">
        <v>12</v>
      </c>
      <c r="B1128" s="2">
        <v>44741</v>
      </c>
      <c r="C1128">
        <v>22.230218887329102</v>
      </c>
    </row>
    <row r="1129" spans="1:3" x14ac:dyDescent="0.2">
      <c r="A1129" t="s">
        <v>12</v>
      </c>
      <c r="B1129" s="2">
        <v>44742</v>
      </c>
      <c r="C1129">
        <v>21.77672004699707</v>
      </c>
    </row>
    <row r="1130" spans="1:3" x14ac:dyDescent="0.2">
      <c r="A1130" t="s">
        <v>12</v>
      </c>
      <c r="B1130" s="2">
        <v>44746</v>
      </c>
      <c r="C1130">
        <v>21.927883148193359</v>
      </c>
    </row>
    <row r="1131" spans="1:3" x14ac:dyDescent="0.2">
      <c r="A1131" t="s">
        <v>12</v>
      </c>
      <c r="B1131" s="2">
        <v>44747</v>
      </c>
      <c r="C1131">
        <v>20.442903518676761</v>
      </c>
    </row>
    <row r="1132" spans="1:3" x14ac:dyDescent="0.2">
      <c r="A1132" t="s">
        <v>12</v>
      </c>
      <c r="B1132" s="2">
        <v>44748</v>
      </c>
      <c r="C1132">
        <v>19.927164077758789</v>
      </c>
    </row>
    <row r="1133" spans="1:3" x14ac:dyDescent="0.2">
      <c r="A1133" t="s">
        <v>12</v>
      </c>
      <c r="B1133" s="2">
        <v>44749</v>
      </c>
      <c r="C1133">
        <v>20.92308235168457</v>
      </c>
    </row>
    <row r="1134" spans="1:3" x14ac:dyDescent="0.2">
      <c r="A1134" t="s">
        <v>12</v>
      </c>
      <c r="B1134" s="2">
        <v>44750</v>
      </c>
      <c r="C1134">
        <v>20.754131317138668</v>
      </c>
    </row>
    <row r="1135" spans="1:3" x14ac:dyDescent="0.2">
      <c r="A1135" t="s">
        <v>12</v>
      </c>
      <c r="B1135" s="2">
        <v>44753</v>
      </c>
      <c r="C1135">
        <v>20.22060585021973</v>
      </c>
    </row>
    <row r="1136" spans="1:3" x14ac:dyDescent="0.2">
      <c r="A1136" t="s">
        <v>12</v>
      </c>
      <c r="B1136" s="2">
        <v>44754</v>
      </c>
      <c r="C1136">
        <v>19.349176406860352</v>
      </c>
    </row>
    <row r="1137" spans="1:3" x14ac:dyDescent="0.2">
      <c r="A1137" t="s">
        <v>12</v>
      </c>
      <c r="B1137" s="2">
        <v>44755</v>
      </c>
      <c r="C1137">
        <v>18.975711822509769</v>
      </c>
    </row>
    <row r="1138" spans="1:3" x14ac:dyDescent="0.2">
      <c r="A1138" t="s">
        <v>12</v>
      </c>
      <c r="B1138" s="2">
        <v>44756</v>
      </c>
      <c r="C1138">
        <v>18.486648559570309</v>
      </c>
    </row>
    <row r="1139" spans="1:3" x14ac:dyDescent="0.2">
      <c r="A1139" t="s">
        <v>12</v>
      </c>
      <c r="B1139" s="2">
        <v>44757</v>
      </c>
      <c r="C1139">
        <v>18.877897262573239</v>
      </c>
    </row>
    <row r="1140" spans="1:3" x14ac:dyDescent="0.2">
      <c r="A1140" t="s">
        <v>12</v>
      </c>
      <c r="B1140" s="2">
        <v>44760</v>
      </c>
      <c r="C1140">
        <v>19.420318603515621</v>
      </c>
    </row>
    <row r="1141" spans="1:3" x14ac:dyDescent="0.2">
      <c r="A1141" t="s">
        <v>12</v>
      </c>
      <c r="B1141" s="2">
        <v>44761</v>
      </c>
      <c r="C1141">
        <v>20.113901138305661</v>
      </c>
    </row>
    <row r="1142" spans="1:3" x14ac:dyDescent="0.2">
      <c r="A1142" t="s">
        <v>12</v>
      </c>
      <c r="B1142" s="2">
        <v>44762</v>
      </c>
      <c r="C1142">
        <v>20.327310562133789</v>
      </c>
    </row>
    <row r="1143" spans="1:3" x14ac:dyDescent="0.2">
      <c r="A1143" t="s">
        <v>12</v>
      </c>
      <c r="B1143" s="2">
        <v>44763</v>
      </c>
      <c r="C1143">
        <v>19.829351425170898</v>
      </c>
    </row>
    <row r="1144" spans="1:3" x14ac:dyDescent="0.2">
      <c r="A1144" t="s">
        <v>12</v>
      </c>
      <c r="B1144" s="2">
        <v>44764</v>
      </c>
      <c r="C1144">
        <v>19.39364051818848</v>
      </c>
    </row>
    <row r="1145" spans="1:3" x14ac:dyDescent="0.2">
      <c r="A1145" t="s">
        <v>12</v>
      </c>
      <c r="B1145" s="2">
        <v>44767</v>
      </c>
      <c r="C1145">
        <v>20.167253494262699</v>
      </c>
    </row>
    <row r="1146" spans="1:3" x14ac:dyDescent="0.2">
      <c r="A1146" t="s">
        <v>12</v>
      </c>
      <c r="B1146" s="2">
        <v>44768</v>
      </c>
      <c r="C1146">
        <v>20.060544967651371</v>
      </c>
    </row>
    <row r="1147" spans="1:3" x14ac:dyDescent="0.2">
      <c r="A1147" t="s">
        <v>12</v>
      </c>
      <c r="B1147" s="2">
        <v>44769</v>
      </c>
      <c r="C1147">
        <v>21.011997222900391</v>
      </c>
    </row>
    <row r="1148" spans="1:3" x14ac:dyDescent="0.2">
      <c r="A1148" t="s">
        <v>12</v>
      </c>
      <c r="B1148" s="2">
        <v>44770</v>
      </c>
      <c r="C1148">
        <v>21.83896446228027</v>
      </c>
    </row>
    <row r="1149" spans="1:3" x14ac:dyDescent="0.2">
      <c r="A1149" t="s">
        <v>12</v>
      </c>
      <c r="B1149" s="2">
        <v>44771</v>
      </c>
      <c r="C1149">
        <v>21.69669151306152</v>
      </c>
    </row>
    <row r="1150" spans="1:3" x14ac:dyDescent="0.2">
      <c r="A1150" t="s">
        <v>12</v>
      </c>
      <c r="B1150" s="2">
        <v>44775</v>
      </c>
      <c r="C1150">
        <v>21.198736190795898</v>
      </c>
    </row>
    <row r="1151" spans="1:3" x14ac:dyDescent="0.2">
      <c r="A1151" t="s">
        <v>12</v>
      </c>
      <c r="B1151" s="2">
        <v>44776</v>
      </c>
      <c r="C1151">
        <v>19.918272018432621</v>
      </c>
    </row>
    <row r="1152" spans="1:3" x14ac:dyDescent="0.2">
      <c r="A1152" t="s">
        <v>12</v>
      </c>
      <c r="B1152" s="2">
        <v>44777</v>
      </c>
      <c r="C1152">
        <v>18.406620025634769</v>
      </c>
    </row>
    <row r="1153" spans="1:3" x14ac:dyDescent="0.2">
      <c r="A1153" t="s">
        <v>12</v>
      </c>
      <c r="B1153" s="2">
        <v>44778</v>
      </c>
      <c r="C1153">
        <v>18.904573440551761</v>
      </c>
    </row>
    <row r="1154" spans="1:3" x14ac:dyDescent="0.2">
      <c r="A1154" t="s">
        <v>12</v>
      </c>
      <c r="B1154" s="2">
        <v>44781</v>
      </c>
      <c r="C1154">
        <v>19.5536994934082</v>
      </c>
    </row>
    <row r="1155" spans="1:3" x14ac:dyDescent="0.2">
      <c r="A1155" t="s">
        <v>12</v>
      </c>
      <c r="B1155" s="2">
        <v>44782</v>
      </c>
      <c r="C1155">
        <v>19.518131256103519</v>
      </c>
    </row>
    <row r="1156" spans="1:3" x14ac:dyDescent="0.2">
      <c r="A1156" t="s">
        <v>12</v>
      </c>
      <c r="B1156" s="2">
        <v>44783</v>
      </c>
      <c r="C1156">
        <v>19.660400390625</v>
      </c>
    </row>
    <row r="1157" spans="1:3" x14ac:dyDescent="0.2">
      <c r="A1157" t="s">
        <v>12</v>
      </c>
      <c r="B1157" s="2">
        <v>44784</v>
      </c>
      <c r="C1157">
        <v>21.07424354553223</v>
      </c>
    </row>
    <row r="1158" spans="1:3" x14ac:dyDescent="0.2">
      <c r="A1158" t="s">
        <v>12</v>
      </c>
      <c r="B1158" s="2">
        <v>44785</v>
      </c>
      <c r="C1158">
        <v>21.198736190795898</v>
      </c>
    </row>
    <row r="1159" spans="1:3" x14ac:dyDescent="0.2">
      <c r="A1159" t="s">
        <v>12</v>
      </c>
      <c r="B1159" s="2">
        <v>44788</v>
      </c>
      <c r="C1159">
        <v>20.718563079833981</v>
      </c>
    </row>
    <row r="1160" spans="1:3" x14ac:dyDescent="0.2">
      <c r="A1160" t="s">
        <v>12</v>
      </c>
      <c r="B1160" s="2">
        <v>44789</v>
      </c>
      <c r="C1160">
        <v>20.238388061523441</v>
      </c>
    </row>
    <row r="1161" spans="1:3" x14ac:dyDescent="0.2">
      <c r="A1161" t="s">
        <v>12</v>
      </c>
      <c r="B1161" s="2">
        <v>44790</v>
      </c>
      <c r="C1161">
        <v>20.576288223266602</v>
      </c>
    </row>
    <row r="1162" spans="1:3" x14ac:dyDescent="0.2">
      <c r="A1162" t="s">
        <v>12</v>
      </c>
      <c r="B1162" s="2">
        <v>44791</v>
      </c>
      <c r="C1162">
        <v>21.447713851928711</v>
      </c>
    </row>
    <row r="1163" spans="1:3" x14ac:dyDescent="0.2">
      <c r="A1163" t="s">
        <v>12</v>
      </c>
      <c r="B1163" s="2">
        <v>44792</v>
      </c>
      <c r="C1163">
        <v>21.020891189575199</v>
      </c>
    </row>
    <row r="1164" spans="1:3" x14ac:dyDescent="0.2">
      <c r="A1164" t="s">
        <v>12</v>
      </c>
      <c r="B1164" s="2">
        <v>44795</v>
      </c>
      <c r="C1164">
        <v>21.252082824707031</v>
      </c>
    </row>
    <row r="1165" spans="1:3" x14ac:dyDescent="0.2">
      <c r="A1165" t="s">
        <v>12</v>
      </c>
      <c r="B1165" s="2">
        <v>44796</v>
      </c>
      <c r="C1165">
        <v>21.990129470825199</v>
      </c>
    </row>
    <row r="1166" spans="1:3" x14ac:dyDescent="0.2">
      <c r="A1166" t="s">
        <v>12</v>
      </c>
      <c r="B1166" s="2">
        <v>44797</v>
      </c>
      <c r="C1166">
        <v>22.434736251831051</v>
      </c>
    </row>
    <row r="1167" spans="1:3" x14ac:dyDescent="0.2">
      <c r="A1167" t="s">
        <v>12</v>
      </c>
      <c r="B1167" s="2">
        <v>44798</v>
      </c>
      <c r="C1167">
        <v>22.612575531005859</v>
      </c>
    </row>
    <row r="1168" spans="1:3" x14ac:dyDescent="0.2">
      <c r="A1168" t="s">
        <v>12</v>
      </c>
      <c r="B1168" s="2">
        <v>44799</v>
      </c>
      <c r="C1168">
        <v>22.36359786987305</v>
      </c>
    </row>
    <row r="1169" spans="1:3" x14ac:dyDescent="0.2">
      <c r="A1169" t="s">
        <v>12</v>
      </c>
      <c r="B1169" s="2">
        <v>44802</v>
      </c>
      <c r="C1169">
        <v>22.994937896728519</v>
      </c>
    </row>
    <row r="1170" spans="1:3" x14ac:dyDescent="0.2">
      <c r="A1170" t="s">
        <v>12</v>
      </c>
      <c r="B1170" s="2">
        <v>44803</v>
      </c>
      <c r="C1170">
        <v>21.927883148193359</v>
      </c>
    </row>
    <row r="1171" spans="1:3" x14ac:dyDescent="0.2">
      <c r="A1171" t="s">
        <v>12</v>
      </c>
      <c r="B1171" s="2">
        <v>44804</v>
      </c>
      <c r="C1171">
        <v>21.910097122192379</v>
      </c>
    </row>
    <row r="1172" spans="1:3" x14ac:dyDescent="0.2">
      <c r="A1172" t="s">
        <v>12</v>
      </c>
      <c r="B1172" s="2">
        <v>44805</v>
      </c>
      <c r="C1172">
        <v>21.403253555297852</v>
      </c>
    </row>
    <row r="1173" spans="1:3" x14ac:dyDescent="0.2">
      <c r="A1173" t="s">
        <v>12</v>
      </c>
      <c r="B1173" s="2">
        <v>44806</v>
      </c>
      <c r="C1173">
        <v>22.10572624206543</v>
      </c>
    </row>
    <row r="1174" spans="1:3" x14ac:dyDescent="0.2">
      <c r="A1174" t="s">
        <v>12</v>
      </c>
      <c r="B1174" s="2">
        <v>44810</v>
      </c>
      <c r="C1174">
        <v>21.323225021362301</v>
      </c>
    </row>
    <row r="1175" spans="1:3" x14ac:dyDescent="0.2">
      <c r="A1175" t="s">
        <v>12</v>
      </c>
      <c r="B1175" s="2">
        <v>44811</v>
      </c>
      <c r="C1175">
        <v>20.531829833984379</v>
      </c>
    </row>
    <row r="1176" spans="1:3" x14ac:dyDescent="0.2">
      <c r="A1176" t="s">
        <v>12</v>
      </c>
      <c r="B1176" s="2">
        <v>44812</v>
      </c>
      <c r="C1176">
        <v>20.656316757202148</v>
      </c>
    </row>
    <row r="1177" spans="1:3" x14ac:dyDescent="0.2">
      <c r="A1177" t="s">
        <v>12</v>
      </c>
      <c r="B1177" s="2">
        <v>44813</v>
      </c>
      <c r="C1177">
        <v>21.341007232666019</v>
      </c>
    </row>
    <row r="1178" spans="1:3" x14ac:dyDescent="0.2">
      <c r="A1178" t="s">
        <v>12</v>
      </c>
      <c r="B1178" s="2">
        <v>44816</v>
      </c>
      <c r="C1178">
        <v>21.69669151306152</v>
      </c>
    </row>
    <row r="1179" spans="1:3" x14ac:dyDescent="0.2">
      <c r="A1179" t="s">
        <v>12</v>
      </c>
      <c r="B1179" s="2">
        <v>44817</v>
      </c>
      <c r="C1179">
        <v>21.616666793823239</v>
      </c>
    </row>
    <row r="1180" spans="1:3" x14ac:dyDescent="0.2">
      <c r="A1180" t="s">
        <v>12</v>
      </c>
      <c r="B1180" s="2">
        <v>44818</v>
      </c>
      <c r="C1180">
        <v>22.835695266723629</v>
      </c>
    </row>
    <row r="1181" spans="1:3" x14ac:dyDescent="0.2">
      <c r="A1181" t="s">
        <v>12</v>
      </c>
      <c r="B1181" s="2">
        <v>44819</v>
      </c>
      <c r="C1181">
        <v>22.255203247070309</v>
      </c>
    </row>
    <row r="1182" spans="1:3" x14ac:dyDescent="0.2">
      <c r="A1182" t="s">
        <v>12</v>
      </c>
      <c r="B1182" s="2">
        <v>44820</v>
      </c>
      <c r="C1182">
        <v>21.951555252075199</v>
      </c>
    </row>
    <row r="1183" spans="1:3" x14ac:dyDescent="0.2">
      <c r="A1183" t="s">
        <v>12</v>
      </c>
      <c r="B1183" s="2">
        <v>44823</v>
      </c>
      <c r="C1183">
        <v>22.17482948303223</v>
      </c>
    </row>
    <row r="1184" spans="1:3" x14ac:dyDescent="0.2">
      <c r="A1184" t="s">
        <v>12</v>
      </c>
      <c r="B1184" s="2">
        <v>44824</v>
      </c>
      <c r="C1184">
        <v>21.93370246887207</v>
      </c>
    </row>
    <row r="1185" spans="1:3" x14ac:dyDescent="0.2">
      <c r="A1185" t="s">
        <v>12</v>
      </c>
      <c r="B1185" s="2">
        <v>44825</v>
      </c>
      <c r="C1185">
        <v>21.183523178100589</v>
      </c>
    </row>
    <row r="1186" spans="1:3" x14ac:dyDescent="0.2">
      <c r="A1186" t="s">
        <v>12</v>
      </c>
      <c r="B1186" s="2">
        <v>44826</v>
      </c>
      <c r="C1186">
        <v>20.594095230102539</v>
      </c>
    </row>
    <row r="1187" spans="1:3" x14ac:dyDescent="0.2">
      <c r="A1187" t="s">
        <v>12</v>
      </c>
      <c r="B1187" s="2">
        <v>44827</v>
      </c>
      <c r="C1187">
        <v>18.7543830871582</v>
      </c>
    </row>
    <row r="1188" spans="1:3" x14ac:dyDescent="0.2">
      <c r="A1188" t="s">
        <v>12</v>
      </c>
      <c r="B1188" s="2">
        <v>44830</v>
      </c>
      <c r="C1188">
        <v>17.897041320800781</v>
      </c>
    </row>
    <row r="1189" spans="1:3" x14ac:dyDescent="0.2">
      <c r="A1189" t="s">
        <v>12</v>
      </c>
      <c r="B1189" s="2">
        <v>44831</v>
      </c>
      <c r="C1189">
        <v>18.218545913696289</v>
      </c>
    </row>
    <row r="1190" spans="1:3" x14ac:dyDescent="0.2">
      <c r="A1190" t="s">
        <v>12</v>
      </c>
      <c r="B1190" s="2">
        <v>44832</v>
      </c>
      <c r="C1190">
        <v>19.00444412231445</v>
      </c>
    </row>
    <row r="1191" spans="1:3" x14ac:dyDescent="0.2">
      <c r="A1191" t="s">
        <v>12</v>
      </c>
      <c r="B1191" s="2">
        <v>44833</v>
      </c>
      <c r="C1191">
        <v>19.058029174804691</v>
      </c>
    </row>
    <row r="1192" spans="1:3" x14ac:dyDescent="0.2">
      <c r="A1192" t="s">
        <v>12</v>
      </c>
      <c r="B1192" s="2">
        <v>44834</v>
      </c>
      <c r="C1192">
        <v>18.950860977172852</v>
      </c>
    </row>
    <row r="1193" spans="1:3" x14ac:dyDescent="0.2">
      <c r="A1193" t="s">
        <v>12</v>
      </c>
      <c r="B1193" s="2">
        <v>44837</v>
      </c>
      <c r="C1193">
        <v>19.977884292602539</v>
      </c>
    </row>
    <row r="1194" spans="1:3" x14ac:dyDescent="0.2">
      <c r="A1194" t="s">
        <v>12</v>
      </c>
      <c r="B1194" s="2">
        <v>44838</v>
      </c>
      <c r="C1194">
        <v>20.915609359741211</v>
      </c>
    </row>
    <row r="1195" spans="1:3" x14ac:dyDescent="0.2">
      <c r="A1195" t="s">
        <v>12</v>
      </c>
      <c r="B1195" s="2">
        <v>44839</v>
      </c>
      <c r="C1195">
        <v>21.8890495300293</v>
      </c>
    </row>
    <row r="1196" spans="1:3" x14ac:dyDescent="0.2">
      <c r="A1196" t="s">
        <v>12</v>
      </c>
      <c r="B1196" s="2">
        <v>44840</v>
      </c>
      <c r="C1196">
        <v>22.853557586669918</v>
      </c>
    </row>
    <row r="1197" spans="1:3" x14ac:dyDescent="0.2">
      <c r="A1197" t="s">
        <v>12</v>
      </c>
      <c r="B1197" s="2">
        <v>44841</v>
      </c>
      <c r="C1197">
        <v>22.808902740478519</v>
      </c>
    </row>
    <row r="1198" spans="1:3" x14ac:dyDescent="0.2">
      <c r="A1198" t="s">
        <v>12</v>
      </c>
      <c r="B1198" s="2">
        <v>44845</v>
      </c>
      <c r="C1198">
        <v>21.112077713012699</v>
      </c>
    </row>
    <row r="1199" spans="1:3" x14ac:dyDescent="0.2">
      <c r="A1199" t="s">
        <v>12</v>
      </c>
      <c r="B1199" s="2">
        <v>44846</v>
      </c>
      <c r="C1199">
        <v>21.174592971801761</v>
      </c>
    </row>
    <row r="1200" spans="1:3" x14ac:dyDescent="0.2">
      <c r="A1200" t="s">
        <v>12</v>
      </c>
      <c r="B1200" s="2">
        <v>44847</v>
      </c>
      <c r="C1200">
        <v>21.826530456542969</v>
      </c>
    </row>
    <row r="1201" spans="1:3" x14ac:dyDescent="0.2">
      <c r="A1201" t="s">
        <v>12</v>
      </c>
      <c r="B1201" s="2">
        <v>44848</v>
      </c>
      <c r="C1201">
        <v>20.558380126953121</v>
      </c>
    </row>
    <row r="1202" spans="1:3" x14ac:dyDescent="0.2">
      <c r="A1202" t="s">
        <v>12</v>
      </c>
      <c r="B1202" s="2">
        <v>44851</v>
      </c>
      <c r="C1202">
        <v>20.790573120117191</v>
      </c>
    </row>
    <row r="1203" spans="1:3" x14ac:dyDescent="0.2">
      <c r="A1203" t="s">
        <v>12</v>
      </c>
      <c r="B1203" s="2">
        <v>44852</v>
      </c>
      <c r="C1203">
        <v>20.969186782836911</v>
      </c>
    </row>
    <row r="1204" spans="1:3" x14ac:dyDescent="0.2">
      <c r="A1204" t="s">
        <v>12</v>
      </c>
      <c r="B1204" s="2">
        <v>44853</v>
      </c>
      <c r="C1204">
        <v>21.817600250244141</v>
      </c>
    </row>
    <row r="1205" spans="1:3" x14ac:dyDescent="0.2">
      <c r="A1205" t="s">
        <v>12</v>
      </c>
      <c r="B1205" s="2">
        <v>44854</v>
      </c>
      <c r="C1205">
        <v>22.496334075927731</v>
      </c>
    </row>
    <row r="1206" spans="1:3" x14ac:dyDescent="0.2">
      <c r="A1206" t="s">
        <v>12</v>
      </c>
      <c r="B1206" s="2">
        <v>44855</v>
      </c>
      <c r="C1206">
        <v>23.005378723144531</v>
      </c>
    </row>
    <row r="1207" spans="1:3" x14ac:dyDescent="0.2">
      <c r="A1207" t="s">
        <v>12</v>
      </c>
      <c r="B1207" s="2">
        <v>44858</v>
      </c>
      <c r="C1207">
        <v>23.371538162231449</v>
      </c>
    </row>
    <row r="1208" spans="1:3" x14ac:dyDescent="0.2">
      <c r="A1208" t="s">
        <v>12</v>
      </c>
      <c r="B1208" s="2">
        <v>44859</v>
      </c>
      <c r="C1208">
        <v>23.69304084777832</v>
      </c>
    </row>
    <row r="1209" spans="1:3" x14ac:dyDescent="0.2">
      <c r="A1209" t="s">
        <v>12</v>
      </c>
      <c r="B1209" s="2">
        <v>44860</v>
      </c>
      <c r="C1209">
        <v>24.21102142333984</v>
      </c>
    </row>
    <row r="1210" spans="1:3" x14ac:dyDescent="0.2">
      <c r="A1210" t="s">
        <v>12</v>
      </c>
      <c r="B1210" s="2">
        <v>44861</v>
      </c>
      <c r="C1210">
        <v>24.42535400390625</v>
      </c>
    </row>
    <row r="1211" spans="1:3" x14ac:dyDescent="0.2">
      <c r="A1211" t="s">
        <v>12</v>
      </c>
      <c r="B1211" s="2">
        <v>44862</v>
      </c>
      <c r="C1211">
        <v>24.29139518737793</v>
      </c>
    </row>
    <row r="1212" spans="1:3" x14ac:dyDescent="0.2">
      <c r="A1212" t="s">
        <v>12</v>
      </c>
      <c r="B1212" s="2">
        <v>44865</v>
      </c>
      <c r="C1212">
        <v>24.595037460327148</v>
      </c>
    </row>
    <row r="1213" spans="1:3" x14ac:dyDescent="0.2">
      <c r="A1213" t="s">
        <v>12</v>
      </c>
      <c r="B1213" s="2">
        <v>44866</v>
      </c>
      <c r="C1213">
        <v>24.943332672119141</v>
      </c>
    </row>
    <row r="1214" spans="1:3" x14ac:dyDescent="0.2">
      <c r="A1214" t="s">
        <v>12</v>
      </c>
      <c r="B1214" s="2">
        <v>44867</v>
      </c>
      <c r="C1214">
        <v>24.85402679443359</v>
      </c>
    </row>
    <row r="1215" spans="1:3" x14ac:dyDescent="0.2">
      <c r="A1215" t="s">
        <v>12</v>
      </c>
      <c r="B1215" s="2">
        <v>44868</v>
      </c>
      <c r="C1215">
        <v>25.72923469543457</v>
      </c>
    </row>
    <row r="1216" spans="1:3" x14ac:dyDescent="0.2">
      <c r="A1216" t="s">
        <v>12</v>
      </c>
      <c r="B1216" s="2">
        <v>44869</v>
      </c>
      <c r="C1216">
        <v>25.443447113037109</v>
      </c>
    </row>
    <row r="1217" spans="1:3" x14ac:dyDescent="0.2">
      <c r="A1217" t="s">
        <v>12</v>
      </c>
      <c r="B1217" s="2">
        <v>44872</v>
      </c>
      <c r="C1217">
        <v>25.523824691772461</v>
      </c>
    </row>
    <row r="1218" spans="1:3" x14ac:dyDescent="0.2">
      <c r="A1218" t="s">
        <v>12</v>
      </c>
      <c r="B1218" s="2">
        <v>44873</v>
      </c>
      <c r="C1218">
        <v>25.5684814453125</v>
      </c>
    </row>
    <row r="1219" spans="1:3" x14ac:dyDescent="0.2">
      <c r="A1219" t="s">
        <v>12</v>
      </c>
      <c r="B1219" s="2">
        <v>44874</v>
      </c>
      <c r="C1219">
        <v>24.18422698974609</v>
      </c>
    </row>
    <row r="1220" spans="1:3" x14ac:dyDescent="0.2">
      <c r="A1220" t="s">
        <v>12</v>
      </c>
      <c r="B1220" s="2">
        <v>44875</v>
      </c>
      <c r="C1220">
        <v>24.83616828918457</v>
      </c>
    </row>
    <row r="1221" spans="1:3" x14ac:dyDescent="0.2">
      <c r="A1221" t="s">
        <v>12</v>
      </c>
      <c r="B1221" s="2">
        <v>44876</v>
      </c>
      <c r="C1221">
        <v>25.622060775756839</v>
      </c>
    </row>
    <row r="1222" spans="1:3" x14ac:dyDescent="0.2">
      <c r="A1222" t="s">
        <v>12</v>
      </c>
      <c r="B1222" s="2">
        <v>44879</v>
      </c>
      <c r="C1222">
        <v>25.202316284179691</v>
      </c>
    </row>
    <row r="1223" spans="1:3" x14ac:dyDescent="0.2">
      <c r="A1223" t="s">
        <v>12</v>
      </c>
      <c r="B1223" s="2">
        <v>44880</v>
      </c>
      <c r="C1223">
        <v>25.505964279174801</v>
      </c>
    </row>
    <row r="1224" spans="1:3" x14ac:dyDescent="0.2">
      <c r="A1224" t="s">
        <v>12</v>
      </c>
      <c r="B1224" s="2">
        <v>44881</v>
      </c>
      <c r="C1224">
        <v>25.059429168701168</v>
      </c>
    </row>
    <row r="1225" spans="1:3" x14ac:dyDescent="0.2">
      <c r="A1225" t="s">
        <v>12</v>
      </c>
      <c r="B1225" s="2">
        <v>44882</v>
      </c>
      <c r="C1225">
        <v>24.668466567993161</v>
      </c>
    </row>
    <row r="1226" spans="1:3" x14ac:dyDescent="0.2">
      <c r="A1226" t="s">
        <v>12</v>
      </c>
      <c r="B1226" s="2">
        <v>44883</v>
      </c>
      <c r="C1226">
        <v>24.327718734741211</v>
      </c>
    </row>
    <row r="1227" spans="1:3" x14ac:dyDescent="0.2">
      <c r="A1227" t="s">
        <v>12</v>
      </c>
      <c r="B1227" s="2">
        <v>44886</v>
      </c>
      <c r="C1227">
        <v>23.807621002197269</v>
      </c>
    </row>
    <row r="1228" spans="1:3" x14ac:dyDescent="0.2">
      <c r="A1228" t="s">
        <v>12</v>
      </c>
      <c r="B1228" s="2">
        <v>44887</v>
      </c>
      <c r="C1228">
        <v>24.61466217041016</v>
      </c>
    </row>
    <row r="1229" spans="1:3" x14ac:dyDescent="0.2">
      <c r="A1229" t="s">
        <v>12</v>
      </c>
      <c r="B1229" s="2">
        <v>44888</v>
      </c>
      <c r="C1229">
        <v>24.26494216918945</v>
      </c>
    </row>
    <row r="1230" spans="1:3" x14ac:dyDescent="0.2">
      <c r="A1230" t="s">
        <v>12</v>
      </c>
      <c r="B1230" s="2">
        <v>44889</v>
      </c>
      <c r="C1230">
        <v>24.193208694458011</v>
      </c>
    </row>
    <row r="1231" spans="1:3" x14ac:dyDescent="0.2">
      <c r="A1231" t="s">
        <v>12</v>
      </c>
      <c r="B1231" s="2">
        <v>44890</v>
      </c>
      <c r="C1231">
        <v>24.309782028198239</v>
      </c>
    </row>
    <row r="1232" spans="1:3" x14ac:dyDescent="0.2">
      <c r="A1232" t="s">
        <v>12</v>
      </c>
      <c r="B1232" s="2">
        <v>44893</v>
      </c>
      <c r="C1232">
        <v>23.700021743774411</v>
      </c>
    </row>
    <row r="1233" spans="1:3" x14ac:dyDescent="0.2">
      <c r="A1233" t="s">
        <v>12</v>
      </c>
      <c r="B1233" s="2">
        <v>44894</v>
      </c>
      <c r="C1233">
        <v>24.820905685424801</v>
      </c>
    </row>
    <row r="1234" spans="1:3" x14ac:dyDescent="0.2">
      <c r="A1234" t="s">
        <v>12</v>
      </c>
      <c r="B1234" s="2">
        <v>44895</v>
      </c>
      <c r="C1234">
        <v>23.986967086791989</v>
      </c>
    </row>
    <row r="1235" spans="1:3" x14ac:dyDescent="0.2">
      <c r="A1235" t="s">
        <v>12</v>
      </c>
      <c r="B1235" s="2">
        <v>44896</v>
      </c>
      <c r="C1235">
        <v>23.66414833068848</v>
      </c>
    </row>
    <row r="1236" spans="1:3" x14ac:dyDescent="0.2">
      <c r="A1236" t="s">
        <v>12</v>
      </c>
      <c r="B1236" s="2">
        <v>44897</v>
      </c>
      <c r="C1236">
        <v>24.067670822143551</v>
      </c>
    </row>
    <row r="1237" spans="1:3" x14ac:dyDescent="0.2">
      <c r="A1237" t="s">
        <v>12</v>
      </c>
      <c r="B1237" s="2">
        <v>44900</v>
      </c>
      <c r="C1237">
        <v>23.38616943359375</v>
      </c>
    </row>
    <row r="1238" spans="1:3" x14ac:dyDescent="0.2">
      <c r="A1238" t="s">
        <v>12</v>
      </c>
      <c r="B1238" s="2">
        <v>44901</v>
      </c>
      <c r="C1238">
        <v>22.54326057434082</v>
      </c>
    </row>
    <row r="1239" spans="1:3" x14ac:dyDescent="0.2">
      <c r="A1239" t="s">
        <v>12</v>
      </c>
      <c r="B1239" s="2">
        <v>44902</v>
      </c>
      <c r="C1239">
        <v>22.38185882568359</v>
      </c>
    </row>
    <row r="1240" spans="1:3" x14ac:dyDescent="0.2">
      <c r="A1240" t="s">
        <v>12</v>
      </c>
      <c r="B1240" s="2">
        <v>44903</v>
      </c>
      <c r="C1240">
        <v>21.969375610351559</v>
      </c>
    </row>
    <row r="1241" spans="1:3" x14ac:dyDescent="0.2">
      <c r="A1241" t="s">
        <v>12</v>
      </c>
      <c r="B1241" s="2">
        <v>44904</v>
      </c>
      <c r="C1241">
        <v>21.69139289855957</v>
      </c>
    </row>
    <row r="1242" spans="1:3" x14ac:dyDescent="0.2">
      <c r="A1242" t="s">
        <v>12</v>
      </c>
      <c r="B1242" s="2">
        <v>44907</v>
      </c>
      <c r="C1242">
        <v>21.781061172485352</v>
      </c>
    </row>
    <row r="1243" spans="1:3" x14ac:dyDescent="0.2">
      <c r="A1243" t="s">
        <v>12</v>
      </c>
      <c r="B1243" s="2">
        <v>44908</v>
      </c>
      <c r="C1243">
        <v>22.345989227294918</v>
      </c>
    </row>
    <row r="1244" spans="1:3" x14ac:dyDescent="0.2">
      <c r="A1244" t="s">
        <v>12</v>
      </c>
      <c r="B1244" s="2">
        <v>44909</v>
      </c>
      <c r="C1244">
        <v>22.557607650756839</v>
      </c>
    </row>
    <row r="1245" spans="1:3" x14ac:dyDescent="0.2">
      <c r="A1245" t="s">
        <v>12</v>
      </c>
      <c r="B1245" s="2">
        <v>44910</v>
      </c>
      <c r="C1245">
        <v>22.38651275634766</v>
      </c>
    </row>
    <row r="1246" spans="1:3" x14ac:dyDescent="0.2">
      <c r="A1246" t="s">
        <v>12</v>
      </c>
      <c r="B1246" s="2">
        <v>44911</v>
      </c>
      <c r="C1246">
        <v>21.82819747924805</v>
      </c>
    </row>
    <row r="1247" spans="1:3" x14ac:dyDescent="0.2">
      <c r="A1247" t="s">
        <v>12</v>
      </c>
      <c r="B1247" s="2">
        <v>44914</v>
      </c>
      <c r="C1247">
        <v>21.936262130737301</v>
      </c>
    </row>
    <row r="1248" spans="1:3" x14ac:dyDescent="0.2">
      <c r="A1248" t="s">
        <v>12</v>
      </c>
      <c r="B1248" s="2">
        <v>44915</v>
      </c>
      <c r="C1248">
        <v>22.50357627868652</v>
      </c>
    </row>
    <row r="1249" spans="1:3" x14ac:dyDescent="0.2">
      <c r="A1249" t="s">
        <v>12</v>
      </c>
      <c r="B1249" s="2">
        <v>44916</v>
      </c>
      <c r="C1249">
        <v>23.350051879882809</v>
      </c>
    </row>
    <row r="1250" spans="1:3" x14ac:dyDescent="0.2">
      <c r="A1250" t="s">
        <v>12</v>
      </c>
      <c r="B1250" s="2">
        <v>44917</v>
      </c>
      <c r="C1250">
        <v>22.6746711730957</v>
      </c>
    </row>
    <row r="1251" spans="1:3" x14ac:dyDescent="0.2">
      <c r="A1251" t="s">
        <v>12</v>
      </c>
      <c r="B1251" s="2">
        <v>44918</v>
      </c>
      <c r="C1251">
        <v>23.629205703735352</v>
      </c>
    </row>
    <row r="1252" spans="1:3" x14ac:dyDescent="0.2">
      <c r="A1252" t="s">
        <v>12</v>
      </c>
      <c r="B1252" s="2">
        <v>44923</v>
      </c>
      <c r="C1252">
        <v>23.025869369506839</v>
      </c>
    </row>
    <row r="1253" spans="1:3" x14ac:dyDescent="0.2">
      <c r="A1253" t="s">
        <v>12</v>
      </c>
      <c r="B1253" s="2">
        <v>44924</v>
      </c>
      <c r="C1253">
        <v>23.5301513671875</v>
      </c>
    </row>
    <row r="1254" spans="1:3" x14ac:dyDescent="0.2">
      <c r="A1254" t="s">
        <v>12</v>
      </c>
      <c r="B1254" s="2">
        <v>44925</v>
      </c>
      <c r="C1254">
        <v>23.656223297119141</v>
      </c>
    </row>
    <row r="1255" spans="1:3" x14ac:dyDescent="0.2">
      <c r="A1255" t="s">
        <v>12</v>
      </c>
      <c r="B1255" s="2">
        <v>44929</v>
      </c>
      <c r="C1255">
        <v>22.467559814453121</v>
      </c>
    </row>
    <row r="1256" spans="1:3" x14ac:dyDescent="0.2">
      <c r="A1256" t="s">
        <v>12</v>
      </c>
      <c r="B1256" s="2">
        <v>44930</v>
      </c>
      <c r="C1256">
        <v>21.999294281005859</v>
      </c>
    </row>
    <row r="1257" spans="1:3" x14ac:dyDescent="0.2">
      <c r="A1257" t="s">
        <v>12</v>
      </c>
      <c r="B1257" s="2">
        <v>44931</v>
      </c>
      <c r="C1257">
        <v>22.494569778442379</v>
      </c>
    </row>
    <row r="1258" spans="1:3" x14ac:dyDescent="0.2">
      <c r="A1258" t="s">
        <v>12</v>
      </c>
      <c r="B1258" s="2">
        <v>44932</v>
      </c>
      <c r="C1258">
        <v>22.845771789550781</v>
      </c>
    </row>
    <row r="1259" spans="1:3" x14ac:dyDescent="0.2">
      <c r="A1259" t="s">
        <v>12</v>
      </c>
      <c r="B1259" s="2">
        <v>44935</v>
      </c>
      <c r="C1259">
        <v>22.926811218261719</v>
      </c>
    </row>
    <row r="1260" spans="1:3" x14ac:dyDescent="0.2">
      <c r="A1260" t="s">
        <v>12</v>
      </c>
      <c r="B1260" s="2">
        <v>44936</v>
      </c>
      <c r="C1260">
        <v>22.656661987304691</v>
      </c>
    </row>
    <row r="1261" spans="1:3" x14ac:dyDescent="0.2">
      <c r="A1261" t="s">
        <v>12</v>
      </c>
      <c r="B1261" s="2">
        <v>44937</v>
      </c>
      <c r="C1261">
        <v>22.323476791381839</v>
      </c>
    </row>
    <row r="1262" spans="1:3" x14ac:dyDescent="0.2">
      <c r="A1262" t="s">
        <v>12</v>
      </c>
      <c r="B1262" s="2">
        <v>44938</v>
      </c>
      <c r="C1262">
        <v>23.2599983215332</v>
      </c>
    </row>
    <row r="1263" spans="1:3" x14ac:dyDescent="0.2">
      <c r="A1263" t="s">
        <v>12</v>
      </c>
      <c r="B1263" s="2">
        <v>44939</v>
      </c>
      <c r="C1263">
        <v>23.305027008056641</v>
      </c>
    </row>
    <row r="1264" spans="1:3" x14ac:dyDescent="0.2">
      <c r="A1264" t="s">
        <v>12</v>
      </c>
      <c r="B1264" s="2">
        <v>44942</v>
      </c>
      <c r="C1264">
        <v>23.187957763671879</v>
      </c>
    </row>
    <row r="1265" spans="1:3" x14ac:dyDescent="0.2">
      <c r="A1265" t="s">
        <v>12</v>
      </c>
      <c r="B1265" s="2">
        <v>44943</v>
      </c>
      <c r="C1265">
        <v>23.10691070556641</v>
      </c>
    </row>
    <row r="1266" spans="1:3" x14ac:dyDescent="0.2">
      <c r="A1266" t="s">
        <v>12</v>
      </c>
      <c r="B1266" s="2">
        <v>44944</v>
      </c>
      <c r="C1266">
        <v>22.521585464477539</v>
      </c>
    </row>
    <row r="1267" spans="1:3" x14ac:dyDescent="0.2">
      <c r="A1267" t="s">
        <v>12</v>
      </c>
      <c r="B1267" s="2">
        <v>44945</v>
      </c>
      <c r="C1267">
        <v>22.854770660400391</v>
      </c>
    </row>
    <row r="1268" spans="1:3" x14ac:dyDescent="0.2">
      <c r="A1268" t="s">
        <v>12</v>
      </c>
      <c r="B1268" s="2">
        <v>44946</v>
      </c>
      <c r="C1268">
        <v>22.935817718505859</v>
      </c>
    </row>
    <row r="1269" spans="1:3" x14ac:dyDescent="0.2">
      <c r="A1269" t="s">
        <v>12</v>
      </c>
      <c r="B1269" s="2">
        <v>44949</v>
      </c>
      <c r="C1269">
        <v>23.124929428100589</v>
      </c>
    </row>
    <row r="1270" spans="1:3" x14ac:dyDescent="0.2">
      <c r="A1270" t="s">
        <v>12</v>
      </c>
      <c r="B1270" s="2">
        <v>44950</v>
      </c>
      <c r="C1270">
        <v>22.971836090087891</v>
      </c>
    </row>
    <row r="1271" spans="1:3" x14ac:dyDescent="0.2">
      <c r="A1271" t="s">
        <v>12</v>
      </c>
      <c r="B1271" s="2">
        <v>44951</v>
      </c>
      <c r="C1271">
        <v>23.070896148681641</v>
      </c>
    </row>
    <row r="1272" spans="1:3" x14ac:dyDescent="0.2">
      <c r="A1272" t="s">
        <v>12</v>
      </c>
      <c r="B1272" s="2">
        <v>44952</v>
      </c>
      <c r="C1272">
        <v>24.187520980834961</v>
      </c>
    </row>
    <row r="1273" spans="1:3" x14ac:dyDescent="0.2">
      <c r="A1273" t="s">
        <v>12</v>
      </c>
      <c r="B1273" s="2">
        <v>44953</v>
      </c>
      <c r="C1273">
        <v>24.448661804199219</v>
      </c>
    </row>
    <row r="1274" spans="1:3" x14ac:dyDescent="0.2">
      <c r="A1274" t="s">
        <v>12</v>
      </c>
      <c r="B1274" s="2">
        <v>44956</v>
      </c>
      <c r="C1274">
        <v>23.845329284667969</v>
      </c>
    </row>
    <row r="1275" spans="1:3" x14ac:dyDescent="0.2">
      <c r="A1275" t="s">
        <v>12</v>
      </c>
      <c r="B1275" s="2">
        <v>44957</v>
      </c>
      <c r="C1275">
        <v>23.93537712097168</v>
      </c>
    </row>
    <row r="1276" spans="1:3" x14ac:dyDescent="0.2">
      <c r="A1276" t="s">
        <v>12</v>
      </c>
      <c r="B1276" s="2">
        <v>44958</v>
      </c>
      <c r="C1276">
        <v>23.043880462646481</v>
      </c>
    </row>
    <row r="1277" spans="1:3" x14ac:dyDescent="0.2">
      <c r="A1277" t="s">
        <v>12</v>
      </c>
      <c r="B1277" s="2">
        <v>44959</v>
      </c>
      <c r="C1277">
        <v>22.06233024597168</v>
      </c>
    </row>
    <row r="1278" spans="1:3" x14ac:dyDescent="0.2">
      <c r="A1278" t="s">
        <v>12</v>
      </c>
      <c r="B1278" s="2">
        <v>44960</v>
      </c>
      <c r="C1278">
        <v>22.512580871582031</v>
      </c>
    </row>
    <row r="1279" spans="1:3" x14ac:dyDescent="0.2">
      <c r="A1279" t="s">
        <v>12</v>
      </c>
      <c r="B1279" s="2">
        <v>44963</v>
      </c>
      <c r="C1279">
        <v>22.539596557617191</v>
      </c>
    </row>
    <row r="1280" spans="1:3" x14ac:dyDescent="0.2">
      <c r="A1280" t="s">
        <v>12</v>
      </c>
      <c r="B1280" s="2">
        <v>44964</v>
      </c>
      <c r="C1280">
        <v>23.494125366210941</v>
      </c>
    </row>
    <row r="1281" spans="1:3" x14ac:dyDescent="0.2">
      <c r="A1281" t="s">
        <v>12</v>
      </c>
      <c r="B1281" s="2">
        <v>44965</v>
      </c>
      <c r="C1281">
        <v>23.629205703735352</v>
      </c>
    </row>
    <row r="1282" spans="1:3" x14ac:dyDescent="0.2">
      <c r="A1282" t="s">
        <v>12</v>
      </c>
      <c r="B1282" s="2">
        <v>44966</v>
      </c>
      <c r="C1282">
        <v>23.422088623046879</v>
      </c>
    </row>
    <row r="1283" spans="1:3" x14ac:dyDescent="0.2">
      <c r="A1283" t="s">
        <v>12</v>
      </c>
      <c r="B1283" s="2">
        <v>44967</v>
      </c>
      <c r="C1283">
        <v>24.133487701416019</v>
      </c>
    </row>
    <row r="1284" spans="1:3" x14ac:dyDescent="0.2">
      <c r="A1284" t="s">
        <v>12</v>
      </c>
      <c r="B1284" s="2">
        <v>44970</v>
      </c>
      <c r="C1284">
        <v>23.899356842041019</v>
      </c>
    </row>
    <row r="1285" spans="1:3" x14ac:dyDescent="0.2">
      <c r="A1285" t="s">
        <v>12</v>
      </c>
      <c r="B1285" s="2">
        <v>44971</v>
      </c>
      <c r="C1285">
        <v>23.917367935180661</v>
      </c>
    </row>
    <row r="1286" spans="1:3" x14ac:dyDescent="0.2">
      <c r="A1286" t="s">
        <v>12</v>
      </c>
      <c r="B1286" s="2">
        <v>44972</v>
      </c>
      <c r="C1286">
        <v>23.422088623046879</v>
      </c>
    </row>
    <row r="1287" spans="1:3" x14ac:dyDescent="0.2">
      <c r="A1287" t="s">
        <v>12</v>
      </c>
      <c r="B1287" s="2">
        <v>44973</v>
      </c>
      <c r="C1287">
        <v>22.37750244140625</v>
      </c>
    </row>
    <row r="1288" spans="1:3" x14ac:dyDescent="0.2">
      <c r="A1288" t="s">
        <v>12</v>
      </c>
      <c r="B1288" s="2">
        <v>44974</v>
      </c>
      <c r="C1288">
        <v>22.071334838867191</v>
      </c>
    </row>
    <row r="1289" spans="1:3" x14ac:dyDescent="0.2">
      <c r="A1289" t="s">
        <v>12</v>
      </c>
      <c r="B1289" s="2">
        <v>44978</v>
      </c>
      <c r="C1289">
        <v>22.458553314208981</v>
      </c>
    </row>
    <row r="1290" spans="1:3" x14ac:dyDescent="0.2">
      <c r="A1290" t="s">
        <v>12</v>
      </c>
      <c r="B1290" s="2">
        <v>44979</v>
      </c>
      <c r="C1290">
        <v>21.846210479736332</v>
      </c>
    </row>
    <row r="1291" spans="1:3" x14ac:dyDescent="0.2">
      <c r="A1291" t="s">
        <v>12</v>
      </c>
      <c r="B1291" s="2">
        <v>44980</v>
      </c>
      <c r="C1291">
        <v>22.03531455993652</v>
      </c>
    </row>
    <row r="1292" spans="1:3" x14ac:dyDescent="0.2">
      <c r="A1292" t="s">
        <v>12</v>
      </c>
      <c r="B1292" s="2">
        <v>44981</v>
      </c>
      <c r="C1292">
        <v>22.314474105834961</v>
      </c>
    </row>
    <row r="1293" spans="1:3" x14ac:dyDescent="0.2">
      <c r="A1293" t="s">
        <v>12</v>
      </c>
      <c r="B1293" s="2">
        <v>44984</v>
      </c>
      <c r="C1293">
        <v>22.701688766479489</v>
      </c>
    </row>
    <row r="1294" spans="1:3" x14ac:dyDescent="0.2">
      <c r="A1294" t="s">
        <v>12</v>
      </c>
      <c r="B1294" s="2">
        <v>44985</v>
      </c>
      <c r="C1294">
        <v>22.656661987304691</v>
      </c>
    </row>
    <row r="1295" spans="1:3" x14ac:dyDescent="0.2">
      <c r="A1295" t="s">
        <v>12</v>
      </c>
      <c r="B1295" s="2">
        <v>44986</v>
      </c>
      <c r="C1295">
        <v>22.77372932434082</v>
      </c>
    </row>
    <row r="1296" spans="1:3" x14ac:dyDescent="0.2">
      <c r="A1296" t="s">
        <v>12</v>
      </c>
      <c r="B1296" s="2">
        <v>44987</v>
      </c>
      <c r="C1296">
        <v>23.341043472290039</v>
      </c>
    </row>
    <row r="1297" spans="1:3" x14ac:dyDescent="0.2">
      <c r="A1297" t="s">
        <v>12</v>
      </c>
      <c r="B1297" s="2">
        <v>44988</v>
      </c>
      <c r="C1297">
        <v>23.6832389831543</v>
      </c>
    </row>
    <row r="1298" spans="1:3" x14ac:dyDescent="0.2">
      <c r="A1298" t="s">
        <v>12</v>
      </c>
      <c r="B1298" s="2">
        <v>44991</v>
      </c>
      <c r="C1298">
        <v>23.5301513671875</v>
      </c>
    </row>
    <row r="1299" spans="1:3" x14ac:dyDescent="0.2">
      <c r="A1299" t="s">
        <v>12</v>
      </c>
      <c r="B1299" s="2">
        <v>44992</v>
      </c>
      <c r="C1299">
        <v>22.953826904296879</v>
      </c>
    </row>
    <row r="1300" spans="1:3" x14ac:dyDescent="0.2">
      <c r="A1300" t="s">
        <v>12</v>
      </c>
      <c r="B1300" s="2">
        <v>44993</v>
      </c>
      <c r="C1300">
        <v>22.935817718505859</v>
      </c>
    </row>
    <row r="1301" spans="1:3" x14ac:dyDescent="0.2">
      <c r="A1301" t="s">
        <v>12</v>
      </c>
      <c r="B1301" s="2">
        <v>44994</v>
      </c>
      <c r="C1301">
        <v>23.133932113647461</v>
      </c>
    </row>
    <row r="1302" spans="1:3" x14ac:dyDescent="0.2">
      <c r="A1302" t="s">
        <v>12</v>
      </c>
      <c r="B1302" s="2">
        <v>44995</v>
      </c>
      <c r="C1302">
        <v>22.854770660400391</v>
      </c>
    </row>
    <row r="1303" spans="1:3" x14ac:dyDescent="0.2">
      <c r="A1303" t="s">
        <v>12</v>
      </c>
      <c r="B1303" s="2">
        <v>44998</v>
      </c>
      <c r="C1303">
        <v>21.350934982299801</v>
      </c>
    </row>
    <row r="1304" spans="1:3" x14ac:dyDescent="0.2">
      <c r="A1304" t="s">
        <v>12</v>
      </c>
      <c r="B1304" s="2">
        <v>44999</v>
      </c>
      <c r="C1304">
        <v>21.02983283996582</v>
      </c>
    </row>
    <row r="1305" spans="1:3" x14ac:dyDescent="0.2">
      <c r="A1305" t="s">
        <v>12</v>
      </c>
      <c r="B1305" s="2">
        <v>45000</v>
      </c>
      <c r="C1305">
        <v>19.654977798461911</v>
      </c>
    </row>
    <row r="1306" spans="1:3" x14ac:dyDescent="0.2">
      <c r="A1306" t="s">
        <v>12</v>
      </c>
      <c r="B1306" s="2">
        <v>45001</v>
      </c>
      <c r="C1306">
        <v>19.727338790893551</v>
      </c>
    </row>
    <row r="1307" spans="1:3" x14ac:dyDescent="0.2">
      <c r="A1307" t="s">
        <v>12</v>
      </c>
      <c r="B1307" s="2">
        <v>45002</v>
      </c>
      <c r="C1307">
        <v>19.302217483520511</v>
      </c>
    </row>
    <row r="1308" spans="1:3" x14ac:dyDescent="0.2">
      <c r="A1308" t="s">
        <v>12</v>
      </c>
      <c r="B1308" s="2">
        <v>45005</v>
      </c>
      <c r="C1308">
        <v>20.043918609619141</v>
      </c>
    </row>
    <row r="1309" spans="1:3" x14ac:dyDescent="0.2">
      <c r="A1309" t="s">
        <v>12</v>
      </c>
      <c r="B1309" s="2">
        <v>45006</v>
      </c>
      <c r="C1309">
        <v>20.930337905883789</v>
      </c>
    </row>
    <row r="1310" spans="1:3" x14ac:dyDescent="0.2">
      <c r="A1310" t="s">
        <v>12</v>
      </c>
      <c r="B1310" s="2">
        <v>45007</v>
      </c>
      <c r="C1310">
        <v>20.568532943725589</v>
      </c>
    </row>
    <row r="1311" spans="1:3" x14ac:dyDescent="0.2">
      <c r="A1311" t="s">
        <v>12</v>
      </c>
      <c r="B1311" s="2">
        <v>45008</v>
      </c>
      <c r="C1311">
        <v>19.519302368164059</v>
      </c>
    </row>
    <row r="1312" spans="1:3" x14ac:dyDescent="0.2">
      <c r="A1312" t="s">
        <v>12</v>
      </c>
      <c r="B1312" s="2">
        <v>45009</v>
      </c>
      <c r="C1312">
        <v>19.284128189086911</v>
      </c>
    </row>
    <row r="1313" spans="1:3" x14ac:dyDescent="0.2">
      <c r="A1313" t="s">
        <v>12</v>
      </c>
      <c r="B1313" s="2">
        <v>45012</v>
      </c>
      <c r="C1313">
        <v>20.08010101318359</v>
      </c>
    </row>
    <row r="1314" spans="1:3" x14ac:dyDescent="0.2">
      <c r="A1314" t="s">
        <v>12</v>
      </c>
      <c r="B1314" s="2">
        <v>45013</v>
      </c>
      <c r="C1314">
        <v>20.595670700073239</v>
      </c>
    </row>
    <row r="1315" spans="1:3" x14ac:dyDescent="0.2">
      <c r="A1315" t="s">
        <v>12</v>
      </c>
      <c r="B1315" s="2">
        <v>45014</v>
      </c>
      <c r="C1315">
        <v>21.0026969909668</v>
      </c>
    </row>
    <row r="1316" spans="1:3" x14ac:dyDescent="0.2">
      <c r="A1316" t="s">
        <v>12</v>
      </c>
      <c r="B1316" s="2">
        <v>45015</v>
      </c>
      <c r="C1316">
        <v>21.21073150634766</v>
      </c>
    </row>
    <row r="1317" spans="1:3" x14ac:dyDescent="0.2">
      <c r="A1317" t="s">
        <v>12</v>
      </c>
      <c r="B1317" s="2">
        <v>45016</v>
      </c>
      <c r="C1317">
        <v>21.32831954956055</v>
      </c>
    </row>
    <row r="1318" spans="1:3" x14ac:dyDescent="0.2">
      <c r="A1318" t="s">
        <v>12</v>
      </c>
      <c r="B1318" s="2">
        <v>45019</v>
      </c>
      <c r="C1318">
        <v>23.064981460571289</v>
      </c>
    </row>
    <row r="1319" spans="1:3" x14ac:dyDescent="0.2">
      <c r="A1319" t="s">
        <v>12</v>
      </c>
      <c r="B1319" s="2">
        <v>45020</v>
      </c>
      <c r="C1319">
        <v>22.6579475402832</v>
      </c>
    </row>
    <row r="1320" spans="1:3" x14ac:dyDescent="0.2">
      <c r="A1320" t="s">
        <v>12</v>
      </c>
      <c r="B1320" s="2">
        <v>45021</v>
      </c>
      <c r="C1320">
        <v>22.35946083068848</v>
      </c>
    </row>
    <row r="1321" spans="1:3" x14ac:dyDescent="0.2">
      <c r="A1321" t="s">
        <v>12</v>
      </c>
      <c r="B1321" s="2">
        <v>45022</v>
      </c>
      <c r="C1321">
        <v>21.690126419067379</v>
      </c>
    </row>
    <row r="1322" spans="1:3" x14ac:dyDescent="0.2">
      <c r="A1322" t="s">
        <v>12</v>
      </c>
      <c r="B1322" s="2">
        <v>45026</v>
      </c>
      <c r="C1322">
        <v>21.69917106628418</v>
      </c>
    </row>
    <row r="1323" spans="1:3" x14ac:dyDescent="0.2">
      <c r="A1323" t="s">
        <v>12</v>
      </c>
      <c r="B1323" s="2">
        <v>45027</v>
      </c>
      <c r="C1323">
        <v>21.943387985229489</v>
      </c>
    </row>
    <row r="1324" spans="1:3" x14ac:dyDescent="0.2">
      <c r="A1324" t="s">
        <v>12</v>
      </c>
      <c r="B1324" s="2">
        <v>45028</v>
      </c>
      <c r="C1324">
        <v>21.943387985229489</v>
      </c>
    </row>
    <row r="1325" spans="1:3" x14ac:dyDescent="0.2">
      <c r="A1325" t="s">
        <v>12</v>
      </c>
      <c r="B1325" s="2">
        <v>45029</v>
      </c>
      <c r="C1325">
        <v>21.545404434204102</v>
      </c>
    </row>
    <row r="1326" spans="1:3" x14ac:dyDescent="0.2">
      <c r="A1326" t="s">
        <v>12</v>
      </c>
      <c r="B1326" s="2">
        <v>45030</v>
      </c>
      <c r="C1326">
        <v>21.192642211914059</v>
      </c>
    </row>
    <row r="1327" spans="1:3" x14ac:dyDescent="0.2">
      <c r="A1327" t="s">
        <v>12</v>
      </c>
      <c r="B1327" s="2">
        <v>45033</v>
      </c>
      <c r="C1327">
        <v>21.436861038208011</v>
      </c>
    </row>
    <row r="1328" spans="1:3" x14ac:dyDescent="0.2">
      <c r="A1328" t="s">
        <v>12</v>
      </c>
      <c r="B1328" s="2">
        <v>45034</v>
      </c>
      <c r="C1328">
        <v>21.726310729980469</v>
      </c>
    </row>
    <row r="1329" spans="1:3" x14ac:dyDescent="0.2">
      <c r="A1329" t="s">
        <v>12</v>
      </c>
      <c r="B1329" s="2">
        <v>45035</v>
      </c>
      <c r="C1329">
        <v>21.626810073852539</v>
      </c>
    </row>
    <row r="1330" spans="1:3" x14ac:dyDescent="0.2">
      <c r="A1330" t="s">
        <v>12</v>
      </c>
      <c r="B1330" s="2">
        <v>45036</v>
      </c>
      <c r="C1330">
        <v>21.61776161193848</v>
      </c>
    </row>
    <row r="1331" spans="1:3" x14ac:dyDescent="0.2">
      <c r="A1331" t="s">
        <v>12</v>
      </c>
      <c r="B1331" s="2">
        <v>45037</v>
      </c>
      <c r="C1331">
        <v>21.427816390991211</v>
      </c>
    </row>
    <row r="1332" spans="1:3" x14ac:dyDescent="0.2">
      <c r="A1332" t="s">
        <v>12</v>
      </c>
      <c r="B1332" s="2">
        <v>45040</v>
      </c>
      <c r="C1332">
        <v>21.871026992797852</v>
      </c>
    </row>
    <row r="1333" spans="1:3" x14ac:dyDescent="0.2">
      <c r="A1333" t="s">
        <v>12</v>
      </c>
      <c r="B1333" s="2">
        <v>45041</v>
      </c>
      <c r="C1333">
        <v>20.966520309448239</v>
      </c>
    </row>
    <row r="1334" spans="1:3" x14ac:dyDescent="0.2">
      <c r="A1334" t="s">
        <v>12</v>
      </c>
      <c r="B1334" s="2">
        <v>45042</v>
      </c>
      <c r="C1334">
        <v>20.188638687133789</v>
      </c>
    </row>
    <row r="1335" spans="1:3" x14ac:dyDescent="0.2">
      <c r="A1335" t="s">
        <v>12</v>
      </c>
      <c r="B1335" s="2">
        <v>45043</v>
      </c>
      <c r="C1335">
        <v>19.799701690673832</v>
      </c>
    </row>
    <row r="1336" spans="1:3" x14ac:dyDescent="0.2">
      <c r="A1336" t="s">
        <v>12</v>
      </c>
      <c r="B1336" s="2">
        <v>45044</v>
      </c>
      <c r="C1336">
        <v>20.568532943725589</v>
      </c>
    </row>
    <row r="1337" spans="1:3" x14ac:dyDescent="0.2">
      <c r="A1337" t="s">
        <v>12</v>
      </c>
      <c r="B1337" s="2">
        <v>45047</v>
      </c>
      <c r="C1337">
        <v>20.161504745483398</v>
      </c>
    </row>
    <row r="1338" spans="1:3" x14ac:dyDescent="0.2">
      <c r="A1338" t="s">
        <v>12</v>
      </c>
      <c r="B1338" s="2">
        <v>45048</v>
      </c>
      <c r="C1338">
        <v>19.058002471923832</v>
      </c>
    </row>
    <row r="1339" spans="1:3" x14ac:dyDescent="0.2">
      <c r="A1339" t="s">
        <v>12</v>
      </c>
      <c r="B1339" s="2">
        <v>45049</v>
      </c>
      <c r="C1339">
        <v>18.669061660766602</v>
      </c>
    </row>
    <row r="1340" spans="1:3" x14ac:dyDescent="0.2">
      <c r="A1340" t="s">
        <v>12</v>
      </c>
      <c r="B1340" s="2">
        <v>45050</v>
      </c>
      <c r="C1340">
        <v>18.687154769897461</v>
      </c>
    </row>
    <row r="1341" spans="1:3" x14ac:dyDescent="0.2">
      <c r="A1341" t="s">
        <v>12</v>
      </c>
      <c r="B1341" s="2">
        <v>45051</v>
      </c>
      <c r="C1341">
        <v>19.29317474365234</v>
      </c>
    </row>
    <row r="1342" spans="1:3" x14ac:dyDescent="0.2">
      <c r="A1342" t="s">
        <v>12</v>
      </c>
      <c r="B1342" s="2">
        <v>45054</v>
      </c>
      <c r="C1342">
        <v>19.645938873291019</v>
      </c>
    </row>
    <row r="1343" spans="1:3" x14ac:dyDescent="0.2">
      <c r="A1343" t="s">
        <v>12</v>
      </c>
      <c r="B1343" s="2">
        <v>45055</v>
      </c>
      <c r="C1343">
        <v>19.89919471740723</v>
      </c>
    </row>
    <row r="1344" spans="1:3" x14ac:dyDescent="0.2">
      <c r="A1344" t="s">
        <v>12</v>
      </c>
      <c r="B1344" s="2">
        <v>45056</v>
      </c>
      <c r="C1344">
        <v>19.645938873291019</v>
      </c>
    </row>
    <row r="1345" spans="1:3" x14ac:dyDescent="0.2">
      <c r="A1345" t="s">
        <v>12</v>
      </c>
      <c r="B1345" s="2">
        <v>45057</v>
      </c>
      <c r="C1345">
        <v>19.365537643432621</v>
      </c>
    </row>
    <row r="1346" spans="1:3" x14ac:dyDescent="0.2">
      <c r="A1346" t="s">
        <v>12</v>
      </c>
      <c r="B1346" s="2">
        <v>45058</v>
      </c>
      <c r="C1346">
        <v>19.446939468383789</v>
      </c>
    </row>
    <row r="1347" spans="1:3" x14ac:dyDescent="0.2">
      <c r="A1347" t="s">
        <v>12</v>
      </c>
      <c r="B1347" s="2">
        <v>45061</v>
      </c>
      <c r="C1347">
        <v>19.772567749023441</v>
      </c>
    </row>
    <row r="1348" spans="1:3" x14ac:dyDescent="0.2">
      <c r="A1348" t="s">
        <v>12</v>
      </c>
      <c r="B1348" s="2">
        <v>45062</v>
      </c>
      <c r="C1348">
        <v>19.383626937866211</v>
      </c>
    </row>
    <row r="1349" spans="1:3" x14ac:dyDescent="0.2">
      <c r="A1349" t="s">
        <v>12</v>
      </c>
      <c r="B1349" s="2">
        <v>45063</v>
      </c>
      <c r="C1349">
        <v>19.691160202026371</v>
      </c>
    </row>
    <row r="1350" spans="1:3" x14ac:dyDescent="0.2">
      <c r="A1350" t="s">
        <v>12</v>
      </c>
      <c r="B1350" s="2">
        <v>45064</v>
      </c>
      <c r="C1350">
        <v>20.043918609619141</v>
      </c>
    </row>
    <row r="1351" spans="1:3" x14ac:dyDescent="0.2">
      <c r="A1351" t="s">
        <v>12</v>
      </c>
      <c r="B1351" s="2">
        <v>45065</v>
      </c>
      <c r="C1351">
        <v>20.161504745483398</v>
      </c>
    </row>
    <row r="1352" spans="1:3" x14ac:dyDescent="0.2">
      <c r="A1352" t="s">
        <v>12</v>
      </c>
      <c r="B1352" s="2">
        <v>45069</v>
      </c>
      <c r="C1352">
        <v>20.37858772277832</v>
      </c>
    </row>
    <row r="1353" spans="1:3" x14ac:dyDescent="0.2">
      <c r="A1353" t="s">
        <v>12</v>
      </c>
      <c r="B1353" s="2">
        <v>45070</v>
      </c>
      <c r="C1353">
        <v>20.713251113891602</v>
      </c>
    </row>
    <row r="1354" spans="1:3" x14ac:dyDescent="0.2">
      <c r="A1354" t="s">
        <v>12</v>
      </c>
      <c r="B1354" s="2">
        <v>45071</v>
      </c>
      <c r="C1354">
        <v>20.224819183349609</v>
      </c>
    </row>
    <row r="1355" spans="1:3" x14ac:dyDescent="0.2">
      <c r="A1355" t="s">
        <v>12</v>
      </c>
      <c r="B1355" s="2">
        <v>45072</v>
      </c>
      <c r="C1355">
        <v>20.523309707641602</v>
      </c>
    </row>
    <row r="1356" spans="1:3" x14ac:dyDescent="0.2">
      <c r="A1356" t="s">
        <v>12</v>
      </c>
      <c r="B1356" s="2">
        <v>45075</v>
      </c>
      <c r="C1356">
        <v>20.60471343994141</v>
      </c>
    </row>
    <row r="1357" spans="1:3" x14ac:dyDescent="0.2">
      <c r="A1357" t="s">
        <v>12</v>
      </c>
      <c r="B1357" s="2">
        <v>45076</v>
      </c>
      <c r="C1357">
        <v>20.08010101318359</v>
      </c>
    </row>
    <row r="1358" spans="1:3" x14ac:dyDescent="0.2">
      <c r="A1358" t="s">
        <v>12</v>
      </c>
      <c r="B1358" s="2">
        <v>45077</v>
      </c>
      <c r="C1358">
        <v>19.61879920959473</v>
      </c>
    </row>
    <row r="1359" spans="1:3" x14ac:dyDescent="0.2">
      <c r="A1359" t="s">
        <v>12</v>
      </c>
      <c r="B1359" s="2">
        <v>45078</v>
      </c>
      <c r="C1359">
        <v>20.062009811401371</v>
      </c>
    </row>
    <row r="1360" spans="1:3" x14ac:dyDescent="0.2">
      <c r="A1360" t="s">
        <v>12</v>
      </c>
      <c r="B1360" s="2">
        <v>45079</v>
      </c>
      <c r="C1360">
        <v>20.64089202880859</v>
      </c>
    </row>
    <row r="1361" spans="1:3" x14ac:dyDescent="0.2">
      <c r="A1361" t="s">
        <v>12</v>
      </c>
      <c r="B1361" s="2">
        <v>45082</v>
      </c>
      <c r="C1361">
        <v>20.695163726806641</v>
      </c>
    </row>
    <row r="1362" spans="1:3" x14ac:dyDescent="0.2">
      <c r="A1362" t="s">
        <v>12</v>
      </c>
      <c r="B1362" s="2">
        <v>45083</v>
      </c>
      <c r="C1362">
        <v>21.147418975830082</v>
      </c>
    </row>
    <row r="1363" spans="1:3" x14ac:dyDescent="0.2">
      <c r="A1363" t="s">
        <v>12</v>
      </c>
      <c r="B1363" s="2">
        <v>45084</v>
      </c>
      <c r="C1363">
        <v>21.265010833740231</v>
      </c>
    </row>
    <row r="1364" spans="1:3" x14ac:dyDescent="0.2">
      <c r="A1364" t="s">
        <v>12</v>
      </c>
      <c r="B1364" s="2">
        <v>45085</v>
      </c>
      <c r="C1364">
        <v>20.912248611450199</v>
      </c>
    </row>
    <row r="1365" spans="1:3" x14ac:dyDescent="0.2">
      <c r="A1365" t="s">
        <v>12</v>
      </c>
      <c r="B1365" s="2">
        <v>45086</v>
      </c>
      <c r="C1365">
        <v>20.993650436401371</v>
      </c>
    </row>
    <row r="1366" spans="1:3" x14ac:dyDescent="0.2">
      <c r="A1366" t="s">
        <v>12</v>
      </c>
      <c r="B1366" s="2">
        <v>45089</v>
      </c>
      <c r="C1366">
        <v>20.170547485351559</v>
      </c>
    </row>
    <row r="1367" spans="1:3" x14ac:dyDescent="0.2">
      <c r="A1367" t="s">
        <v>12</v>
      </c>
      <c r="B1367" s="2">
        <v>45090</v>
      </c>
      <c r="C1367">
        <v>20.432855606079102</v>
      </c>
    </row>
    <row r="1368" spans="1:3" x14ac:dyDescent="0.2">
      <c r="A1368" t="s">
        <v>12</v>
      </c>
      <c r="B1368" s="2">
        <v>45091</v>
      </c>
      <c r="C1368">
        <v>20.168912887573239</v>
      </c>
    </row>
    <row r="1369" spans="1:3" x14ac:dyDescent="0.2">
      <c r="A1369" t="s">
        <v>12</v>
      </c>
      <c r="B1369" s="2">
        <v>45092</v>
      </c>
      <c r="C1369">
        <v>20.40555381774902</v>
      </c>
    </row>
    <row r="1370" spans="1:3" x14ac:dyDescent="0.2">
      <c r="A1370" t="s">
        <v>12</v>
      </c>
      <c r="B1370" s="2">
        <v>45093</v>
      </c>
      <c r="C1370">
        <v>19.995986938476559</v>
      </c>
    </row>
    <row r="1371" spans="1:3" x14ac:dyDescent="0.2">
      <c r="A1371" t="s">
        <v>12</v>
      </c>
      <c r="B1371" s="2">
        <v>45096</v>
      </c>
      <c r="C1371">
        <v>20.023286819458011</v>
      </c>
    </row>
    <row r="1372" spans="1:3" x14ac:dyDescent="0.2">
      <c r="A1372" t="s">
        <v>12</v>
      </c>
      <c r="B1372" s="2">
        <v>45097</v>
      </c>
      <c r="C1372">
        <v>19.704732894897461</v>
      </c>
    </row>
    <row r="1373" spans="1:3" x14ac:dyDescent="0.2">
      <c r="A1373" t="s">
        <v>12</v>
      </c>
      <c r="B1373" s="2">
        <v>45098</v>
      </c>
      <c r="C1373">
        <v>20.159809112548832</v>
      </c>
    </row>
    <row r="1374" spans="1:3" x14ac:dyDescent="0.2">
      <c r="A1374" t="s">
        <v>12</v>
      </c>
      <c r="B1374" s="2">
        <v>45099</v>
      </c>
      <c r="C1374">
        <v>19.531808853149411</v>
      </c>
    </row>
    <row r="1375" spans="1:3" x14ac:dyDescent="0.2">
      <c r="A1375" t="s">
        <v>12</v>
      </c>
      <c r="B1375" s="2">
        <v>45100</v>
      </c>
      <c r="C1375">
        <v>19.24965858459473</v>
      </c>
    </row>
    <row r="1376" spans="1:3" x14ac:dyDescent="0.2">
      <c r="A1376" t="s">
        <v>12</v>
      </c>
      <c r="B1376" s="2">
        <v>45103</v>
      </c>
      <c r="C1376">
        <v>19.786651611328121</v>
      </c>
    </row>
    <row r="1377" spans="1:3" x14ac:dyDescent="0.2">
      <c r="A1377" t="s">
        <v>12</v>
      </c>
      <c r="B1377" s="2">
        <v>45104</v>
      </c>
      <c r="C1377">
        <v>19.759347915649411</v>
      </c>
    </row>
    <row r="1378" spans="1:3" x14ac:dyDescent="0.2">
      <c r="A1378" t="s">
        <v>12</v>
      </c>
      <c r="B1378" s="2">
        <v>45105</v>
      </c>
      <c r="C1378">
        <v>20.014190673828121</v>
      </c>
    </row>
    <row r="1379" spans="1:3" x14ac:dyDescent="0.2">
      <c r="A1379" t="s">
        <v>12</v>
      </c>
      <c r="B1379" s="2">
        <v>45106</v>
      </c>
      <c r="C1379">
        <v>20.168912887573239</v>
      </c>
    </row>
    <row r="1380" spans="1:3" x14ac:dyDescent="0.2">
      <c r="A1380" t="s">
        <v>12</v>
      </c>
      <c r="B1380" s="2">
        <v>45107</v>
      </c>
      <c r="C1380">
        <v>20.478363037109379</v>
      </c>
    </row>
    <row r="1381" spans="1:3" x14ac:dyDescent="0.2">
      <c r="A1381" t="s">
        <v>12</v>
      </c>
      <c r="B1381" s="2">
        <v>45111</v>
      </c>
      <c r="C1381">
        <v>20.79692268371582</v>
      </c>
    </row>
    <row r="1382" spans="1:3" x14ac:dyDescent="0.2">
      <c r="A1382" t="s">
        <v>12</v>
      </c>
      <c r="B1382" s="2">
        <v>45112</v>
      </c>
      <c r="C1382">
        <v>20.79692268371582</v>
      </c>
    </row>
    <row r="1383" spans="1:3" x14ac:dyDescent="0.2">
      <c r="A1383" t="s">
        <v>12</v>
      </c>
      <c r="B1383" s="2">
        <v>45113</v>
      </c>
      <c r="C1383">
        <v>20.432859420776371</v>
      </c>
    </row>
    <row r="1384" spans="1:3" x14ac:dyDescent="0.2">
      <c r="A1384" t="s">
        <v>12</v>
      </c>
      <c r="B1384" s="2">
        <v>45114</v>
      </c>
      <c r="C1384">
        <v>20.951641082763668</v>
      </c>
    </row>
    <row r="1385" spans="1:3" x14ac:dyDescent="0.2">
      <c r="A1385" t="s">
        <v>12</v>
      </c>
      <c r="B1385" s="2">
        <v>45117</v>
      </c>
      <c r="C1385">
        <v>21.02445220947266</v>
      </c>
    </row>
    <row r="1386" spans="1:3" x14ac:dyDescent="0.2">
      <c r="A1386" t="s">
        <v>12</v>
      </c>
      <c r="B1386" s="2">
        <v>45118</v>
      </c>
      <c r="C1386">
        <v>21.324800491333011</v>
      </c>
    </row>
    <row r="1387" spans="1:3" x14ac:dyDescent="0.2">
      <c r="A1387" t="s">
        <v>12</v>
      </c>
      <c r="B1387" s="2">
        <v>45119</v>
      </c>
      <c r="C1387">
        <v>20.933443069458011</v>
      </c>
    </row>
    <row r="1388" spans="1:3" x14ac:dyDescent="0.2">
      <c r="A1388" t="s">
        <v>12</v>
      </c>
      <c r="B1388" s="2">
        <v>45120</v>
      </c>
      <c r="C1388">
        <v>21.14277267456055</v>
      </c>
    </row>
    <row r="1389" spans="1:3" x14ac:dyDescent="0.2">
      <c r="A1389" t="s">
        <v>12</v>
      </c>
      <c r="B1389" s="2">
        <v>45121</v>
      </c>
      <c r="C1389">
        <v>20.76051139831543</v>
      </c>
    </row>
    <row r="1390" spans="1:3" x14ac:dyDescent="0.2">
      <c r="A1390" t="s">
        <v>12</v>
      </c>
      <c r="B1390" s="2">
        <v>45124</v>
      </c>
      <c r="C1390">
        <v>20.2690315246582</v>
      </c>
    </row>
    <row r="1391" spans="1:3" x14ac:dyDescent="0.2">
      <c r="A1391" t="s">
        <v>12</v>
      </c>
      <c r="B1391" s="2">
        <v>45125</v>
      </c>
      <c r="C1391">
        <v>20.596683502197269</v>
      </c>
    </row>
    <row r="1392" spans="1:3" x14ac:dyDescent="0.2">
      <c r="A1392" t="s">
        <v>12</v>
      </c>
      <c r="B1392" s="2">
        <v>45126</v>
      </c>
      <c r="C1392">
        <v>20.49656867980957</v>
      </c>
    </row>
    <row r="1393" spans="1:3" x14ac:dyDescent="0.2">
      <c r="A1393" t="s">
        <v>12</v>
      </c>
      <c r="B1393" s="2">
        <v>45127</v>
      </c>
      <c r="C1393">
        <v>20.551174163818359</v>
      </c>
    </row>
    <row r="1394" spans="1:3" x14ac:dyDescent="0.2">
      <c r="A1394" t="s">
        <v>12</v>
      </c>
      <c r="B1394" s="2">
        <v>45128</v>
      </c>
      <c r="C1394">
        <v>20.942539215087891</v>
      </c>
    </row>
    <row r="1395" spans="1:3" x14ac:dyDescent="0.2">
      <c r="A1395" t="s">
        <v>12</v>
      </c>
      <c r="B1395" s="2">
        <v>45131</v>
      </c>
      <c r="C1395">
        <v>21.515933990478519</v>
      </c>
    </row>
    <row r="1396" spans="1:3" x14ac:dyDescent="0.2">
      <c r="A1396" t="s">
        <v>12</v>
      </c>
      <c r="B1396" s="2">
        <v>45132</v>
      </c>
      <c r="C1396">
        <v>21.761674880981449</v>
      </c>
    </row>
    <row r="1397" spans="1:3" x14ac:dyDescent="0.2">
      <c r="A1397" t="s">
        <v>12</v>
      </c>
      <c r="B1397" s="2">
        <v>45133</v>
      </c>
      <c r="C1397">
        <v>21.670663833618161</v>
      </c>
    </row>
    <row r="1398" spans="1:3" x14ac:dyDescent="0.2">
      <c r="A1398" t="s">
        <v>12</v>
      </c>
      <c r="B1398" s="2">
        <v>45134</v>
      </c>
      <c r="C1398">
        <v>22.262258529663089</v>
      </c>
    </row>
    <row r="1399" spans="1:3" x14ac:dyDescent="0.2">
      <c r="A1399" t="s">
        <v>12</v>
      </c>
      <c r="B1399" s="2">
        <v>45135</v>
      </c>
      <c r="C1399">
        <v>22.744638442993161</v>
      </c>
    </row>
    <row r="1400" spans="1:3" x14ac:dyDescent="0.2">
      <c r="A1400" t="s">
        <v>12</v>
      </c>
      <c r="B1400" s="2">
        <v>45138</v>
      </c>
      <c r="C1400">
        <v>22.82655143737793</v>
      </c>
    </row>
    <row r="1401" spans="1:3" x14ac:dyDescent="0.2">
      <c r="A1401" t="s">
        <v>12</v>
      </c>
      <c r="B1401" s="2">
        <v>45139</v>
      </c>
      <c r="C1401">
        <v>22.96307373046875</v>
      </c>
    </row>
    <row r="1402" spans="1:3" x14ac:dyDescent="0.2">
      <c r="A1402" t="s">
        <v>12</v>
      </c>
      <c r="B1402" s="2">
        <v>45140</v>
      </c>
      <c r="C1402">
        <v>22.571710586547852</v>
      </c>
    </row>
    <row r="1403" spans="1:3" x14ac:dyDescent="0.2">
      <c r="A1403" t="s">
        <v>12</v>
      </c>
      <c r="B1403" s="2">
        <v>45141</v>
      </c>
      <c r="C1403">
        <v>23.154203414916989</v>
      </c>
    </row>
    <row r="1404" spans="1:3" x14ac:dyDescent="0.2">
      <c r="A1404" t="s">
        <v>12</v>
      </c>
      <c r="B1404" s="2">
        <v>45142</v>
      </c>
      <c r="C1404">
        <v>23.208816528320309</v>
      </c>
    </row>
    <row r="1405" spans="1:3" x14ac:dyDescent="0.2">
      <c r="A1405" t="s">
        <v>12</v>
      </c>
      <c r="B1405" s="2">
        <v>45146</v>
      </c>
      <c r="C1405">
        <v>23.509162902832031</v>
      </c>
    </row>
    <row r="1406" spans="1:3" x14ac:dyDescent="0.2">
      <c r="A1406" t="s">
        <v>12</v>
      </c>
      <c r="B1406" s="2">
        <v>45147</v>
      </c>
      <c r="C1406">
        <v>23.66389274597168</v>
      </c>
    </row>
    <row r="1407" spans="1:3" x14ac:dyDescent="0.2">
      <c r="A1407" t="s">
        <v>12</v>
      </c>
      <c r="B1407" s="2">
        <v>45148</v>
      </c>
      <c r="C1407">
        <v>23.727594375610352</v>
      </c>
    </row>
    <row r="1408" spans="1:3" x14ac:dyDescent="0.2">
      <c r="A1408" t="s">
        <v>12</v>
      </c>
      <c r="B1408" s="2">
        <v>45149</v>
      </c>
      <c r="C1408">
        <v>24.209976196289059</v>
      </c>
    </row>
    <row r="1409" spans="1:3" x14ac:dyDescent="0.2">
      <c r="A1409" t="s">
        <v>12</v>
      </c>
      <c r="B1409" s="2">
        <v>45152</v>
      </c>
      <c r="C1409">
        <v>24.128067016601559</v>
      </c>
    </row>
    <row r="1410" spans="1:3" x14ac:dyDescent="0.2">
      <c r="A1410" t="s">
        <v>12</v>
      </c>
      <c r="B1410" s="2">
        <v>45153</v>
      </c>
      <c r="C1410">
        <v>23.727594375610352</v>
      </c>
    </row>
    <row r="1411" spans="1:3" x14ac:dyDescent="0.2">
      <c r="A1411" t="s">
        <v>12</v>
      </c>
      <c r="B1411" s="2">
        <v>45154</v>
      </c>
      <c r="C1411">
        <v>23.77310752868652</v>
      </c>
    </row>
    <row r="1412" spans="1:3" x14ac:dyDescent="0.2">
      <c r="A1412" t="s">
        <v>12</v>
      </c>
      <c r="B1412" s="2">
        <v>45155</v>
      </c>
      <c r="C1412">
        <v>23.882322311401371</v>
      </c>
    </row>
    <row r="1413" spans="1:3" x14ac:dyDescent="0.2">
      <c r="A1413" t="s">
        <v>12</v>
      </c>
      <c r="B1413" s="2">
        <v>45156</v>
      </c>
      <c r="C1413">
        <v>23.836818695068359</v>
      </c>
    </row>
    <row r="1414" spans="1:3" x14ac:dyDescent="0.2">
      <c r="A1414" t="s">
        <v>12</v>
      </c>
      <c r="B1414" s="2">
        <v>45159</v>
      </c>
      <c r="C1414">
        <v>23.654787063598629</v>
      </c>
    </row>
    <row r="1415" spans="1:3" x14ac:dyDescent="0.2">
      <c r="A1415" t="s">
        <v>12</v>
      </c>
      <c r="B1415" s="2">
        <v>45160</v>
      </c>
      <c r="C1415">
        <v>23.618381500244141</v>
      </c>
    </row>
    <row r="1416" spans="1:3" x14ac:dyDescent="0.2">
      <c r="A1416" t="s">
        <v>12</v>
      </c>
      <c r="B1416" s="2">
        <v>45161</v>
      </c>
      <c r="C1416">
        <v>23.25432014465332</v>
      </c>
    </row>
    <row r="1417" spans="1:3" x14ac:dyDescent="0.2">
      <c r="A1417" t="s">
        <v>12</v>
      </c>
      <c r="B1417" s="2">
        <v>45162</v>
      </c>
      <c r="C1417">
        <v>22.844755172729489</v>
      </c>
    </row>
    <row r="1418" spans="1:3" x14ac:dyDescent="0.2">
      <c r="A1418" t="s">
        <v>12</v>
      </c>
      <c r="B1418" s="2">
        <v>45163</v>
      </c>
      <c r="C1418">
        <v>23.318033218383789</v>
      </c>
    </row>
    <row r="1419" spans="1:3" x14ac:dyDescent="0.2">
      <c r="A1419" t="s">
        <v>12</v>
      </c>
      <c r="B1419" s="2">
        <v>45166</v>
      </c>
      <c r="C1419">
        <v>23.48185920715332</v>
      </c>
    </row>
    <row r="1420" spans="1:3" x14ac:dyDescent="0.2">
      <c r="A1420" t="s">
        <v>12</v>
      </c>
      <c r="B1420" s="2">
        <v>45167</v>
      </c>
      <c r="C1420">
        <v>24.00974273681641</v>
      </c>
    </row>
    <row r="1421" spans="1:3" x14ac:dyDescent="0.2">
      <c r="A1421" t="s">
        <v>12</v>
      </c>
      <c r="B1421" s="2">
        <v>45168</v>
      </c>
      <c r="C1421">
        <v>24.32829666137695</v>
      </c>
    </row>
    <row r="1422" spans="1:3" x14ac:dyDescent="0.2">
      <c r="A1422" t="s">
        <v>12</v>
      </c>
      <c r="B1422" s="2">
        <v>45169</v>
      </c>
      <c r="C1422">
        <v>24.51943206787109</v>
      </c>
    </row>
    <row r="1423" spans="1:3" x14ac:dyDescent="0.2">
      <c r="A1423" t="s">
        <v>12</v>
      </c>
      <c r="B1423" s="2">
        <v>45170</v>
      </c>
      <c r="C1423">
        <v>24.947202682495121</v>
      </c>
    </row>
    <row r="1424" spans="1:3" x14ac:dyDescent="0.2">
      <c r="A1424" t="s">
        <v>12</v>
      </c>
      <c r="B1424" s="2">
        <v>45174</v>
      </c>
      <c r="C1424">
        <v>25.065517425537109</v>
      </c>
    </row>
    <row r="1425" spans="1:3" x14ac:dyDescent="0.2">
      <c r="A1425" t="s">
        <v>12</v>
      </c>
      <c r="B1425" s="2">
        <v>45175</v>
      </c>
      <c r="C1425">
        <v>25.247549057006839</v>
      </c>
    </row>
    <row r="1426" spans="1:3" x14ac:dyDescent="0.2">
      <c r="A1426" t="s">
        <v>12</v>
      </c>
      <c r="B1426" s="2">
        <v>45176</v>
      </c>
      <c r="C1426">
        <v>25.356765747070309</v>
      </c>
    </row>
    <row r="1427" spans="1:3" x14ac:dyDescent="0.2">
      <c r="A1427" t="s">
        <v>12</v>
      </c>
      <c r="B1427" s="2">
        <v>45177</v>
      </c>
      <c r="C1427">
        <v>25.38406944274902</v>
      </c>
    </row>
    <row r="1428" spans="1:3" x14ac:dyDescent="0.2">
      <c r="A1428" t="s">
        <v>12</v>
      </c>
      <c r="B1428" s="2">
        <v>45180</v>
      </c>
      <c r="C1428">
        <v>24.856182098388668</v>
      </c>
    </row>
    <row r="1429" spans="1:3" x14ac:dyDescent="0.2">
      <c r="A1429" t="s">
        <v>12</v>
      </c>
      <c r="B1429" s="2">
        <v>45181</v>
      </c>
      <c r="C1429">
        <v>25.43868446350098</v>
      </c>
    </row>
    <row r="1430" spans="1:3" x14ac:dyDescent="0.2">
      <c r="A1430" t="s">
        <v>12</v>
      </c>
      <c r="B1430" s="2">
        <v>45182</v>
      </c>
      <c r="C1430">
        <v>25.27485275268555</v>
      </c>
    </row>
    <row r="1431" spans="1:3" x14ac:dyDescent="0.2">
      <c r="A1431" t="s">
        <v>12</v>
      </c>
      <c r="B1431" s="2">
        <v>45183</v>
      </c>
      <c r="C1431">
        <v>25.750532150268551</v>
      </c>
    </row>
    <row r="1432" spans="1:3" x14ac:dyDescent="0.2">
      <c r="A1432" t="s">
        <v>12</v>
      </c>
      <c r="B1432" s="2">
        <v>45184</v>
      </c>
      <c r="C1432">
        <v>25.677347183227539</v>
      </c>
    </row>
    <row r="1433" spans="1:3" x14ac:dyDescent="0.2">
      <c r="A1433" t="s">
        <v>12</v>
      </c>
      <c r="B1433" s="2">
        <v>45187</v>
      </c>
      <c r="C1433">
        <v>25.4943962097168</v>
      </c>
    </row>
    <row r="1434" spans="1:3" x14ac:dyDescent="0.2">
      <c r="A1434" t="s">
        <v>12</v>
      </c>
      <c r="B1434" s="2">
        <v>45188</v>
      </c>
      <c r="C1434">
        <v>25.311445236206051</v>
      </c>
    </row>
    <row r="1435" spans="1:3" x14ac:dyDescent="0.2">
      <c r="A1435" t="s">
        <v>12</v>
      </c>
      <c r="B1435" s="2">
        <v>45189</v>
      </c>
      <c r="C1435">
        <v>24.82662200927734</v>
      </c>
    </row>
    <row r="1436" spans="1:3" x14ac:dyDescent="0.2">
      <c r="A1436" t="s">
        <v>12</v>
      </c>
      <c r="B1436" s="2">
        <v>45190</v>
      </c>
      <c r="C1436">
        <v>24.305206298828121</v>
      </c>
    </row>
    <row r="1437" spans="1:3" x14ac:dyDescent="0.2">
      <c r="A1437" t="s">
        <v>12</v>
      </c>
      <c r="B1437" s="2">
        <v>45191</v>
      </c>
      <c r="C1437">
        <v>24.369241714477539</v>
      </c>
    </row>
    <row r="1438" spans="1:3" x14ac:dyDescent="0.2">
      <c r="A1438" t="s">
        <v>12</v>
      </c>
      <c r="B1438" s="2">
        <v>45194</v>
      </c>
      <c r="C1438">
        <v>24.872354507446289</v>
      </c>
    </row>
    <row r="1439" spans="1:3" x14ac:dyDescent="0.2">
      <c r="A1439" t="s">
        <v>12</v>
      </c>
      <c r="B1439" s="2">
        <v>45195</v>
      </c>
      <c r="C1439">
        <v>25.165081024169918</v>
      </c>
    </row>
    <row r="1440" spans="1:3" x14ac:dyDescent="0.2">
      <c r="A1440" t="s">
        <v>12</v>
      </c>
      <c r="B1440" s="2">
        <v>45196</v>
      </c>
      <c r="C1440">
        <v>25.91518592834473</v>
      </c>
    </row>
    <row r="1441" spans="1:3" x14ac:dyDescent="0.2">
      <c r="A1441" t="s">
        <v>12</v>
      </c>
      <c r="B1441" s="2">
        <v>45197</v>
      </c>
      <c r="C1441">
        <v>26.03410720825195</v>
      </c>
    </row>
    <row r="1442" spans="1:3" x14ac:dyDescent="0.2">
      <c r="A1442" t="s">
        <v>12</v>
      </c>
      <c r="B1442" s="2">
        <v>45198</v>
      </c>
      <c r="C1442">
        <v>25.86944580078125</v>
      </c>
    </row>
    <row r="1443" spans="1:3" x14ac:dyDescent="0.2">
      <c r="A1443" t="s">
        <v>12</v>
      </c>
      <c r="B1443" s="2">
        <v>45201</v>
      </c>
      <c r="C1443">
        <v>25.137636184692379</v>
      </c>
    </row>
    <row r="1444" spans="1:3" x14ac:dyDescent="0.2">
      <c r="A1444" t="s">
        <v>12</v>
      </c>
      <c r="B1444" s="2">
        <v>45202</v>
      </c>
      <c r="C1444">
        <v>25.101047515869141</v>
      </c>
    </row>
    <row r="1445" spans="1:3" x14ac:dyDescent="0.2">
      <c r="A1445" t="s">
        <v>12</v>
      </c>
      <c r="B1445" s="2">
        <v>45203</v>
      </c>
      <c r="C1445">
        <v>24.085664749145511</v>
      </c>
    </row>
    <row r="1446" spans="1:3" x14ac:dyDescent="0.2">
      <c r="A1446" t="s">
        <v>12</v>
      </c>
      <c r="B1446" s="2">
        <v>45204</v>
      </c>
      <c r="C1446">
        <v>24.030776977539059</v>
      </c>
    </row>
    <row r="1447" spans="1:3" x14ac:dyDescent="0.2">
      <c r="A1447" t="s">
        <v>12</v>
      </c>
      <c r="B1447" s="2">
        <v>45205</v>
      </c>
      <c r="C1447">
        <v>24.241176605224609</v>
      </c>
    </row>
    <row r="1448" spans="1:3" x14ac:dyDescent="0.2">
      <c r="A1448" t="s">
        <v>12</v>
      </c>
      <c r="B1448" s="2">
        <v>45209</v>
      </c>
      <c r="C1448">
        <v>25.24741172790527</v>
      </c>
    </row>
    <row r="1449" spans="1:3" x14ac:dyDescent="0.2">
      <c r="A1449" t="s">
        <v>12</v>
      </c>
      <c r="B1449" s="2">
        <v>45210</v>
      </c>
      <c r="C1449">
        <v>25.47609901428223</v>
      </c>
    </row>
    <row r="1450" spans="1:3" x14ac:dyDescent="0.2">
      <c r="A1450" t="s">
        <v>12</v>
      </c>
      <c r="B1450" s="2">
        <v>45211</v>
      </c>
      <c r="C1450">
        <v>25.695644378662109</v>
      </c>
    </row>
    <row r="1451" spans="1:3" x14ac:dyDescent="0.2">
      <c r="A1451" t="s">
        <v>12</v>
      </c>
      <c r="B1451" s="2">
        <v>45212</v>
      </c>
      <c r="C1451">
        <v>26.35427284240723</v>
      </c>
    </row>
    <row r="1452" spans="1:3" x14ac:dyDescent="0.2">
      <c r="A1452" t="s">
        <v>12</v>
      </c>
      <c r="B1452" s="2">
        <v>45215</v>
      </c>
      <c r="C1452">
        <v>26.15302658081055</v>
      </c>
    </row>
    <row r="1453" spans="1:3" x14ac:dyDescent="0.2">
      <c r="A1453" t="s">
        <v>12</v>
      </c>
      <c r="B1453" s="2">
        <v>45216</v>
      </c>
      <c r="C1453">
        <v>26.335979461669918</v>
      </c>
    </row>
    <row r="1454" spans="1:3" x14ac:dyDescent="0.2">
      <c r="A1454" t="s">
        <v>12</v>
      </c>
      <c r="B1454" s="2">
        <v>45217</v>
      </c>
      <c r="C1454">
        <v>26.57381439208984</v>
      </c>
    </row>
    <row r="1455" spans="1:3" x14ac:dyDescent="0.2">
      <c r="A1455" t="s">
        <v>12</v>
      </c>
      <c r="B1455" s="2">
        <v>45218</v>
      </c>
      <c r="C1455">
        <v>26.55551910400391</v>
      </c>
    </row>
    <row r="1456" spans="1:3" x14ac:dyDescent="0.2">
      <c r="A1456" t="s">
        <v>12</v>
      </c>
      <c r="B1456" s="2">
        <v>45219</v>
      </c>
      <c r="C1456">
        <v>25.906038284301761</v>
      </c>
    </row>
    <row r="1457" spans="1:3" x14ac:dyDescent="0.2">
      <c r="A1457" t="s">
        <v>12</v>
      </c>
      <c r="B1457" s="2">
        <v>45222</v>
      </c>
      <c r="C1457">
        <v>25.30229568481445</v>
      </c>
    </row>
    <row r="1458" spans="1:3" x14ac:dyDescent="0.2">
      <c r="A1458" t="s">
        <v>12</v>
      </c>
      <c r="B1458" s="2">
        <v>45223</v>
      </c>
      <c r="C1458">
        <v>24.70770263671875</v>
      </c>
    </row>
    <row r="1459" spans="1:3" x14ac:dyDescent="0.2">
      <c r="A1459" t="s">
        <v>12</v>
      </c>
      <c r="B1459" s="2">
        <v>45224</v>
      </c>
      <c r="C1459">
        <v>25.000423431396481</v>
      </c>
    </row>
    <row r="1460" spans="1:3" x14ac:dyDescent="0.2">
      <c r="A1460" t="s">
        <v>12</v>
      </c>
      <c r="B1460" s="2">
        <v>45225</v>
      </c>
      <c r="C1460">
        <v>24.7625846862793</v>
      </c>
    </row>
    <row r="1461" spans="1:3" x14ac:dyDescent="0.2">
      <c r="A1461" t="s">
        <v>12</v>
      </c>
      <c r="B1461" s="2">
        <v>45226</v>
      </c>
      <c r="C1461">
        <v>24.51560211181641</v>
      </c>
    </row>
    <row r="1462" spans="1:3" x14ac:dyDescent="0.2">
      <c r="A1462" t="s">
        <v>12</v>
      </c>
      <c r="B1462" s="2">
        <v>45229</v>
      </c>
      <c r="C1462">
        <v>24.195436477661129</v>
      </c>
    </row>
    <row r="1463" spans="1:3" x14ac:dyDescent="0.2">
      <c r="A1463" t="s">
        <v>12</v>
      </c>
      <c r="B1463" s="2">
        <v>45230</v>
      </c>
      <c r="C1463">
        <v>24.16799163818359</v>
      </c>
    </row>
    <row r="1464" spans="1:3" x14ac:dyDescent="0.2">
      <c r="A1464" t="s">
        <v>12</v>
      </c>
      <c r="B1464" s="2">
        <v>45231</v>
      </c>
      <c r="C1464">
        <v>24.113107681274411</v>
      </c>
    </row>
    <row r="1465" spans="1:3" x14ac:dyDescent="0.2">
      <c r="A1465" t="s">
        <v>12</v>
      </c>
      <c r="B1465" s="2">
        <v>45232</v>
      </c>
      <c r="C1465">
        <v>24.469865798950199</v>
      </c>
    </row>
    <row r="1466" spans="1:3" x14ac:dyDescent="0.2">
      <c r="A1466" t="s">
        <v>12</v>
      </c>
      <c r="B1466" s="2">
        <v>45233</v>
      </c>
      <c r="C1466">
        <v>23.911855697631839</v>
      </c>
    </row>
    <row r="1467" spans="1:3" x14ac:dyDescent="0.2">
      <c r="A1467" t="s">
        <v>12</v>
      </c>
      <c r="B1467" s="2">
        <v>45236</v>
      </c>
      <c r="C1467">
        <v>23.573394775390621</v>
      </c>
    </row>
    <row r="1468" spans="1:3" x14ac:dyDescent="0.2">
      <c r="A1468" t="s">
        <v>12</v>
      </c>
      <c r="B1468" s="2">
        <v>45237</v>
      </c>
      <c r="C1468">
        <v>22.512273788452148</v>
      </c>
    </row>
    <row r="1469" spans="1:3" x14ac:dyDescent="0.2">
      <c r="A1469" t="s">
        <v>12</v>
      </c>
      <c r="B1469" s="2">
        <v>45238</v>
      </c>
      <c r="C1469">
        <v>22.109781265258789</v>
      </c>
    </row>
    <row r="1470" spans="1:3" x14ac:dyDescent="0.2">
      <c r="A1470" t="s">
        <v>12</v>
      </c>
      <c r="B1470" s="2">
        <v>45239</v>
      </c>
      <c r="C1470">
        <v>22.13722038269043</v>
      </c>
    </row>
    <row r="1471" spans="1:3" x14ac:dyDescent="0.2">
      <c r="A1471" t="s">
        <v>12</v>
      </c>
      <c r="B1471" s="2">
        <v>45240</v>
      </c>
      <c r="C1471">
        <v>22.795854568481449</v>
      </c>
    </row>
    <row r="1472" spans="1:3" x14ac:dyDescent="0.2">
      <c r="A1472" t="s">
        <v>12</v>
      </c>
      <c r="B1472" s="2">
        <v>45243</v>
      </c>
      <c r="C1472">
        <v>22.905622482299801</v>
      </c>
    </row>
    <row r="1473" spans="1:3" x14ac:dyDescent="0.2">
      <c r="A1473" t="s">
        <v>12</v>
      </c>
      <c r="B1473" s="2">
        <v>45244</v>
      </c>
      <c r="C1473">
        <v>22.814146041870121</v>
      </c>
    </row>
    <row r="1474" spans="1:3" x14ac:dyDescent="0.2">
      <c r="A1474" t="s">
        <v>12</v>
      </c>
      <c r="B1474" s="2">
        <v>45245</v>
      </c>
      <c r="C1474">
        <v>22.420797348022461</v>
      </c>
    </row>
    <row r="1475" spans="1:3" x14ac:dyDescent="0.2">
      <c r="A1475" t="s">
        <v>12</v>
      </c>
      <c r="B1475" s="2">
        <v>45246</v>
      </c>
      <c r="C1475">
        <v>21.98171234130859</v>
      </c>
    </row>
    <row r="1476" spans="1:3" x14ac:dyDescent="0.2">
      <c r="A1476" t="s">
        <v>12</v>
      </c>
      <c r="B1476" s="2">
        <v>45247</v>
      </c>
      <c r="C1476">
        <v>22.686077117919918</v>
      </c>
    </row>
    <row r="1477" spans="1:3" x14ac:dyDescent="0.2">
      <c r="A1477" t="s">
        <v>12</v>
      </c>
      <c r="B1477" s="2">
        <v>45250</v>
      </c>
      <c r="C1477">
        <v>22.795854568481449</v>
      </c>
    </row>
    <row r="1478" spans="1:3" x14ac:dyDescent="0.2">
      <c r="A1478" t="s">
        <v>12</v>
      </c>
      <c r="B1478" s="2">
        <v>45251</v>
      </c>
      <c r="C1478">
        <v>22.50312614440918</v>
      </c>
    </row>
    <row r="1479" spans="1:3" x14ac:dyDescent="0.2">
      <c r="A1479" t="s">
        <v>12</v>
      </c>
      <c r="B1479" s="2">
        <v>45252</v>
      </c>
      <c r="C1479">
        <v>21.935979843139648</v>
      </c>
    </row>
    <row r="1480" spans="1:3" x14ac:dyDescent="0.2">
      <c r="A1480" t="s">
        <v>12</v>
      </c>
      <c r="B1480" s="2">
        <v>45253</v>
      </c>
      <c r="C1480">
        <v>22.100631713867191</v>
      </c>
    </row>
    <row r="1481" spans="1:3" x14ac:dyDescent="0.2">
      <c r="A1481" t="s">
        <v>12</v>
      </c>
      <c r="B1481" s="2">
        <v>45254</v>
      </c>
      <c r="C1481">
        <v>22.03659820556641</v>
      </c>
    </row>
    <row r="1482" spans="1:3" x14ac:dyDescent="0.2">
      <c r="A1482" t="s">
        <v>12</v>
      </c>
      <c r="B1482" s="2">
        <v>45257</v>
      </c>
      <c r="C1482">
        <v>21.826206207275391</v>
      </c>
    </row>
    <row r="1483" spans="1:3" x14ac:dyDescent="0.2">
      <c r="A1483" t="s">
        <v>12</v>
      </c>
      <c r="B1483" s="2">
        <v>45258</v>
      </c>
      <c r="C1483">
        <v>21.935979843139648</v>
      </c>
    </row>
    <row r="1484" spans="1:3" x14ac:dyDescent="0.2">
      <c r="A1484" t="s">
        <v>12</v>
      </c>
      <c r="B1484" s="2">
        <v>45259</v>
      </c>
      <c r="C1484">
        <v>21.96341514587402</v>
      </c>
    </row>
    <row r="1485" spans="1:3" x14ac:dyDescent="0.2">
      <c r="A1485" t="s">
        <v>12</v>
      </c>
      <c r="B1485" s="2">
        <v>45260</v>
      </c>
      <c r="C1485">
        <v>22.018302917480469</v>
      </c>
    </row>
    <row r="1486" spans="1:3" x14ac:dyDescent="0.2">
      <c r="A1486" t="s">
        <v>12</v>
      </c>
      <c r="B1486" s="2">
        <v>45261</v>
      </c>
      <c r="C1486">
        <v>21.871938705444339</v>
      </c>
    </row>
    <row r="1487" spans="1:3" x14ac:dyDescent="0.2">
      <c r="A1487" t="s">
        <v>12</v>
      </c>
      <c r="B1487" s="2">
        <v>45264</v>
      </c>
      <c r="C1487">
        <v>21.259050369262699</v>
      </c>
    </row>
    <row r="1488" spans="1:3" x14ac:dyDescent="0.2">
      <c r="A1488" t="s">
        <v>12</v>
      </c>
      <c r="B1488" s="2">
        <v>45265</v>
      </c>
      <c r="C1488">
        <v>20.774227142333981</v>
      </c>
    </row>
    <row r="1489" spans="1:3" x14ac:dyDescent="0.2">
      <c r="A1489" t="s">
        <v>12</v>
      </c>
      <c r="B1489" s="2">
        <v>45266</v>
      </c>
      <c r="C1489">
        <v>20.143045425415039</v>
      </c>
    </row>
    <row r="1490" spans="1:3" x14ac:dyDescent="0.2">
      <c r="A1490" t="s">
        <v>12</v>
      </c>
      <c r="B1490" s="2">
        <v>45267</v>
      </c>
      <c r="C1490">
        <v>19.95094108581543</v>
      </c>
    </row>
    <row r="1491" spans="1:3" x14ac:dyDescent="0.2">
      <c r="A1491" t="s">
        <v>12</v>
      </c>
      <c r="B1491" s="2">
        <v>45268</v>
      </c>
      <c r="C1491">
        <v>20.234518051147461</v>
      </c>
    </row>
    <row r="1492" spans="1:3" x14ac:dyDescent="0.2">
      <c r="A1492" t="s">
        <v>12</v>
      </c>
      <c r="B1492" s="2">
        <v>45271</v>
      </c>
      <c r="C1492">
        <v>20.069866180419918</v>
      </c>
    </row>
    <row r="1493" spans="1:3" x14ac:dyDescent="0.2">
      <c r="A1493" t="s">
        <v>12</v>
      </c>
      <c r="B1493" s="2">
        <v>45272</v>
      </c>
      <c r="C1493">
        <v>19.585039138793949</v>
      </c>
    </row>
    <row r="1494" spans="1:3" x14ac:dyDescent="0.2">
      <c r="A1494" t="s">
        <v>12</v>
      </c>
      <c r="B1494" s="2">
        <v>45273</v>
      </c>
      <c r="C1494">
        <v>20.014974594116211</v>
      </c>
    </row>
    <row r="1495" spans="1:3" x14ac:dyDescent="0.2">
      <c r="A1495" t="s">
        <v>12</v>
      </c>
      <c r="B1495" s="2">
        <v>45274</v>
      </c>
      <c r="C1495">
        <v>20.641021728515621</v>
      </c>
    </row>
    <row r="1496" spans="1:3" x14ac:dyDescent="0.2">
      <c r="A1496" t="s">
        <v>12</v>
      </c>
      <c r="B1496" s="2">
        <v>45275</v>
      </c>
      <c r="C1496">
        <v>20.02418327331543</v>
      </c>
    </row>
    <row r="1497" spans="1:3" x14ac:dyDescent="0.2">
      <c r="A1497" t="s">
        <v>12</v>
      </c>
      <c r="B1497" s="2">
        <v>45278</v>
      </c>
      <c r="C1497">
        <v>20.217523574829102</v>
      </c>
    </row>
    <row r="1498" spans="1:3" x14ac:dyDescent="0.2">
      <c r="A1498" t="s">
        <v>12</v>
      </c>
      <c r="B1498" s="2">
        <v>45279</v>
      </c>
      <c r="C1498">
        <v>20.696262359619141</v>
      </c>
    </row>
    <row r="1499" spans="1:3" x14ac:dyDescent="0.2">
      <c r="A1499" t="s">
        <v>12</v>
      </c>
      <c r="B1499" s="2">
        <v>45280</v>
      </c>
      <c r="C1499">
        <v>20.34641265869141</v>
      </c>
    </row>
    <row r="1500" spans="1:3" x14ac:dyDescent="0.2">
      <c r="A1500" t="s">
        <v>12</v>
      </c>
      <c r="B1500" s="2">
        <v>45281</v>
      </c>
      <c r="C1500">
        <v>20.374031066894531</v>
      </c>
    </row>
    <row r="1501" spans="1:3" x14ac:dyDescent="0.2">
      <c r="A1501" t="s">
        <v>12</v>
      </c>
      <c r="B1501" s="2">
        <v>45282</v>
      </c>
      <c r="C1501">
        <v>20.401653289794918</v>
      </c>
    </row>
    <row r="1502" spans="1:3" x14ac:dyDescent="0.2">
      <c r="A1502" t="s">
        <v>12</v>
      </c>
      <c r="B1502" s="2">
        <v>45287</v>
      </c>
      <c r="C1502">
        <v>20.57657432556152</v>
      </c>
    </row>
    <row r="1503" spans="1:3" x14ac:dyDescent="0.2">
      <c r="A1503" t="s">
        <v>12</v>
      </c>
      <c r="B1503" s="2">
        <v>45288</v>
      </c>
      <c r="C1503">
        <v>20.30037689208984</v>
      </c>
    </row>
    <row r="1504" spans="1:3" x14ac:dyDescent="0.2">
      <c r="A1504" t="s">
        <v>12</v>
      </c>
      <c r="B1504" s="2">
        <v>45289</v>
      </c>
      <c r="C1504">
        <v>20.327997207641602</v>
      </c>
    </row>
    <row r="1505" spans="1:3" x14ac:dyDescent="0.2">
      <c r="A1505" t="s">
        <v>12</v>
      </c>
      <c r="B1505" s="2">
        <v>45293</v>
      </c>
      <c r="C1505">
        <v>20.34641265869141</v>
      </c>
    </row>
    <row r="1506" spans="1:3" x14ac:dyDescent="0.2">
      <c r="A1506" t="s">
        <v>12</v>
      </c>
      <c r="B1506" s="2">
        <v>45294</v>
      </c>
      <c r="C1506">
        <v>20.90800666809082</v>
      </c>
    </row>
    <row r="1507" spans="1:3" x14ac:dyDescent="0.2">
      <c r="A1507" t="s">
        <v>12</v>
      </c>
      <c r="B1507" s="2">
        <v>45295</v>
      </c>
      <c r="C1507">
        <v>20.162282943725589</v>
      </c>
    </row>
    <row r="1508" spans="1:3" x14ac:dyDescent="0.2">
      <c r="A1508" t="s">
        <v>12</v>
      </c>
      <c r="B1508" s="2">
        <v>45296</v>
      </c>
      <c r="C1508">
        <v>20.291172027587891</v>
      </c>
    </row>
    <row r="1509" spans="1:3" x14ac:dyDescent="0.2">
      <c r="A1509" t="s">
        <v>12</v>
      </c>
      <c r="B1509" s="2">
        <v>45299</v>
      </c>
      <c r="C1509">
        <v>20.02418327331543</v>
      </c>
    </row>
    <row r="1510" spans="1:3" x14ac:dyDescent="0.2">
      <c r="A1510" t="s">
        <v>12</v>
      </c>
      <c r="B1510" s="2">
        <v>45300</v>
      </c>
      <c r="C1510">
        <v>19.9321174621582</v>
      </c>
    </row>
    <row r="1511" spans="1:3" x14ac:dyDescent="0.2">
      <c r="A1511" t="s">
        <v>12</v>
      </c>
      <c r="B1511" s="2">
        <v>45301</v>
      </c>
      <c r="C1511">
        <v>19.876876831054691</v>
      </c>
    </row>
    <row r="1512" spans="1:3" x14ac:dyDescent="0.2">
      <c r="A1512" t="s">
        <v>12</v>
      </c>
      <c r="B1512" s="2">
        <v>45302</v>
      </c>
      <c r="C1512">
        <v>19.59147834777832</v>
      </c>
    </row>
    <row r="1513" spans="1:3" x14ac:dyDescent="0.2">
      <c r="A1513" t="s">
        <v>12</v>
      </c>
      <c r="B1513" s="2">
        <v>45303</v>
      </c>
      <c r="C1513">
        <v>19.260042190551761</v>
      </c>
    </row>
    <row r="1514" spans="1:3" x14ac:dyDescent="0.2">
      <c r="A1514" t="s">
        <v>12</v>
      </c>
      <c r="B1514" s="2">
        <v>45306</v>
      </c>
      <c r="C1514">
        <v>19.444173812866211</v>
      </c>
    </row>
    <row r="1515" spans="1:3" x14ac:dyDescent="0.2">
      <c r="A1515" t="s">
        <v>12</v>
      </c>
      <c r="B1515" s="2">
        <v>45307</v>
      </c>
      <c r="C1515">
        <v>19.002256393432621</v>
      </c>
    </row>
    <row r="1516" spans="1:3" x14ac:dyDescent="0.2">
      <c r="A1516" t="s">
        <v>12</v>
      </c>
      <c r="B1516" s="2">
        <v>45308</v>
      </c>
      <c r="C1516">
        <v>18.52352142333984</v>
      </c>
    </row>
    <row r="1517" spans="1:3" x14ac:dyDescent="0.2">
      <c r="A1517" t="s">
        <v>12</v>
      </c>
      <c r="B1517" s="2">
        <v>45309</v>
      </c>
      <c r="C1517">
        <v>18.514316558837891</v>
      </c>
    </row>
    <row r="1518" spans="1:3" x14ac:dyDescent="0.2">
      <c r="A1518" t="s">
        <v>12</v>
      </c>
      <c r="B1518" s="2">
        <v>45310</v>
      </c>
      <c r="C1518">
        <v>18.468278884887699</v>
      </c>
    </row>
    <row r="1519" spans="1:3" x14ac:dyDescent="0.2">
      <c r="A1519" t="s">
        <v>12</v>
      </c>
      <c r="B1519" s="2">
        <v>45313</v>
      </c>
      <c r="C1519">
        <v>18.606378555297852</v>
      </c>
    </row>
    <row r="1520" spans="1:3" x14ac:dyDescent="0.2">
      <c r="A1520" t="s">
        <v>12</v>
      </c>
      <c r="B1520" s="2">
        <v>45314</v>
      </c>
      <c r="C1520">
        <v>18.790508270263668</v>
      </c>
    </row>
    <row r="1521" spans="1:3" x14ac:dyDescent="0.2">
      <c r="A1521" t="s">
        <v>12</v>
      </c>
      <c r="B1521" s="2">
        <v>45315</v>
      </c>
      <c r="C1521">
        <v>19.232421875</v>
      </c>
    </row>
    <row r="1522" spans="1:3" x14ac:dyDescent="0.2">
      <c r="A1522" t="s">
        <v>12</v>
      </c>
      <c r="B1522" s="2">
        <v>45316</v>
      </c>
      <c r="C1522">
        <v>19.674335479736332</v>
      </c>
    </row>
    <row r="1523" spans="1:3" x14ac:dyDescent="0.2">
      <c r="A1523" t="s">
        <v>12</v>
      </c>
      <c r="B1523" s="2">
        <v>45317</v>
      </c>
      <c r="C1523">
        <v>20.051803588867191</v>
      </c>
    </row>
    <row r="1524" spans="1:3" x14ac:dyDescent="0.2">
      <c r="A1524" t="s">
        <v>12</v>
      </c>
      <c r="B1524" s="2">
        <v>45320</v>
      </c>
      <c r="C1524">
        <v>19.88608360290527</v>
      </c>
    </row>
    <row r="1525" spans="1:3" x14ac:dyDescent="0.2">
      <c r="A1525" t="s">
        <v>12</v>
      </c>
      <c r="B1525" s="2">
        <v>45321</v>
      </c>
      <c r="C1525">
        <v>20.281965255737301</v>
      </c>
    </row>
    <row r="1526" spans="1:3" x14ac:dyDescent="0.2">
      <c r="A1526" t="s">
        <v>12</v>
      </c>
      <c r="B1526" s="2">
        <v>45322</v>
      </c>
      <c r="C1526">
        <v>20.051803588867191</v>
      </c>
    </row>
    <row r="1527" spans="1:3" x14ac:dyDescent="0.2">
      <c r="A1527" t="s">
        <v>12</v>
      </c>
      <c r="B1527" s="2">
        <v>45323</v>
      </c>
      <c r="C1527">
        <v>19.89528846740723</v>
      </c>
    </row>
    <row r="1528" spans="1:3" x14ac:dyDescent="0.2">
      <c r="A1528" t="s">
        <v>12</v>
      </c>
      <c r="B1528" s="2">
        <v>45324</v>
      </c>
      <c r="C1528">
        <v>19.637508392333981</v>
      </c>
    </row>
    <row r="1529" spans="1:3" x14ac:dyDescent="0.2">
      <c r="A1529" t="s">
        <v>12</v>
      </c>
      <c r="B1529" s="2">
        <v>45327</v>
      </c>
      <c r="C1529">
        <v>19.628301620483398</v>
      </c>
    </row>
    <row r="1530" spans="1:3" x14ac:dyDescent="0.2">
      <c r="A1530" t="s">
        <v>12</v>
      </c>
      <c r="B1530" s="2">
        <v>45328</v>
      </c>
      <c r="C1530">
        <v>19.683542251586911</v>
      </c>
    </row>
    <row r="1531" spans="1:3" x14ac:dyDescent="0.2">
      <c r="A1531" t="s">
        <v>12</v>
      </c>
      <c r="B1531" s="2">
        <v>45329</v>
      </c>
      <c r="C1531">
        <v>19.738779067993161</v>
      </c>
    </row>
    <row r="1532" spans="1:3" x14ac:dyDescent="0.2">
      <c r="A1532" t="s">
        <v>12</v>
      </c>
      <c r="B1532" s="2">
        <v>45330</v>
      </c>
      <c r="C1532">
        <v>20.19911003112793</v>
      </c>
    </row>
    <row r="1533" spans="1:3" x14ac:dyDescent="0.2">
      <c r="A1533" t="s">
        <v>12</v>
      </c>
      <c r="B1533" s="2">
        <v>45331</v>
      </c>
      <c r="C1533">
        <v>20.107040405273441</v>
      </c>
    </row>
    <row r="1534" spans="1:3" x14ac:dyDescent="0.2">
      <c r="A1534" t="s">
        <v>12</v>
      </c>
      <c r="B1534" s="2">
        <v>45334</v>
      </c>
      <c r="C1534">
        <v>20.512128829956051</v>
      </c>
    </row>
    <row r="1535" spans="1:3" x14ac:dyDescent="0.2">
      <c r="A1535" t="s">
        <v>12</v>
      </c>
      <c r="B1535" s="2">
        <v>45335</v>
      </c>
      <c r="C1535">
        <v>20.263553619384769</v>
      </c>
    </row>
    <row r="1536" spans="1:3" x14ac:dyDescent="0.2">
      <c r="A1536" t="s">
        <v>12</v>
      </c>
      <c r="B1536" s="2">
        <v>45336</v>
      </c>
      <c r="C1536">
        <v>20.226726531982418</v>
      </c>
    </row>
    <row r="1537" spans="1:3" x14ac:dyDescent="0.2">
      <c r="A1537" t="s">
        <v>12</v>
      </c>
      <c r="B1537" s="2">
        <v>45337</v>
      </c>
      <c r="C1537">
        <v>21.64453125</v>
      </c>
    </row>
    <row r="1538" spans="1:3" x14ac:dyDescent="0.2">
      <c r="A1538" t="s">
        <v>12</v>
      </c>
      <c r="B1538" s="2">
        <v>45338</v>
      </c>
      <c r="C1538">
        <v>21.635320663452148</v>
      </c>
    </row>
    <row r="1539" spans="1:3" x14ac:dyDescent="0.2">
      <c r="A1539" t="s">
        <v>12</v>
      </c>
      <c r="B1539" s="2">
        <v>45342</v>
      </c>
      <c r="C1539">
        <v>21.39595794677734</v>
      </c>
    </row>
    <row r="1540" spans="1:3" x14ac:dyDescent="0.2">
      <c r="A1540" t="s">
        <v>12</v>
      </c>
      <c r="B1540" s="2">
        <v>45343</v>
      </c>
      <c r="C1540">
        <v>21.755008697509769</v>
      </c>
    </row>
    <row r="1541" spans="1:3" x14ac:dyDescent="0.2">
      <c r="A1541" t="s">
        <v>12</v>
      </c>
      <c r="B1541" s="2">
        <v>45344</v>
      </c>
      <c r="C1541">
        <v>21.856279373168949</v>
      </c>
    </row>
    <row r="1542" spans="1:3" x14ac:dyDescent="0.2">
      <c r="A1542" t="s">
        <v>12</v>
      </c>
      <c r="B1542" s="2">
        <v>45345</v>
      </c>
      <c r="C1542">
        <v>21.893108367919918</v>
      </c>
    </row>
    <row r="1543" spans="1:3" x14ac:dyDescent="0.2">
      <c r="A1543" t="s">
        <v>12</v>
      </c>
      <c r="B1543" s="2">
        <v>45348</v>
      </c>
      <c r="C1543">
        <v>22.03120231628418</v>
      </c>
    </row>
    <row r="1544" spans="1:3" x14ac:dyDescent="0.2">
      <c r="A1544" t="s">
        <v>12</v>
      </c>
      <c r="B1544" s="2">
        <v>45349</v>
      </c>
      <c r="C1544">
        <v>21.856279373168949</v>
      </c>
    </row>
    <row r="1545" spans="1:3" x14ac:dyDescent="0.2">
      <c r="A1545" t="s">
        <v>12</v>
      </c>
      <c r="B1545" s="2">
        <v>45350</v>
      </c>
      <c r="C1545">
        <v>21.561676025390621</v>
      </c>
    </row>
    <row r="1546" spans="1:3" x14ac:dyDescent="0.2">
      <c r="A1546" t="s">
        <v>12</v>
      </c>
      <c r="B1546" s="2">
        <v>45351</v>
      </c>
      <c r="C1546">
        <v>21.77342414855957</v>
      </c>
    </row>
    <row r="1547" spans="1:3" x14ac:dyDescent="0.2">
      <c r="A1547" t="s">
        <v>12</v>
      </c>
      <c r="B1547" s="2">
        <v>45352</v>
      </c>
      <c r="C1547">
        <v>22.095651626586911</v>
      </c>
    </row>
    <row r="1548" spans="1:3" x14ac:dyDescent="0.2">
      <c r="A1548" t="s">
        <v>12</v>
      </c>
      <c r="B1548" s="2">
        <v>45355</v>
      </c>
      <c r="C1548">
        <v>21.819456100463871</v>
      </c>
    </row>
    <row r="1549" spans="1:3" x14ac:dyDescent="0.2">
      <c r="A1549" t="s">
        <v>12</v>
      </c>
      <c r="B1549" s="2">
        <v>45356</v>
      </c>
      <c r="C1549">
        <v>21.95755577087402</v>
      </c>
    </row>
    <row r="1550" spans="1:3" x14ac:dyDescent="0.2">
      <c r="A1550" t="s">
        <v>12</v>
      </c>
      <c r="B1550" s="2">
        <v>45357</v>
      </c>
      <c r="C1550">
        <v>22.242954254150391</v>
      </c>
    </row>
    <row r="1551" spans="1:3" x14ac:dyDescent="0.2">
      <c r="A1551" t="s">
        <v>12</v>
      </c>
      <c r="B1551" s="2">
        <v>45358</v>
      </c>
      <c r="C1551">
        <v>22.224542617797852</v>
      </c>
    </row>
    <row r="1552" spans="1:3" x14ac:dyDescent="0.2">
      <c r="A1552" t="s">
        <v>12</v>
      </c>
      <c r="B1552" s="2">
        <v>45359</v>
      </c>
      <c r="C1552">
        <v>21.948345184326168</v>
      </c>
    </row>
    <row r="1553" spans="1:3" x14ac:dyDescent="0.2">
      <c r="A1553" t="s">
        <v>12</v>
      </c>
      <c r="B1553" s="2">
        <v>45362</v>
      </c>
      <c r="C1553">
        <v>22.1048583984375</v>
      </c>
    </row>
    <row r="1554" spans="1:3" x14ac:dyDescent="0.2">
      <c r="A1554" t="s">
        <v>12</v>
      </c>
      <c r="B1554" s="2">
        <v>45363</v>
      </c>
      <c r="C1554">
        <v>22.270572662353519</v>
      </c>
    </row>
    <row r="1555" spans="1:3" x14ac:dyDescent="0.2">
      <c r="A1555" t="s">
        <v>12</v>
      </c>
      <c r="B1555" s="2">
        <v>45364</v>
      </c>
      <c r="C1555">
        <v>22.8505859375</v>
      </c>
    </row>
    <row r="1556" spans="1:3" x14ac:dyDescent="0.2">
      <c r="A1556" t="s">
        <v>12</v>
      </c>
      <c r="B1556" s="2">
        <v>45365</v>
      </c>
      <c r="C1556">
        <v>23.369075775146481</v>
      </c>
    </row>
    <row r="1557" spans="1:3" x14ac:dyDescent="0.2">
      <c r="A1557" t="s">
        <v>12</v>
      </c>
      <c r="B1557" s="2">
        <v>45366</v>
      </c>
      <c r="C1557">
        <v>23.313522338867191</v>
      </c>
    </row>
    <row r="1558" spans="1:3" x14ac:dyDescent="0.2">
      <c r="A1558" t="s">
        <v>12</v>
      </c>
      <c r="B1558" s="2">
        <v>45369</v>
      </c>
      <c r="C1558">
        <v>23.757940292358398</v>
      </c>
    </row>
    <row r="1559" spans="1:3" x14ac:dyDescent="0.2">
      <c r="A1559" t="s">
        <v>12</v>
      </c>
      <c r="B1559" s="2">
        <v>45370</v>
      </c>
      <c r="C1559">
        <v>23.952377319335941</v>
      </c>
    </row>
    <row r="1560" spans="1:3" x14ac:dyDescent="0.2">
      <c r="A1560" t="s">
        <v>12</v>
      </c>
      <c r="B1560" s="2">
        <v>45371</v>
      </c>
      <c r="C1560">
        <v>24.044961929321289</v>
      </c>
    </row>
    <row r="1561" spans="1:3" x14ac:dyDescent="0.2">
      <c r="A1561" t="s">
        <v>12</v>
      </c>
      <c r="B1561" s="2">
        <v>45372</v>
      </c>
      <c r="C1561">
        <v>24.202362060546879</v>
      </c>
    </row>
    <row r="1562" spans="1:3" x14ac:dyDescent="0.2">
      <c r="A1562" t="s">
        <v>12</v>
      </c>
      <c r="B1562" s="2">
        <v>45373</v>
      </c>
      <c r="C1562">
        <v>24.396799087524411</v>
      </c>
    </row>
    <row r="1563" spans="1:3" x14ac:dyDescent="0.2">
      <c r="A1563" t="s">
        <v>12</v>
      </c>
      <c r="B1563" s="2">
        <v>45376</v>
      </c>
      <c r="C1563">
        <v>24.952325820922852</v>
      </c>
    </row>
    <row r="1564" spans="1:3" x14ac:dyDescent="0.2">
      <c r="A1564" t="s">
        <v>12</v>
      </c>
      <c r="B1564" s="2">
        <v>45377</v>
      </c>
      <c r="C1564">
        <v>25.017133712768551</v>
      </c>
    </row>
    <row r="1565" spans="1:3" x14ac:dyDescent="0.2">
      <c r="A1565" t="s">
        <v>12</v>
      </c>
      <c r="B1565" s="2">
        <v>45378</v>
      </c>
      <c r="C1565">
        <v>24.933803558349609</v>
      </c>
    </row>
    <row r="1566" spans="1:3" x14ac:dyDescent="0.2">
      <c r="A1566" t="s">
        <v>12</v>
      </c>
      <c r="B1566" s="2">
        <v>45379</v>
      </c>
      <c r="C1566">
        <v>25.072685241699219</v>
      </c>
    </row>
    <row r="1567" spans="1:3" x14ac:dyDescent="0.2">
      <c r="A1567" t="s">
        <v>12</v>
      </c>
      <c r="B1567" s="2">
        <v>45383</v>
      </c>
      <c r="C1567">
        <v>25.276374816894531</v>
      </c>
    </row>
    <row r="1568" spans="1:3" x14ac:dyDescent="0.2">
      <c r="A1568" t="s">
        <v>12</v>
      </c>
      <c r="B1568" s="2">
        <v>45384</v>
      </c>
      <c r="C1568">
        <v>25.702280044555661</v>
      </c>
    </row>
    <row r="1569" spans="1:3" x14ac:dyDescent="0.2">
      <c r="A1569" t="s">
        <v>12</v>
      </c>
      <c r="B1569" s="2">
        <v>45385</v>
      </c>
      <c r="C1569">
        <v>26.29483795166016</v>
      </c>
    </row>
    <row r="1570" spans="1:3" x14ac:dyDescent="0.2">
      <c r="A1570" t="s">
        <v>12</v>
      </c>
      <c r="B1570" s="2">
        <v>45386</v>
      </c>
      <c r="C1570">
        <v>26.498533248901371</v>
      </c>
    </row>
    <row r="1571" spans="1:3" x14ac:dyDescent="0.2">
      <c r="A1571" t="s">
        <v>12</v>
      </c>
      <c r="B1571" s="2">
        <v>45387</v>
      </c>
      <c r="C1571">
        <v>26.89665603637695</v>
      </c>
    </row>
    <row r="1572" spans="1:3" x14ac:dyDescent="0.2">
      <c r="A1572" t="s">
        <v>12</v>
      </c>
      <c r="B1572" s="2">
        <v>45390</v>
      </c>
      <c r="C1572">
        <v>26.979990005493161</v>
      </c>
    </row>
    <row r="1573" spans="1:3" x14ac:dyDescent="0.2">
      <c r="A1573" t="s">
        <v>12</v>
      </c>
      <c r="B1573" s="2">
        <v>45391</v>
      </c>
      <c r="C1573">
        <v>27.100351333618161</v>
      </c>
    </row>
    <row r="1574" spans="1:3" x14ac:dyDescent="0.2">
      <c r="A1574" t="s">
        <v>12</v>
      </c>
      <c r="B1574" s="2">
        <v>45392</v>
      </c>
      <c r="C1574">
        <v>27.600320816040039</v>
      </c>
    </row>
    <row r="1575" spans="1:3" x14ac:dyDescent="0.2">
      <c r="A1575" t="s">
        <v>12</v>
      </c>
      <c r="B1575" s="2">
        <v>45393</v>
      </c>
      <c r="C1575">
        <v>26.730001449584961</v>
      </c>
    </row>
    <row r="1576" spans="1:3" x14ac:dyDescent="0.2">
      <c r="A1576" t="s">
        <v>12</v>
      </c>
      <c r="B1576" s="2">
        <v>45394</v>
      </c>
      <c r="C1576">
        <v>26.711481094360352</v>
      </c>
    </row>
    <row r="1577" spans="1:3" x14ac:dyDescent="0.2">
      <c r="A1577" t="s">
        <v>12</v>
      </c>
      <c r="B1577" s="2">
        <v>45397</v>
      </c>
      <c r="C1577">
        <v>26.239288330078121</v>
      </c>
    </row>
    <row r="1578" spans="1:3" x14ac:dyDescent="0.2">
      <c r="A1578" t="s">
        <v>12</v>
      </c>
      <c r="B1578" s="2">
        <v>45398</v>
      </c>
      <c r="C1578">
        <v>26.405946731567379</v>
      </c>
    </row>
    <row r="1579" spans="1:3" x14ac:dyDescent="0.2">
      <c r="A1579" t="s">
        <v>12</v>
      </c>
      <c r="B1579" s="2">
        <v>45399</v>
      </c>
      <c r="C1579">
        <v>26.44297981262207</v>
      </c>
    </row>
    <row r="1580" spans="1:3" x14ac:dyDescent="0.2">
      <c r="A1580" t="s">
        <v>12</v>
      </c>
      <c r="B1580" s="2">
        <v>45400</v>
      </c>
      <c r="C1580">
        <v>26.35039138793945</v>
      </c>
    </row>
    <row r="1581" spans="1:3" x14ac:dyDescent="0.2">
      <c r="A1581" t="s">
        <v>12</v>
      </c>
      <c r="B1581" s="2">
        <v>45401</v>
      </c>
      <c r="C1581">
        <v>26.5633430480957</v>
      </c>
    </row>
    <row r="1582" spans="1:3" x14ac:dyDescent="0.2">
      <c r="A1582" t="s">
        <v>12</v>
      </c>
      <c r="B1582" s="2">
        <v>45404</v>
      </c>
      <c r="C1582">
        <v>26.794815063476559</v>
      </c>
    </row>
    <row r="1583" spans="1:3" x14ac:dyDescent="0.2">
      <c r="A1583" t="s">
        <v>12</v>
      </c>
      <c r="B1583" s="2">
        <v>45405</v>
      </c>
      <c r="C1583">
        <v>26.905916213989261</v>
      </c>
    </row>
    <row r="1584" spans="1:3" x14ac:dyDescent="0.2">
      <c r="A1584" t="s">
        <v>12</v>
      </c>
      <c r="B1584" s="2">
        <v>45406</v>
      </c>
      <c r="C1584">
        <v>26.942953109741211</v>
      </c>
    </row>
    <row r="1585" spans="1:3" x14ac:dyDescent="0.2">
      <c r="A1585" t="s">
        <v>12</v>
      </c>
      <c r="B1585" s="2">
        <v>45407</v>
      </c>
      <c r="C1585">
        <v>26.933694839477539</v>
      </c>
    </row>
    <row r="1586" spans="1:3" x14ac:dyDescent="0.2">
      <c r="A1586" t="s">
        <v>12</v>
      </c>
      <c r="B1586" s="2">
        <v>45408</v>
      </c>
      <c r="C1586">
        <v>27.14664268493652</v>
      </c>
    </row>
    <row r="1587" spans="1:3" x14ac:dyDescent="0.2">
      <c r="A1587" t="s">
        <v>12</v>
      </c>
      <c r="B1587" s="2">
        <v>45411</v>
      </c>
      <c r="C1587">
        <v>27.248491287231449</v>
      </c>
    </row>
    <row r="1588" spans="1:3" x14ac:dyDescent="0.2">
      <c r="A1588" t="s">
        <v>12</v>
      </c>
      <c r="B1588" s="2">
        <v>45412</v>
      </c>
      <c r="C1588">
        <v>26.183734893798832</v>
      </c>
    </row>
    <row r="1589" spans="1:3" x14ac:dyDescent="0.2">
      <c r="A1589" t="s">
        <v>12</v>
      </c>
      <c r="B1589" s="2">
        <v>45413</v>
      </c>
      <c r="C1589">
        <v>25.915229797363281</v>
      </c>
    </row>
    <row r="1590" spans="1:3" x14ac:dyDescent="0.2">
      <c r="A1590" t="s">
        <v>12</v>
      </c>
      <c r="B1590" s="2">
        <v>45414</v>
      </c>
      <c r="C1590">
        <v>26.081892013549801</v>
      </c>
    </row>
    <row r="1591" spans="1:3" x14ac:dyDescent="0.2">
      <c r="A1591" t="s">
        <v>12</v>
      </c>
      <c r="B1591" s="2">
        <v>45415</v>
      </c>
      <c r="C1591">
        <v>25.952268600463871</v>
      </c>
    </row>
    <row r="1592" spans="1:3" x14ac:dyDescent="0.2">
      <c r="A1592" t="s">
        <v>12</v>
      </c>
      <c r="B1592" s="2">
        <v>45418</v>
      </c>
      <c r="C1592">
        <v>26.183734893798832</v>
      </c>
    </row>
    <row r="1593" spans="1:3" x14ac:dyDescent="0.2">
      <c r="A1593" t="s">
        <v>12</v>
      </c>
      <c r="B1593" s="2">
        <v>45419</v>
      </c>
      <c r="C1593">
        <v>26.183734893798832</v>
      </c>
    </row>
    <row r="1594" spans="1:3" x14ac:dyDescent="0.2">
      <c r="A1594" t="s">
        <v>12</v>
      </c>
      <c r="B1594" s="2">
        <v>45420</v>
      </c>
      <c r="C1594">
        <v>26.387430191040039</v>
      </c>
    </row>
    <row r="1595" spans="1:3" x14ac:dyDescent="0.2">
      <c r="A1595" t="s">
        <v>12</v>
      </c>
      <c r="B1595" s="2">
        <v>45421</v>
      </c>
      <c r="C1595">
        <v>26.313356399536129</v>
      </c>
    </row>
    <row r="1596" spans="1:3" x14ac:dyDescent="0.2">
      <c r="A1596" t="s">
        <v>12</v>
      </c>
      <c r="B1596" s="2">
        <v>45422</v>
      </c>
      <c r="C1596">
        <v>25.989301681518551</v>
      </c>
    </row>
    <row r="1597" spans="1:3" x14ac:dyDescent="0.2">
      <c r="A1597" t="s">
        <v>12</v>
      </c>
      <c r="B1597" s="2">
        <v>45425</v>
      </c>
      <c r="C1597">
        <v>25.859676361083981</v>
      </c>
    </row>
    <row r="1598" spans="1:3" x14ac:dyDescent="0.2">
      <c r="A1598" t="s">
        <v>12</v>
      </c>
      <c r="B1598" s="2">
        <v>45426</v>
      </c>
      <c r="C1598">
        <v>25.50785064697266</v>
      </c>
    </row>
    <row r="1599" spans="1:3" x14ac:dyDescent="0.2">
      <c r="A1599" t="s">
        <v>12</v>
      </c>
      <c r="B1599" s="2">
        <v>45427</v>
      </c>
      <c r="C1599">
        <v>25.41525840759277</v>
      </c>
    </row>
    <row r="1600" spans="1:3" x14ac:dyDescent="0.2">
      <c r="A1600" t="s">
        <v>12</v>
      </c>
      <c r="B1600" s="2">
        <v>45428</v>
      </c>
      <c r="C1600">
        <v>25.317558288574219</v>
      </c>
    </row>
    <row r="1601" spans="1:3" x14ac:dyDescent="0.2">
      <c r="A1601" t="s">
        <v>12</v>
      </c>
      <c r="B1601" s="2">
        <v>45429</v>
      </c>
      <c r="C1601">
        <v>25.606002807617191</v>
      </c>
    </row>
    <row r="1602" spans="1:3" x14ac:dyDescent="0.2">
      <c r="A1602" t="s">
        <v>12</v>
      </c>
      <c r="B1602" s="2">
        <v>45433</v>
      </c>
      <c r="C1602">
        <v>25.736265182495121</v>
      </c>
    </row>
    <row r="1603" spans="1:3" x14ac:dyDescent="0.2">
      <c r="A1603" t="s">
        <v>12</v>
      </c>
      <c r="B1603" s="2">
        <v>45434</v>
      </c>
      <c r="C1603">
        <v>25.45712852478027</v>
      </c>
    </row>
    <row r="1604" spans="1:3" x14ac:dyDescent="0.2">
      <c r="A1604" t="s">
        <v>12</v>
      </c>
      <c r="B1604" s="2">
        <v>45435</v>
      </c>
      <c r="C1604">
        <v>25.49434661865234</v>
      </c>
    </row>
    <row r="1605" spans="1:3" x14ac:dyDescent="0.2">
      <c r="A1605" t="s">
        <v>12</v>
      </c>
      <c r="B1605" s="2">
        <v>45436</v>
      </c>
      <c r="C1605">
        <v>25.820003509521481</v>
      </c>
    </row>
    <row r="1606" spans="1:3" x14ac:dyDescent="0.2">
      <c r="A1606" t="s">
        <v>12</v>
      </c>
      <c r="B1606" s="2">
        <v>45439</v>
      </c>
      <c r="C1606">
        <v>25.885135650634769</v>
      </c>
    </row>
    <row r="1607" spans="1:3" x14ac:dyDescent="0.2">
      <c r="A1607" t="s">
        <v>12</v>
      </c>
      <c r="B1607" s="2">
        <v>45440</v>
      </c>
      <c r="C1607">
        <v>26.629497528076168</v>
      </c>
    </row>
    <row r="1608" spans="1:3" x14ac:dyDescent="0.2">
      <c r="A1608" t="s">
        <v>12</v>
      </c>
      <c r="B1608" s="2">
        <v>45441</v>
      </c>
      <c r="C1608">
        <v>26.33175086975098</v>
      </c>
    </row>
    <row r="1609" spans="1:3" x14ac:dyDescent="0.2">
      <c r="A1609" t="s">
        <v>12</v>
      </c>
      <c r="B1609" s="2">
        <v>45442</v>
      </c>
      <c r="C1609">
        <v>26.229404449462891</v>
      </c>
    </row>
    <row r="1610" spans="1:3" x14ac:dyDescent="0.2">
      <c r="A1610" t="s">
        <v>12</v>
      </c>
      <c r="B1610" s="2">
        <v>45443</v>
      </c>
      <c r="C1610">
        <v>26.434097290039059</v>
      </c>
    </row>
    <row r="1611" spans="1:3" x14ac:dyDescent="0.2">
      <c r="A1611" t="s">
        <v>12</v>
      </c>
      <c r="B1611" s="2">
        <v>45446</v>
      </c>
      <c r="C1611">
        <v>24.83372688293457</v>
      </c>
    </row>
    <row r="1612" spans="1:3" x14ac:dyDescent="0.2">
      <c r="A1612" t="s">
        <v>12</v>
      </c>
      <c r="B1612" s="2">
        <v>45447</v>
      </c>
      <c r="C1612">
        <v>24.424325942993161</v>
      </c>
    </row>
    <row r="1613" spans="1:3" x14ac:dyDescent="0.2">
      <c r="A1613" t="s">
        <v>12</v>
      </c>
      <c r="B1613" s="2">
        <v>45448</v>
      </c>
      <c r="C1613">
        <v>24.3778076171875</v>
      </c>
    </row>
    <row r="1614" spans="1:3" x14ac:dyDescent="0.2">
      <c r="A1614" t="s">
        <v>12</v>
      </c>
      <c r="B1614" s="2">
        <v>45449</v>
      </c>
      <c r="C1614">
        <v>24.256845474243161</v>
      </c>
    </row>
    <row r="1615" spans="1:3" x14ac:dyDescent="0.2">
      <c r="A1615" t="s">
        <v>12</v>
      </c>
      <c r="B1615" s="2">
        <v>45450</v>
      </c>
      <c r="C1615">
        <v>24.210329055786129</v>
      </c>
    </row>
    <row r="1616" spans="1:3" x14ac:dyDescent="0.2">
      <c r="A1616" t="s">
        <v>12</v>
      </c>
      <c r="B1616" s="2">
        <v>45453</v>
      </c>
      <c r="C1616">
        <v>24.83372688293457</v>
      </c>
    </row>
    <row r="1617" spans="1:3" x14ac:dyDescent="0.2">
      <c r="A1617" t="s">
        <v>12</v>
      </c>
      <c r="B1617" s="2">
        <v>45454</v>
      </c>
      <c r="C1617">
        <v>24.6755485534668</v>
      </c>
    </row>
    <row r="1618" spans="1:3" x14ac:dyDescent="0.2">
      <c r="A1618" t="s">
        <v>12</v>
      </c>
      <c r="B1618" s="2">
        <v>45455</v>
      </c>
      <c r="C1618">
        <v>24.489461898803711</v>
      </c>
    </row>
    <row r="1619" spans="1:3" x14ac:dyDescent="0.2">
      <c r="A1619" t="s">
        <v>12</v>
      </c>
      <c r="B1619" s="2">
        <v>45456</v>
      </c>
      <c r="C1619">
        <v>23.54970550537109</v>
      </c>
    </row>
    <row r="1620" spans="1:3" x14ac:dyDescent="0.2">
      <c r="A1620" t="s">
        <v>12</v>
      </c>
      <c r="B1620" s="2">
        <v>45457</v>
      </c>
      <c r="C1620">
        <v>23.484104156494141</v>
      </c>
    </row>
    <row r="1621" spans="1:3" x14ac:dyDescent="0.2">
      <c r="A1621" t="s">
        <v>12</v>
      </c>
      <c r="B1621" s="2">
        <v>45460</v>
      </c>
      <c r="C1621">
        <v>23.484104156494141</v>
      </c>
    </row>
    <row r="1622" spans="1:3" x14ac:dyDescent="0.2">
      <c r="A1622" t="s">
        <v>12</v>
      </c>
      <c r="B1622" s="2">
        <v>45461</v>
      </c>
      <c r="C1622">
        <v>23.99015045166016</v>
      </c>
    </row>
    <row r="1623" spans="1:3" x14ac:dyDescent="0.2">
      <c r="A1623" t="s">
        <v>12</v>
      </c>
      <c r="B1623" s="2">
        <v>45462</v>
      </c>
      <c r="C1623">
        <v>23.952663421630859</v>
      </c>
    </row>
    <row r="1624" spans="1:3" x14ac:dyDescent="0.2">
      <c r="A1624" t="s">
        <v>12</v>
      </c>
      <c r="B1624" s="2">
        <v>45463</v>
      </c>
      <c r="C1624">
        <v>24.13071441650391</v>
      </c>
    </row>
    <row r="1625" spans="1:3" x14ac:dyDescent="0.2">
      <c r="A1625" t="s">
        <v>12</v>
      </c>
      <c r="B1625" s="2">
        <v>45464</v>
      </c>
      <c r="C1625">
        <v>23.971405029296879</v>
      </c>
    </row>
    <row r="1626" spans="1:3" x14ac:dyDescent="0.2">
      <c r="A1626" t="s">
        <v>12</v>
      </c>
      <c r="B1626" s="2">
        <v>45467</v>
      </c>
      <c r="C1626">
        <v>24.655498504638668</v>
      </c>
    </row>
    <row r="1627" spans="1:3" x14ac:dyDescent="0.2">
      <c r="A1627" t="s">
        <v>12</v>
      </c>
      <c r="B1627" s="2">
        <v>45468</v>
      </c>
      <c r="C1627">
        <v>24.721097946166989</v>
      </c>
    </row>
    <row r="1628" spans="1:3" x14ac:dyDescent="0.2">
      <c r="A1628" t="s">
        <v>12</v>
      </c>
      <c r="B1628" s="2">
        <v>45469</v>
      </c>
      <c r="C1628">
        <v>24.824178695678711</v>
      </c>
    </row>
    <row r="1629" spans="1:3" x14ac:dyDescent="0.2">
      <c r="A1629" t="s">
        <v>12</v>
      </c>
      <c r="B1629" s="2">
        <v>45470</v>
      </c>
      <c r="C1629">
        <v>25.236515045166019</v>
      </c>
    </row>
    <row r="1630" spans="1:3" x14ac:dyDescent="0.2">
      <c r="A1630" t="s">
        <v>12</v>
      </c>
      <c r="B1630" s="2">
        <v>45471</v>
      </c>
      <c r="C1630">
        <v>25.199028015136719</v>
      </c>
    </row>
    <row r="1631" spans="1:3" x14ac:dyDescent="0.2">
      <c r="A1631" t="s">
        <v>12</v>
      </c>
      <c r="B1631" s="2">
        <v>45475</v>
      </c>
      <c r="C1631">
        <v>25.873748779296879</v>
      </c>
    </row>
    <row r="1632" spans="1:3" x14ac:dyDescent="0.2">
      <c r="A1632" t="s">
        <v>12</v>
      </c>
      <c r="B1632" s="2">
        <v>45476</v>
      </c>
      <c r="C1632">
        <v>25.733182907104489</v>
      </c>
    </row>
    <row r="1633" spans="1:3" x14ac:dyDescent="0.2">
      <c r="A1633" t="s">
        <v>12</v>
      </c>
      <c r="B1633" s="2">
        <v>45477</v>
      </c>
      <c r="C1633">
        <v>25.845638275146481</v>
      </c>
    </row>
    <row r="1634" spans="1:3" x14ac:dyDescent="0.2">
      <c r="A1634" t="s">
        <v>12</v>
      </c>
      <c r="B1634" s="2">
        <v>45478</v>
      </c>
      <c r="C1634">
        <v>25.095943450927731</v>
      </c>
    </row>
    <row r="1635" spans="1:3" x14ac:dyDescent="0.2">
      <c r="A1635" t="s">
        <v>12</v>
      </c>
      <c r="B1635" s="2">
        <v>45481</v>
      </c>
      <c r="C1635">
        <v>25.011604309082031</v>
      </c>
    </row>
    <row r="1636" spans="1:3" x14ac:dyDescent="0.2">
      <c r="A1636" t="s">
        <v>12</v>
      </c>
      <c r="B1636" s="2">
        <v>45482</v>
      </c>
      <c r="C1636">
        <v>24.608644485473629</v>
      </c>
    </row>
    <row r="1637" spans="1:3" x14ac:dyDescent="0.2">
      <c r="A1637" t="s">
        <v>12</v>
      </c>
      <c r="B1637" s="2">
        <v>45483</v>
      </c>
      <c r="C1637">
        <v>25.077203750610352</v>
      </c>
    </row>
    <row r="1638" spans="1:3" x14ac:dyDescent="0.2">
      <c r="A1638" t="s">
        <v>12</v>
      </c>
      <c r="B1638" s="2">
        <v>45484</v>
      </c>
      <c r="C1638">
        <v>25.386453628540039</v>
      </c>
    </row>
    <row r="1639" spans="1:3" x14ac:dyDescent="0.2">
      <c r="A1639" t="s">
        <v>12</v>
      </c>
      <c r="B1639" s="2">
        <v>45485</v>
      </c>
      <c r="C1639">
        <v>25.442678451538089</v>
      </c>
    </row>
    <row r="1640" spans="1:3" x14ac:dyDescent="0.2">
      <c r="A1640" t="s">
        <v>12</v>
      </c>
      <c r="B1640" s="2">
        <v>45488</v>
      </c>
      <c r="C1640">
        <v>26.464130401611332</v>
      </c>
    </row>
    <row r="1641" spans="1:3" x14ac:dyDescent="0.2">
      <c r="A1641" t="s">
        <v>12</v>
      </c>
      <c r="B1641" s="2">
        <v>45489</v>
      </c>
      <c r="C1641">
        <v>26.145511627197269</v>
      </c>
    </row>
    <row r="1642" spans="1:3" x14ac:dyDescent="0.2">
      <c r="A1642" t="s">
        <v>12</v>
      </c>
      <c r="B1642" s="2">
        <v>45490</v>
      </c>
      <c r="C1642">
        <v>26.3048210144043</v>
      </c>
    </row>
    <row r="1643" spans="1:3" x14ac:dyDescent="0.2">
      <c r="A1643" t="s">
        <v>12</v>
      </c>
      <c r="B1643" s="2">
        <v>45491</v>
      </c>
      <c r="C1643">
        <v>25.967460632324219</v>
      </c>
    </row>
    <row r="1644" spans="1:3" x14ac:dyDescent="0.2">
      <c r="A1644" t="s">
        <v>12</v>
      </c>
      <c r="B1644" s="2">
        <v>45492</v>
      </c>
      <c r="C1644">
        <v>25.648843765258789</v>
      </c>
    </row>
    <row r="1645" spans="1:3" x14ac:dyDescent="0.2">
      <c r="A1645" t="s">
        <v>12</v>
      </c>
      <c r="B1645" s="2">
        <v>45495</v>
      </c>
      <c r="C1645">
        <v>25.77066802978516</v>
      </c>
    </row>
    <row r="1646" spans="1:3" x14ac:dyDescent="0.2">
      <c r="A1646" t="s">
        <v>12</v>
      </c>
      <c r="B1646" s="2">
        <v>45496</v>
      </c>
      <c r="C1646">
        <v>25.133428573608398</v>
      </c>
    </row>
    <row r="1647" spans="1:3" x14ac:dyDescent="0.2">
      <c r="A1647" t="s">
        <v>12</v>
      </c>
      <c r="B1647" s="2">
        <v>45497</v>
      </c>
      <c r="C1647">
        <v>25.14279747009277</v>
      </c>
    </row>
    <row r="1648" spans="1:3" x14ac:dyDescent="0.2">
      <c r="A1648" t="s">
        <v>12</v>
      </c>
      <c r="B1648" s="2">
        <v>45498</v>
      </c>
      <c r="C1648">
        <v>25.592611312866211</v>
      </c>
    </row>
    <row r="1649" spans="1:3" x14ac:dyDescent="0.2">
      <c r="A1649" t="s">
        <v>12</v>
      </c>
      <c r="B1649" s="2">
        <v>45499</v>
      </c>
      <c r="C1649">
        <v>25.620729446411129</v>
      </c>
    </row>
    <row r="1650" spans="1:3" x14ac:dyDescent="0.2">
      <c r="A1650" t="s">
        <v>12</v>
      </c>
      <c r="B1650" s="2">
        <v>45502</v>
      </c>
      <c r="C1650">
        <v>25.348966598510739</v>
      </c>
    </row>
    <row r="1651" spans="1:3" x14ac:dyDescent="0.2">
      <c r="A1651" t="s">
        <v>12</v>
      </c>
      <c r="B1651" s="2">
        <v>45503</v>
      </c>
      <c r="C1651">
        <v>25.386453628540039</v>
      </c>
    </row>
    <row r="1652" spans="1:3" x14ac:dyDescent="0.2">
      <c r="A1652" t="s">
        <v>12</v>
      </c>
      <c r="B1652" s="2">
        <v>45504</v>
      </c>
      <c r="C1652">
        <v>26.07054328918457</v>
      </c>
    </row>
    <row r="1653" spans="1:3" x14ac:dyDescent="0.2">
      <c r="A1653" t="s">
        <v>12</v>
      </c>
      <c r="B1653" s="2">
        <v>45505</v>
      </c>
      <c r="C1653">
        <v>24.524307250976559</v>
      </c>
    </row>
    <row r="1654" spans="1:3" x14ac:dyDescent="0.2">
      <c r="A1654" t="s">
        <v>12</v>
      </c>
      <c r="B1654" s="2">
        <v>45506</v>
      </c>
      <c r="C1654">
        <v>23.240457534790039</v>
      </c>
    </row>
    <row r="1655" spans="1:3" x14ac:dyDescent="0.2">
      <c r="A1655" t="s">
        <v>12</v>
      </c>
      <c r="B1655" s="2">
        <v>45510</v>
      </c>
      <c r="C1655">
        <v>23.259195327758789</v>
      </c>
    </row>
    <row r="1656" spans="1:3" x14ac:dyDescent="0.2">
      <c r="A1656" t="s">
        <v>12</v>
      </c>
      <c r="B1656" s="2">
        <v>45511</v>
      </c>
      <c r="C1656">
        <v>23.109258651733398</v>
      </c>
    </row>
    <row r="1657" spans="1:3" x14ac:dyDescent="0.2">
      <c r="A1657" t="s">
        <v>12</v>
      </c>
      <c r="B1657" s="2">
        <v>45512</v>
      </c>
      <c r="C1657">
        <v>23.465362548828121</v>
      </c>
    </row>
    <row r="1658" spans="1:3" x14ac:dyDescent="0.2">
      <c r="A1658" t="s">
        <v>12</v>
      </c>
      <c r="B1658" s="2">
        <v>45513</v>
      </c>
      <c r="C1658">
        <v>23.69027137756348</v>
      </c>
    </row>
    <row r="1659" spans="1:3" x14ac:dyDescent="0.2">
      <c r="A1659" t="s">
        <v>12</v>
      </c>
      <c r="B1659" s="2">
        <v>45516</v>
      </c>
      <c r="C1659">
        <v>24.46807861328125</v>
      </c>
    </row>
    <row r="1660" spans="1:3" x14ac:dyDescent="0.2">
      <c r="A1660" t="s">
        <v>12</v>
      </c>
      <c r="B1660" s="2">
        <v>45517</v>
      </c>
      <c r="C1660">
        <v>24.589902877807621</v>
      </c>
    </row>
    <row r="1661" spans="1:3" x14ac:dyDescent="0.2">
      <c r="A1661" t="s">
        <v>12</v>
      </c>
      <c r="B1661" s="2">
        <v>45518</v>
      </c>
      <c r="C1661">
        <v>24.79607009887695</v>
      </c>
    </row>
    <row r="1662" spans="1:3" x14ac:dyDescent="0.2">
      <c r="A1662" t="s">
        <v>12</v>
      </c>
      <c r="B1662" s="2">
        <v>45519</v>
      </c>
      <c r="C1662">
        <v>25.592611312866211</v>
      </c>
    </row>
    <row r="1663" spans="1:3" x14ac:dyDescent="0.2">
      <c r="A1663" t="s">
        <v>12</v>
      </c>
      <c r="B1663" s="2">
        <v>45520</v>
      </c>
      <c r="C1663">
        <v>25.152170181274411</v>
      </c>
    </row>
    <row r="1664" spans="1:3" x14ac:dyDescent="0.2">
      <c r="A1664" t="s">
        <v>12</v>
      </c>
      <c r="B1664" s="2">
        <v>45523</v>
      </c>
      <c r="C1664">
        <v>24.927267074584961</v>
      </c>
    </row>
    <row r="1665" spans="1:3" x14ac:dyDescent="0.2">
      <c r="A1665" t="s">
        <v>12</v>
      </c>
      <c r="B1665" s="2">
        <v>45524</v>
      </c>
      <c r="C1665">
        <v>24.027631759643551</v>
      </c>
    </row>
    <row r="1666" spans="1:3" x14ac:dyDescent="0.2">
      <c r="A1666" t="s">
        <v>12</v>
      </c>
      <c r="B1666" s="2">
        <v>45525</v>
      </c>
      <c r="C1666">
        <v>24.01826095581055</v>
      </c>
    </row>
    <row r="1667" spans="1:3" x14ac:dyDescent="0.2">
      <c r="A1667" t="s">
        <v>12</v>
      </c>
      <c r="B1667" s="2">
        <v>45526</v>
      </c>
      <c r="C1667">
        <v>23.887065887451168</v>
      </c>
    </row>
    <row r="1668" spans="1:3" x14ac:dyDescent="0.2">
      <c r="A1668" t="s">
        <v>12</v>
      </c>
      <c r="B1668" s="2">
        <v>45527</v>
      </c>
      <c r="C1668">
        <v>24.121343612670898</v>
      </c>
    </row>
    <row r="1669" spans="1:3" x14ac:dyDescent="0.2">
      <c r="A1669" t="s">
        <v>12</v>
      </c>
      <c r="B1669" s="2">
        <v>45530</v>
      </c>
      <c r="C1669">
        <v>24.355623245239261</v>
      </c>
    </row>
    <row r="1670" spans="1:3" x14ac:dyDescent="0.2">
      <c r="A1670" t="s">
        <v>12</v>
      </c>
      <c r="B1670" s="2">
        <v>45531</v>
      </c>
      <c r="C1670">
        <v>23.66215705871582</v>
      </c>
    </row>
    <row r="1671" spans="1:3" x14ac:dyDescent="0.2">
      <c r="A1671" t="s">
        <v>12</v>
      </c>
      <c r="B1671" s="2">
        <v>45532</v>
      </c>
      <c r="C1671">
        <v>23.643415451049801</v>
      </c>
    </row>
    <row r="1672" spans="1:3" x14ac:dyDescent="0.2">
      <c r="A1672" t="s">
        <v>12</v>
      </c>
      <c r="B1672" s="2">
        <v>45533</v>
      </c>
      <c r="C1672">
        <v>23.952663421630859</v>
      </c>
    </row>
    <row r="1673" spans="1:3" x14ac:dyDescent="0.2">
      <c r="A1673" t="s">
        <v>12</v>
      </c>
      <c r="B1673" s="2">
        <v>45534</v>
      </c>
      <c r="C1673">
        <v>23.418508529663089</v>
      </c>
    </row>
    <row r="1674" spans="1:3" x14ac:dyDescent="0.2">
      <c r="A1674" t="s">
        <v>12</v>
      </c>
      <c r="B1674" s="2">
        <v>45538</v>
      </c>
      <c r="C1674">
        <v>22.818754196166989</v>
      </c>
    </row>
    <row r="1675" spans="1:3" x14ac:dyDescent="0.2">
      <c r="A1675" t="s">
        <v>12</v>
      </c>
      <c r="B1675" s="2">
        <v>45539</v>
      </c>
      <c r="C1675">
        <v>22.340824127197269</v>
      </c>
    </row>
    <row r="1676" spans="1:3" x14ac:dyDescent="0.2">
      <c r="A1676" t="s">
        <v>12</v>
      </c>
      <c r="B1676" s="2">
        <v>45540</v>
      </c>
      <c r="C1676">
        <v>21.769186019897461</v>
      </c>
    </row>
    <row r="1677" spans="1:3" x14ac:dyDescent="0.2">
      <c r="A1677" t="s">
        <v>12</v>
      </c>
      <c r="B1677" s="2">
        <v>45541</v>
      </c>
      <c r="C1677">
        <v>21.431825637817379</v>
      </c>
    </row>
    <row r="1678" spans="1:3" x14ac:dyDescent="0.2">
      <c r="A1678" t="s">
        <v>12</v>
      </c>
      <c r="B1678" s="2">
        <v>45544</v>
      </c>
      <c r="C1678">
        <v>21.141317367553711</v>
      </c>
    </row>
    <row r="1679" spans="1:3" x14ac:dyDescent="0.2">
      <c r="A1679" t="s">
        <v>12</v>
      </c>
      <c r="B1679" s="2">
        <v>45545</v>
      </c>
      <c r="C1679">
        <v>20.700876235961911</v>
      </c>
    </row>
    <row r="1680" spans="1:3" x14ac:dyDescent="0.2">
      <c r="A1680" t="s">
        <v>12</v>
      </c>
      <c r="B1680" s="2">
        <v>45546</v>
      </c>
      <c r="C1680">
        <v>20.569681167602539</v>
      </c>
    </row>
    <row r="1681" spans="1:3" x14ac:dyDescent="0.2">
      <c r="A1681" t="s">
        <v>12</v>
      </c>
      <c r="B1681" s="2">
        <v>45547</v>
      </c>
      <c r="C1681">
        <v>20.672760009765621</v>
      </c>
    </row>
    <row r="1682" spans="1:3" x14ac:dyDescent="0.2">
      <c r="A1682" t="s">
        <v>12</v>
      </c>
      <c r="B1682" s="2">
        <v>45548</v>
      </c>
      <c r="C1682">
        <v>20.814487457275391</v>
      </c>
    </row>
    <row r="1683" spans="1:3" x14ac:dyDescent="0.2">
      <c r="A1683" t="s">
        <v>12</v>
      </c>
      <c r="B1683" s="2">
        <v>45551</v>
      </c>
      <c r="C1683">
        <v>21.126276016235352</v>
      </c>
    </row>
    <row r="1684" spans="1:3" x14ac:dyDescent="0.2">
      <c r="A1684" t="s">
        <v>12</v>
      </c>
      <c r="B1684" s="2">
        <v>45552</v>
      </c>
      <c r="C1684">
        <v>21.466411590576168</v>
      </c>
    </row>
    <row r="1685" spans="1:3" x14ac:dyDescent="0.2">
      <c r="A1685" t="s">
        <v>12</v>
      </c>
      <c r="B1685" s="2">
        <v>45553</v>
      </c>
      <c r="C1685">
        <v>21.381380081176761</v>
      </c>
    </row>
    <row r="1686" spans="1:3" x14ac:dyDescent="0.2">
      <c r="A1686" t="s">
        <v>12</v>
      </c>
      <c r="B1686" s="2">
        <v>45554</v>
      </c>
      <c r="C1686">
        <v>22.061653137207031</v>
      </c>
    </row>
    <row r="1687" spans="1:3" x14ac:dyDescent="0.2">
      <c r="A1687" t="s">
        <v>12</v>
      </c>
      <c r="B1687" s="2">
        <v>45555</v>
      </c>
      <c r="C1687">
        <v>21.929374694824219</v>
      </c>
    </row>
    <row r="1688" spans="1:3" x14ac:dyDescent="0.2">
      <c r="A1688" t="s">
        <v>12</v>
      </c>
      <c r="B1688" s="2">
        <v>45558</v>
      </c>
      <c r="C1688">
        <v>21.967170715332031</v>
      </c>
    </row>
    <row r="1689" spans="1:3" x14ac:dyDescent="0.2">
      <c r="A1689" t="s">
        <v>12</v>
      </c>
      <c r="B1689" s="2">
        <v>45559</v>
      </c>
      <c r="C1689">
        <v>22.052206039428711</v>
      </c>
    </row>
    <row r="1690" spans="1:3" x14ac:dyDescent="0.2">
      <c r="A1690" t="s">
        <v>12</v>
      </c>
      <c r="B1690" s="2">
        <v>45560</v>
      </c>
      <c r="C1690">
        <v>21.674276351928711</v>
      </c>
    </row>
    <row r="1691" spans="1:3" x14ac:dyDescent="0.2">
      <c r="A1691" t="s">
        <v>12</v>
      </c>
      <c r="B1691" s="2">
        <v>45561</v>
      </c>
      <c r="C1691">
        <v>20.738901138305661</v>
      </c>
    </row>
    <row r="1692" spans="1:3" x14ac:dyDescent="0.2">
      <c r="A1692" t="s">
        <v>12</v>
      </c>
      <c r="B1692" s="2">
        <v>45562</v>
      </c>
      <c r="C1692">
        <v>21.249105453491211</v>
      </c>
    </row>
    <row r="1693" spans="1:3" x14ac:dyDescent="0.2">
      <c r="A1693" t="s">
        <v>12</v>
      </c>
      <c r="B1693" s="2">
        <v>45565</v>
      </c>
      <c r="C1693">
        <v>21.371931076049801</v>
      </c>
    </row>
    <row r="1694" spans="1:3" x14ac:dyDescent="0.2">
      <c r="A1694" t="s">
        <v>12</v>
      </c>
      <c r="B1694" s="2">
        <v>45566</v>
      </c>
      <c r="C1694">
        <v>21.882137298583981</v>
      </c>
    </row>
    <row r="1695" spans="1:3" x14ac:dyDescent="0.2">
      <c r="A1695" t="s">
        <v>12</v>
      </c>
      <c r="B1695" s="2">
        <v>45567</v>
      </c>
      <c r="C1695">
        <v>21.967170715332031</v>
      </c>
    </row>
    <row r="1696" spans="1:3" x14ac:dyDescent="0.2">
      <c r="A1696" t="s">
        <v>12</v>
      </c>
      <c r="B1696" s="2">
        <v>45568</v>
      </c>
      <c r="C1696">
        <v>22.836408615112301</v>
      </c>
    </row>
    <row r="1697" spans="1:3" x14ac:dyDescent="0.2">
      <c r="A1697" t="s">
        <v>12</v>
      </c>
      <c r="B1697" s="2">
        <v>45569</v>
      </c>
      <c r="C1697">
        <v>23.431650161743161</v>
      </c>
    </row>
    <row r="1698" spans="1:3" x14ac:dyDescent="0.2">
      <c r="A1698" t="s">
        <v>12</v>
      </c>
      <c r="B1698" s="2">
        <v>45572</v>
      </c>
      <c r="C1698">
        <v>23.620611190795898</v>
      </c>
    </row>
    <row r="1699" spans="1:3" x14ac:dyDescent="0.2">
      <c r="A1699" t="s">
        <v>12</v>
      </c>
      <c r="B1699" s="2">
        <v>45573</v>
      </c>
      <c r="C1699">
        <v>22.798616409301761</v>
      </c>
    </row>
    <row r="1700" spans="1:3" x14ac:dyDescent="0.2">
      <c r="A1700" t="s">
        <v>12</v>
      </c>
      <c r="B1700" s="2">
        <v>45574</v>
      </c>
      <c r="C1700">
        <v>22.789169311523441</v>
      </c>
    </row>
    <row r="1701" spans="1:3" x14ac:dyDescent="0.2">
      <c r="A1701" t="s">
        <v>12</v>
      </c>
      <c r="B1701" s="2">
        <v>45575</v>
      </c>
      <c r="C1701">
        <v>23.167098999023441</v>
      </c>
    </row>
    <row r="1702" spans="1:3" x14ac:dyDescent="0.2">
      <c r="A1702" t="s">
        <v>12</v>
      </c>
      <c r="B1702" s="2">
        <v>45576</v>
      </c>
      <c r="C1702">
        <v>23.195444107055661</v>
      </c>
    </row>
    <row r="1703" spans="1:3" x14ac:dyDescent="0.2">
      <c r="A1703" t="s">
        <v>12</v>
      </c>
      <c r="B1703" s="2">
        <v>45580</v>
      </c>
      <c r="C1703">
        <v>21.948274612426761</v>
      </c>
    </row>
    <row r="1704" spans="1:3" x14ac:dyDescent="0.2">
      <c r="A1704" t="s">
        <v>12</v>
      </c>
      <c r="B1704" s="2">
        <v>45581</v>
      </c>
      <c r="C1704">
        <v>21.919929504394531</v>
      </c>
    </row>
    <row r="1705" spans="1:3" x14ac:dyDescent="0.2">
      <c r="A1705" t="s">
        <v>12</v>
      </c>
      <c r="B1705" s="2">
        <v>45582</v>
      </c>
      <c r="C1705">
        <v>22.137237548828121</v>
      </c>
    </row>
    <row r="1706" spans="1:3" x14ac:dyDescent="0.2">
      <c r="A1706" t="s">
        <v>12</v>
      </c>
      <c r="B1706" s="2">
        <v>45583</v>
      </c>
      <c r="C1706">
        <v>22.089996337890621</v>
      </c>
    </row>
    <row r="1707" spans="1:3" x14ac:dyDescent="0.2">
      <c r="A1707" t="s">
        <v>12</v>
      </c>
      <c r="B1707" s="2">
        <v>45586</v>
      </c>
      <c r="C1707">
        <v>22.099447250366211</v>
      </c>
    </row>
    <row r="1708" spans="1:3" x14ac:dyDescent="0.2">
      <c r="A1708" t="s">
        <v>12</v>
      </c>
      <c r="B1708" s="2">
        <v>45587</v>
      </c>
      <c r="C1708">
        <v>22.156137466430661</v>
      </c>
    </row>
    <row r="1709" spans="1:3" x14ac:dyDescent="0.2">
      <c r="A1709" t="s">
        <v>12</v>
      </c>
      <c r="B1709" s="2">
        <v>45588</v>
      </c>
      <c r="C1709">
        <v>21.815999984741211</v>
      </c>
    </row>
    <row r="1710" spans="1:3" x14ac:dyDescent="0.2">
      <c r="A1710" t="s">
        <v>12</v>
      </c>
      <c r="B1710" s="2">
        <v>45589</v>
      </c>
      <c r="C1710">
        <v>21.891582489013668</v>
      </c>
    </row>
    <row r="1711" spans="1:3" x14ac:dyDescent="0.2">
      <c r="A1711" t="s">
        <v>12</v>
      </c>
      <c r="B1711" s="2">
        <v>45590</v>
      </c>
      <c r="C1711">
        <v>22.184480667114261</v>
      </c>
    </row>
    <row r="1712" spans="1:3" x14ac:dyDescent="0.2">
      <c r="A1712" t="s">
        <v>12</v>
      </c>
      <c r="B1712" s="2">
        <v>45593</v>
      </c>
      <c r="C1712">
        <v>21.891582489013668</v>
      </c>
    </row>
    <row r="1713" spans="1:3" x14ac:dyDescent="0.2">
      <c r="A1713" t="s">
        <v>12</v>
      </c>
      <c r="B1713" s="2">
        <v>45594</v>
      </c>
      <c r="C1713">
        <v>21.674276351928711</v>
      </c>
    </row>
    <row r="1714" spans="1:3" x14ac:dyDescent="0.2">
      <c r="A1714" t="s">
        <v>12</v>
      </c>
      <c r="B1714" s="2">
        <v>45595</v>
      </c>
      <c r="C1714">
        <v>21.901033401489261</v>
      </c>
    </row>
    <row r="1715" spans="1:3" x14ac:dyDescent="0.2">
      <c r="A1715" t="s">
        <v>12</v>
      </c>
      <c r="B1715" s="2">
        <v>45596</v>
      </c>
      <c r="C1715">
        <v>21.154619216918949</v>
      </c>
    </row>
    <row r="1716" spans="1:3" x14ac:dyDescent="0.2">
      <c r="A1716" t="s">
        <v>12</v>
      </c>
      <c r="B1716" s="2">
        <v>45597</v>
      </c>
      <c r="C1716">
        <v>20.682207107543949</v>
      </c>
    </row>
    <row r="1717" spans="1:3" x14ac:dyDescent="0.2">
      <c r="A1717" t="s">
        <v>12</v>
      </c>
      <c r="B1717" s="2">
        <v>45600</v>
      </c>
      <c r="C1717">
        <v>21.305793762207031</v>
      </c>
    </row>
    <row r="1718" spans="1:3" x14ac:dyDescent="0.2">
      <c r="A1718" t="s">
        <v>12</v>
      </c>
      <c r="B1718" s="2">
        <v>45601</v>
      </c>
      <c r="C1718">
        <v>21.097932815551761</v>
      </c>
    </row>
    <row r="1719" spans="1:3" x14ac:dyDescent="0.2">
      <c r="A1719" t="s">
        <v>12</v>
      </c>
      <c r="B1719" s="2">
        <v>45602</v>
      </c>
      <c r="C1719">
        <v>21.324687957763668</v>
      </c>
    </row>
    <row r="1720" spans="1:3" x14ac:dyDescent="0.2">
      <c r="A1720" t="s">
        <v>12</v>
      </c>
      <c r="B1720" s="2">
        <v>45603</v>
      </c>
      <c r="C1720">
        <v>21.400274276733398</v>
      </c>
    </row>
    <row r="1721" spans="1:3" x14ac:dyDescent="0.2">
      <c r="A1721" t="s">
        <v>12</v>
      </c>
      <c r="B1721" s="2">
        <v>45604</v>
      </c>
      <c r="C1721">
        <v>21.192413330078121</v>
      </c>
    </row>
    <row r="1722" spans="1:3" x14ac:dyDescent="0.2">
      <c r="A1722" t="s">
        <v>12</v>
      </c>
      <c r="B1722" s="2">
        <v>45607</v>
      </c>
      <c r="C1722">
        <v>21.069589614868161</v>
      </c>
    </row>
    <row r="1723" spans="1:3" x14ac:dyDescent="0.2">
      <c r="A1723" t="s">
        <v>12</v>
      </c>
      <c r="B1723" s="2">
        <v>45608</v>
      </c>
      <c r="C1723">
        <v>20.738901138305661</v>
      </c>
    </row>
    <row r="1724" spans="1:3" x14ac:dyDescent="0.2">
      <c r="A1724" t="s">
        <v>12</v>
      </c>
      <c r="B1724" s="2">
        <v>45609</v>
      </c>
      <c r="C1724">
        <v>20.625520706176761</v>
      </c>
    </row>
    <row r="1725" spans="1:3" x14ac:dyDescent="0.2">
      <c r="A1725" t="s">
        <v>12</v>
      </c>
      <c r="B1725" s="2">
        <v>45610</v>
      </c>
      <c r="C1725">
        <v>21.003446578979489</v>
      </c>
    </row>
    <row r="1726" spans="1:3" x14ac:dyDescent="0.2">
      <c r="A1726" t="s">
        <v>12</v>
      </c>
      <c r="B1726" s="2">
        <v>45611</v>
      </c>
      <c r="C1726">
        <v>20.823930740356449</v>
      </c>
    </row>
    <row r="1727" spans="1:3" x14ac:dyDescent="0.2">
      <c r="A1727" t="s">
        <v>12</v>
      </c>
      <c r="B1727" s="2">
        <v>45614</v>
      </c>
      <c r="C1727">
        <v>21.182968139648441</v>
      </c>
    </row>
    <row r="1728" spans="1:3" x14ac:dyDescent="0.2">
      <c r="A1728" t="s">
        <v>12</v>
      </c>
      <c r="B1728" s="2">
        <v>45615</v>
      </c>
      <c r="C1728">
        <v>21.182968139648441</v>
      </c>
    </row>
    <row r="1729" spans="1:3" x14ac:dyDescent="0.2">
      <c r="A1729" t="s">
        <v>12</v>
      </c>
      <c r="B1729" s="2">
        <v>45616</v>
      </c>
      <c r="C1729">
        <v>21.371931076049801</v>
      </c>
    </row>
    <row r="1730" spans="1:3" x14ac:dyDescent="0.2">
      <c r="A1730" t="s">
        <v>12</v>
      </c>
      <c r="B1730" s="2">
        <v>45617</v>
      </c>
      <c r="C1730">
        <v>21.39083099365234</v>
      </c>
    </row>
    <row r="1731" spans="1:3" x14ac:dyDescent="0.2">
      <c r="A1731" t="s">
        <v>12</v>
      </c>
      <c r="B1731" s="2">
        <v>45618</v>
      </c>
      <c r="C1731">
        <v>21.371931076049801</v>
      </c>
    </row>
    <row r="1732" spans="1:3" x14ac:dyDescent="0.2">
      <c r="A1732" t="s">
        <v>12</v>
      </c>
      <c r="B1732" s="2">
        <v>45621</v>
      </c>
      <c r="C1732">
        <v>20.956211090087891</v>
      </c>
    </row>
    <row r="1733" spans="1:3" x14ac:dyDescent="0.2">
      <c r="A1733" t="s">
        <v>12</v>
      </c>
      <c r="B1733" s="2">
        <v>45622</v>
      </c>
      <c r="C1733">
        <v>20.578279495239261</v>
      </c>
    </row>
    <row r="1734" spans="1:3" x14ac:dyDescent="0.2">
      <c r="A1734" t="s">
        <v>12</v>
      </c>
      <c r="B1734" s="2">
        <v>45623</v>
      </c>
      <c r="C1734">
        <v>20.823930740356449</v>
      </c>
    </row>
    <row r="1735" spans="1:3" x14ac:dyDescent="0.2">
      <c r="A1735" t="s">
        <v>12</v>
      </c>
      <c r="B1735" s="2">
        <v>45624</v>
      </c>
      <c r="C1735">
        <v>20.908967971801761</v>
      </c>
    </row>
    <row r="1736" spans="1:3" x14ac:dyDescent="0.2">
      <c r="A1736" t="s">
        <v>12</v>
      </c>
      <c r="B1736" s="2">
        <v>45625</v>
      </c>
      <c r="C1736">
        <v>20.956211090087891</v>
      </c>
    </row>
    <row r="1737" spans="1:3" x14ac:dyDescent="0.2">
      <c r="A1737" t="s">
        <v>12</v>
      </c>
      <c r="B1737" s="2">
        <v>45628</v>
      </c>
      <c r="C1737">
        <v>20.890071868896481</v>
      </c>
    </row>
    <row r="1738" spans="1:3" x14ac:dyDescent="0.2">
      <c r="A1738" t="s">
        <v>12</v>
      </c>
      <c r="B1738" s="2">
        <v>45629</v>
      </c>
      <c r="C1738">
        <v>21.164066314697269</v>
      </c>
    </row>
    <row r="1739" spans="1:3" x14ac:dyDescent="0.2">
      <c r="A1739" t="s">
        <v>12</v>
      </c>
      <c r="B1739" s="2">
        <v>45630</v>
      </c>
      <c r="C1739">
        <v>20.606622695922852</v>
      </c>
    </row>
    <row r="1740" spans="1:3" x14ac:dyDescent="0.2">
      <c r="A1740" t="s">
        <v>12</v>
      </c>
      <c r="B1740" s="2">
        <v>45631</v>
      </c>
      <c r="C1740">
        <v>20.748346328735352</v>
      </c>
    </row>
    <row r="1741" spans="1:3" x14ac:dyDescent="0.2">
      <c r="A1741" t="s">
        <v>12</v>
      </c>
      <c r="B1741" s="2">
        <v>45632</v>
      </c>
      <c r="C1741">
        <v>20.077520370483398</v>
      </c>
    </row>
    <row r="1742" spans="1:3" x14ac:dyDescent="0.2">
      <c r="A1742" t="s">
        <v>12</v>
      </c>
      <c r="B1742" s="2">
        <v>45635</v>
      </c>
      <c r="C1742">
        <v>20.342073440551761</v>
      </c>
    </row>
    <row r="1743" spans="1:3" x14ac:dyDescent="0.2">
      <c r="A1743" t="s">
        <v>12</v>
      </c>
      <c r="B1743" s="2">
        <v>45636</v>
      </c>
      <c r="C1743">
        <v>20.238140106201168</v>
      </c>
    </row>
    <row r="1744" spans="1:3" x14ac:dyDescent="0.2">
      <c r="A1744" t="s">
        <v>12</v>
      </c>
      <c r="B1744" s="2">
        <v>45637</v>
      </c>
      <c r="C1744">
        <v>20.512140274047852</v>
      </c>
    </row>
    <row r="1745" spans="1:3" x14ac:dyDescent="0.2">
      <c r="A1745" t="s">
        <v>12</v>
      </c>
      <c r="B1745" s="2">
        <v>45638</v>
      </c>
      <c r="C1745">
        <v>20.304279327392582</v>
      </c>
    </row>
    <row r="1746" spans="1:3" x14ac:dyDescent="0.2">
      <c r="A1746" t="s">
        <v>12</v>
      </c>
      <c r="B1746" s="2">
        <v>45639</v>
      </c>
      <c r="C1746">
        <v>20.68540191650391</v>
      </c>
    </row>
    <row r="1747" spans="1:3" x14ac:dyDescent="0.2">
      <c r="A1747" t="s">
        <v>12</v>
      </c>
      <c r="B1747" s="2">
        <v>45642</v>
      </c>
      <c r="C1747">
        <v>20.1994743347168</v>
      </c>
    </row>
    <row r="1748" spans="1:3" x14ac:dyDescent="0.2">
      <c r="A1748" t="s">
        <v>12</v>
      </c>
      <c r="B1748" s="2">
        <v>45643</v>
      </c>
      <c r="C1748">
        <v>20.132772445678711</v>
      </c>
    </row>
    <row r="1749" spans="1:3" x14ac:dyDescent="0.2">
      <c r="A1749" t="s">
        <v>12</v>
      </c>
      <c r="B1749" s="2">
        <v>45644</v>
      </c>
      <c r="C1749">
        <v>19.932687759399411</v>
      </c>
    </row>
    <row r="1750" spans="1:3" x14ac:dyDescent="0.2">
      <c r="A1750" t="s">
        <v>12</v>
      </c>
      <c r="B1750" s="2">
        <v>45645</v>
      </c>
      <c r="C1750">
        <v>19.684955596923832</v>
      </c>
    </row>
    <row r="1751" spans="1:3" x14ac:dyDescent="0.2">
      <c r="A1751" t="s">
        <v>12</v>
      </c>
      <c r="B1751" s="2">
        <v>45646</v>
      </c>
      <c r="C1751">
        <v>19.732595443725589</v>
      </c>
    </row>
    <row r="1752" spans="1:3" x14ac:dyDescent="0.2">
      <c r="A1752" t="s">
        <v>12</v>
      </c>
      <c r="B1752" s="2">
        <v>45649</v>
      </c>
      <c r="C1752">
        <v>20.094663619995121</v>
      </c>
    </row>
    <row r="1753" spans="1:3" x14ac:dyDescent="0.2">
      <c r="A1753" t="s">
        <v>12</v>
      </c>
      <c r="B1753" s="2">
        <v>45650</v>
      </c>
      <c r="C1753">
        <v>20.113718032836911</v>
      </c>
    </row>
    <row r="1754" spans="1:3" x14ac:dyDescent="0.2">
      <c r="A1754" t="s">
        <v>12</v>
      </c>
      <c r="B1754" s="2">
        <v>45653</v>
      </c>
      <c r="C1754">
        <v>20.085136413574219</v>
      </c>
    </row>
    <row r="1755" spans="1:3" x14ac:dyDescent="0.2">
      <c r="A1755" t="s">
        <v>12</v>
      </c>
      <c r="B1755" s="2">
        <v>45656</v>
      </c>
      <c r="C1755">
        <v>20.29475021362305</v>
      </c>
    </row>
    <row r="1756" spans="1:3" x14ac:dyDescent="0.2">
      <c r="A1756" t="s">
        <v>12</v>
      </c>
      <c r="B1756" s="2">
        <v>45657</v>
      </c>
      <c r="C1756">
        <v>20.761627197265621</v>
      </c>
    </row>
    <row r="1757" spans="1:3" x14ac:dyDescent="0.2">
      <c r="A1757" t="s">
        <v>12</v>
      </c>
      <c r="B1757" s="2">
        <v>45659</v>
      </c>
      <c r="C1757">
        <v>20.999826431274411</v>
      </c>
    </row>
    <row r="1758" spans="1:3" x14ac:dyDescent="0.2">
      <c r="A1758" t="s">
        <v>12</v>
      </c>
      <c r="B1758" s="2">
        <v>45660</v>
      </c>
      <c r="C1758">
        <v>21.104635238647461</v>
      </c>
    </row>
    <row r="1759" spans="1:3" x14ac:dyDescent="0.2">
      <c r="A1759" t="s">
        <v>12</v>
      </c>
      <c r="B1759" s="2">
        <v>45663</v>
      </c>
      <c r="C1759">
        <v>21.104635238647461</v>
      </c>
    </row>
    <row r="1760" spans="1:3" x14ac:dyDescent="0.2">
      <c r="A1760" t="s">
        <v>12</v>
      </c>
      <c r="B1760" s="2">
        <v>45664</v>
      </c>
      <c r="C1760">
        <v>21.314254760742191</v>
      </c>
    </row>
    <row r="1761" spans="1:3" x14ac:dyDescent="0.2">
      <c r="A1761" t="s">
        <v>12</v>
      </c>
      <c r="B1761" s="2">
        <v>45665</v>
      </c>
      <c r="C1761">
        <v>20.990299224853519</v>
      </c>
    </row>
    <row r="1762" spans="1:3" x14ac:dyDescent="0.2">
      <c r="A1762" t="s">
        <v>12</v>
      </c>
      <c r="B1762" s="2">
        <v>45666</v>
      </c>
      <c r="C1762">
        <v>21.03793907165527</v>
      </c>
    </row>
    <row r="1763" spans="1:3" x14ac:dyDescent="0.2">
      <c r="A1763" t="s">
        <v>12</v>
      </c>
      <c r="B1763" s="2">
        <v>45667</v>
      </c>
      <c r="C1763">
        <v>21.190389633178711</v>
      </c>
    </row>
    <row r="1764" spans="1:3" x14ac:dyDescent="0.2">
      <c r="A1764" t="s">
        <v>12</v>
      </c>
      <c r="B1764" s="2">
        <v>45670</v>
      </c>
      <c r="C1764">
        <v>20.942659378051761</v>
      </c>
    </row>
    <row r="1765" spans="1:3" x14ac:dyDescent="0.2">
      <c r="A1765" t="s">
        <v>12</v>
      </c>
      <c r="B1765" s="2">
        <v>45671</v>
      </c>
      <c r="C1765">
        <v>20.390031814575199</v>
      </c>
    </row>
    <row r="1766" spans="1:3" x14ac:dyDescent="0.2">
      <c r="A1766" t="s">
        <v>12</v>
      </c>
      <c r="B1766" s="2">
        <v>45672</v>
      </c>
      <c r="C1766">
        <v>20.618703842163089</v>
      </c>
    </row>
    <row r="1767" spans="1:3" x14ac:dyDescent="0.2">
      <c r="A1767" t="s">
        <v>12</v>
      </c>
      <c r="B1767" s="2">
        <v>45673</v>
      </c>
      <c r="C1767">
        <v>20.351921081542969</v>
      </c>
    </row>
    <row r="1768" spans="1:3" x14ac:dyDescent="0.2">
      <c r="A1768" t="s">
        <v>12</v>
      </c>
      <c r="B1768" s="2">
        <v>45674</v>
      </c>
      <c r="C1768">
        <v>20.742570877075199</v>
      </c>
    </row>
    <row r="1769" spans="1:3" x14ac:dyDescent="0.2">
      <c r="A1769" t="s">
        <v>12</v>
      </c>
      <c r="B1769" s="2">
        <v>45677</v>
      </c>
      <c r="C1769">
        <v>21.14274787902832</v>
      </c>
    </row>
    <row r="1770" spans="1:3" x14ac:dyDescent="0.2">
      <c r="A1770" t="s">
        <v>12</v>
      </c>
      <c r="B1770" s="2">
        <v>45678</v>
      </c>
      <c r="C1770">
        <v>20.48531341552734</v>
      </c>
    </row>
    <row r="1771" spans="1:3" x14ac:dyDescent="0.2">
      <c r="A1771" t="s">
        <v>12</v>
      </c>
      <c r="B1771" s="2">
        <v>45679</v>
      </c>
      <c r="C1771">
        <v>20.523427963256839</v>
      </c>
    </row>
    <row r="1772" spans="1:3" x14ac:dyDescent="0.2">
      <c r="A1772" t="s">
        <v>12</v>
      </c>
      <c r="B1772" s="2">
        <v>45680</v>
      </c>
      <c r="C1772">
        <v>20.571063995361332</v>
      </c>
    </row>
    <row r="1773" spans="1:3" x14ac:dyDescent="0.2">
      <c r="A1773" t="s">
        <v>12</v>
      </c>
      <c r="B1773" s="2">
        <v>45681</v>
      </c>
      <c r="C1773">
        <v>20.247112274169918</v>
      </c>
    </row>
    <row r="1774" spans="1:3" x14ac:dyDescent="0.2">
      <c r="A1774" t="s">
        <v>12</v>
      </c>
      <c r="B1774" s="2">
        <v>45684</v>
      </c>
      <c r="C1774">
        <v>20.1994743347168</v>
      </c>
    </row>
    <row r="1775" spans="1:3" x14ac:dyDescent="0.2">
      <c r="A1775" t="s">
        <v>12</v>
      </c>
      <c r="B1775" s="2">
        <v>45685</v>
      </c>
      <c r="C1775">
        <v>20.008909225463871</v>
      </c>
    </row>
    <row r="1776" spans="1:3" x14ac:dyDescent="0.2">
      <c r="A1776" t="s">
        <v>12</v>
      </c>
      <c r="B1776" s="2">
        <v>45686</v>
      </c>
      <c r="C1776">
        <v>20.5615348815918</v>
      </c>
    </row>
    <row r="1777" spans="1:3" x14ac:dyDescent="0.2">
      <c r="A1777" t="s">
        <v>12</v>
      </c>
      <c r="B1777" s="2">
        <v>45687</v>
      </c>
      <c r="C1777">
        <v>20.5615348815918</v>
      </c>
    </row>
    <row r="1778" spans="1:3" x14ac:dyDescent="0.2">
      <c r="A1778" t="s">
        <v>12</v>
      </c>
      <c r="B1778" s="2">
        <v>45688</v>
      </c>
      <c r="C1778">
        <v>20.02796745300293</v>
      </c>
    </row>
    <row r="1779" spans="1:3" x14ac:dyDescent="0.2">
      <c r="A1779" t="s">
        <v>12</v>
      </c>
      <c r="B1779" s="2">
        <v>45691</v>
      </c>
      <c r="C1779">
        <v>19.589675903320309</v>
      </c>
    </row>
    <row r="1780" spans="1:3" x14ac:dyDescent="0.2">
      <c r="A1780" t="s">
        <v>12</v>
      </c>
      <c r="B1780" s="2">
        <v>45692</v>
      </c>
      <c r="C1780">
        <v>20.447198867797852</v>
      </c>
    </row>
    <row r="1781" spans="1:3" x14ac:dyDescent="0.2">
      <c r="A1781" t="s">
        <v>12</v>
      </c>
      <c r="B1781" s="2">
        <v>45693</v>
      </c>
      <c r="C1781">
        <v>20.5615348815918</v>
      </c>
    </row>
    <row r="1782" spans="1:3" x14ac:dyDescent="0.2">
      <c r="A1782" t="s">
        <v>12</v>
      </c>
      <c r="B1782" s="2">
        <v>45694</v>
      </c>
      <c r="C1782">
        <v>20.085136413574219</v>
      </c>
    </row>
    <row r="1783" spans="1:3" x14ac:dyDescent="0.2">
      <c r="A1783" t="s">
        <v>12</v>
      </c>
      <c r="B1783" s="2">
        <v>45695</v>
      </c>
      <c r="C1783">
        <v>20.15183067321777</v>
      </c>
    </row>
    <row r="1784" spans="1:3" x14ac:dyDescent="0.2">
      <c r="A1784" t="s">
        <v>12</v>
      </c>
      <c r="B1784" s="2">
        <v>45698</v>
      </c>
      <c r="C1784">
        <v>20.723512649536129</v>
      </c>
    </row>
    <row r="1785" spans="1:3" x14ac:dyDescent="0.2">
      <c r="A1785" t="s">
        <v>12</v>
      </c>
      <c r="B1785" s="2">
        <v>45699</v>
      </c>
      <c r="C1785">
        <v>21.095108032226559</v>
      </c>
    </row>
    <row r="1786" spans="1:3" x14ac:dyDescent="0.2">
      <c r="A1786" t="s">
        <v>12</v>
      </c>
      <c r="B1786" s="2">
        <v>45700</v>
      </c>
      <c r="C1786">
        <v>20.7044563293457</v>
      </c>
    </row>
    <row r="1787" spans="1:3" x14ac:dyDescent="0.2">
      <c r="A1787" t="s">
        <v>12</v>
      </c>
      <c r="B1787" s="2">
        <v>45701</v>
      </c>
      <c r="C1787">
        <v>20.799739837646481</v>
      </c>
    </row>
    <row r="1788" spans="1:3" x14ac:dyDescent="0.2">
      <c r="A1788" t="s">
        <v>12</v>
      </c>
      <c r="B1788" s="2">
        <v>45702</v>
      </c>
      <c r="C1788">
        <v>20.656818389892582</v>
      </c>
    </row>
    <row r="1789" spans="1:3" x14ac:dyDescent="0.2">
      <c r="A1789" t="s">
        <v>12</v>
      </c>
      <c r="B1789" s="2">
        <v>45706</v>
      </c>
      <c r="C1789">
        <v>20.895017623901371</v>
      </c>
    </row>
    <row r="1790" spans="1:3" x14ac:dyDescent="0.2">
      <c r="A1790" t="s">
        <v>12</v>
      </c>
      <c r="B1790" s="2">
        <v>45707</v>
      </c>
      <c r="C1790">
        <v>21.218973159790039</v>
      </c>
    </row>
    <row r="1791" spans="1:3" x14ac:dyDescent="0.2">
      <c r="A1791" t="s">
        <v>12</v>
      </c>
      <c r="B1791" s="2">
        <v>45708</v>
      </c>
      <c r="C1791">
        <v>20.628231048583981</v>
      </c>
    </row>
    <row r="1792" spans="1:3" x14ac:dyDescent="0.2">
      <c r="A1792" t="s">
        <v>12</v>
      </c>
      <c r="B1792" s="2">
        <v>45709</v>
      </c>
      <c r="C1792">
        <v>19.770709991455082</v>
      </c>
    </row>
    <row r="1793" spans="1:3" x14ac:dyDescent="0.2">
      <c r="A1793" t="s">
        <v>12</v>
      </c>
      <c r="B1793" s="2">
        <v>45712</v>
      </c>
      <c r="C1793">
        <v>19.570619583129879</v>
      </c>
    </row>
    <row r="1794" spans="1:3" x14ac:dyDescent="0.2">
      <c r="A1794" t="s">
        <v>12</v>
      </c>
      <c r="B1794" s="2">
        <v>45713</v>
      </c>
      <c r="C1794">
        <v>19.17996978759766</v>
      </c>
    </row>
    <row r="1795" spans="1:3" x14ac:dyDescent="0.2">
      <c r="A1795" t="s">
        <v>12</v>
      </c>
      <c r="B1795" s="2">
        <v>45714</v>
      </c>
      <c r="C1795">
        <v>19.008466720581051</v>
      </c>
    </row>
    <row r="1796" spans="1:3" x14ac:dyDescent="0.2">
      <c r="A1796" t="s">
        <v>12</v>
      </c>
      <c r="B1796" s="2">
        <v>45715</v>
      </c>
      <c r="C1796">
        <v>18.89412689208984</v>
      </c>
    </row>
    <row r="1797" spans="1:3" x14ac:dyDescent="0.2">
      <c r="A1797" t="s">
        <v>12</v>
      </c>
      <c r="B1797" s="2">
        <v>45716</v>
      </c>
      <c r="C1797">
        <v>19.065631866455082</v>
      </c>
    </row>
    <row r="1798" spans="1:3" x14ac:dyDescent="0.2">
      <c r="A1798" t="s">
        <v>12</v>
      </c>
      <c r="B1798" s="2">
        <v>45719</v>
      </c>
      <c r="C1798">
        <v>17.598312377929691</v>
      </c>
    </row>
    <row r="1799" spans="1:3" x14ac:dyDescent="0.2">
      <c r="A1799" t="s">
        <v>12</v>
      </c>
      <c r="B1799" s="2">
        <v>45720</v>
      </c>
      <c r="C1799">
        <v>16.89323806762695</v>
      </c>
    </row>
    <row r="1800" spans="1:3" x14ac:dyDescent="0.2">
      <c r="A1800" t="s">
        <v>12</v>
      </c>
      <c r="B1800" s="2">
        <v>45721</v>
      </c>
      <c r="C1800">
        <v>16.874177932739261</v>
      </c>
    </row>
    <row r="1801" spans="1:3" x14ac:dyDescent="0.2">
      <c r="A1801" t="s">
        <v>12</v>
      </c>
      <c r="B1801" s="2">
        <v>45722</v>
      </c>
      <c r="C1801">
        <v>17.274358749389648</v>
      </c>
    </row>
    <row r="1802" spans="1:3" x14ac:dyDescent="0.2">
      <c r="A1802" t="s">
        <v>12</v>
      </c>
      <c r="B1802" s="2">
        <v>45723</v>
      </c>
      <c r="C1802">
        <v>17.445865631103519</v>
      </c>
    </row>
    <row r="1803" spans="1:3" x14ac:dyDescent="0.2">
      <c r="A1803" t="s">
        <v>12</v>
      </c>
      <c r="B1803" s="2">
        <v>45726</v>
      </c>
      <c r="C1803">
        <v>17.179079055786129</v>
      </c>
    </row>
    <row r="1804" spans="1:3" x14ac:dyDescent="0.2">
      <c r="A1804" t="s">
        <v>12</v>
      </c>
      <c r="B1804" s="2">
        <v>45727</v>
      </c>
      <c r="C1804">
        <v>17.817459106445309</v>
      </c>
    </row>
    <row r="1805" spans="1:3" x14ac:dyDescent="0.2">
      <c r="A1805" t="s">
        <v>12</v>
      </c>
      <c r="B1805" s="2">
        <v>45728</v>
      </c>
      <c r="C1805">
        <v>18.122358322143551</v>
      </c>
    </row>
    <row r="1806" spans="1:3" x14ac:dyDescent="0.2">
      <c r="A1806" t="s">
        <v>12</v>
      </c>
      <c r="B1806" s="2">
        <v>45729</v>
      </c>
      <c r="C1806">
        <v>17.960380554199219</v>
      </c>
    </row>
    <row r="1807" spans="1:3" x14ac:dyDescent="0.2">
      <c r="A1807" t="s">
        <v>12</v>
      </c>
      <c r="B1807" s="2">
        <v>45730</v>
      </c>
      <c r="C1807">
        <v>18.643392562866211</v>
      </c>
    </row>
    <row r="1808" spans="1:3" x14ac:dyDescent="0.2">
      <c r="A1808" t="s">
        <v>12</v>
      </c>
      <c r="B1808" s="2">
        <v>45733</v>
      </c>
      <c r="C1808">
        <v>18.710733413696289</v>
      </c>
    </row>
    <row r="1809" spans="1:3" x14ac:dyDescent="0.2">
      <c r="A1809" t="s">
        <v>12</v>
      </c>
      <c r="B1809" s="2">
        <v>45734</v>
      </c>
      <c r="C1809">
        <v>18.710733413696289</v>
      </c>
    </row>
    <row r="1810" spans="1:3" x14ac:dyDescent="0.2">
      <c r="A1810" t="s">
        <v>12</v>
      </c>
      <c r="B1810" s="2">
        <v>45735</v>
      </c>
      <c r="C1810">
        <v>19.124387741088871</v>
      </c>
    </row>
    <row r="1811" spans="1:3" x14ac:dyDescent="0.2">
      <c r="A1811" t="s">
        <v>12</v>
      </c>
      <c r="B1811" s="2">
        <v>45736</v>
      </c>
      <c r="C1811">
        <v>19.336025238037109</v>
      </c>
    </row>
    <row r="1812" spans="1:3" x14ac:dyDescent="0.2">
      <c r="A1812" t="s">
        <v>12</v>
      </c>
      <c r="B1812" s="2">
        <v>45737</v>
      </c>
      <c r="C1812">
        <v>19.547664642333981</v>
      </c>
    </row>
    <row r="1813" spans="1:3" x14ac:dyDescent="0.2">
      <c r="A1813" t="s">
        <v>12</v>
      </c>
      <c r="B1813" s="2">
        <v>45740</v>
      </c>
      <c r="C1813">
        <v>19.701581954956051</v>
      </c>
    </row>
    <row r="1814" spans="1:3" x14ac:dyDescent="0.2">
      <c r="A1814" t="s">
        <v>12</v>
      </c>
      <c r="B1814" s="2">
        <v>45741</v>
      </c>
      <c r="C1814">
        <v>19.73044395446777</v>
      </c>
    </row>
    <row r="1815" spans="1:3" x14ac:dyDescent="0.2">
      <c r="A1815" t="s">
        <v>12</v>
      </c>
      <c r="B1815" s="2">
        <v>45742</v>
      </c>
      <c r="C1815">
        <v>19.547664642333981</v>
      </c>
    </row>
    <row r="1816" spans="1:3" x14ac:dyDescent="0.2">
      <c r="A1816" t="s">
        <v>12</v>
      </c>
      <c r="B1816" s="2">
        <v>45743</v>
      </c>
      <c r="C1816">
        <v>19.393747329711911</v>
      </c>
    </row>
    <row r="1817" spans="1:3" x14ac:dyDescent="0.2">
      <c r="A1817" t="s">
        <v>12</v>
      </c>
      <c r="B1817" s="2">
        <v>45744</v>
      </c>
      <c r="C1817">
        <v>18.98008918762207</v>
      </c>
    </row>
    <row r="1818" spans="1:3" x14ac:dyDescent="0.2">
      <c r="A1818" t="s">
        <v>12</v>
      </c>
      <c r="B1818" s="2">
        <v>45747</v>
      </c>
      <c r="C1818">
        <v>19.239826202392582</v>
      </c>
    </row>
    <row r="1819" spans="1:3" x14ac:dyDescent="0.2">
      <c r="A1819" t="s">
        <v>12</v>
      </c>
      <c r="B1819" s="2">
        <v>45748</v>
      </c>
      <c r="C1819">
        <v>19.268686294555661</v>
      </c>
    </row>
    <row r="1820" spans="1:3" x14ac:dyDescent="0.2">
      <c r="A1820" t="s">
        <v>12</v>
      </c>
      <c r="B1820" s="2">
        <v>45749</v>
      </c>
      <c r="C1820">
        <v>19.345645904541019</v>
      </c>
    </row>
    <row r="1821" spans="1:3" x14ac:dyDescent="0.2">
      <c r="A1821" t="s">
        <v>12</v>
      </c>
      <c r="B1821" s="2">
        <v>45750</v>
      </c>
      <c r="C1821">
        <v>17.46976470947266</v>
      </c>
    </row>
    <row r="1822" spans="1:3" x14ac:dyDescent="0.2">
      <c r="A1822" t="s">
        <v>12</v>
      </c>
      <c r="B1822" s="2">
        <v>45751</v>
      </c>
      <c r="C1822">
        <v>15.391861915588381</v>
      </c>
    </row>
    <row r="1823" spans="1:3" x14ac:dyDescent="0.2">
      <c r="A1823" t="s">
        <v>12</v>
      </c>
      <c r="B1823" s="2">
        <v>45754</v>
      </c>
      <c r="C1823">
        <v>15.33414268493652</v>
      </c>
    </row>
    <row r="1824" spans="1:3" x14ac:dyDescent="0.2">
      <c r="A1824" t="s">
        <v>12</v>
      </c>
      <c r="B1824" s="2">
        <v>45755</v>
      </c>
      <c r="C1824">
        <v>14.56455039978027</v>
      </c>
    </row>
    <row r="1825" spans="1:3" x14ac:dyDescent="0.2">
      <c r="A1825" t="s">
        <v>12</v>
      </c>
      <c r="B1825" s="2">
        <v>45756</v>
      </c>
      <c r="C1825">
        <v>16.27689170837402</v>
      </c>
    </row>
    <row r="1826" spans="1:3" x14ac:dyDescent="0.2">
      <c r="A1826" t="s">
        <v>12</v>
      </c>
      <c r="B1826" s="2">
        <v>45757</v>
      </c>
      <c r="C1826">
        <v>14.91086578369141</v>
      </c>
    </row>
    <row r="1827" spans="1:3" x14ac:dyDescent="0.2">
      <c r="A1827" t="s">
        <v>12</v>
      </c>
      <c r="B1827" s="2">
        <v>45758</v>
      </c>
      <c r="C1827">
        <v>15.209084510803221</v>
      </c>
    </row>
    <row r="1828" spans="1:3" x14ac:dyDescent="0.2">
      <c r="A1828" t="s">
        <v>12</v>
      </c>
      <c r="B1828" s="2">
        <v>45761</v>
      </c>
      <c r="C1828">
        <v>15.42072200775146</v>
      </c>
    </row>
    <row r="1829" spans="1:3" x14ac:dyDescent="0.2">
      <c r="A1829" t="s">
        <v>12</v>
      </c>
      <c r="B1829" s="2">
        <v>45762</v>
      </c>
      <c r="C1829">
        <v>15.209084510803221</v>
      </c>
    </row>
    <row r="1830" spans="1:3" x14ac:dyDescent="0.2">
      <c r="A1830" t="s">
        <v>12</v>
      </c>
      <c r="B1830" s="2">
        <v>45763</v>
      </c>
      <c r="C1830">
        <v>15.545780181884769</v>
      </c>
    </row>
    <row r="1831" spans="1:3" x14ac:dyDescent="0.2">
      <c r="A1831" t="s">
        <v>12</v>
      </c>
      <c r="B1831" s="2">
        <v>45764</v>
      </c>
      <c r="C1831">
        <v>16.11335563659668</v>
      </c>
    </row>
    <row r="1832" spans="1:3" x14ac:dyDescent="0.2">
      <c r="A1832" t="s">
        <v>12</v>
      </c>
      <c r="B1832" s="2">
        <v>45768</v>
      </c>
      <c r="C1832">
        <v>15.7766580581665</v>
      </c>
    </row>
    <row r="1833" spans="1:3" x14ac:dyDescent="0.2">
      <c r="A1833" t="s">
        <v>12</v>
      </c>
      <c r="B1833" s="2">
        <v>45769</v>
      </c>
      <c r="C1833">
        <v>16.142217636108398</v>
      </c>
    </row>
    <row r="1834" spans="1:3" x14ac:dyDescent="0.2">
      <c r="A1834" t="s">
        <v>12</v>
      </c>
      <c r="B1834" s="2">
        <v>45770</v>
      </c>
      <c r="C1834">
        <v>15.997915267944339</v>
      </c>
    </row>
    <row r="1835" spans="1:3" x14ac:dyDescent="0.2">
      <c r="A1835" t="s">
        <v>12</v>
      </c>
      <c r="B1835" s="2">
        <v>45771</v>
      </c>
      <c r="C1835">
        <v>16.161453247070309</v>
      </c>
    </row>
    <row r="1836" spans="1:3" x14ac:dyDescent="0.2">
      <c r="A1836" t="s">
        <v>12</v>
      </c>
      <c r="B1836" s="2">
        <v>45772</v>
      </c>
      <c r="C1836">
        <v>16.10373497009277</v>
      </c>
    </row>
    <row r="1837" spans="1:3" x14ac:dyDescent="0.2">
      <c r="A1837" t="s">
        <v>12</v>
      </c>
      <c r="B1837" s="2">
        <v>45775</v>
      </c>
      <c r="C1837">
        <v>16.180696487426761</v>
      </c>
    </row>
    <row r="1838" spans="1:3" x14ac:dyDescent="0.2">
      <c r="A1838" t="s">
        <v>12</v>
      </c>
      <c r="B1838" s="2">
        <v>45776</v>
      </c>
      <c r="C1838">
        <v>16.122976303100589</v>
      </c>
    </row>
    <row r="1839" spans="1:3" x14ac:dyDescent="0.2">
      <c r="A1839" t="s">
        <v>12</v>
      </c>
      <c r="B1839" s="2">
        <v>45777</v>
      </c>
      <c r="C1839">
        <v>15.613119125366209</v>
      </c>
    </row>
    <row r="1840" spans="1:3" x14ac:dyDescent="0.2">
      <c r="A1840" t="s">
        <v>12</v>
      </c>
      <c r="B1840" s="2">
        <v>45778</v>
      </c>
      <c r="C1840">
        <v>15.95943641662598</v>
      </c>
    </row>
    <row r="1841" spans="1:3" x14ac:dyDescent="0.2">
      <c r="A1841" t="s">
        <v>12</v>
      </c>
      <c r="B1841" s="2">
        <v>45779</v>
      </c>
      <c r="C1841">
        <v>15.988297462463381</v>
      </c>
    </row>
    <row r="1842" spans="1:3" x14ac:dyDescent="0.2">
      <c r="A1842" t="s">
        <v>12</v>
      </c>
      <c r="B1842" s="2">
        <v>45782</v>
      </c>
      <c r="C1842">
        <v>15.49768161773682</v>
      </c>
    </row>
    <row r="1843" spans="1:3" x14ac:dyDescent="0.2">
      <c r="A1843" t="s">
        <v>12</v>
      </c>
      <c r="B1843" s="2">
        <v>45783</v>
      </c>
      <c r="C1843">
        <v>15.70931911468506</v>
      </c>
    </row>
    <row r="1844" spans="1:3" x14ac:dyDescent="0.2">
      <c r="A1844" t="s">
        <v>12</v>
      </c>
      <c r="B1844" s="2">
        <v>45784</v>
      </c>
      <c r="C1844">
        <v>15.670840263366699</v>
      </c>
    </row>
    <row r="1845" spans="1:3" x14ac:dyDescent="0.2">
      <c r="A1845" t="s">
        <v>12</v>
      </c>
      <c r="B1845" s="2">
        <v>45785</v>
      </c>
      <c r="C1845">
        <v>17.104207992553711</v>
      </c>
    </row>
    <row r="1846" spans="1:3" x14ac:dyDescent="0.2">
      <c r="A1846" t="s">
        <v>12</v>
      </c>
      <c r="B1846" s="2">
        <v>45786</v>
      </c>
      <c r="C1846">
        <v>17.748739242553711</v>
      </c>
    </row>
    <row r="1847" spans="1:3" x14ac:dyDescent="0.2">
      <c r="A1847" t="s">
        <v>12</v>
      </c>
      <c r="B1847" s="2">
        <v>45789</v>
      </c>
      <c r="C1847">
        <v>18.431756973266602</v>
      </c>
    </row>
    <row r="1848" spans="1:3" x14ac:dyDescent="0.2">
      <c r="A1848" t="s">
        <v>12</v>
      </c>
      <c r="B1848" s="2">
        <v>45790</v>
      </c>
      <c r="C1848">
        <v>18.710733413696289</v>
      </c>
    </row>
    <row r="1849" spans="1:3" x14ac:dyDescent="0.2">
      <c r="A1849" t="s">
        <v>12</v>
      </c>
      <c r="B1849" s="2">
        <v>45791</v>
      </c>
      <c r="C1849">
        <v>18.55681228637695</v>
      </c>
    </row>
    <row r="1850" spans="1:3" x14ac:dyDescent="0.2">
      <c r="A1850" t="s">
        <v>12</v>
      </c>
      <c r="B1850" s="2">
        <v>45792</v>
      </c>
      <c r="C1850">
        <v>18.316316604614261</v>
      </c>
    </row>
    <row r="1851" spans="1:3" x14ac:dyDescent="0.2">
      <c r="A1851" t="s">
        <v>12</v>
      </c>
      <c r="B1851" s="2">
        <v>45793</v>
      </c>
      <c r="C1851">
        <v>18.450994491577148</v>
      </c>
    </row>
    <row r="1852" spans="1:3" x14ac:dyDescent="0.2">
      <c r="A1852" t="s">
        <v>12</v>
      </c>
      <c r="B1852" s="2">
        <v>45797</v>
      </c>
      <c r="C1852">
        <v>17.7775993347168</v>
      </c>
    </row>
    <row r="1853" spans="1:3" x14ac:dyDescent="0.2">
      <c r="A1853" t="s">
        <v>12</v>
      </c>
      <c r="B1853" s="2">
        <v>45798</v>
      </c>
      <c r="C1853">
        <v>17.700641632080082</v>
      </c>
    </row>
    <row r="1854" spans="1:3" x14ac:dyDescent="0.2">
      <c r="A1854" t="s">
        <v>12</v>
      </c>
      <c r="B1854" s="2">
        <v>45799</v>
      </c>
      <c r="C1854">
        <v>17.796840667724609</v>
      </c>
    </row>
    <row r="1855" spans="1:3" x14ac:dyDescent="0.2">
      <c r="A1855" t="s">
        <v>12</v>
      </c>
      <c r="B1855" s="2">
        <v>45800</v>
      </c>
      <c r="C1855">
        <v>17.998859405517582</v>
      </c>
    </row>
    <row r="1856" spans="1:3" x14ac:dyDescent="0.2">
      <c r="A1856" t="s">
        <v>12</v>
      </c>
      <c r="B1856" s="2">
        <v>45803</v>
      </c>
      <c r="C1856">
        <v>18.24897575378418</v>
      </c>
    </row>
    <row r="1857" spans="1:3" x14ac:dyDescent="0.2">
      <c r="A1857" t="s">
        <v>12</v>
      </c>
      <c r="B1857" s="2">
        <v>45804</v>
      </c>
      <c r="C1857">
        <v>18.04695892333984</v>
      </c>
    </row>
    <row r="1858" spans="1:3" x14ac:dyDescent="0.2">
      <c r="A1858" t="s">
        <v>12</v>
      </c>
      <c r="B1858" s="2">
        <v>45805</v>
      </c>
      <c r="C1858">
        <v>17.883420944213871</v>
      </c>
    </row>
    <row r="1859" spans="1:3" x14ac:dyDescent="0.2">
      <c r="A1859" t="s">
        <v>12</v>
      </c>
      <c r="B1859" s="2">
        <v>45806</v>
      </c>
      <c r="C1859">
        <v>18.008478164672852</v>
      </c>
    </row>
    <row r="1860" spans="1:3" x14ac:dyDescent="0.2">
      <c r="A1860" t="s">
        <v>12</v>
      </c>
      <c r="B1860" s="2">
        <v>45807</v>
      </c>
      <c r="C1860">
        <v>17.392803192138668</v>
      </c>
    </row>
    <row r="1861" spans="1:3" x14ac:dyDescent="0.2">
      <c r="A1861" t="s">
        <v>12</v>
      </c>
      <c r="B1861" s="2">
        <v>45810</v>
      </c>
      <c r="C1861">
        <v>17.61406135559082</v>
      </c>
    </row>
    <row r="1862" spans="1:3" x14ac:dyDescent="0.2">
      <c r="A1862" t="s">
        <v>12</v>
      </c>
      <c r="B1862" s="2">
        <v>45811</v>
      </c>
      <c r="C1862">
        <v>17.9315185546875</v>
      </c>
    </row>
    <row r="1863" spans="1:3" x14ac:dyDescent="0.2">
      <c r="A1863" t="s">
        <v>12</v>
      </c>
      <c r="B1863" s="2">
        <v>45812</v>
      </c>
      <c r="C1863">
        <v>17.113828659057621</v>
      </c>
    </row>
    <row r="1864" spans="1:3" x14ac:dyDescent="0.2">
      <c r="A1864" t="s">
        <v>12</v>
      </c>
      <c r="B1864" s="2">
        <v>45813</v>
      </c>
      <c r="C1864">
        <v>17.373561859130859</v>
      </c>
    </row>
    <row r="1865" spans="1:3" x14ac:dyDescent="0.2">
      <c r="A1865" t="s">
        <v>12</v>
      </c>
      <c r="B1865" s="2">
        <v>45814</v>
      </c>
      <c r="C1865">
        <v>17.835319519042969</v>
      </c>
    </row>
    <row r="1866" spans="1:3" x14ac:dyDescent="0.2">
      <c r="A1866" t="s">
        <v>12</v>
      </c>
      <c r="B1866" s="2">
        <v>45817</v>
      </c>
      <c r="C1866">
        <v>18.05657958984375</v>
      </c>
    </row>
    <row r="1867" spans="1:3" x14ac:dyDescent="0.2">
      <c r="A1867" t="s">
        <v>12</v>
      </c>
      <c r="B1867" s="2">
        <v>45818</v>
      </c>
      <c r="C1867">
        <v>18.489473342895511</v>
      </c>
    </row>
    <row r="1868" spans="1:3" x14ac:dyDescent="0.2">
      <c r="A1868" t="s">
        <v>12</v>
      </c>
      <c r="B1868" s="2">
        <v>45819</v>
      </c>
      <c r="C1868">
        <v>18.826171875</v>
      </c>
    </row>
    <row r="1869" spans="1:3" x14ac:dyDescent="0.2">
      <c r="A1869" t="s">
        <v>12</v>
      </c>
      <c r="B1869" s="2">
        <v>45820</v>
      </c>
      <c r="C1869">
        <v>18.864650726318359</v>
      </c>
    </row>
    <row r="1870" spans="1:3" x14ac:dyDescent="0.2">
      <c r="A1870" t="s">
        <v>12</v>
      </c>
      <c r="B1870" s="2">
        <v>45821</v>
      </c>
      <c r="C1870">
        <v>19.59357833862305</v>
      </c>
    </row>
    <row r="1871" spans="1:3" x14ac:dyDescent="0.2">
      <c r="A1871" t="s">
        <v>12</v>
      </c>
      <c r="B1871" s="2">
        <v>45824</v>
      </c>
      <c r="C1871">
        <v>19.3311653137207</v>
      </c>
    </row>
    <row r="1872" spans="1:3" x14ac:dyDescent="0.2">
      <c r="A1872" t="s">
        <v>12</v>
      </c>
      <c r="B1872" s="2">
        <v>45825</v>
      </c>
      <c r="C1872">
        <v>19.60329627990723</v>
      </c>
    </row>
    <row r="1873" spans="1:3" x14ac:dyDescent="0.2">
      <c r="A1873" t="s">
        <v>12</v>
      </c>
      <c r="B1873" s="2">
        <v>45826</v>
      </c>
      <c r="C1873">
        <v>19.476949691772461</v>
      </c>
    </row>
    <row r="1874" spans="1:3" x14ac:dyDescent="0.2">
      <c r="A1874" t="s">
        <v>12</v>
      </c>
      <c r="B1874" s="2">
        <v>45827</v>
      </c>
      <c r="C1874">
        <v>19.70048904418945</v>
      </c>
    </row>
    <row r="1875" spans="1:3" x14ac:dyDescent="0.2">
      <c r="A1875" t="s">
        <v>12</v>
      </c>
      <c r="B1875" s="2">
        <v>45828</v>
      </c>
      <c r="C1875">
        <v>19.53526496887207</v>
      </c>
    </row>
    <row r="1876" spans="1:3" x14ac:dyDescent="0.2">
      <c r="A1876" t="s">
        <v>12</v>
      </c>
      <c r="B1876" s="2">
        <v>45831</v>
      </c>
      <c r="C1876">
        <v>18.58280181884766</v>
      </c>
    </row>
    <row r="1877" spans="1:3" x14ac:dyDescent="0.2">
      <c r="A1877" t="s">
        <v>12</v>
      </c>
      <c r="B1877" s="2">
        <v>45832</v>
      </c>
      <c r="C1877">
        <v>18.281509399414059</v>
      </c>
    </row>
    <row r="1878" spans="1:3" x14ac:dyDescent="0.2">
      <c r="A1878" t="s">
        <v>12</v>
      </c>
      <c r="B1878" s="2">
        <v>45833</v>
      </c>
      <c r="C1878">
        <v>18.17459869384766</v>
      </c>
    </row>
    <row r="1879" spans="1:3" x14ac:dyDescent="0.2">
      <c r="A1879" t="s">
        <v>12</v>
      </c>
      <c r="B1879" s="2">
        <v>45834</v>
      </c>
      <c r="C1879">
        <v>18.310665130615231</v>
      </c>
    </row>
    <row r="1880" spans="1:3" x14ac:dyDescent="0.2">
      <c r="A1880" t="s">
        <v>12</v>
      </c>
      <c r="B1880" s="2">
        <v>45835</v>
      </c>
      <c r="C1880">
        <v>18.17459869384766</v>
      </c>
    </row>
    <row r="1881" spans="1:3" x14ac:dyDescent="0.2">
      <c r="A1881" t="s">
        <v>12</v>
      </c>
      <c r="B1881" s="2">
        <v>45838</v>
      </c>
      <c r="C1881">
        <v>18.00937652587891</v>
      </c>
    </row>
    <row r="1882" spans="1:3" x14ac:dyDescent="0.2">
      <c r="A1882" t="s">
        <v>12</v>
      </c>
      <c r="B1882" s="2">
        <v>45840</v>
      </c>
      <c r="C1882">
        <v>18.845212936401371</v>
      </c>
    </row>
    <row r="1883" spans="1:3" x14ac:dyDescent="0.2">
      <c r="A1883" t="s">
        <v>12</v>
      </c>
      <c r="B1883" s="2">
        <v>45841</v>
      </c>
      <c r="C1883">
        <v>18.660552978515621</v>
      </c>
    </row>
    <row r="1884" spans="1:3" x14ac:dyDescent="0.2">
      <c r="A1884" t="s">
        <v>12</v>
      </c>
      <c r="B1884" s="2">
        <v>45842</v>
      </c>
      <c r="C1884">
        <v>18.621677398681641</v>
      </c>
    </row>
    <row r="1885" spans="1:3" x14ac:dyDescent="0.2">
      <c r="A1885" t="s">
        <v>12</v>
      </c>
      <c r="B1885" s="2">
        <v>45845</v>
      </c>
      <c r="C1885">
        <v>18.670270919799801</v>
      </c>
    </row>
    <row r="1886" spans="1:3" x14ac:dyDescent="0.2">
      <c r="A1886" t="s">
        <v>12</v>
      </c>
      <c r="B1886" s="2">
        <v>45846</v>
      </c>
      <c r="C1886">
        <v>19.4283561706543</v>
      </c>
    </row>
    <row r="1887" spans="1:3" x14ac:dyDescent="0.2">
      <c r="A1887" t="s">
        <v>12</v>
      </c>
      <c r="B1887" s="2">
        <v>45847</v>
      </c>
      <c r="C1887">
        <v>19.253412246704102</v>
      </c>
    </row>
    <row r="1888" spans="1:3" x14ac:dyDescent="0.2">
      <c r="A1888" t="s">
        <v>12</v>
      </c>
      <c r="B1888" s="2">
        <v>45848</v>
      </c>
      <c r="C1888">
        <v>19.088188171386719</v>
      </c>
    </row>
    <row r="1889" spans="1:3" x14ac:dyDescent="0.2">
      <c r="A1889" t="s">
        <v>12</v>
      </c>
      <c r="B1889" s="2">
        <v>45849</v>
      </c>
      <c r="C1889">
        <v>19.49638748168945</v>
      </c>
    </row>
    <row r="1890" spans="1:3" x14ac:dyDescent="0.2">
      <c r="A1890" t="s">
        <v>12</v>
      </c>
      <c r="B1890" s="2">
        <v>45852</v>
      </c>
      <c r="C1890">
        <v>19.175661087036129</v>
      </c>
    </row>
    <row r="1891" spans="1:3" x14ac:dyDescent="0.2">
      <c r="A1891" t="s">
        <v>12</v>
      </c>
      <c r="B1891" s="2">
        <v>45853</v>
      </c>
      <c r="C1891">
        <v>18.95212364196777</v>
      </c>
    </row>
    <row r="1892" spans="1:3" x14ac:dyDescent="0.2">
      <c r="A1892" t="s">
        <v>12</v>
      </c>
      <c r="B1892" s="2">
        <v>45854</v>
      </c>
      <c r="C1892">
        <v>18.58280181884766</v>
      </c>
    </row>
    <row r="1893" spans="1:3" x14ac:dyDescent="0.2">
      <c r="A1893" t="s">
        <v>12</v>
      </c>
      <c r="B1893" s="2">
        <v>45855</v>
      </c>
      <c r="C1893">
        <v>18.757741928100589</v>
      </c>
    </row>
    <row r="1894" spans="1:3" x14ac:dyDescent="0.2">
      <c r="A1894" t="s">
        <v>12</v>
      </c>
      <c r="B1894" s="2">
        <v>45856</v>
      </c>
      <c r="C1894">
        <v>18.767457962036129</v>
      </c>
    </row>
    <row r="1895" spans="1:3" x14ac:dyDescent="0.2">
      <c r="A1895" t="s">
        <v>12</v>
      </c>
      <c r="B1895" s="2">
        <v>45859</v>
      </c>
      <c r="C1895">
        <v>18.650833129882809</v>
      </c>
    </row>
    <row r="1896" spans="1:3" x14ac:dyDescent="0.2">
      <c r="A1896" t="s">
        <v>12</v>
      </c>
      <c r="B1896" s="2">
        <v>45860</v>
      </c>
      <c r="C1896">
        <v>18.91324615478516</v>
      </c>
    </row>
    <row r="1897" spans="1:3" x14ac:dyDescent="0.2">
      <c r="A1897" t="s">
        <v>12</v>
      </c>
      <c r="B1897" s="2">
        <v>45861</v>
      </c>
      <c r="C1897">
        <v>19.350603103637699</v>
      </c>
    </row>
    <row r="1898" spans="1:3" x14ac:dyDescent="0.2">
      <c r="A1898" t="s">
        <v>12</v>
      </c>
      <c r="B1898" s="2">
        <v>45862</v>
      </c>
      <c r="C1898">
        <v>19.06875038146973</v>
      </c>
    </row>
    <row r="1899" spans="1:3" x14ac:dyDescent="0.2">
      <c r="A1899" t="s">
        <v>12</v>
      </c>
      <c r="B1899" s="2">
        <v>45863</v>
      </c>
      <c r="C1899">
        <v>19.292289733886719</v>
      </c>
    </row>
    <row r="1900" spans="1:3" x14ac:dyDescent="0.2">
      <c r="A1900" t="s">
        <v>12</v>
      </c>
      <c r="B1900" s="2">
        <v>45866</v>
      </c>
      <c r="C1900">
        <v>20.030935287475589</v>
      </c>
    </row>
    <row r="1901" spans="1:3" x14ac:dyDescent="0.2">
      <c r="A1901" t="s">
        <v>12</v>
      </c>
      <c r="B1901" s="2">
        <v>45867</v>
      </c>
      <c r="C1901">
        <v>20.312788009643551</v>
      </c>
    </row>
    <row r="1902" spans="1:3" x14ac:dyDescent="0.2">
      <c r="A1902" t="s">
        <v>12</v>
      </c>
      <c r="B1902" s="2">
        <v>45868</v>
      </c>
      <c r="C1902">
        <v>20.28363037109375</v>
      </c>
    </row>
    <row r="1903" spans="1:3" x14ac:dyDescent="0.2">
      <c r="A1903" t="s">
        <v>12</v>
      </c>
      <c r="B1903" s="2">
        <v>45869</v>
      </c>
      <c r="C1903">
        <v>20.49744987487793</v>
      </c>
    </row>
    <row r="1904" spans="1:3" x14ac:dyDescent="0.2">
      <c r="A1904" t="s">
        <v>12</v>
      </c>
      <c r="B1904" s="2">
        <v>45870</v>
      </c>
      <c r="C1904">
        <v>19.855991363525391</v>
      </c>
    </row>
    <row r="1905" spans="1:3" x14ac:dyDescent="0.2">
      <c r="A1905" t="s">
        <v>12</v>
      </c>
      <c r="B1905" s="2">
        <v>45874</v>
      </c>
      <c r="C1905">
        <v>20.205877304077148</v>
      </c>
    </row>
    <row r="1906" spans="1:3" x14ac:dyDescent="0.2">
      <c r="A1906" t="s">
        <v>12</v>
      </c>
      <c r="B1906" s="2">
        <v>45875</v>
      </c>
      <c r="C1906">
        <v>19.81711578369141</v>
      </c>
    </row>
    <row r="1907" spans="1:3" x14ac:dyDescent="0.2">
      <c r="A1907" t="s">
        <v>12</v>
      </c>
      <c r="B1907" s="2">
        <v>45876</v>
      </c>
      <c r="C1907">
        <v>19.661613464355469</v>
      </c>
    </row>
    <row r="1908" spans="1:3" x14ac:dyDescent="0.2">
      <c r="A1908" t="s">
        <v>12</v>
      </c>
      <c r="B1908" s="2">
        <v>45877</v>
      </c>
      <c r="C1908">
        <v>19.894868850708011</v>
      </c>
    </row>
    <row r="1909" spans="1:3" x14ac:dyDescent="0.2">
      <c r="A1909" t="s">
        <v>12</v>
      </c>
      <c r="B1909" s="2">
        <v>45880</v>
      </c>
      <c r="C1909">
        <v>19.43807220458984</v>
      </c>
    </row>
    <row r="1910" spans="1:3" x14ac:dyDescent="0.2">
      <c r="A1910" t="s">
        <v>12</v>
      </c>
      <c r="B1910" s="2">
        <v>45881</v>
      </c>
      <c r="C1910">
        <v>19.855991363525391</v>
      </c>
    </row>
    <row r="1911" spans="1:3" x14ac:dyDescent="0.2">
      <c r="A1911" t="s">
        <v>12</v>
      </c>
      <c r="B1911" s="2">
        <v>45882</v>
      </c>
      <c r="C1911">
        <v>20.137845993041989</v>
      </c>
    </row>
    <row r="1912" spans="1:3" x14ac:dyDescent="0.2">
      <c r="A1912" t="s">
        <v>12</v>
      </c>
      <c r="B1912" s="2">
        <v>45883</v>
      </c>
      <c r="C1912">
        <v>20.322504043579102</v>
      </c>
    </row>
    <row r="1913" spans="1:3" x14ac:dyDescent="0.2">
      <c r="A1913" t="s">
        <v>12</v>
      </c>
      <c r="B1913" s="2">
        <v>45884</v>
      </c>
      <c r="C1913">
        <v>20.186441421508789</v>
      </c>
    </row>
    <row r="1914" spans="1:3" x14ac:dyDescent="0.2">
      <c r="A1914" t="s">
        <v>12</v>
      </c>
      <c r="B1914" s="2">
        <v>45887</v>
      </c>
      <c r="C1914">
        <v>20.079530715942379</v>
      </c>
    </row>
    <row r="1915" spans="1:3" x14ac:dyDescent="0.2">
      <c r="A1915" t="s">
        <v>12</v>
      </c>
      <c r="B1915" s="2">
        <v>45888</v>
      </c>
      <c r="C1915">
        <v>20.030935287475589</v>
      </c>
    </row>
    <row r="1916" spans="1:3" x14ac:dyDescent="0.2">
      <c r="A1916" t="s">
        <v>12</v>
      </c>
      <c r="B1916" s="2">
        <v>45889</v>
      </c>
      <c r="C1916">
        <v>20.215597152709961</v>
      </c>
    </row>
    <row r="1917" spans="1:3" x14ac:dyDescent="0.2">
      <c r="A1917" t="s">
        <v>12</v>
      </c>
      <c r="B1917" s="2">
        <v>45890</v>
      </c>
      <c r="C1917">
        <v>20.575201034545898</v>
      </c>
    </row>
    <row r="1918" spans="1:3" x14ac:dyDescent="0.2">
      <c r="A1918" t="s">
        <v>12</v>
      </c>
      <c r="B1918" s="2">
        <v>45891</v>
      </c>
      <c r="C1918">
        <v>22.042778015136719</v>
      </c>
    </row>
    <row r="1919" spans="1:3" x14ac:dyDescent="0.2">
      <c r="A1919" t="s">
        <v>12</v>
      </c>
      <c r="B1919" s="2">
        <v>45894</v>
      </c>
      <c r="C1919">
        <v>22.499570846557621</v>
      </c>
    </row>
    <row r="1920" spans="1:3" x14ac:dyDescent="0.2">
      <c r="A1920" t="s">
        <v>12</v>
      </c>
      <c r="B1920" s="2">
        <v>45895</v>
      </c>
      <c r="C1920">
        <v>22.470413208007809</v>
      </c>
    </row>
    <row r="1921" spans="1:3" x14ac:dyDescent="0.2">
      <c r="A1921" t="s">
        <v>12</v>
      </c>
      <c r="B1921" s="2">
        <v>45896</v>
      </c>
      <c r="C1921">
        <v>22.723110198974609</v>
      </c>
    </row>
    <row r="1922" spans="1:3" x14ac:dyDescent="0.2">
      <c r="A1922" t="s">
        <v>12</v>
      </c>
      <c r="B1922" s="2">
        <v>45897</v>
      </c>
      <c r="C1922">
        <v>22.684232711791989</v>
      </c>
    </row>
    <row r="1923" spans="1:3" x14ac:dyDescent="0.2">
      <c r="A1923" t="s">
        <v>12</v>
      </c>
      <c r="B1923" s="2">
        <v>45898</v>
      </c>
      <c r="C1923">
        <v>22.19828033447266</v>
      </c>
    </row>
    <row r="1924" spans="1:3" x14ac:dyDescent="0.2">
      <c r="A1924" t="s">
        <v>12</v>
      </c>
      <c r="B1924" s="2">
        <v>45902</v>
      </c>
      <c r="C1924">
        <v>22.742547988891602</v>
      </c>
    </row>
    <row r="1925" spans="1:3" x14ac:dyDescent="0.2">
      <c r="A1925" t="s">
        <v>12</v>
      </c>
      <c r="B1925" s="2">
        <v>45903</v>
      </c>
      <c r="C1925">
        <v>22.120529174804691</v>
      </c>
    </row>
    <row r="1926" spans="1:3" x14ac:dyDescent="0.2">
      <c r="A1926" t="s">
        <v>12</v>
      </c>
      <c r="B1926" s="2">
        <v>45904</v>
      </c>
      <c r="C1926">
        <v>22.159402847290039</v>
      </c>
    </row>
    <row r="1927" spans="1:3" x14ac:dyDescent="0.2">
      <c r="A1927" t="s">
        <v>12</v>
      </c>
      <c r="B1927" s="2">
        <v>45905</v>
      </c>
      <c r="C1927">
        <v>21.48879241943359</v>
      </c>
    </row>
    <row r="1928" spans="1:3" x14ac:dyDescent="0.2">
      <c r="A1928" t="s">
        <v>12</v>
      </c>
      <c r="B1928" s="2">
        <v>45908</v>
      </c>
      <c r="C1928">
        <v>21.49851036071777</v>
      </c>
    </row>
    <row r="1929" spans="1:3" x14ac:dyDescent="0.2">
      <c r="A1929" t="s">
        <v>12</v>
      </c>
      <c r="B1929" s="2">
        <v>45909</v>
      </c>
      <c r="C1929">
        <v>21.93586540222168</v>
      </c>
    </row>
    <row r="1930" spans="1:3" x14ac:dyDescent="0.2">
      <c r="A1930" t="s">
        <v>12</v>
      </c>
      <c r="B1930" s="2">
        <v>45910</v>
      </c>
      <c r="C1930">
        <v>23.014680862426761</v>
      </c>
    </row>
    <row r="1931" spans="1:3" x14ac:dyDescent="0.2">
      <c r="A1931" t="s">
        <v>12</v>
      </c>
      <c r="B1931" s="2">
        <v>45911</v>
      </c>
      <c r="C1931">
        <v>22.723110198974609</v>
      </c>
    </row>
    <row r="1932" spans="1:3" x14ac:dyDescent="0.2">
      <c r="A1932" t="s">
        <v>12</v>
      </c>
      <c r="B1932" s="2">
        <v>45912</v>
      </c>
      <c r="C1932">
        <v>22.723110198974609</v>
      </c>
    </row>
    <row r="1933" spans="1:3" x14ac:dyDescent="0.2">
      <c r="A1933" t="s">
        <v>12</v>
      </c>
      <c r="B1933" s="2">
        <v>45915</v>
      </c>
      <c r="C1933">
        <v>23.144634246826168</v>
      </c>
    </row>
    <row r="1934" spans="1:3" x14ac:dyDescent="0.2">
      <c r="A1934" t="s">
        <v>12</v>
      </c>
      <c r="B1934" s="2">
        <v>45916</v>
      </c>
      <c r="C1934">
        <v>23.693595886230469</v>
      </c>
    </row>
    <row r="1935" spans="1:3" x14ac:dyDescent="0.2">
      <c r="A1935" t="s">
        <v>12</v>
      </c>
      <c r="B1935" s="2">
        <v>45917</v>
      </c>
      <c r="C1935">
        <v>23.546552658081051</v>
      </c>
    </row>
    <row r="1936" spans="1:3" x14ac:dyDescent="0.2">
      <c r="A1936" t="s">
        <v>12</v>
      </c>
      <c r="B1936" s="2">
        <v>45918</v>
      </c>
      <c r="C1936">
        <v>23.59556770324707</v>
      </c>
    </row>
    <row r="1937" spans="1:3" x14ac:dyDescent="0.2">
      <c r="A1937" t="s">
        <v>12</v>
      </c>
      <c r="B1937" s="2">
        <v>45919</v>
      </c>
      <c r="C1937">
        <v>22.948575973510739</v>
      </c>
    </row>
    <row r="1938" spans="1:3" x14ac:dyDescent="0.2">
      <c r="A1938" t="s">
        <v>12</v>
      </c>
      <c r="B1938" s="2">
        <v>45922</v>
      </c>
      <c r="C1938">
        <v>23.144634246826168</v>
      </c>
    </row>
    <row r="1939" spans="1:3" x14ac:dyDescent="0.2">
      <c r="A1939" t="s">
        <v>12</v>
      </c>
      <c r="B1939" s="2">
        <v>45923</v>
      </c>
      <c r="C1939">
        <v>23.497537612915039</v>
      </c>
    </row>
    <row r="1940" spans="1:3" x14ac:dyDescent="0.2">
      <c r="A1940" t="s">
        <v>12</v>
      </c>
      <c r="B1940" s="2">
        <v>45924</v>
      </c>
      <c r="C1940">
        <v>24.262163162231449</v>
      </c>
    </row>
    <row r="1941" spans="1:3" x14ac:dyDescent="0.2">
      <c r="A1941" t="s">
        <v>12</v>
      </c>
      <c r="B1941" s="2">
        <v>45925</v>
      </c>
      <c r="C1941">
        <v>24.164133071899411</v>
      </c>
    </row>
    <row r="1942" spans="1:3" x14ac:dyDescent="0.2">
      <c r="A1942" t="s">
        <v>12</v>
      </c>
      <c r="B1942" s="2">
        <v>45926</v>
      </c>
      <c r="C1942">
        <v>24.262163162231449</v>
      </c>
    </row>
    <row r="1943" spans="1:3" x14ac:dyDescent="0.2">
      <c r="A1943" t="s">
        <v>12</v>
      </c>
      <c r="B1943" s="2">
        <v>45929</v>
      </c>
      <c r="C1943">
        <v>23.575962066650391</v>
      </c>
    </row>
    <row r="1944" spans="1:3" x14ac:dyDescent="0.2">
      <c r="A1944" t="s">
        <v>12</v>
      </c>
      <c r="B1944" s="2">
        <v>45930</v>
      </c>
      <c r="C1944">
        <v>23.164237976074219</v>
      </c>
    </row>
    <row r="1945" spans="1:3" x14ac:dyDescent="0.2">
      <c r="A1945" t="s">
        <v>12</v>
      </c>
      <c r="B1945" s="2">
        <v>45931</v>
      </c>
      <c r="C1945">
        <v>22.860349655151371</v>
      </c>
    </row>
    <row r="1946" spans="1:3" x14ac:dyDescent="0.2">
      <c r="A1946" t="s">
        <v>12</v>
      </c>
      <c r="B1946" s="2">
        <v>45932</v>
      </c>
      <c r="C1946">
        <v>22.87995529174805</v>
      </c>
    </row>
    <row r="1947" spans="1:3" x14ac:dyDescent="0.2">
      <c r="A1947" t="s">
        <v>12</v>
      </c>
      <c r="B1947" s="2">
        <v>45933</v>
      </c>
      <c r="C1947">
        <v>23.203451156616211</v>
      </c>
    </row>
    <row r="1948" spans="1:3" x14ac:dyDescent="0.2">
      <c r="A1948" t="s">
        <v>12</v>
      </c>
      <c r="B1948" s="2">
        <v>45936</v>
      </c>
      <c r="C1948">
        <v>23.850442886352539</v>
      </c>
    </row>
    <row r="1949" spans="1:3" x14ac:dyDescent="0.2">
      <c r="A1949" t="s">
        <v>12</v>
      </c>
      <c r="B1949" s="2">
        <v>45937</v>
      </c>
      <c r="C1949">
        <v>23.7916259765625</v>
      </c>
    </row>
    <row r="1950" spans="1:3" x14ac:dyDescent="0.2">
      <c r="A1950" t="s">
        <v>12</v>
      </c>
      <c r="B1950" s="2">
        <v>45938</v>
      </c>
      <c r="C1950">
        <v>24.222951889038089</v>
      </c>
    </row>
    <row r="1951" spans="1:3" x14ac:dyDescent="0.2">
      <c r="A1951" t="s">
        <v>12</v>
      </c>
      <c r="B1951" s="2">
        <v>45939</v>
      </c>
      <c r="C1951">
        <v>24.860141754150391</v>
      </c>
    </row>
    <row r="1952" spans="1:3" x14ac:dyDescent="0.2">
      <c r="A1952" t="s">
        <v>12</v>
      </c>
      <c r="B1952" s="2">
        <v>45940</v>
      </c>
      <c r="C1952">
        <v>23.772016525268551</v>
      </c>
    </row>
    <row r="1953" spans="1:3" x14ac:dyDescent="0.2">
      <c r="A1953" t="s">
        <v>12</v>
      </c>
      <c r="B1953" s="2">
        <v>45944</v>
      </c>
      <c r="C1953">
        <v>23.742609024047852</v>
      </c>
    </row>
    <row r="1954" spans="1:3" x14ac:dyDescent="0.2">
      <c r="A1954" t="s">
        <v>12</v>
      </c>
      <c r="B1954" s="2">
        <v>45945</v>
      </c>
      <c r="C1954">
        <v>23.82103157043457</v>
      </c>
    </row>
    <row r="1955" spans="1:3" x14ac:dyDescent="0.2">
      <c r="A1955" t="s">
        <v>12</v>
      </c>
      <c r="B1955" s="2">
        <v>45946</v>
      </c>
      <c r="C1955">
        <v>23.0564079284668</v>
      </c>
    </row>
    <row r="1956" spans="1:3" x14ac:dyDescent="0.2">
      <c r="A1956" t="s">
        <v>12</v>
      </c>
      <c r="B1956" s="2">
        <v>45947</v>
      </c>
      <c r="C1956">
        <v>23.076015472412109</v>
      </c>
    </row>
    <row r="1957" spans="1:3" x14ac:dyDescent="0.2">
      <c r="A1957" t="s">
        <v>12</v>
      </c>
      <c r="B1957" s="2">
        <v>45950</v>
      </c>
      <c r="C1957">
        <v>23.350492477416989</v>
      </c>
    </row>
    <row r="1958" spans="1:3" x14ac:dyDescent="0.2">
      <c r="A1958" t="s">
        <v>12</v>
      </c>
      <c r="B1958" s="2">
        <v>45951</v>
      </c>
      <c r="C1958">
        <v>22.850545883178711</v>
      </c>
    </row>
    <row r="1959" spans="1:3" x14ac:dyDescent="0.2">
      <c r="A1959" t="s">
        <v>12</v>
      </c>
      <c r="B1959" s="2">
        <v>45952</v>
      </c>
      <c r="C1959">
        <v>22.997589111328121</v>
      </c>
    </row>
    <row r="1960" spans="1:3" x14ac:dyDescent="0.2">
      <c r="A1960" t="s">
        <v>12</v>
      </c>
      <c r="B1960" s="2">
        <v>45953</v>
      </c>
      <c r="C1960">
        <v>23.703399658203121</v>
      </c>
    </row>
    <row r="1961" spans="1:3" x14ac:dyDescent="0.2">
      <c r="A1961" t="s">
        <v>12</v>
      </c>
      <c r="B1961" s="2">
        <v>45954</v>
      </c>
      <c r="C1961">
        <v>23.438720703125</v>
      </c>
    </row>
    <row r="1962" spans="1:3" x14ac:dyDescent="0.2">
      <c r="A1962" t="s">
        <v>12</v>
      </c>
      <c r="B1962" s="2">
        <v>45957</v>
      </c>
      <c r="C1962">
        <v>23.507341384887699</v>
      </c>
    </row>
    <row r="1963" spans="1:3" x14ac:dyDescent="0.2">
      <c r="A1963" t="s">
        <v>12</v>
      </c>
      <c r="B1963" s="2">
        <v>45958</v>
      </c>
      <c r="C1963">
        <v>23.0564079284668</v>
      </c>
    </row>
    <row r="1964" spans="1:3" x14ac:dyDescent="0.2">
      <c r="A1964" t="s">
        <v>12</v>
      </c>
      <c r="B1964" s="2">
        <v>45959</v>
      </c>
      <c r="C1964">
        <v>23.330888748168949</v>
      </c>
    </row>
    <row r="1965" spans="1:3" x14ac:dyDescent="0.2">
      <c r="A1965" t="s">
        <v>12</v>
      </c>
      <c r="B1965" s="2">
        <v>45960</v>
      </c>
      <c r="C1965">
        <v>23.007390975952148</v>
      </c>
    </row>
    <row r="1966" spans="1:3" x14ac:dyDescent="0.2">
      <c r="A1966" t="s">
        <v>12</v>
      </c>
      <c r="B1966" s="2">
        <v>45961</v>
      </c>
      <c r="C1966">
        <v>23.23286056518555</v>
      </c>
    </row>
    <row r="1967" spans="1:3" x14ac:dyDescent="0.2">
      <c r="A1967" t="s">
        <v>12</v>
      </c>
      <c r="B1967" s="2">
        <v>45964</v>
      </c>
      <c r="C1967">
        <v>23.438720703125</v>
      </c>
    </row>
    <row r="1968" spans="1:3" x14ac:dyDescent="0.2">
      <c r="A1968" t="s">
        <v>12</v>
      </c>
      <c r="B1968" s="2">
        <v>45965</v>
      </c>
      <c r="C1968">
        <v>23.007390975952148</v>
      </c>
    </row>
    <row r="1969" spans="1:3" x14ac:dyDescent="0.2">
      <c r="A1969" t="s">
        <v>12</v>
      </c>
      <c r="B1969" s="2">
        <v>45966</v>
      </c>
      <c r="C1969">
        <v>22.92896842956543</v>
      </c>
    </row>
    <row r="1970" spans="1:3" x14ac:dyDescent="0.2">
      <c r="A1970" t="s">
        <v>12</v>
      </c>
      <c r="B1970" s="2">
        <v>45967</v>
      </c>
      <c r="C1970">
        <v>23.281875610351559</v>
      </c>
    </row>
    <row r="1971" spans="1:3" x14ac:dyDescent="0.2">
      <c r="A1971" t="s">
        <v>12</v>
      </c>
      <c r="B1971" s="2">
        <v>45968</v>
      </c>
      <c r="C1971">
        <v>24.00728797912598</v>
      </c>
    </row>
    <row r="1972" spans="1:3" x14ac:dyDescent="0.2">
      <c r="A1972" t="s">
        <v>12</v>
      </c>
      <c r="B1972" s="2">
        <v>45971</v>
      </c>
      <c r="C1972">
        <v>24.53664588928223</v>
      </c>
    </row>
    <row r="1973" spans="1:3" x14ac:dyDescent="0.2">
      <c r="A1973" t="s">
        <v>12</v>
      </c>
      <c r="B1973" s="2">
        <v>45972</v>
      </c>
      <c r="C1973">
        <v>25.075803756713871</v>
      </c>
    </row>
    <row r="1974" spans="1:3" x14ac:dyDescent="0.2">
      <c r="A1974" t="s">
        <v>12</v>
      </c>
      <c r="B1974" s="2">
        <v>45973</v>
      </c>
      <c r="C1974">
        <v>24.90915489196777</v>
      </c>
    </row>
    <row r="1975" spans="1:3" x14ac:dyDescent="0.2">
      <c r="A1975" t="s">
        <v>12</v>
      </c>
      <c r="B1975" s="2">
        <v>45974</v>
      </c>
      <c r="C1975">
        <v>24.53664588928223</v>
      </c>
    </row>
    <row r="1976" spans="1:3" x14ac:dyDescent="0.2">
      <c r="A1976" t="s">
        <v>12</v>
      </c>
      <c r="B1976" s="2">
        <v>45975</v>
      </c>
      <c r="C1976">
        <v>24.899351119995121</v>
      </c>
    </row>
    <row r="1977" spans="1:3" x14ac:dyDescent="0.2">
      <c r="A1977" t="s">
        <v>12</v>
      </c>
      <c r="B1977" s="2">
        <v>45978</v>
      </c>
      <c r="C1977">
        <v>24.70329666137695</v>
      </c>
    </row>
    <row r="1978" spans="1:3" x14ac:dyDescent="0.2">
      <c r="A1978" t="s">
        <v>12</v>
      </c>
      <c r="B1978" s="2">
        <v>45979</v>
      </c>
      <c r="C1978">
        <v>25.379693984985352</v>
      </c>
    </row>
    <row r="1979" spans="1:3" x14ac:dyDescent="0.2">
      <c r="A1979" t="s">
        <v>12</v>
      </c>
      <c r="B1979" s="2">
        <v>45980</v>
      </c>
      <c r="C1979">
        <v>25.173833847045898</v>
      </c>
    </row>
    <row r="1980" spans="1:3" x14ac:dyDescent="0.2">
      <c r="A1980" t="s">
        <v>12</v>
      </c>
      <c r="B1980" s="2">
        <v>45981</v>
      </c>
      <c r="C1980">
        <v>24.977773666381839</v>
      </c>
    </row>
    <row r="1981" spans="1:3" x14ac:dyDescent="0.2">
      <c r="A1981" t="s">
        <v>12</v>
      </c>
      <c r="B1981" s="2">
        <v>45982</v>
      </c>
      <c r="C1981">
        <v>24.70329666137695</v>
      </c>
    </row>
    <row r="1982" spans="1:3" x14ac:dyDescent="0.2">
      <c r="A1982" t="s">
        <v>12</v>
      </c>
      <c r="B1982" s="2">
        <v>45985</v>
      </c>
      <c r="C1982">
        <v>24.70329666137695</v>
      </c>
    </row>
    <row r="1983" spans="1:3" x14ac:dyDescent="0.2">
      <c r="A1983" t="s">
        <v>12</v>
      </c>
      <c r="B1983" s="2">
        <v>45986</v>
      </c>
      <c r="C1983">
        <v>24.075906753540039</v>
      </c>
    </row>
    <row r="1984" spans="1:3" x14ac:dyDescent="0.2">
      <c r="A1984" t="s">
        <v>12</v>
      </c>
      <c r="B1984" s="2">
        <v>45987</v>
      </c>
      <c r="C1984">
        <v>24.18374061584473</v>
      </c>
    </row>
    <row r="1985" spans="1:3" x14ac:dyDescent="0.2">
      <c r="A1985" t="s">
        <v>12</v>
      </c>
      <c r="B1985" s="2">
        <v>45988</v>
      </c>
      <c r="C1985">
        <v>24.271966934204102</v>
      </c>
    </row>
    <row r="1986" spans="1:3" x14ac:dyDescent="0.2">
      <c r="A1986" t="s">
        <v>12</v>
      </c>
      <c r="B1986" s="2">
        <v>45989</v>
      </c>
      <c r="C1986">
        <v>24.438615798950199</v>
      </c>
    </row>
    <row r="1987" spans="1:3" x14ac:dyDescent="0.2">
      <c r="A1987" t="s">
        <v>12</v>
      </c>
      <c r="B1987" s="2">
        <v>45992</v>
      </c>
      <c r="C1987">
        <v>24.55624961853027</v>
      </c>
    </row>
    <row r="1988" spans="1:3" x14ac:dyDescent="0.2">
      <c r="A1988" t="s">
        <v>12</v>
      </c>
      <c r="B1988" s="2">
        <v>45993</v>
      </c>
      <c r="C1988">
        <v>24.075906753540039</v>
      </c>
    </row>
    <row r="1989" spans="1:3" x14ac:dyDescent="0.2">
      <c r="A1989" t="s">
        <v>12</v>
      </c>
      <c r="B1989" s="2">
        <v>45994</v>
      </c>
      <c r="C1989">
        <v>24.958169937133789</v>
      </c>
    </row>
    <row r="1990" spans="1:3" x14ac:dyDescent="0.2">
      <c r="A1990" t="s">
        <v>12</v>
      </c>
      <c r="B1990" s="2">
        <v>45995</v>
      </c>
      <c r="C1990">
        <v>25.08560752868652</v>
      </c>
    </row>
    <row r="1991" spans="1:3" x14ac:dyDescent="0.2">
      <c r="A1991" t="s">
        <v>12</v>
      </c>
      <c r="B1991" s="2">
        <v>45996</v>
      </c>
      <c r="C1991">
        <v>24.850337982177731</v>
      </c>
    </row>
    <row r="1992" spans="1:3" x14ac:dyDescent="0.2">
      <c r="A1992" t="s">
        <v>12</v>
      </c>
      <c r="B1992" s="2">
        <v>45999</v>
      </c>
      <c r="C1992">
        <v>24.3699951171875</v>
      </c>
    </row>
    <row r="1993" spans="1:3" x14ac:dyDescent="0.2">
      <c r="A1993" t="s">
        <v>12</v>
      </c>
      <c r="B1993" s="2">
        <v>46000</v>
      </c>
      <c r="C1993">
        <v>24.124923706054691</v>
      </c>
    </row>
    <row r="1994" spans="1:3" x14ac:dyDescent="0.2">
      <c r="A1994" t="s">
        <v>12</v>
      </c>
      <c r="B1994" s="2">
        <v>46001</v>
      </c>
      <c r="C1994">
        <v>24.17393684387207</v>
      </c>
    </row>
    <row r="1995" spans="1:3" x14ac:dyDescent="0.2">
      <c r="A1995" t="s">
        <v>12</v>
      </c>
      <c r="B1995" s="2">
        <v>46002</v>
      </c>
      <c r="C1995">
        <v>23.879850387573239</v>
      </c>
    </row>
    <row r="1996" spans="1:3" x14ac:dyDescent="0.2">
      <c r="A1996" t="s">
        <v>12</v>
      </c>
      <c r="B1996" s="2">
        <v>46003</v>
      </c>
      <c r="C1996">
        <v>24.3405876159668</v>
      </c>
    </row>
    <row r="1997" spans="1:3" x14ac:dyDescent="0.2">
      <c r="A1997" t="s">
        <v>12</v>
      </c>
      <c r="B1997" s="2">
        <v>46006</v>
      </c>
      <c r="C1997">
        <v>24.024347305297852</v>
      </c>
    </row>
    <row r="1998" spans="1:3" x14ac:dyDescent="0.2">
      <c r="A1998" t="s">
        <v>12</v>
      </c>
      <c r="B1998" s="2">
        <v>46007</v>
      </c>
      <c r="C1998">
        <v>22.87797737121582</v>
      </c>
    </row>
    <row r="1999" spans="1:3" x14ac:dyDescent="0.2">
      <c r="A1999" t="s">
        <v>12</v>
      </c>
      <c r="B1999" s="2">
        <v>46008</v>
      </c>
      <c r="C1999">
        <v>23.13492393493652</v>
      </c>
    </row>
    <row r="2000" spans="1:3" x14ac:dyDescent="0.2">
      <c r="A2000" t="s">
        <v>12</v>
      </c>
      <c r="B2000" s="2">
        <v>46009</v>
      </c>
      <c r="C2000">
        <v>22.403619766235352</v>
      </c>
    </row>
    <row r="2001" spans="1:3" x14ac:dyDescent="0.2">
      <c r="A2001" t="s">
        <v>12</v>
      </c>
      <c r="B2001" s="2">
        <v>46010</v>
      </c>
      <c r="C2001">
        <v>22.7593879699707</v>
      </c>
    </row>
    <row r="2002" spans="1:3" x14ac:dyDescent="0.2">
      <c r="A2002" t="s">
        <v>12</v>
      </c>
      <c r="B2002" s="2">
        <v>46013</v>
      </c>
      <c r="C2002">
        <v>22.739622116088871</v>
      </c>
    </row>
    <row r="2003" spans="1:3" x14ac:dyDescent="0.2">
      <c r="A2003" t="s">
        <v>12</v>
      </c>
      <c r="B2003" s="2">
        <v>46014</v>
      </c>
      <c r="C2003">
        <v>22.700092315673832</v>
      </c>
    </row>
    <row r="2004" spans="1:3" x14ac:dyDescent="0.2">
      <c r="A2004" t="s">
        <v>12</v>
      </c>
      <c r="B2004" s="2">
        <v>46015</v>
      </c>
      <c r="C2004">
        <v>22.611150741577148</v>
      </c>
    </row>
    <row r="2005" spans="1:3" x14ac:dyDescent="0.2">
      <c r="A2005" t="s">
        <v>12</v>
      </c>
      <c r="B2005" s="2">
        <v>46020</v>
      </c>
      <c r="C2005">
        <v>22.848331451416019</v>
      </c>
    </row>
    <row r="2006" spans="1:3" x14ac:dyDescent="0.2">
      <c r="A2006" t="s">
        <v>12</v>
      </c>
      <c r="B2006" s="2">
        <v>46021</v>
      </c>
      <c r="C2006">
        <v>23.075628280639648</v>
      </c>
    </row>
    <row r="2007" spans="1:3" x14ac:dyDescent="0.2">
      <c r="A2007" t="s">
        <v>12</v>
      </c>
      <c r="B2007" s="2">
        <v>46022</v>
      </c>
      <c r="C2007">
        <v>22.9471549987793</v>
      </c>
    </row>
    <row r="2008" spans="1:3" x14ac:dyDescent="0.2">
      <c r="A2008" t="s">
        <v>13</v>
      </c>
      <c r="B2008" s="2">
        <v>44565</v>
      </c>
      <c r="C2008">
        <v>27.231473922729489</v>
      </c>
    </row>
    <row r="2009" spans="1:3" x14ac:dyDescent="0.2">
      <c r="A2009" t="s">
        <v>13</v>
      </c>
      <c r="B2009" s="2">
        <v>44566</v>
      </c>
      <c r="C2009">
        <v>27.445053100585941</v>
      </c>
    </row>
    <row r="2010" spans="1:3" x14ac:dyDescent="0.2">
      <c r="A2010" t="s">
        <v>13</v>
      </c>
      <c r="B2010" s="2">
        <v>44567</v>
      </c>
      <c r="C2010">
        <v>27.80649566650391</v>
      </c>
    </row>
    <row r="2011" spans="1:3" x14ac:dyDescent="0.2">
      <c r="A2011" t="s">
        <v>13</v>
      </c>
      <c r="B2011" s="2">
        <v>44568</v>
      </c>
      <c r="C2011">
        <v>27.5847053527832</v>
      </c>
    </row>
    <row r="2012" spans="1:3" x14ac:dyDescent="0.2">
      <c r="A2012" t="s">
        <v>13</v>
      </c>
      <c r="B2012" s="2">
        <v>44571</v>
      </c>
      <c r="C2012">
        <v>27.691486358642582</v>
      </c>
    </row>
    <row r="2013" spans="1:3" x14ac:dyDescent="0.2">
      <c r="A2013" t="s">
        <v>13</v>
      </c>
      <c r="B2013" s="2">
        <v>44572</v>
      </c>
      <c r="C2013">
        <v>28.899045944213871</v>
      </c>
    </row>
    <row r="2014" spans="1:3" x14ac:dyDescent="0.2">
      <c r="A2014" t="s">
        <v>13</v>
      </c>
      <c r="B2014" s="2">
        <v>44573</v>
      </c>
      <c r="C2014">
        <v>28.907260894775391</v>
      </c>
    </row>
    <row r="2015" spans="1:3" x14ac:dyDescent="0.2">
      <c r="A2015" t="s">
        <v>13</v>
      </c>
      <c r="B2015" s="2">
        <v>44574</v>
      </c>
      <c r="C2015">
        <v>28.636175155639648</v>
      </c>
    </row>
    <row r="2016" spans="1:3" x14ac:dyDescent="0.2">
      <c r="A2016" t="s">
        <v>13</v>
      </c>
      <c r="B2016" s="2">
        <v>44575</v>
      </c>
      <c r="C2016">
        <v>29.12083625793457</v>
      </c>
    </row>
    <row r="2017" spans="1:3" x14ac:dyDescent="0.2">
      <c r="A2017" t="s">
        <v>13</v>
      </c>
      <c r="B2017" s="2">
        <v>44578</v>
      </c>
      <c r="C2017">
        <v>29.662994384765621</v>
      </c>
    </row>
    <row r="2018" spans="1:3" x14ac:dyDescent="0.2">
      <c r="A2018" t="s">
        <v>13</v>
      </c>
      <c r="B2018" s="2">
        <v>44579</v>
      </c>
      <c r="C2018">
        <v>29.383708953857418</v>
      </c>
    </row>
    <row r="2019" spans="1:3" x14ac:dyDescent="0.2">
      <c r="A2019" t="s">
        <v>13</v>
      </c>
      <c r="B2019" s="2">
        <v>44580</v>
      </c>
      <c r="C2019">
        <v>29.202983856201168</v>
      </c>
    </row>
    <row r="2020" spans="1:3" x14ac:dyDescent="0.2">
      <c r="A2020" t="s">
        <v>13</v>
      </c>
      <c r="B2020" s="2">
        <v>44581</v>
      </c>
      <c r="C2020">
        <v>29.014045715332031</v>
      </c>
    </row>
    <row r="2021" spans="1:3" x14ac:dyDescent="0.2">
      <c r="A2021" t="s">
        <v>13</v>
      </c>
      <c r="B2021" s="2">
        <v>44582</v>
      </c>
      <c r="C2021">
        <v>27.99543571472168</v>
      </c>
    </row>
    <row r="2022" spans="1:3" x14ac:dyDescent="0.2">
      <c r="A2022" t="s">
        <v>13</v>
      </c>
      <c r="B2022" s="2">
        <v>44585</v>
      </c>
      <c r="C2022">
        <v>27.272554397583011</v>
      </c>
    </row>
    <row r="2023" spans="1:3" x14ac:dyDescent="0.2">
      <c r="A2023" t="s">
        <v>13</v>
      </c>
      <c r="B2023" s="2">
        <v>44586</v>
      </c>
      <c r="C2023">
        <v>28.636175155639648</v>
      </c>
    </row>
    <row r="2024" spans="1:3" x14ac:dyDescent="0.2">
      <c r="A2024" t="s">
        <v>13</v>
      </c>
      <c r="B2024" s="2">
        <v>44587</v>
      </c>
      <c r="C2024">
        <v>29.046905517578121</v>
      </c>
    </row>
    <row r="2025" spans="1:3" x14ac:dyDescent="0.2">
      <c r="A2025" t="s">
        <v>13</v>
      </c>
      <c r="B2025" s="2">
        <v>44588</v>
      </c>
      <c r="C2025">
        <v>29.802642822265621</v>
      </c>
    </row>
    <row r="2026" spans="1:3" x14ac:dyDescent="0.2">
      <c r="A2026" t="s">
        <v>13</v>
      </c>
      <c r="B2026" s="2">
        <v>44589</v>
      </c>
      <c r="C2026">
        <v>29.69586181640625</v>
      </c>
    </row>
    <row r="2027" spans="1:3" x14ac:dyDescent="0.2">
      <c r="A2027" t="s">
        <v>13</v>
      </c>
      <c r="B2027" s="2">
        <v>44592</v>
      </c>
      <c r="C2027">
        <v>29.835506439208981</v>
      </c>
    </row>
    <row r="2028" spans="1:3" x14ac:dyDescent="0.2">
      <c r="A2028" t="s">
        <v>13</v>
      </c>
      <c r="B2028" s="2">
        <v>44593</v>
      </c>
      <c r="C2028">
        <v>31.158065795898441</v>
      </c>
    </row>
    <row r="2029" spans="1:3" x14ac:dyDescent="0.2">
      <c r="A2029" t="s">
        <v>13</v>
      </c>
      <c r="B2029" s="2">
        <v>44594</v>
      </c>
      <c r="C2029">
        <v>31.58522796630859</v>
      </c>
    </row>
    <row r="2030" spans="1:3" x14ac:dyDescent="0.2">
      <c r="A2030" t="s">
        <v>13</v>
      </c>
      <c r="B2030" s="2">
        <v>44595</v>
      </c>
      <c r="C2030">
        <v>30.47624397277832</v>
      </c>
    </row>
    <row r="2031" spans="1:3" x14ac:dyDescent="0.2">
      <c r="A2031" t="s">
        <v>13</v>
      </c>
      <c r="B2031" s="2">
        <v>44596</v>
      </c>
      <c r="C2031">
        <v>30.098373413085941</v>
      </c>
    </row>
    <row r="2032" spans="1:3" x14ac:dyDescent="0.2">
      <c r="A2032" t="s">
        <v>13</v>
      </c>
      <c r="B2032" s="2">
        <v>44599</v>
      </c>
      <c r="C2032">
        <v>30.172306060791019</v>
      </c>
    </row>
    <row r="2033" spans="1:3" x14ac:dyDescent="0.2">
      <c r="A2033" t="s">
        <v>13</v>
      </c>
      <c r="B2033" s="2">
        <v>44600</v>
      </c>
      <c r="C2033">
        <v>29.736934661865231</v>
      </c>
    </row>
    <row r="2034" spans="1:3" x14ac:dyDescent="0.2">
      <c r="A2034" t="s">
        <v>13</v>
      </c>
      <c r="B2034" s="2">
        <v>44601</v>
      </c>
      <c r="C2034">
        <v>30.057302474975589</v>
      </c>
    </row>
    <row r="2035" spans="1:3" x14ac:dyDescent="0.2">
      <c r="A2035" t="s">
        <v>13</v>
      </c>
      <c r="B2035" s="2">
        <v>44602</v>
      </c>
      <c r="C2035">
        <v>30.1558723449707</v>
      </c>
    </row>
    <row r="2036" spans="1:3" x14ac:dyDescent="0.2">
      <c r="A2036" t="s">
        <v>13</v>
      </c>
      <c r="B2036" s="2">
        <v>44603</v>
      </c>
      <c r="C2036">
        <v>31.527725219726559</v>
      </c>
    </row>
    <row r="2037" spans="1:3" x14ac:dyDescent="0.2">
      <c r="A2037" t="s">
        <v>13</v>
      </c>
      <c r="B2037" s="2">
        <v>44606</v>
      </c>
      <c r="C2037">
        <v>31.084133148193359</v>
      </c>
    </row>
    <row r="2038" spans="1:3" x14ac:dyDescent="0.2">
      <c r="A2038" t="s">
        <v>13</v>
      </c>
      <c r="B2038" s="2">
        <v>44607</v>
      </c>
      <c r="C2038">
        <v>30.591251373291019</v>
      </c>
    </row>
    <row r="2039" spans="1:3" x14ac:dyDescent="0.2">
      <c r="A2039" t="s">
        <v>13</v>
      </c>
      <c r="B2039" s="2">
        <v>44608</v>
      </c>
      <c r="C2039">
        <v>30.862333297729489</v>
      </c>
    </row>
    <row r="2040" spans="1:3" x14ac:dyDescent="0.2">
      <c r="A2040" t="s">
        <v>13</v>
      </c>
      <c r="B2040" s="2">
        <v>44609</v>
      </c>
      <c r="C2040">
        <v>30.952699661254879</v>
      </c>
    </row>
    <row r="2041" spans="1:3" x14ac:dyDescent="0.2">
      <c r="A2041" t="s">
        <v>13</v>
      </c>
      <c r="B2041" s="2">
        <v>44610</v>
      </c>
      <c r="C2041">
        <v>30.443387985229489</v>
      </c>
    </row>
    <row r="2042" spans="1:3" x14ac:dyDescent="0.2">
      <c r="A2042" t="s">
        <v>13</v>
      </c>
      <c r="B2042" s="2">
        <v>44614</v>
      </c>
      <c r="C2042">
        <v>30.468032836914059</v>
      </c>
    </row>
    <row r="2043" spans="1:3" x14ac:dyDescent="0.2">
      <c r="A2043" t="s">
        <v>13</v>
      </c>
      <c r="B2043" s="2">
        <v>44615</v>
      </c>
      <c r="C2043">
        <v>30.468032836914059</v>
      </c>
    </row>
    <row r="2044" spans="1:3" x14ac:dyDescent="0.2">
      <c r="A2044" t="s">
        <v>13</v>
      </c>
      <c r="B2044" s="2">
        <v>44616</v>
      </c>
      <c r="C2044">
        <v>30.418746948242191</v>
      </c>
    </row>
    <row r="2045" spans="1:3" x14ac:dyDescent="0.2">
      <c r="A2045" t="s">
        <v>13</v>
      </c>
      <c r="B2045" s="2">
        <v>44617</v>
      </c>
      <c r="C2045">
        <v>31.084133148193359</v>
      </c>
    </row>
    <row r="2046" spans="1:3" x14ac:dyDescent="0.2">
      <c r="A2046" t="s">
        <v>13</v>
      </c>
      <c r="B2046" s="2">
        <v>44620</v>
      </c>
      <c r="C2046">
        <v>31.839876174926761</v>
      </c>
    </row>
    <row r="2047" spans="1:3" x14ac:dyDescent="0.2">
      <c r="A2047" t="s">
        <v>13</v>
      </c>
      <c r="B2047" s="2">
        <v>44621</v>
      </c>
      <c r="C2047">
        <v>32.201316833496087</v>
      </c>
    </row>
    <row r="2048" spans="1:3" x14ac:dyDescent="0.2">
      <c r="A2048" t="s">
        <v>13</v>
      </c>
      <c r="B2048" s="2">
        <v>44622</v>
      </c>
      <c r="C2048">
        <v>32.464191436767578</v>
      </c>
    </row>
    <row r="2049" spans="1:3" x14ac:dyDescent="0.2">
      <c r="A2049" t="s">
        <v>13</v>
      </c>
      <c r="B2049" s="2">
        <v>44623</v>
      </c>
      <c r="C2049">
        <v>32.555507659912109</v>
      </c>
    </row>
    <row r="2050" spans="1:3" x14ac:dyDescent="0.2">
      <c r="A2050" t="s">
        <v>13</v>
      </c>
      <c r="B2050" s="2">
        <v>44624</v>
      </c>
      <c r="C2050">
        <v>33.261260986328118</v>
      </c>
    </row>
    <row r="2051" spans="1:3" x14ac:dyDescent="0.2">
      <c r="A2051" t="s">
        <v>13</v>
      </c>
      <c r="B2051" s="2">
        <v>44627</v>
      </c>
      <c r="C2051">
        <v>34.955043792724609</v>
      </c>
    </row>
    <row r="2052" spans="1:3" x14ac:dyDescent="0.2">
      <c r="A2052" t="s">
        <v>13</v>
      </c>
      <c r="B2052" s="2">
        <v>44628</v>
      </c>
      <c r="C2052">
        <v>34.465167999267578</v>
      </c>
    </row>
    <row r="2053" spans="1:3" x14ac:dyDescent="0.2">
      <c r="A2053" t="s">
        <v>13</v>
      </c>
      <c r="B2053" s="2">
        <v>44629</v>
      </c>
      <c r="C2053">
        <v>33.294464111328118</v>
      </c>
    </row>
    <row r="2054" spans="1:3" x14ac:dyDescent="0.2">
      <c r="A2054" t="s">
        <v>13</v>
      </c>
      <c r="B2054" s="2">
        <v>44630</v>
      </c>
      <c r="C2054">
        <v>33.593368530273438</v>
      </c>
    </row>
    <row r="2055" spans="1:3" x14ac:dyDescent="0.2">
      <c r="A2055" t="s">
        <v>13</v>
      </c>
      <c r="B2055" s="2">
        <v>44631</v>
      </c>
      <c r="C2055">
        <v>33.618289947509773</v>
      </c>
    </row>
    <row r="2056" spans="1:3" x14ac:dyDescent="0.2">
      <c r="A2056" t="s">
        <v>13</v>
      </c>
      <c r="B2056" s="2">
        <v>44634</v>
      </c>
      <c r="C2056">
        <v>32.729873657226562</v>
      </c>
    </row>
    <row r="2057" spans="1:3" x14ac:dyDescent="0.2">
      <c r="A2057" t="s">
        <v>13</v>
      </c>
      <c r="B2057" s="2">
        <v>44635</v>
      </c>
      <c r="C2057">
        <v>31.50936126708984</v>
      </c>
    </row>
    <row r="2058" spans="1:3" x14ac:dyDescent="0.2">
      <c r="A2058" t="s">
        <v>13</v>
      </c>
      <c r="B2058" s="2">
        <v>44636</v>
      </c>
      <c r="C2058">
        <v>31.534269332885739</v>
      </c>
    </row>
    <row r="2059" spans="1:3" x14ac:dyDescent="0.2">
      <c r="A2059" t="s">
        <v>13</v>
      </c>
      <c r="B2059" s="2">
        <v>44637</v>
      </c>
      <c r="C2059">
        <v>32.6634521484375</v>
      </c>
    </row>
    <row r="2060" spans="1:3" x14ac:dyDescent="0.2">
      <c r="A2060" t="s">
        <v>13</v>
      </c>
      <c r="B2060" s="2">
        <v>44638</v>
      </c>
      <c r="C2060">
        <v>32.480789184570312</v>
      </c>
    </row>
    <row r="2061" spans="1:3" x14ac:dyDescent="0.2">
      <c r="A2061" t="s">
        <v>13</v>
      </c>
      <c r="B2061" s="2">
        <v>44641</v>
      </c>
      <c r="C2061">
        <v>33.933799743652337</v>
      </c>
    </row>
    <row r="2062" spans="1:3" x14ac:dyDescent="0.2">
      <c r="A2062" t="s">
        <v>13</v>
      </c>
      <c r="B2062" s="2">
        <v>44642</v>
      </c>
      <c r="C2062">
        <v>33.842464447021477</v>
      </c>
    </row>
    <row r="2063" spans="1:3" x14ac:dyDescent="0.2">
      <c r="A2063" t="s">
        <v>13</v>
      </c>
      <c r="B2063" s="2">
        <v>44643</v>
      </c>
      <c r="C2063">
        <v>34.382148742675781</v>
      </c>
    </row>
    <row r="2064" spans="1:3" x14ac:dyDescent="0.2">
      <c r="A2064" t="s">
        <v>13</v>
      </c>
      <c r="B2064" s="2">
        <v>44644</v>
      </c>
      <c r="C2064">
        <v>34.216083526611328</v>
      </c>
    </row>
    <row r="2065" spans="1:3" x14ac:dyDescent="0.2">
      <c r="A2065" t="s">
        <v>13</v>
      </c>
      <c r="B2065" s="2">
        <v>44645</v>
      </c>
      <c r="C2065">
        <v>35.212432861328118</v>
      </c>
    </row>
    <row r="2066" spans="1:3" x14ac:dyDescent="0.2">
      <c r="A2066" t="s">
        <v>13</v>
      </c>
      <c r="B2066" s="2">
        <v>44648</v>
      </c>
      <c r="C2066">
        <v>34.058338165283203</v>
      </c>
    </row>
    <row r="2067" spans="1:3" x14ac:dyDescent="0.2">
      <c r="A2067" t="s">
        <v>13</v>
      </c>
      <c r="B2067" s="2">
        <v>44649</v>
      </c>
      <c r="C2067">
        <v>33.817550659179688</v>
      </c>
    </row>
    <row r="2068" spans="1:3" x14ac:dyDescent="0.2">
      <c r="A2068" t="s">
        <v>13</v>
      </c>
      <c r="B2068" s="2">
        <v>44650</v>
      </c>
      <c r="C2068">
        <v>34.265914916992188</v>
      </c>
    </row>
    <row r="2069" spans="1:3" x14ac:dyDescent="0.2">
      <c r="A2069" t="s">
        <v>13</v>
      </c>
      <c r="B2069" s="2">
        <v>44651</v>
      </c>
      <c r="C2069">
        <v>33.792652130126953</v>
      </c>
    </row>
    <row r="2070" spans="1:3" x14ac:dyDescent="0.2">
      <c r="A2070" t="s">
        <v>13</v>
      </c>
      <c r="B2070" s="2">
        <v>44652</v>
      </c>
      <c r="C2070">
        <v>34.058338165283203</v>
      </c>
    </row>
    <row r="2071" spans="1:3" x14ac:dyDescent="0.2">
      <c r="A2071" t="s">
        <v>13</v>
      </c>
      <c r="B2071" s="2">
        <v>44655</v>
      </c>
      <c r="C2071">
        <v>34.647842407226562</v>
      </c>
    </row>
    <row r="2072" spans="1:3" x14ac:dyDescent="0.2">
      <c r="A2072" t="s">
        <v>13</v>
      </c>
      <c r="B2072" s="2">
        <v>44656</v>
      </c>
      <c r="C2072">
        <v>34.224391937255859</v>
      </c>
    </row>
    <row r="2073" spans="1:3" x14ac:dyDescent="0.2">
      <c r="A2073" t="s">
        <v>13</v>
      </c>
      <c r="B2073" s="2">
        <v>44657</v>
      </c>
      <c r="C2073">
        <v>33.709617614746087</v>
      </c>
    </row>
    <row r="2074" spans="1:3" x14ac:dyDescent="0.2">
      <c r="A2074" t="s">
        <v>13</v>
      </c>
      <c r="B2074" s="2">
        <v>44658</v>
      </c>
      <c r="C2074">
        <v>34.141361236572273</v>
      </c>
    </row>
    <row r="2075" spans="1:3" x14ac:dyDescent="0.2">
      <c r="A2075" t="s">
        <v>13</v>
      </c>
      <c r="B2075" s="2">
        <v>44659</v>
      </c>
      <c r="C2075">
        <v>34.265914916992188</v>
      </c>
    </row>
    <row r="2076" spans="1:3" x14ac:dyDescent="0.2">
      <c r="A2076" t="s">
        <v>13</v>
      </c>
      <c r="B2076" s="2">
        <v>44662</v>
      </c>
      <c r="C2076">
        <v>33.626598358154297</v>
      </c>
    </row>
    <row r="2077" spans="1:3" x14ac:dyDescent="0.2">
      <c r="A2077" t="s">
        <v>13</v>
      </c>
      <c r="B2077" s="2">
        <v>44663</v>
      </c>
      <c r="C2077">
        <v>34.340633392333977</v>
      </c>
    </row>
    <row r="2078" spans="1:3" x14ac:dyDescent="0.2">
      <c r="A2078" t="s">
        <v>13</v>
      </c>
      <c r="B2078" s="2">
        <v>44664</v>
      </c>
      <c r="C2078">
        <v>34.921840667724609</v>
      </c>
    </row>
    <row r="2079" spans="1:3" x14ac:dyDescent="0.2">
      <c r="A2079" t="s">
        <v>13</v>
      </c>
      <c r="B2079" s="2">
        <v>44665</v>
      </c>
      <c r="C2079">
        <v>35.345272064208977</v>
      </c>
    </row>
    <row r="2080" spans="1:3" x14ac:dyDescent="0.2">
      <c r="A2080" t="s">
        <v>13</v>
      </c>
      <c r="B2080" s="2">
        <v>44669</v>
      </c>
      <c r="C2080">
        <v>35.876667022705078</v>
      </c>
    </row>
    <row r="2081" spans="1:3" x14ac:dyDescent="0.2">
      <c r="A2081" t="s">
        <v>13</v>
      </c>
      <c r="B2081" s="2">
        <v>44670</v>
      </c>
      <c r="C2081">
        <v>35.677394866943359</v>
      </c>
    </row>
    <row r="2082" spans="1:3" x14ac:dyDescent="0.2">
      <c r="A2082" t="s">
        <v>13</v>
      </c>
      <c r="B2082" s="2">
        <v>44671</v>
      </c>
      <c r="C2082">
        <v>35.843448638916023</v>
      </c>
    </row>
    <row r="2083" spans="1:3" x14ac:dyDescent="0.2">
      <c r="A2083" t="s">
        <v>13</v>
      </c>
      <c r="B2083" s="2">
        <v>44672</v>
      </c>
      <c r="C2083">
        <v>34.780681610107422</v>
      </c>
    </row>
    <row r="2084" spans="1:3" x14ac:dyDescent="0.2">
      <c r="A2084" t="s">
        <v>13</v>
      </c>
      <c r="B2084" s="2">
        <v>44673</v>
      </c>
      <c r="C2084">
        <v>34.124755859375</v>
      </c>
    </row>
    <row r="2085" spans="1:3" x14ac:dyDescent="0.2">
      <c r="A2085" t="s">
        <v>13</v>
      </c>
      <c r="B2085" s="2">
        <v>44676</v>
      </c>
      <c r="C2085">
        <v>33.028778076171882</v>
      </c>
    </row>
    <row r="2086" spans="1:3" x14ac:dyDescent="0.2">
      <c r="A2086" t="s">
        <v>13</v>
      </c>
      <c r="B2086" s="2">
        <v>44677</v>
      </c>
      <c r="C2086">
        <v>33.676403045654297</v>
      </c>
    </row>
    <row r="2087" spans="1:3" x14ac:dyDescent="0.2">
      <c r="A2087" t="s">
        <v>13</v>
      </c>
      <c r="B2087" s="2">
        <v>44678</v>
      </c>
      <c r="C2087">
        <v>34.996566772460938</v>
      </c>
    </row>
    <row r="2088" spans="1:3" x14ac:dyDescent="0.2">
      <c r="A2088" t="s">
        <v>13</v>
      </c>
      <c r="B2088" s="2">
        <v>44679</v>
      </c>
      <c r="C2088">
        <v>39.206104278564453</v>
      </c>
    </row>
    <row r="2089" spans="1:3" x14ac:dyDescent="0.2">
      <c r="A2089" t="s">
        <v>13</v>
      </c>
      <c r="B2089" s="2">
        <v>44680</v>
      </c>
      <c r="C2089">
        <v>38.342609405517578</v>
      </c>
    </row>
    <row r="2090" spans="1:3" x14ac:dyDescent="0.2">
      <c r="A2090" t="s">
        <v>13</v>
      </c>
      <c r="B2090" s="2">
        <v>44683</v>
      </c>
      <c r="C2090">
        <v>38.541873931884773</v>
      </c>
    </row>
    <row r="2091" spans="1:3" x14ac:dyDescent="0.2">
      <c r="A2091" t="s">
        <v>13</v>
      </c>
      <c r="B2091" s="2">
        <v>44684</v>
      </c>
      <c r="C2091">
        <v>39.4635009765625</v>
      </c>
    </row>
    <row r="2092" spans="1:3" x14ac:dyDescent="0.2">
      <c r="A2092" t="s">
        <v>13</v>
      </c>
      <c r="B2092" s="2">
        <v>44685</v>
      </c>
      <c r="C2092">
        <v>39.513317108154297</v>
      </c>
    </row>
    <row r="2093" spans="1:3" x14ac:dyDescent="0.2">
      <c r="A2093" t="s">
        <v>13</v>
      </c>
      <c r="B2093" s="2">
        <v>44686</v>
      </c>
      <c r="C2093">
        <v>39.338951110839837</v>
      </c>
    </row>
    <row r="2094" spans="1:3" x14ac:dyDescent="0.2">
      <c r="A2094" t="s">
        <v>13</v>
      </c>
      <c r="B2094" s="2">
        <v>44687</v>
      </c>
      <c r="C2094">
        <v>39.604652404785163</v>
      </c>
    </row>
    <row r="2095" spans="1:3" x14ac:dyDescent="0.2">
      <c r="A2095" t="s">
        <v>13</v>
      </c>
      <c r="B2095" s="2">
        <v>44690</v>
      </c>
      <c r="C2095">
        <v>37.595348358154297</v>
      </c>
    </row>
    <row r="2096" spans="1:3" x14ac:dyDescent="0.2">
      <c r="A2096" t="s">
        <v>13</v>
      </c>
      <c r="B2096" s="2">
        <v>44691</v>
      </c>
      <c r="C2096">
        <v>37.122089385986328</v>
      </c>
    </row>
    <row r="2097" spans="1:3" x14ac:dyDescent="0.2">
      <c r="A2097" t="s">
        <v>13</v>
      </c>
      <c r="B2097" s="2">
        <v>44692</v>
      </c>
      <c r="C2097">
        <v>38.400726318359382</v>
      </c>
    </row>
    <row r="2098" spans="1:3" x14ac:dyDescent="0.2">
      <c r="A2098" t="s">
        <v>13</v>
      </c>
      <c r="B2098" s="2">
        <v>44693</v>
      </c>
      <c r="C2098">
        <v>38.176555633544922</v>
      </c>
    </row>
    <row r="2099" spans="1:3" x14ac:dyDescent="0.2">
      <c r="A2099" t="s">
        <v>13</v>
      </c>
      <c r="B2099" s="2">
        <v>44694</v>
      </c>
      <c r="C2099">
        <v>38.957023620605469</v>
      </c>
    </row>
    <row r="2100" spans="1:3" x14ac:dyDescent="0.2">
      <c r="A2100" t="s">
        <v>13</v>
      </c>
      <c r="B2100" s="2">
        <v>44697</v>
      </c>
      <c r="C2100">
        <v>40.003189086914062</v>
      </c>
    </row>
    <row r="2101" spans="1:3" x14ac:dyDescent="0.2">
      <c r="A2101" t="s">
        <v>13</v>
      </c>
      <c r="B2101" s="2">
        <v>44698</v>
      </c>
      <c r="C2101">
        <v>40.783653259277337</v>
      </c>
    </row>
    <row r="2102" spans="1:3" x14ac:dyDescent="0.2">
      <c r="A2102" t="s">
        <v>13</v>
      </c>
      <c r="B2102" s="2">
        <v>44699</v>
      </c>
      <c r="C2102">
        <v>40.351898193359382</v>
      </c>
    </row>
    <row r="2103" spans="1:3" x14ac:dyDescent="0.2">
      <c r="A2103" t="s">
        <v>13</v>
      </c>
      <c r="B2103" s="2">
        <v>44700</v>
      </c>
      <c r="C2103">
        <v>40.326992034912109</v>
      </c>
    </row>
    <row r="2104" spans="1:3" x14ac:dyDescent="0.2">
      <c r="A2104" t="s">
        <v>13</v>
      </c>
      <c r="B2104" s="2">
        <v>44701</v>
      </c>
      <c r="C2104">
        <v>40.576087951660163</v>
      </c>
    </row>
    <row r="2105" spans="1:3" x14ac:dyDescent="0.2">
      <c r="A2105" t="s">
        <v>13</v>
      </c>
      <c r="B2105" s="2">
        <v>44705</v>
      </c>
      <c r="C2105">
        <v>41.190494537353523</v>
      </c>
    </row>
    <row r="2106" spans="1:3" x14ac:dyDescent="0.2">
      <c r="A2106" t="s">
        <v>13</v>
      </c>
      <c r="B2106" s="2">
        <v>44706</v>
      </c>
      <c r="C2106">
        <v>41.904537200927727</v>
      </c>
    </row>
    <row r="2107" spans="1:3" x14ac:dyDescent="0.2">
      <c r="A2107" t="s">
        <v>13</v>
      </c>
      <c r="B2107" s="2">
        <v>44707</v>
      </c>
      <c r="C2107">
        <v>41.979270935058587</v>
      </c>
    </row>
    <row r="2108" spans="1:3" x14ac:dyDescent="0.2">
      <c r="A2108" t="s">
        <v>13</v>
      </c>
      <c r="B2108" s="2">
        <v>44708</v>
      </c>
      <c r="C2108">
        <v>42.892581939697273</v>
      </c>
    </row>
    <row r="2109" spans="1:3" x14ac:dyDescent="0.2">
      <c r="A2109" t="s">
        <v>13</v>
      </c>
      <c r="B2109" s="2">
        <v>44711</v>
      </c>
      <c r="C2109">
        <v>43.639835357666023</v>
      </c>
    </row>
    <row r="2110" spans="1:3" x14ac:dyDescent="0.2">
      <c r="A2110" t="s">
        <v>13</v>
      </c>
      <c r="B2110" s="2">
        <v>44712</v>
      </c>
      <c r="C2110">
        <v>42.253261566162109</v>
      </c>
    </row>
    <row r="2111" spans="1:3" x14ac:dyDescent="0.2">
      <c r="A2111" t="s">
        <v>13</v>
      </c>
      <c r="B2111" s="2">
        <v>44713</v>
      </c>
      <c r="C2111">
        <v>43.000518798828118</v>
      </c>
    </row>
    <row r="2112" spans="1:3" x14ac:dyDescent="0.2">
      <c r="A2112" t="s">
        <v>13</v>
      </c>
      <c r="B2112" s="2">
        <v>44714</v>
      </c>
      <c r="C2112">
        <v>42.556434631347663</v>
      </c>
    </row>
    <row r="2113" spans="1:3" x14ac:dyDescent="0.2">
      <c r="A2113" t="s">
        <v>13</v>
      </c>
      <c r="B2113" s="2">
        <v>44715</v>
      </c>
      <c r="C2113">
        <v>43.084304809570312</v>
      </c>
    </row>
    <row r="2114" spans="1:3" x14ac:dyDescent="0.2">
      <c r="A2114" t="s">
        <v>13</v>
      </c>
      <c r="B2114" s="2">
        <v>44718</v>
      </c>
      <c r="C2114">
        <v>43.520008087158203</v>
      </c>
    </row>
    <row r="2115" spans="1:3" x14ac:dyDescent="0.2">
      <c r="A2115" t="s">
        <v>13</v>
      </c>
      <c r="B2115" s="2">
        <v>44719</v>
      </c>
      <c r="C2115">
        <v>44.0059814453125</v>
      </c>
    </row>
    <row r="2116" spans="1:3" x14ac:dyDescent="0.2">
      <c r="A2116" t="s">
        <v>13</v>
      </c>
      <c r="B2116" s="2">
        <v>44720</v>
      </c>
      <c r="C2116">
        <v>44.684677124023438</v>
      </c>
    </row>
    <row r="2117" spans="1:3" x14ac:dyDescent="0.2">
      <c r="A2117" t="s">
        <v>13</v>
      </c>
      <c r="B2117" s="2">
        <v>44721</v>
      </c>
      <c r="C2117">
        <v>44.450069427490227</v>
      </c>
    </row>
    <row r="2118" spans="1:3" x14ac:dyDescent="0.2">
      <c r="A2118" t="s">
        <v>13</v>
      </c>
      <c r="B2118" s="2">
        <v>44722</v>
      </c>
      <c r="C2118">
        <v>44.223838806152337</v>
      </c>
    </row>
    <row r="2119" spans="1:3" x14ac:dyDescent="0.2">
      <c r="A2119" t="s">
        <v>13</v>
      </c>
      <c r="B2119" s="2">
        <v>44725</v>
      </c>
      <c r="C2119">
        <v>42.765911102294922</v>
      </c>
    </row>
    <row r="2120" spans="1:3" x14ac:dyDescent="0.2">
      <c r="A2120" t="s">
        <v>13</v>
      </c>
      <c r="B2120" s="2">
        <v>44726</v>
      </c>
      <c r="C2120">
        <v>42.732383728027337</v>
      </c>
    </row>
    <row r="2121" spans="1:3" x14ac:dyDescent="0.2">
      <c r="A2121" t="s">
        <v>13</v>
      </c>
      <c r="B2121" s="2">
        <v>44727</v>
      </c>
      <c r="C2121">
        <v>41.911258697509773</v>
      </c>
    </row>
    <row r="2122" spans="1:3" x14ac:dyDescent="0.2">
      <c r="A2122" t="s">
        <v>13</v>
      </c>
      <c r="B2122" s="2">
        <v>44728</v>
      </c>
      <c r="C2122">
        <v>39.933834075927727</v>
      </c>
    </row>
    <row r="2123" spans="1:3" x14ac:dyDescent="0.2">
      <c r="A2123" t="s">
        <v>13</v>
      </c>
      <c r="B2123" s="2">
        <v>44729</v>
      </c>
      <c r="C2123">
        <v>37.470443725585938</v>
      </c>
    </row>
    <row r="2124" spans="1:3" x14ac:dyDescent="0.2">
      <c r="A2124" t="s">
        <v>13</v>
      </c>
      <c r="B2124" s="2">
        <v>44732</v>
      </c>
      <c r="C2124">
        <v>39.179740905761719</v>
      </c>
    </row>
    <row r="2125" spans="1:3" x14ac:dyDescent="0.2">
      <c r="A2125" t="s">
        <v>13</v>
      </c>
      <c r="B2125" s="2">
        <v>44733</v>
      </c>
      <c r="C2125">
        <v>40.319267272949219</v>
      </c>
    </row>
    <row r="2126" spans="1:3" x14ac:dyDescent="0.2">
      <c r="A2126" t="s">
        <v>13</v>
      </c>
      <c r="B2126" s="2">
        <v>44734</v>
      </c>
      <c r="C2126">
        <v>38.216167449951172</v>
      </c>
    </row>
    <row r="2127" spans="1:3" x14ac:dyDescent="0.2">
      <c r="A2127" t="s">
        <v>13</v>
      </c>
      <c r="B2127" s="2">
        <v>44735</v>
      </c>
      <c r="C2127">
        <v>35.80303955078125</v>
      </c>
    </row>
    <row r="2128" spans="1:3" x14ac:dyDescent="0.2">
      <c r="A2128" t="s">
        <v>13</v>
      </c>
      <c r="B2128" s="2">
        <v>44736</v>
      </c>
      <c r="C2128">
        <v>37.3280029296875</v>
      </c>
    </row>
    <row r="2129" spans="1:3" x14ac:dyDescent="0.2">
      <c r="A2129" t="s">
        <v>13</v>
      </c>
      <c r="B2129" s="2">
        <v>44739</v>
      </c>
      <c r="C2129">
        <v>38.509422302246087</v>
      </c>
    </row>
    <row r="2130" spans="1:3" x14ac:dyDescent="0.2">
      <c r="A2130" t="s">
        <v>13</v>
      </c>
      <c r="B2130" s="2">
        <v>44740</v>
      </c>
      <c r="C2130">
        <v>39.489761352539062</v>
      </c>
    </row>
    <row r="2131" spans="1:3" x14ac:dyDescent="0.2">
      <c r="A2131" t="s">
        <v>13</v>
      </c>
      <c r="B2131" s="2">
        <v>44741</v>
      </c>
      <c r="C2131">
        <v>38.165889739990227</v>
      </c>
    </row>
    <row r="2132" spans="1:3" x14ac:dyDescent="0.2">
      <c r="A2132" t="s">
        <v>13</v>
      </c>
      <c r="B2132" s="2">
        <v>44742</v>
      </c>
      <c r="C2132">
        <v>37.839111328125</v>
      </c>
    </row>
    <row r="2133" spans="1:3" x14ac:dyDescent="0.2">
      <c r="A2133" t="s">
        <v>13</v>
      </c>
      <c r="B2133" s="2">
        <v>44746</v>
      </c>
      <c r="C2133">
        <v>38.542934417724609</v>
      </c>
    </row>
    <row r="2134" spans="1:3" x14ac:dyDescent="0.2">
      <c r="A2134" t="s">
        <v>13</v>
      </c>
      <c r="B2134" s="2">
        <v>44747</v>
      </c>
      <c r="C2134">
        <v>36.314155578613281</v>
      </c>
    </row>
    <row r="2135" spans="1:3" x14ac:dyDescent="0.2">
      <c r="A2135" t="s">
        <v>13</v>
      </c>
      <c r="B2135" s="2">
        <v>44748</v>
      </c>
      <c r="C2135">
        <v>35.568428039550781</v>
      </c>
    </row>
    <row r="2136" spans="1:3" x14ac:dyDescent="0.2">
      <c r="A2136" t="s">
        <v>13</v>
      </c>
      <c r="B2136" s="2">
        <v>44749</v>
      </c>
      <c r="C2136">
        <v>36.289016723632812</v>
      </c>
    </row>
    <row r="2137" spans="1:3" x14ac:dyDescent="0.2">
      <c r="A2137" t="s">
        <v>13</v>
      </c>
      <c r="B2137" s="2">
        <v>44750</v>
      </c>
      <c r="C2137">
        <v>35.551673889160163</v>
      </c>
    </row>
    <row r="2138" spans="1:3" x14ac:dyDescent="0.2">
      <c r="A2138" t="s">
        <v>13</v>
      </c>
      <c r="B2138" s="2">
        <v>44753</v>
      </c>
      <c r="C2138">
        <v>34.789192199707031</v>
      </c>
    </row>
    <row r="2139" spans="1:3" x14ac:dyDescent="0.2">
      <c r="A2139" t="s">
        <v>13</v>
      </c>
      <c r="B2139" s="2">
        <v>44754</v>
      </c>
      <c r="C2139">
        <v>33.272609710693359</v>
      </c>
    </row>
    <row r="2140" spans="1:3" x14ac:dyDescent="0.2">
      <c r="A2140" t="s">
        <v>13</v>
      </c>
      <c r="B2140" s="2">
        <v>44755</v>
      </c>
      <c r="C2140">
        <v>33.247482299804688</v>
      </c>
    </row>
    <row r="2141" spans="1:3" x14ac:dyDescent="0.2">
      <c r="A2141" t="s">
        <v>13</v>
      </c>
      <c r="B2141" s="2">
        <v>44756</v>
      </c>
      <c r="C2141">
        <v>32.443103790283203</v>
      </c>
    </row>
    <row r="2142" spans="1:3" x14ac:dyDescent="0.2">
      <c r="A2142" t="s">
        <v>13</v>
      </c>
      <c r="B2142" s="2">
        <v>44757</v>
      </c>
      <c r="C2142">
        <v>32.945838928222663</v>
      </c>
    </row>
    <row r="2143" spans="1:3" x14ac:dyDescent="0.2">
      <c r="A2143" t="s">
        <v>13</v>
      </c>
      <c r="B2143" s="2">
        <v>44760</v>
      </c>
      <c r="C2143">
        <v>33.297752380371087</v>
      </c>
    </row>
    <row r="2144" spans="1:3" x14ac:dyDescent="0.2">
      <c r="A2144" t="s">
        <v>13</v>
      </c>
      <c r="B2144" s="2">
        <v>44761</v>
      </c>
      <c r="C2144">
        <v>34.370246887207031</v>
      </c>
    </row>
    <row r="2145" spans="1:3" x14ac:dyDescent="0.2">
      <c r="A2145" t="s">
        <v>13</v>
      </c>
      <c r="B2145" s="2">
        <v>44762</v>
      </c>
      <c r="C2145">
        <v>34.420513153076172</v>
      </c>
    </row>
    <row r="2146" spans="1:3" x14ac:dyDescent="0.2">
      <c r="A2146" t="s">
        <v>13</v>
      </c>
      <c r="B2146" s="2">
        <v>44763</v>
      </c>
      <c r="C2146">
        <v>33.825626373291023</v>
      </c>
    </row>
    <row r="2147" spans="1:3" x14ac:dyDescent="0.2">
      <c r="A2147" t="s">
        <v>13</v>
      </c>
      <c r="B2147" s="2">
        <v>44764</v>
      </c>
      <c r="C2147">
        <v>33.331260681152337</v>
      </c>
    </row>
    <row r="2148" spans="1:3" x14ac:dyDescent="0.2">
      <c r="A2148" t="s">
        <v>13</v>
      </c>
      <c r="B2148" s="2">
        <v>44767</v>
      </c>
      <c r="C2148">
        <v>34.269702911376953</v>
      </c>
    </row>
    <row r="2149" spans="1:3" x14ac:dyDescent="0.2">
      <c r="A2149" t="s">
        <v>13</v>
      </c>
      <c r="B2149" s="2">
        <v>44768</v>
      </c>
      <c r="C2149">
        <v>33.942928314208977</v>
      </c>
    </row>
    <row r="2150" spans="1:3" x14ac:dyDescent="0.2">
      <c r="A2150" t="s">
        <v>13</v>
      </c>
      <c r="B2150" s="2">
        <v>44769</v>
      </c>
      <c r="C2150">
        <v>34.755672454833977</v>
      </c>
    </row>
    <row r="2151" spans="1:3" x14ac:dyDescent="0.2">
      <c r="A2151" t="s">
        <v>13</v>
      </c>
      <c r="B2151" s="2">
        <v>44770</v>
      </c>
      <c r="C2151">
        <v>35.099208831787109</v>
      </c>
    </row>
    <row r="2152" spans="1:3" x14ac:dyDescent="0.2">
      <c r="A2152" t="s">
        <v>13</v>
      </c>
      <c r="B2152" s="2">
        <v>44771</v>
      </c>
      <c r="C2152">
        <v>36.414707183837891</v>
      </c>
    </row>
    <row r="2153" spans="1:3" x14ac:dyDescent="0.2">
      <c r="A2153" t="s">
        <v>13</v>
      </c>
      <c r="B2153" s="2">
        <v>44775</v>
      </c>
      <c r="C2153">
        <v>35.953853607177727</v>
      </c>
    </row>
    <row r="2154" spans="1:3" x14ac:dyDescent="0.2">
      <c r="A2154" t="s">
        <v>13</v>
      </c>
      <c r="B2154" s="2">
        <v>44776</v>
      </c>
      <c r="C2154">
        <v>34.613235473632812</v>
      </c>
    </row>
    <row r="2155" spans="1:3" x14ac:dyDescent="0.2">
      <c r="A2155" t="s">
        <v>13</v>
      </c>
      <c r="B2155" s="2">
        <v>44777</v>
      </c>
      <c r="C2155">
        <v>33.063148498535163</v>
      </c>
    </row>
    <row r="2156" spans="1:3" x14ac:dyDescent="0.2">
      <c r="A2156" t="s">
        <v>13</v>
      </c>
      <c r="B2156" s="2">
        <v>44778</v>
      </c>
      <c r="C2156">
        <v>32.836906433105469</v>
      </c>
    </row>
    <row r="2157" spans="1:3" x14ac:dyDescent="0.2">
      <c r="A2157" t="s">
        <v>13</v>
      </c>
      <c r="B2157" s="2">
        <v>44781</v>
      </c>
      <c r="C2157">
        <v>32.744743347167969</v>
      </c>
    </row>
    <row r="2158" spans="1:3" x14ac:dyDescent="0.2">
      <c r="A2158" t="s">
        <v>13</v>
      </c>
      <c r="B2158" s="2">
        <v>44782</v>
      </c>
      <c r="C2158">
        <v>32.862049102783203</v>
      </c>
    </row>
    <row r="2159" spans="1:3" x14ac:dyDescent="0.2">
      <c r="A2159" t="s">
        <v>13</v>
      </c>
      <c r="B2159" s="2">
        <v>44783</v>
      </c>
      <c r="C2159">
        <v>33.004486083984382</v>
      </c>
    </row>
    <row r="2160" spans="1:3" x14ac:dyDescent="0.2">
      <c r="A2160" t="s">
        <v>13</v>
      </c>
      <c r="B2160" s="2">
        <v>44784</v>
      </c>
      <c r="C2160">
        <v>34.076992034912109</v>
      </c>
    </row>
    <row r="2161" spans="1:3" x14ac:dyDescent="0.2">
      <c r="A2161" t="s">
        <v>13</v>
      </c>
      <c r="B2161" s="2">
        <v>44785</v>
      </c>
      <c r="C2161">
        <v>35.023807525634773</v>
      </c>
    </row>
    <row r="2162" spans="1:3" x14ac:dyDescent="0.2">
      <c r="A2162" t="s">
        <v>13</v>
      </c>
      <c r="B2162" s="2">
        <v>44788</v>
      </c>
      <c r="C2162">
        <v>34.579719543457031</v>
      </c>
    </row>
    <row r="2163" spans="1:3" x14ac:dyDescent="0.2">
      <c r="A2163" t="s">
        <v>13</v>
      </c>
      <c r="B2163" s="2">
        <v>44789</v>
      </c>
      <c r="C2163">
        <v>34.227802276611328</v>
      </c>
    </row>
    <row r="2164" spans="1:3" x14ac:dyDescent="0.2">
      <c r="A2164" t="s">
        <v>13</v>
      </c>
      <c r="B2164" s="2">
        <v>44790</v>
      </c>
      <c r="C2164">
        <v>34.948390960693359</v>
      </c>
    </row>
    <row r="2165" spans="1:3" x14ac:dyDescent="0.2">
      <c r="A2165" t="s">
        <v>13</v>
      </c>
      <c r="B2165" s="2">
        <v>44791</v>
      </c>
      <c r="C2165">
        <v>35.76953125</v>
      </c>
    </row>
    <row r="2166" spans="1:3" x14ac:dyDescent="0.2">
      <c r="A2166" t="s">
        <v>13</v>
      </c>
      <c r="B2166" s="2">
        <v>44792</v>
      </c>
      <c r="C2166">
        <v>35.518161773681641</v>
      </c>
    </row>
    <row r="2167" spans="1:3" x14ac:dyDescent="0.2">
      <c r="A2167" t="s">
        <v>13</v>
      </c>
      <c r="B2167" s="2">
        <v>44795</v>
      </c>
      <c r="C2167">
        <v>35.903583526611328</v>
      </c>
    </row>
    <row r="2168" spans="1:3" x14ac:dyDescent="0.2">
      <c r="A2168" t="s">
        <v>13</v>
      </c>
      <c r="B2168" s="2">
        <v>44796</v>
      </c>
      <c r="C2168">
        <v>37.227451324462891</v>
      </c>
    </row>
    <row r="2169" spans="1:3" x14ac:dyDescent="0.2">
      <c r="A2169" t="s">
        <v>13</v>
      </c>
      <c r="B2169" s="2">
        <v>44797</v>
      </c>
      <c r="C2169">
        <v>37.579368591308587</v>
      </c>
    </row>
    <row r="2170" spans="1:3" x14ac:dyDescent="0.2">
      <c r="A2170" t="s">
        <v>13</v>
      </c>
      <c r="B2170" s="2">
        <v>44798</v>
      </c>
      <c r="C2170">
        <v>37.780467987060547</v>
      </c>
    </row>
    <row r="2171" spans="1:3" x14ac:dyDescent="0.2">
      <c r="A2171" t="s">
        <v>13</v>
      </c>
      <c r="B2171" s="2">
        <v>44799</v>
      </c>
      <c r="C2171">
        <v>37.47882080078125</v>
      </c>
    </row>
    <row r="2172" spans="1:3" x14ac:dyDescent="0.2">
      <c r="A2172" t="s">
        <v>13</v>
      </c>
      <c r="B2172" s="2">
        <v>44802</v>
      </c>
      <c r="C2172">
        <v>37.981563568115227</v>
      </c>
    </row>
    <row r="2173" spans="1:3" x14ac:dyDescent="0.2">
      <c r="A2173" t="s">
        <v>13</v>
      </c>
      <c r="B2173" s="2">
        <v>44803</v>
      </c>
      <c r="C2173">
        <v>36.171710968017578</v>
      </c>
    </row>
    <row r="2174" spans="1:3" x14ac:dyDescent="0.2">
      <c r="A2174" t="s">
        <v>13</v>
      </c>
      <c r="B2174" s="2">
        <v>44804</v>
      </c>
      <c r="C2174">
        <v>35.601951599121087</v>
      </c>
    </row>
    <row r="2175" spans="1:3" x14ac:dyDescent="0.2">
      <c r="A2175" t="s">
        <v>13</v>
      </c>
      <c r="B2175" s="2">
        <v>44805</v>
      </c>
      <c r="C2175">
        <v>34.661491394042969</v>
      </c>
    </row>
    <row r="2176" spans="1:3" x14ac:dyDescent="0.2">
      <c r="A2176" t="s">
        <v>13</v>
      </c>
      <c r="B2176" s="2">
        <v>44806</v>
      </c>
      <c r="C2176">
        <v>35.415546417236328</v>
      </c>
    </row>
    <row r="2177" spans="1:3" x14ac:dyDescent="0.2">
      <c r="A2177" t="s">
        <v>13</v>
      </c>
      <c r="B2177" s="2">
        <v>44810</v>
      </c>
      <c r="C2177">
        <v>34.636070251464837</v>
      </c>
    </row>
    <row r="2178" spans="1:3" x14ac:dyDescent="0.2">
      <c r="A2178" t="s">
        <v>13</v>
      </c>
      <c r="B2178" s="2">
        <v>44811</v>
      </c>
      <c r="C2178">
        <v>33.865066528320312</v>
      </c>
    </row>
    <row r="2179" spans="1:3" x14ac:dyDescent="0.2">
      <c r="A2179" t="s">
        <v>13</v>
      </c>
      <c r="B2179" s="2">
        <v>44812</v>
      </c>
      <c r="C2179">
        <v>34.119243621826172</v>
      </c>
    </row>
    <row r="2180" spans="1:3" x14ac:dyDescent="0.2">
      <c r="A2180" t="s">
        <v>13</v>
      </c>
      <c r="B2180" s="2">
        <v>44813</v>
      </c>
      <c r="C2180">
        <v>34.941089630126953</v>
      </c>
    </row>
    <row r="2181" spans="1:3" x14ac:dyDescent="0.2">
      <c r="A2181" t="s">
        <v>13</v>
      </c>
      <c r="B2181" s="2">
        <v>44816</v>
      </c>
      <c r="C2181">
        <v>35.678203582763672</v>
      </c>
    </row>
    <row r="2182" spans="1:3" x14ac:dyDescent="0.2">
      <c r="A2182" t="s">
        <v>13</v>
      </c>
      <c r="B2182" s="2">
        <v>44817</v>
      </c>
      <c r="C2182">
        <v>35.246101379394531</v>
      </c>
    </row>
    <row r="2183" spans="1:3" x14ac:dyDescent="0.2">
      <c r="A2183" t="s">
        <v>13</v>
      </c>
      <c r="B2183" s="2">
        <v>44818</v>
      </c>
      <c r="C2183">
        <v>35.906959533691413</v>
      </c>
    </row>
    <row r="2184" spans="1:3" x14ac:dyDescent="0.2">
      <c r="A2184" t="s">
        <v>13</v>
      </c>
      <c r="B2184" s="2">
        <v>44819</v>
      </c>
      <c r="C2184">
        <v>34.932613372802727</v>
      </c>
    </row>
    <row r="2185" spans="1:3" x14ac:dyDescent="0.2">
      <c r="A2185" t="s">
        <v>13</v>
      </c>
      <c r="B2185" s="2">
        <v>44820</v>
      </c>
      <c r="C2185">
        <v>34.559814453125</v>
      </c>
    </row>
    <row r="2186" spans="1:3" x14ac:dyDescent="0.2">
      <c r="A2186" t="s">
        <v>13</v>
      </c>
      <c r="B2186" s="2">
        <v>44823</v>
      </c>
      <c r="C2186">
        <v>35.051223754882812</v>
      </c>
    </row>
    <row r="2187" spans="1:3" x14ac:dyDescent="0.2">
      <c r="A2187" t="s">
        <v>13</v>
      </c>
      <c r="B2187" s="2">
        <v>44824</v>
      </c>
      <c r="C2187">
        <v>35.347770690917969</v>
      </c>
    </row>
    <row r="2188" spans="1:3" x14ac:dyDescent="0.2">
      <c r="A2188" t="s">
        <v>13</v>
      </c>
      <c r="B2188" s="2">
        <v>44825</v>
      </c>
      <c r="C2188">
        <v>34.593715667724609</v>
      </c>
    </row>
    <row r="2189" spans="1:3" x14ac:dyDescent="0.2">
      <c r="A2189" t="s">
        <v>13</v>
      </c>
      <c r="B2189" s="2">
        <v>44826</v>
      </c>
      <c r="C2189">
        <v>34.500511169433587</v>
      </c>
    </row>
    <row r="2190" spans="1:3" x14ac:dyDescent="0.2">
      <c r="A2190" t="s">
        <v>13</v>
      </c>
      <c r="B2190" s="2">
        <v>44827</v>
      </c>
      <c r="C2190">
        <v>31.306333541870121</v>
      </c>
    </row>
    <row r="2191" spans="1:3" x14ac:dyDescent="0.2">
      <c r="A2191" t="s">
        <v>13</v>
      </c>
      <c r="B2191" s="2">
        <v>44830</v>
      </c>
      <c r="C2191">
        <v>31.001316070556641</v>
      </c>
    </row>
    <row r="2192" spans="1:3" x14ac:dyDescent="0.2">
      <c r="A2192" t="s">
        <v>13</v>
      </c>
      <c r="B2192" s="2">
        <v>44831</v>
      </c>
      <c r="C2192">
        <v>31.450368881225589</v>
      </c>
    </row>
    <row r="2193" spans="1:3" x14ac:dyDescent="0.2">
      <c r="A2193" t="s">
        <v>13</v>
      </c>
      <c r="B2193" s="2">
        <v>44832</v>
      </c>
      <c r="C2193">
        <v>32.856819152832031</v>
      </c>
    </row>
    <row r="2194" spans="1:3" x14ac:dyDescent="0.2">
      <c r="A2194" t="s">
        <v>13</v>
      </c>
      <c r="B2194" s="2">
        <v>44833</v>
      </c>
      <c r="C2194">
        <v>32.882244110107422</v>
      </c>
    </row>
    <row r="2195" spans="1:3" x14ac:dyDescent="0.2">
      <c r="A2195" t="s">
        <v>13</v>
      </c>
      <c r="B2195" s="2">
        <v>44834</v>
      </c>
      <c r="C2195">
        <v>32.958488464355469</v>
      </c>
    </row>
    <row r="2196" spans="1:3" x14ac:dyDescent="0.2">
      <c r="A2196" t="s">
        <v>13</v>
      </c>
      <c r="B2196" s="2">
        <v>44837</v>
      </c>
      <c r="C2196">
        <v>35.381656646728523</v>
      </c>
    </row>
    <row r="2197" spans="1:3" x14ac:dyDescent="0.2">
      <c r="A2197" t="s">
        <v>13</v>
      </c>
      <c r="B2197" s="2">
        <v>44838</v>
      </c>
      <c r="C2197">
        <v>36.677970886230469</v>
      </c>
    </row>
    <row r="2198" spans="1:3" x14ac:dyDescent="0.2">
      <c r="A2198" t="s">
        <v>13</v>
      </c>
      <c r="B2198" s="2">
        <v>44839</v>
      </c>
      <c r="C2198">
        <v>37.474403381347663</v>
      </c>
    </row>
    <row r="2199" spans="1:3" x14ac:dyDescent="0.2">
      <c r="A2199" t="s">
        <v>13</v>
      </c>
      <c r="B2199" s="2">
        <v>44840</v>
      </c>
      <c r="C2199">
        <v>38.219993591308587</v>
      </c>
    </row>
    <row r="2200" spans="1:3" x14ac:dyDescent="0.2">
      <c r="A2200" t="s">
        <v>13</v>
      </c>
      <c r="B2200" s="2">
        <v>44841</v>
      </c>
      <c r="C2200">
        <v>38.160682678222663</v>
      </c>
    </row>
    <row r="2201" spans="1:3" x14ac:dyDescent="0.2">
      <c r="A2201" t="s">
        <v>13</v>
      </c>
      <c r="B2201" s="2">
        <v>44845</v>
      </c>
      <c r="C2201">
        <v>36.584770202636719</v>
      </c>
    </row>
    <row r="2202" spans="1:3" x14ac:dyDescent="0.2">
      <c r="A2202" t="s">
        <v>13</v>
      </c>
      <c r="B2202" s="2">
        <v>44846</v>
      </c>
      <c r="C2202">
        <v>36.703384399414062</v>
      </c>
    </row>
    <row r="2203" spans="1:3" x14ac:dyDescent="0.2">
      <c r="A2203" t="s">
        <v>13</v>
      </c>
      <c r="B2203" s="2">
        <v>44847</v>
      </c>
      <c r="C2203">
        <v>37.609954833984382</v>
      </c>
    </row>
    <row r="2204" spans="1:3" x14ac:dyDescent="0.2">
      <c r="A2204" t="s">
        <v>13</v>
      </c>
      <c r="B2204" s="2">
        <v>44848</v>
      </c>
      <c r="C2204">
        <v>36.466159820556641</v>
      </c>
    </row>
    <row r="2205" spans="1:3" x14ac:dyDescent="0.2">
      <c r="A2205" t="s">
        <v>13</v>
      </c>
      <c r="B2205" s="2">
        <v>44851</v>
      </c>
      <c r="C2205">
        <v>36.542411804199219</v>
      </c>
    </row>
    <row r="2206" spans="1:3" x14ac:dyDescent="0.2">
      <c r="A2206" t="s">
        <v>13</v>
      </c>
      <c r="B2206" s="2">
        <v>44852</v>
      </c>
      <c r="C2206">
        <v>36.228919982910163</v>
      </c>
    </row>
    <row r="2207" spans="1:3" x14ac:dyDescent="0.2">
      <c r="A2207" t="s">
        <v>13</v>
      </c>
      <c r="B2207" s="2">
        <v>44853</v>
      </c>
      <c r="C2207">
        <v>36.855903625488281</v>
      </c>
    </row>
    <row r="2208" spans="1:3" x14ac:dyDescent="0.2">
      <c r="A2208" t="s">
        <v>13</v>
      </c>
      <c r="B2208" s="2">
        <v>44854</v>
      </c>
      <c r="C2208">
        <v>37.228691101074219</v>
      </c>
    </row>
    <row r="2209" spans="1:3" x14ac:dyDescent="0.2">
      <c r="A2209" t="s">
        <v>13</v>
      </c>
      <c r="B2209" s="2">
        <v>44855</v>
      </c>
      <c r="C2209">
        <v>38.550422668457031</v>
      </c>
    </row>
    <row r="2210" spans="1:3" x14ac:dyDescent="0.2">
      <c r="A2210" t="s">
        <v>13</v>
      </c>
      <c r="B2210" s="2">
        <v>44858</v>
      </c>
      <c r="C2210">
        <v>38.482643127441413</v>
      </c>
    </row>
    <row r="2211" spans="1:3" x14ac:dyDescent="0.2">
      <c r="A2211" t="s">
        <v>13</v>
      </c>
      <c r="B2211" s="2">
        <v>44859</v>
      </c>
      <c r="C2211">
        <v>38.525001525878913</v>
      </c>
    </row>
    <row r="2212" spans="1:3" x14ac:dyDescent="0.2">
      <c r="A2212" t="s">
        <v>13</v>
      </c>
      <c r="B2212" s="2">
        <v>44860</v>
      </c>
      <c r="C2212">
        <v>39.177391052246087</v>
      </c>
    </row>
    <row r="2213" spans="1:3" x14ac:dyDescent="0.2">
      <c r="A2213" t="s">
        <v>13</v>
      </c>
      <c r="B2213" s="2">
        <v>44861</v>
      </c>
      <c r="C2213">
        <v>38.448753356933587</v>
      </c>
    </row>
    <row r="2214" spans="1:3" x14ac:dyDescent="0.2">
      <c r="A2214" t="s">
        <v>13</v>
      </c>
      <c r="B2214" s="2">
        <v>44862</v>
      </c>
      <c r="C2214">
        <v>38.855442047119141</v>
      </c>
    </row>
    <row r="2215" spans="1:3" x14ac:dyDescent="0.2">
      <c r="A2215" t="s">
        <v>13</v>
      </c>
      <c r="B2215" s="2">
        <v>44865</v>
      </c>
      <c r="C2215">
        <v>39.702693939208977</v>
      </c>
    </row>
    <row r="2216" spans="1:3" x14ac:dyDescent="0.2">
      <c r="A2216" t="s">
        <v>13</v>
      </c>
      <c r="B2216" s="2">
        <v>44866</v>
      </c>
      <c r="C2216">
        <v>40.4398193359375</v>
      </c>
    </row>
    <row r="2217" spans="1:3" x14ac:dyDescent="0.2">
      <c r="A2217" t="s">
        <v>13</v>
      </c>
      <c r="B2217" s="2">
        <v>44867</v>
      </c>
      <c r="C2217">
        <v>39.533245086669922</v>
      </c>
    </row>
    <row r="2218" spans="1:3" x14ac:dyDescent="0.2">
      <c r="A2218" t="s">
        <v>13</v>
      </c>
      <c r="B2218" s="2">
        <v>44868</v>
      </c>
      <c r="C2218">
        <v>41.066787719726562</v>
      </c>
    </row>
    <row r="2219" spans="1:3" x14ac:dyDescent="0.2">
      <c r="A2219" t="s">
        <v>13</v>
      </c>
      <c r="B2219" s="2">
        <v>44869</v>
      </c>
      <c r="C2219">
        <v>41.26165771484375</v>
      </c>
    </row>
    <row r="2220" spans="1:3" x14ac:dyDescent="0.2">
      <c r="A2220" t="s">
        <v>13</v>
      </c>
      <c r="B2220" s="2">
        <v>44872</v>
      </c>
      <c r="C2220">
        <v>41.346382141113281</v>
      </c>
    </row>
    <row r="2221" spans="1:3" x14ac:dyDescent="0.2">
      <c r="A2221" t="s">
        <v>13</v>
      </c>
      <c r="B2221" s="2">
        <v>44873</v>
      </c>
      <c r="C2221">
        <v>40.94818115234375</v>
      </c>
    </row>
    <row r="2222" spans="1:3" x14ac:dyDescent="0.2">
      <c r="A2222" t="s">
        <v>13</v>
      </c>
      <c r="B2222" s="2">
        <v>44874</v>
      </c>
      <c r="C2222">
        <v>39.524776458740227</v>
      </c>
    </row>
    <row r="2223" spans="1:3" x14ac:dyDescent="0.2">
      <c r="A2223" t="s">
        <v>13</v>
      </c>
      <c r="B2223" s="2">
        <v>44875</v>
      </c>
      <c r="C2223">
        <v>40.414402008056641</v>
      </c>
    </row>
    <row r="2224" spans="1:3" x14ac:dyDescent="0.2">
      <c r="A2224" t="s">
        <v>13</v>
      </c>
      <c r="B2224" s="2">
        <v>44876</v>
      </c>
      <c r="C2224">
        <v>41.320964813232422</v>
      </c>
    </row>
    <row r="2225" spans="1:3" x14ac:dyDescent="0.2">
      <c r="A2225" t="s">
        <v>13</v>
      </c>
      <c r="B2225" s="2">
        <v>44879</v>
      </c>
      <c r="C2225">
        <v>40.854972839355469</v>
      </c>
    </row>
    <row r="2226" spans="1:3" x14ac:dyDescent="0.2">
      <c r="A2226" t="s">
        <v>13</v>
      </c>
      <c r="B2226" s="2">
        <v>44880</v>
      </c>
      <c r="C2226">
        <v>41.676811218261719</v>
      </c>
    </row>
    <row r="2227" spans="1:3" x14ac:dyDescent="0.2">
      <c r="A2227" t="s">
        <v>13</v>
      </c>
      <c r="B2227" s="2">
        <v>44881</v>
      </c>
      <c r="C2227">
        <v>40.931224822998047</v>
      </c>
    </row>
    <row r="2228" spans="1:3" x14ac:dyDescent="0.2">
      <c r="A2228" t="s">
        <v>13</v>
      </c>
      <c r="B2228" s="2">
        <v>44882</v>
      </c>
      <c r="C2228">
        <v>40.956642150878913</v>
      </c>
    </row>
    <row r="2229" spans="1:3" x14ac:dyDescent="0.2">
      <c r="A2229" t="s">
        <v>13</v>
      </c>
      <c r="B2229" s="2">
        <v>44883</v>
      </c>
      <c r="C2229">
        <v>40.380508422851562</v>
      </c>
    </row>
    <row r="2230" spans="1:3" x14ac:dyDescent="0.2">
      <c r="A2230" t="s">
        <v>13</v>
      </c>
      <c r="B2230" s="2">
        <v>44886</v>
      </c>
      <c r="C2230">
        <v>40.092433929443359</v>
      </c>
    </row>
    <row r="2231" spans="1:3" x14ac:dyDescent="0.2">
      <c r="A2231" t="s">
        <v>13</v>
      </c>
      <c r="B2231" s="2">
        <v>44887</v>
      </c>
      <c r="C2231">
        <v>40.914283752441413</v>
      </c>
    </row>
    <row r="2232" spans="1:3" x14ac:dyDescent="0.2">
      <c r="A2232" t="s">
        <v>13</v>
      </c>
      <c r="B2232" s="2">
        <v>44888</v>
      </c>
      <c r="C2232">
        <v>40.431346893310547</v>
      </c>
    </row>
    <row r="2233" spans="1:3" x14ac:dyDescent="0.2">
      <c r="A2233" t="s">
        <v>13</v>
      </c>
      <c r="B2233" s="2">
        <v>44889</v>
      </c>
      <c r="C2233">
        <v>40.507598876953118</v>
      </c>
    </row>
    <row r="2234" spans="1:3" x14ac:dyDescent="0.2">
      <c r="A2234" t="s">
        <v>13</v>
      </c>
      <c r="B2234" s="2">
        <v>44890</v>
      </c>
      <c r="C2234">
        <v>40.143276214599609</v>
      </c>
    </row>
    <row r="2235" spans="1:3" x14ac:dyDescent="0.2">
      <c r="A2235" t="s">
        <v>13</v>
      </c>
      <c r="B2235" s="2">
        <v>44893</v>
      </c>
      <c r="C2235">
        <v>39.143497467041023</v>
      </c>
    </row>
    <row r="2236" spans="1:3" x14ac:dyDescent="0.2">
      <c r="A2236" t="s">
        <v>13</v>
      </c>
      <c r="B2236" s="2">
        <v>44894</v>
      </c>
      <c r="C2236">
        <v>38.491119384765618</v>
      </c>
    </row>
    <row r="2237" spans="1:3" x14ac:dyDescent="0.2">
      <c r="A2237" t="s">
        <v>13</v>
      </c>
      <c r="B2237" s="2">
        <v>44895</v>
      </c>
      <c r="C2237">
        <v>37.474403381347663</v>
      </c>
    </row>
    <row r="2238" spans="1:3" x14ac:dyDescent="0.2">
      <c r="A2238" t="s">
        <v>13</v>
      </c>
      <c r="B2238" s="2">
        <v>44896</v>
      </c>
      <c r="C2238">
        <v>37.011432647705078</v>
      </c>
    </row>
    <row r="2239" spans="1:3" x14ac:dyDescent="0.2">
      <c r="A2239" t="s">
        <v>13</v>
      </c>
      <c r="B2239" s="2">
        <v>44897</v>
      </c>
      <c r="C2239">
        <v>36.865684509277337</v>
      </c>
    </row>
    <row r="2240" spans="1:3" x14ac:dyDescent="0.2">
      <c r="A2240" t="s">
        <v>13</v>
      </c>
      <c r="B2240" s="2">
        <v>44900</v>
      </c>
      <c r="C2240">
        <v>36.205532073974609</v>
      </c>
    </row>
    <row r="2241" spans="1:3" x14ac:dyDescent="0.2">
      <c r="A2241" t="s">
        <v>13</v>
      </c>
      <c r="B2241" s="2">
        <v>44901</v>
      </c>
      <c r="C2241">
        <v>35.090984344482422</v>
      </c>
    </row>
    <row r="2242" spans="1:3" x14ac:dyDescent="0.2">
      <c r="A2242" t="s">
        <v>13</v>
      </c>
      <c r="B2242" s="2">
        <v>44902</v>
      </c>
      <c r="C2242">
        <v>34.859512329101562</v>
      </c>
    </row>
    <row r="2243" spans="1:3" x14ac:dyDescent="0.2">
      <c r="A2243" t="s">
        <v>13</v>
      </c>
      <c r="B2243" s="2">
        <v>44903</v>
      </c>
      <c r="C2243">
        <v>34.825210571289062</v>
      </c>
    </row>
    <row r="2244" spans="1:3" x14ac:dyDescent="0.2">
      <c r="A2244" t="s">
        <v>13</v>
      </c>
      <c r="B2244" s="2">
        <v>44904</v>
      </c>
      <c r="C2244">
        <v>34.619449615478523</v>
      </c>
    </row>
    <row r="2245" spans="1:3" x14ac:dyDescent="0.2">
      <c r="A2245" t="s">
        <v>13</v>
      </c>
      <c r="B2245" s="2">
        <v>44907</v>
      </c>
      <c r="C2245">
        <v>35.451072692871087</v>
      </c>
    </row>
    <row r="2246" spans="1:3" x14ac:dyDescent="0.2">
      <c r="A2246" t="s">
        <v>13</v>
      </c>
      <c r="B2246" s="2">
        <v>44908</v>
      </c>
      <c r="C2246">
        <v>36.145519256591797</v>
      </c>
    </row>
    <row r="2247" spans="1:3" x14ac:dyDescent="0.2">
      <c r="A2247" t="s">
        <v>13</v>
      </c>
      <c r="B2247" s="2">
        <v>44909</v>
      </c>
      <c r="C2247">
        <v>36.162673950195312</v>
      </c>
    </row>
    <row r="2248" spans="1:3" x14ac:dyDescent="0.2">
      <c r="A2248" t="s">
        <v>13</v>
      </c>
      <c r="B2248" s="2">
        <v>44910</v>
      </c>
      <c r="C2248">
        <v>35.77685546875</v>
      </c>
    </row>
    <row r="2249" spans="1:3" x14ac:dyDescent="0.2">
      <c r="A2249" t="s">
        <v>13</v>
      </c>
      <c r="B2249" s="2">
        <v>44911</v>
      </c>
      <c r="C2249">
        <v>35.125286102294922</v>
      </c>
    </row>
    <row r="2250" spans="1:3" x14ac:dyDescent="0.2">
      <c r="A2250" t="s">
        <v>13</v>
      </c>
      <c r="B2250" s="2">
        <v>44914</v>
      </c>
      <c r="C2250">
        <v>34.808063507080078</v>
      </c>
    </row>
    <row r="2251" spans="1:3" x14ac:dyDescent="0.2">
      <c r="A2251" t="s">
        <v>13</v>
      </c>
      <c r="B2251" s="2">
        <v>44915</v>
      </c>
      <c r="C2251">
        <v>35.365337371826172</v>
      </c>
    </row>
    <row r="2252" spans="1:3" x14ac:dyDescent="0.2">
      <c r="A2252" t="s">
        <v>13</v>
      </c>
      <c r="B2252" s="2">
        <v>44916</v>
      </c>
      <c r="C2252">
        <v>36.256977081298828</v>
      </c>
    </row>
    <row r="2253" spans="1:3" x14ac:dyDescent="0.2">
      <c r="A2253" t="s">
        <v>13</v>
      </c>
      <c r="B2253" s="2">
        <v>44917</v>
      </c>
      <c r="C2253">
        <v>35.502510070800781</v>
      </c>
    </row>
    <row r="2254" spans="1:3" x14ac:dyDescent="0.2">
      <c r="A2254" t="s">
        <v>13</v>
      </c>
      <c r="B2254" s="2">
        <v>44918</v>
      </c>
      <c r="C2254">
        <v>36.702785491943359</v>
      </c>
    </row>
    <row r="2255" spans="1:3" x14ac:dyDescent="0.2">
      <c r="A2255" t="s">
        <v>13</v>
      </c>
      <c r="B2255" s="2">
        <v>44923</v>
      </c>
      <c r="C2255">
        <v>36.45416259765625</v>
      </c>
    </row>
    <row r="2256" spans="1:3" x14ac:dyDescent="0.2">
      <c r="A2256" t="s">
        <v>13</v>
      </c>
      <c r="B2256" s="2">
        <v>44924</v>
      </c>
      <c r="C2256">
        <v>36.445590972900391</v>
      </c>
    </row>
    <row r="2257" spans="1:3" x14ac:dyDescent="0.2">
      <c r="A2257" t="s">
        <v>13</v>
      </c>
      <c r="B2257" s="2">
        <v>44925</v>
      </c>
      <c r="C2257">
        <v>36.822818756103523</v>
      </c>
    </row>
    <row r="2258" spans="1:3" x14ac:dyDescent="0.2">
      <c r="A2258" t="s">
        <v>13</v>
      </c>
      <c r="B2258" s="2">
        <v>44929</v>
      </c>
      <c r="C2258">
        <v>35.391048431396477</v>
      </c>
    </row>
    <row r="2259" spans="1:3" x14ac:dyDescent="0.2">
      <c r="A2259" t="s">
        <v>13</v>
      </c>
      <c r="B2259" s="2">
        <v>44930</v>
      </c>
      <c r="C2259">
        <v>34.447978973388672</v>
      </c>
    </row>
    <row r="2260" spans="1:3" x14ac:dyDescent="0.2">
      <c r="A2260" t="s">
        <v>13</v>
      </c>
      <c r="B2260" s="2">
        <v>44931</v>
      </c>
      <c r="C2260">
        <v>35.262458801269531</v>
      </c>
    </row>
    <row r="2261" spans="1:3" x14ac:dyDescent="0.2">
      <c r="A2261" t="s">
        <v>13</v>
      </c>
      <c r="B2261" s="2">
        <v>44932</v>
      </c>
      <c r="C2261">
        <v>36.145519256591797</v>
      </c>
    </row>
    <row r="2262" spans="1:3" x14ac:dyDescent="0.2">
      <c r="A2262" t="s">
        <v>13</v>
      </c>
      <c r="B2262" s="2">
        <v>44935</v>
      </c>
      <c r="C2262">
        <v>36.171237945556641</v>
      </c>
    </row>
    <row r="2263" spans="1:3" x14ac:dyDescent="0.2">
      <c r="A2263" t="s">
        <v>13</v>
      </c>
      <c r="B2263" s="2">
        <v>44936</v>
      </c>
      <c r="C2263">
        <v>35.716842651367188</v>
      </c>
    </row>
    <row r="2264" spans="1:3" x14ac:dyDescent="0.2">
      <c r="A2264" t="s">
        <v>13</v>
      </c>
      <c r="B2264" s="2">
        <v>44937</v>
      </c>
      <c r="C2264">
        <v>36.119800567626953</v>
      </c>
    </row>
    <row r="2265" spans="1:3" x14ac:dyDescent="0.2">
      <c r="A2265" t="s">
        <v>13</v>
      </c>
      <c r="B2265" s="2">
        <v>44938</v>
      </c>
      <c r="C2265">
        <v>37.002861022949219</v>
      </c>
    </row>
    <row r="2266" spans="1:3" x14ac:dyDescent="0.2">
      <c r="A2266" t="s">
        <v>13</v>
      </c>
      <c r="B2266" s="2">
        <v>44939</v>
      </c>
      <c r="C2266">
        <v>37.22576904296875</v>
      </c>
    </row>
    <row r="2267" spans="1:3" x14ac:dyDescent="0.2">
      <c r="A2267" t="s">
        <v>13</v>
      </c>
      <c r="B2267" s="2">
        <v>44942</v>
      </c>
      <c r="C2267">
        <v>37.33721923828125</v>
      </c>
    </row>
    <row r="2268" spans="1:3" x14ac:dyDescent="0.2">
      <c r="A2268" t="s">
        <v>13</v>
      </c>
      <c r="B2268" s="2">
        <v>44943</v>
      </c>
      <c r="C2268">
        <v>37.75732421875</v>
      </c>
    </row>
    <row r="2269" spans="1:3" x14ac:dyDescent="0.2">
      <c r="A2269" t="s">
        <v>13</v>
      </c>
      <c r="B2269" s="2">
        <v>44944</v>
      </c>
      <c r="C2269">
        <v>37.4658203125</v>
      </c>
    </row>
    <row r="2270" spans="1:3" x14ac:dyDescent="0.2">
      <c r="A2270" t="s">
        <v>13</v>
      </c>
      <c r="B2270" s="2">
        <v>44945</v>
      </c>
      <c r="C2270">
        <v>38.228858947753913</v>
      </c>
    </row>
    <row r="2271" spans="1:3" x14ac:dyDescent="0.2">
      <c r="A2271" t="s">
        <v>13</v>
      </c>
      <c r="B2271" s="2">
        <v>44946</v>
      </c>
      <c r="C2271">
        <v>37.885921478271477</v>
      </c>
    </row>
    <row r="2272" spans="1:3" x14ac:dyDescent="0.2">
      <c r="A2272" t="s">
        <v>13</v>
      </c>
      <c r="B2272" s="2">
        <v>44949</v>
      </c>
      <c r="C2272">
        <v>38.623233795166023</v>
      </c>
    </row>
    <row r="2273" spans="1:3" x14ac:dyDescent="0.2">
      <c r="A2273" t="s">
        <v>13</v>
      </c>
      <c r="B2273" s="2">
        <v>44950</v>
      </c>
      <c r="C2273">
        <v>38.391757965087891</v>
      </c>
    </row>
    <row r="2274" spans="1:3" x14ac:dyDescent="0.2">
      <c r="A2274" t="s">
        <v>13</v>
      </c>
      <c r="B2274" s="2">
        <v>44951</v>
      </c>
      <c r="C2274">
        <v>38.023097991943359</v>
      </c>
    </row>
    <row r="2275" spans="1:3" x14ac:dyDescent="0.2">
      <c r="A2275" t="s">
        <v>13</v>
      </c>
      <c r="B2275" s="2">
        <v>44952</v>
      </c>
      <c r="C2275">
        <v>39.514869689941413</v>
      </c>
    </row>
    <row r="2276" spans="1:3" x14ac:dyDescent="0.2">
      <c r="A2276" t="s">
        <v>13</v>
      </c>
      <c r="B2276" s="2">
        <v>44953</v>
      </c>
      <c r="C2276">
        <v>39.514869689941413</v>
      </c>
    </row>
    <row r="2277" spans="1:3" x14ac:dyDescent="0.2">
      <c r="A2277" t="s">
        <v>13</v>
      </c>
      <c r="B2277" s="2">
        <v>44956</v>
      </c>
      <c r="C2277">
        <v>39.043331146240227</v>
      </c>
    </row>
    <row r="2278" spans="1:3" x14ac:dyDescent="0.2">
      <c r="A2278" t="s">
        <v>13</v>
      </c>
      <c r="B2278" s="2">
        <v>44957</v>
      </c>
      <c r="C2278">
        <v>39.592025756835938</v>
      </c>
    </row>
    <row r="2279" spans="1:3" x14ac:dyDescent="0.2">
      <c r="A2279" t="s">
        <v>13</v>
      </c>
      <c r="B2279" s="2">
        <v>44958</v>
      </c>
      <c r="C2279">
        <v>39.111915588378913</v>
      </c>
    </row>
    <row r="2280" spans="1:3" x14ac:dyDescent="0.2">
      <c r="A2280" t="s">
        <v>13</v>
      </c>
      <c r="B2280" s="2">
        <v>44959</v>
      </c>
      <c r="C2280">
        <v>37.645862579345703</v>
      </c>
    </row>
    <row r="2281" spans="1:3" x14ac:dyDescent="0.2">
      <c r="A2281" t="s">
        <v>13</v>
      </c>
      <c r="B2281" s="2">
        <v>44960</v>
      </c>
      <c r="C2281">
        <v>37.834480285644531</v>
      </c>
    </row>
    <row r="2282" spans="1:3" x14ac:dyDescent="0.2">
      <c r="A2282" t="s">
        <v>13</v>
      </c>
      <c r="B2282" s="2">
        <v>44963</v>
      </c>
      <c r="C2282">
        <v>37.620140075683587</v>
      </c>
    </row>
    <row r="2283" spans="1:3" x14ac:dyDescent="0.2">
      <c r="A2283" t="s">
        <v>13</v>
      </c>
      <c r="B2283" s="2">
        <v>44964</v>
      </c>
      <c r="C2283">
        <v>38.503208160400391</v>
      </c>
    </row>
    <row r="2284" spans="1:3" x14ac:dyDescent="0.2">
      <c r="A2284" t="s">
        <v>13</v>
      </c>
      <c r="B2284" s="2">
        <v>44965</v>
      </c>
      <c r="C2284">
        <v>38.306018829345703</v>
      </c>
    </row>
    <row r="2285" spans="1:3" x14ac:dyDescent="0.2">
      <c r="A2285" t="s">
        <v>13</v>
      </c>
      <c r="B2285" s="2">
        <v>44966</v>
      </c>
      <c r="C2285">
        <v>38.117397308349609</v>
      </c>
    </row>
    <row r="2286" spans="1:3" x14ac:dyDescent="0.2">
      <c r="A2286" t="s">
        <v>13</v>
      </c>
      <c r="B2286" s="2">
        <v>44967</v>
      </c>
      <c r="C2286">
        <v>39.189079284667969</v>
      </c>
    </row>
    <row r="2287" spans="1:3" x14ac:dyDescent="0.2">
      <c r="A2287" t="s">
        <v>13</v>
      </c>
      <c r="B2287" s="2">
        <v>44970</v>
      </c>
      <c r="C2287">
        <v>39.189079284667969</v>
      </c>
    </row>
    <row r="2288" spans="1:3" x14ac:dyDescent="0.2">
      <c r="A2288" t="s">
        <v>13</v>
      </c>
      <c r="B2288" s="2">
        <v>44971</v>
      </c>
      <c r="C2288">
        <v>39.763492584228523</v>
      </c>
    </row>
    <row r="2289" spans="1:3" x14ac:dyDescent="0.2">
      <c r="A2289" t="s">
        <v>13</v>
      </c>
      <c r="B2289" s="2">
        <v>44972</v>
      </c>
      <c r="C2289">
        <v>39.909244537353523</v>
      </c>
    </row>
    <row r="2290" spans="1:3" x14ac:dyDescent="0.2">
      <c r="A2290" t="s">
        <v>13</v>
      </c>
      <c r="B2290" s="2">
        <v>44973</v>
      </c>
      <c r="C2290">
        <v>39.15478515625</v>
      </c>
    </row>
    <row r="2291" spans="1:3" x14ac:dyDescent="0.2">
      <c r="A2291" t="s">
        <v>13</v>
      </c>
      <c r="B2291" s="2">
        <v>44974</v>
      </c>
      <c r="C2291">
        <v>38.228858947753913</v>
      </c>
    </row>
    <row r="2292" spans="1:3" x14ac:dyDescent="0.2">
      <c r="A2292" t="s">
        <v>13</v>
      </c>
      <c r="B2292" s="2">
        <v>44978</v>
      </c>
      <c r="C2292">
        <v>38.957592010498047</v>
      </c>
    </row>
    <row r="2293" spans="1:3" x14ac:dyDescent="0.2">
      <c r="A2293" t="s">
        <v>13</v>
      </c>
      <c r="B2293" s="2">
        <v>44979</v>
      </c>
      <c r="C2293">
        <v>38.023097991943359</v>
      </c>
    </row>
    <row r="2294" spans="1:3" x14ac:dyDescent="0.2">
      <c r="A2294" t="s">
        <v>13</v>
      </c>
      <c r="B2294" s="2">
        <v>44980</v>
      </c>
      <c r="C2294">
        <v>38.786125183105469</v>
      </c>
    </row>
    <row r="2295" spans="1:3" x14ac:dyDescent="0.2">
      <c r="A2295" t="s">
        <v>13</v>
      </c>
      <c r="B2295" s="2">
        <v>44981</v>
      </c>
      <c r="C2295">
        <v>39.626327514648438</v>
      </c>
    </row>
    <row r="2296" spans="1:3" x14ac:dyDescent="0.2">
      <c r="A2296" t="s">
        <v>13</v>
      </c>
      <c r="B2296" s="2">
        <v>44984</v>
      </c>
      <c r="C2296">
        <v>39.712055206298828</v>
      </c>
    </row>
    <row r="2297" spans="1:3" x14ac:dyDescent="0.2">
      <c r="A2297" t="s">
        <v>13</v>
      </c>
      <c r="B2297" s="2">
        <v>44985</v>
      </c>
      <c r="C2297">
        <v>39.317684173583977</v>
      </c>
    </row>
    <row r="2298" spans="1:3" x14ac:dyDescent="0.2">
      <c r="A2298" t="s">
        <v>13</v>
      </c>
      <c r="B2298" s="2">
        <v>44986</v>
      </c>
      <c r="C2298">
        <v>40.0721435546875</v>
      </c>
    </row>
    <row r="2299" spans="1:3" x14ac:dyDescent="0.2">
      <c r="A2299" t="s">
        <v>13</v>
      </c>
      <c r="B2299" s="2">
        <v>44987</v>
      </c>
      <c r="C2299">
        <v>40.999820709228523</v>
      </c>
    </row>
    <row r="2300" spans="1:3" x14ac:dyDescent="0.2">
      <c r="A2300" t="s">
        <v>13</v>
      </c>
      <c r="B2300" s="2">
        <v>44988</v>
      </c>
      <c r="C2300">
        <v>41.589370727539062</v>
      </c>
    </row>
    <row r="2301" spans="1:3" x14ac:dyDescent="0.2">
      <c r="A2301" t="s">
        <v>13</v>
      </c>
      <c r="B2301" s="2">
        <v>44991</v>
      </c>
      <c r="C2301">
        <v>41.467994689941413</v>
      </c>
    </row>
    <row r="2302" spans="1:3" x14ac:dyDescent="0.2">
      <c r="A2302" t="s">
        <v>13</v>
      </c>
      <c r="B2302" s="2">
        <v>44992</v>
      </c>
      <c r="C2302">
        <v>40.8004150390625</v>
      </c>
    </row>
    <row r="2303" spans="1:3" x14ac:dyDescent="0.2">
      <c r="A2303" t="s">
        <v>13</v>
      </c>
      <c r="B2303" s="2">
        <v>44993</v>
      </c>
      <c r="C2303">
        <v>40.8004150390625</v>
      </c>
    </row>
    <row r="2304" spans="1:3" x14ac:dyDescent="0.2">
      <c r="A2304" t="s">
        <v>13</v>
      </c>
      <c r="B2304" s="2">
        <v>44994</v>
      </c>
      <c r="C2304">
        <v>40.436267852783203</v>
      </c>
    </row>
    <row r="2305" spans="1:3" x14ac:dyDescent="0.2">
      <c r="A2305" t="s">
        <v>13</v>
      </c>
      <c r="B2305" s="2">
        <v>44995</v>
      </c>
      <c r="C2305">
        <v>40.115489959716797</v>
      </c>
    </row>
    <row r="2306" spans="1:3" x14ac:dyDescent="0.2">
      <c r="A2306" t="s">
        <v>13</v>
      </c>
      <c r="B2306" s="2">
        <v>44998</v>
      </c>
      <c r="C2306">
        <v>38.000049591064453</v>
      </c>
    </row>
    <row r="2307" spans="1:3" x14ac:dyDescent="0.2">
      <c r="A2307" t="s">
        <v>13</v>
      </c>
      <c r="B2307" s="2">
        <v>44999</v>
      </c>
      <c r="C2307">
        <v>37.341133117675781</v>
      </c>
    </row>
    <row r="2308" spans="1:3" x14ac:dyDescent="0.2">
      <c r="A2308" t="s">
        <v>13</v>
      </c>
      <c r="B2308" s="2">
        <v>45000</v>
      </c>
      <c r="C2308">
        <v>34.91357421875</v>
      </c>
    </row>
    <row r="2309" spans="1:3" x14ac:dyDescent="0.2">
      <c r="A2309" t="s">
        <v>13</v>
      </c>
      <c r="B2309" s="2">
        <v>45001</v>
      </c>
      <c r="C2309">
        <v>34.722831726074219</v>
      </c>
    </row>
    <row r="2310" spans="1:3" x14ac:dyDescent="0.2">
      <c r="A2310" t="s">
        <v>13</v>
      </c>
      <c r="B2310" s="2">
        <v>45002</v>
      </c>
      <c r="C2310">
        <v>34.280670166015618</v>
      </c>
    </row>
    <row r="2311" spans="1:3" x14ac:dyDescent="0.2">
      <c r="A2311" t="s">
        <v>13</v>
      </c>
      <c r="B2311" s="2">
        <v>45005</v>
      </c>
      <c r="C2311">
        <v>35.208347320556641</v>
      </c>
    </row>
    <row r="2312" spans="1:3" x14ac:dyDescent="0.2">
      <c r="A2312" t="s">
        <v>13</v>
      </c>
      <c r="B2312" s="2">
        <v>45006</v>
      </c>
      <c r="C2312">
        <v>36.179359436035163</v>
      </c>
    </row>
    <row r="2313" spans="1:3" x14ac:dyDescent="0.2">
      <c r="A2313" t="s">
        <v>13</v>
      </c>
      <c r="B2313" s="2">
        <v>45007</v>
      </c>
      <c r="C2313">
        <v>35.702522277832031</v>
      </c>
    </row>
    <row r="2314" spans="1:3" x14ac:dyDescent="0.2">
      <c r="A2314" t="s">
        <v>13</v>
      </c>
      <c r="B2314" s="2">
        <v>45008</v>
      </c>
      <c r="C2314">
        <v>35.138996124267578</v>
      </c>
    </row>
    <row r="2315" spans="1:3" x14ac:dyDescent="0.2">
      <c r="A2315" t="s">
        <v>13</v>
      </c>
      <c r="B2315" s="2">
        <v>45009</v>
      </c>
      <c r="C2315">
        <v>34.497413635253913</v>
      </c>
    </row>
    <row r="2316" spans="1:3" x14ac:dyDescent="0.2">
      <c r="A2316" t="s">
        <v>13</v>
      </c>
      <c r="B2316" s="2">
        <v>45012</v>
      </c>
      <c r="C2316">
        <v>35.217014312744141</v>
      </c>
    </row>
    <row r="2317" spans="1:3" x14ac:dyDescent="0.2">
      <c r="A2317" t="s">
        <v>13</v>
      </c>
      <c r="B2317" s="2">
        <v>45013</v>
      </c>
      <c r="C2317">
        <v>35.641834259033203</v>
      </c>
    </row>
    <row r="2318" spans="1:3" x14ac:dyDescent="0.2">
      <c r="A2318" t="s">
        <v>13</v>
      </c>
      <c r="B2318" s="2">
        <v>45014</v>
      </c>
      <c r="C2318">
        <v>36.083995819091797</v>
      </c>
    </row>
    <row r="2319" spans="1:3" x14ac:dyDescent="0.2">
      <c r="A2319" t="s">
        <v>13</v>
      </c>
      <c r="B2319" s="2">
        <v>45015</v>
      </c>
      <c r="C2319">
        <v>36.361438751220703</v>
      </c>
    </row>
    <row r="2320" spans="1:3" x14ac:dyDescent="0.2">
      <c r="A2320" t="s">
        <v>13</v>
      </c>
      <c r="B2320" s="2">
        <v>45016</v>
      </c>
      <c r="C2320">
        <v>36.378772735595703</v>
      </c>
    </row>
    <row r="2321" spans="1:3" x14ac:dyDescent="0.2">
      <c r="A2321" t="s">
        <v>13</v>
      </c>
      <c r="B2321" s="2">
        <v>45019</v>
      </c>
      <c r="C2321">
        <v>38.407527923583977</v>
      </c>
    </row>
    <row r="2322" spans="1:3" x14ac:dyDescent="0.2">
      <c r="A2322" t="s">
        <v>13</v>
      </c>
      <c r="B2322" s="2">
        <v>45020</v>
      </c>
      <c r="C2322">
        <v>37.757286071777337</v>
      </c>
    </row>
    <row r="2323" spans="1:3" x14ac:dyDescent="0.2">
      <c r="A2323" t="s">
        <v>13</v>
      </c>
      <c r="B2323" s="2">
        <v>45021</v>
      </c>
      <c r="C2323">
        <v>37.349800109863281</v>
      </c>
    </row>
    <row r="2324" spans="1:3" x14ac:dyDescent="0.2">
      <c r="A2324" t="s">
        <v>13</v>
      </c>
      <c r="B2324" s="2">
        <v>45022</v>
      </c>
      <c r="C2324">
        <v>36.977001190185547</v>
      </c>
    </row>
    <row r="2325" spans="1:3" x14ac:dyDescent="0.2">
      <c r="A2325" t="s">
        <v>13</v>
      </c>
      <c r="B2325" s="2">
        <v>45026</v>
      </c>
      <c r="C2325">
        <v>37.289115905761719</v>
      </c>
    </row>
    <row r="2326" spans="1:3" x14ac:dyDescent="0.2">
      <c r="A2326" t="s">
        <v>13</v>
      </c>
      <c r="B2326" s="2">
        <v>45027</v>
      </c>
      <c r="C2326">
        <v>37.731273651123047</v>
      </c>
    </row>
    <row r="2327" spans="1:3" x14ac:dyDescent="0.2">
      <c r="A2327" t="s">
        <v>13</v>
      </c>
      <c r="B2327" s="2">
        <v>45028</v>
      </c>
      <c r="C2327">
        <v>38.000049591064453</v>
      </c>
    </row>
    <row r="2328" spans="1:3" x14ac:dyDescent="0.2">
      <c r="A2328" t="s">
        <v>13</v>
      </c>
      <c r="B2328" s="2">
        <v>45029</v>
      </c>
      <c r="C2328">
        <v>37.739944458007812</v>
      </c>
    </row>
    <row r="2329" spans="1:3" x14ac:dyDescent="0.2">
      <c r="A2329" t="s">
        <v>13</v>
      </c>
      <c r="B2329" s="2">
        <v>45030</v>
      </c>
      <c r="C2329">
        <v>37.800636291503913</v>
      </c>
    </row>
    <row r="2330" spans="1:3" x14ac:dyDescent="0.2">
      <c r="A2330" t="s">
        <v>13</v>
      </c>
      <c r="B2330" s="2">
        <v>45033</v>
      </c>
      <c r="C2330">
        <v>37.557884216308587</v>
      </c>
    </row>
    <row r="2331" spans="1:3" x14ac:dyDescent="0.2">
      <c r="A2331" t="s">
        <v>13</v>
      </c>
      <c r="B2331" s="2">
        <v>45034</v>
      </c>
      <c r="C2331">
        <v>36.7689208984375</v>
      </c>
    </row>
    <row r="2332" spans="1:3" x14ac:dyDescent="0.2">
      <c r="A2332" t="s">
        <v>13</v>
      </c>
      <c r="B2332" s="2">
        <v>45035</v>
      </c>
      <c r="C2332">
        <v>36.0233154296875</v>
      </c>
    </row>
    <row r="2333" spans="1:3" x14ac:dyDescent="0.2">
      <c r="A2333" t="s">
        <v>13</v>
      </c>
      <c r="B2333" s="2">
        <v>45036</v>
      </c>
      <c r="C2333">
        <v>35.754547119140618</v>
      </c>
    </row>
    <row r="2334" spans="1:3" x14ac:dyDescent="0.2">
      <c r="A2334" t="s">
        <v>13</v>
      </c>
      <c r="B2334" s="2">
        <v>45037</v>
      </c>
      <c r="C2334">
        <v>35.719871520996087</v>
      </c>
    </row>
    <row r="2335" spans="1:3" x14ac:dyDescent="0.2">
      <c r="A2335" t="s">
        <v>13</v>
      </c>
      <c r="B2335" s="2">
        <v>45040</v>
      </c>
      <c r="C2335">
        <v>35.919269561767578</v>
      </c>
    </row>
    <row r="2336" spans="1:3" x14ac:dyDescent="0.2">
      <c r="A2336" t="s">
        <v>13</v>
      </c>
      <c r="B2336" s="2">
        <v>45041</v>
      </c>
      <c r="C2336">
        <v>35.2950439453125</v>
      </c>
    </row>
    <row r="2337" spans="1:3" x14ac:dyDescent="0.2">
      <c r="A2337" t="s">
        <v>13</v>
      </c>
      <c r="B2337" s="2">
        <v>45042</v>
      </c>
      <c r="C2337">
        <v>34.627464294433587</v>
      </c>
    </row>
    <row r="2338" spans="1:3" x14ac:dyDescent="0.2">
      <c r="A2338" t="s">
        <v>13</v>
      </c>
      <c r="B2338" s="2">
        <v>45043</v>
      </c>
      <c r="C2338">
        <v>35.797901153564453</v>
      </c>
    </row>
    <row r="2339" spans="1:3" x14ac:dyDescent="0.2">
      <c r="A2339" t="s">
        <v>13</v>
      </c>
      <c r="B2339" s="2">
        <v>45044</v>
      </c>
      <c r="C2339">
        <v>36.777587890625</v>
      </c>
    </row>
    <row r="2340" spans="1:3" x14ac:dyDescent="0.2">
      <c r="A2340" t="s">
        <v>13</v>
      </c>
      <c r="B2340" s="2">
        <v>45047</v>
      </c>
      <c r="C2340">
        <v>36.21405029296875</v>
      </c>
    </row>
    <row r="2341" spans="1:3" x14ac:dyDescent="0.2">
      <c r="A2341" t="s">
        <v>13</v>
      </c>
      <c r="B2341" s="2">
        <v>45048</v>
      </c>
      <c r="C2341">
        <v>34.480079650878913</v>
      </c>
    </row>
    <row r="2342" spans="1:3" x14ac:dyDescent="0.2">
      <c r="A2342" t="s">
        <v>13</v>
      </c>
      <c r="B2342" s="2">
        <v>45049</v>
      </c>
      <c r="C2342">
        <v>33.786483764648438</v>
      </c>
    </row>
    <row r="2343" spans="1:3" x14ac:dyDescent="0.2">
      <c r="A2343" t="s">
        <v>13</v>
      </c>
      <c r="B2343" s="2">
        <v>45050</v>
      </c>
      <c r="C2343">
        <v>33.45703125</v>
      </c>
    </row>
    <row r="2344" spans="1:3" x14ac:dyDescent="0.2">
      <c r="A2344" t="s">
        <v>13</v>
      </c>
      <c r="B2344" s="2">
        <v>45051</v>
      </c>
      <c r="C2344">
        <v>34.402046203613281</v>
      </c>
    </row>
    <row r="2345" spans="1:3" x14ac:dyDescent="0.2">
      <c r="A2345" t="s">
        <v>13</v>
      </c>
      <c r="B2345" s="2">
        <v>45054</v>
      </c>
      <c r="C2345">
        <v>34.74884033203125</v>
      </c>
    </row>
    <row r="2346" spans="1:3" x14ac:dyDescent="0.2">
      <c r="A2346" t="s">
        <v>13</v>
      </c>
      <c r="B2346" s="2">
        <v>45055</v>
      </c>
      <c r="C2346">
        <v>34.402046203613281</v>
      </c>
    </row>
    <row r="2347" spans="1:3" x14ac:dyDescent="0.2">
      <c r="A2347" t="s">
        <v>13</v>
      </c>
      <c r="B2347" s="2">
        <v>45056</v>
      </c>
      <c r="C2347">
        <v>33.968555450439453</v>
      </c>
    </row>
    <row r="2348" spans="1:3" x14ac:dyDescent="0.2">
      <c r="A2348" t="s">
        <v>13</v>
      </c>
      <c r="B2348" s="2">
        <v>45057</v>
      </c>
      <c r="C2348">
        <v>33.699783325195312</v>
      </c>
    </row>
    <row r="2349" spans="1:3" x14ac:dyDescent="0.2">
      <c r="A2349" t="s">
        <v>13</v>
      </c>
      <c r="B2349" s="2">
        <v>45058</v>
      </c>
      <c r="C2349">
        <v>33.699783325195312</v>
      </c>
    </row>
    <row r="2350" spans="1:3" x14ac:dyDescent="0.2">
      <c r="A2350" t="s">
        <v>13</v>
      </c>
      <c r="B2350" s="2">
        <v>45061</v>
      </c>
      <c r="C2350">
        <v>33.951213836669922</v>
      </c>
    </row>
    <row r="2351" spans="1:3" x14ac:dyDescent="0.2">
      <c r="A2351" t="s">
        <v>13</v>
      </c>
      <c r="B2351" s="2">
        <v>45062</v>
      </c>
      <c r="C2351">
        <v>32.910835266113281</v>
      </c>
    </row>
    <row r="2352" spans="1:3" x14ac:dyDescent="0.2">
      <c r="A2352" t="s">
        <v>13</v>
      </c>
      <c r="B2352" s="2">
        <v>45063</v>
      </c>
      <c r="C2352">
        <v>33.370334625244141</v>
      </c>
    </row>
    <row r="2353" spans="1:3" x14ac:dyDescent="0.2">
      <c r="A2353" t="s">
        <v>13</v>
      </c>
      <c r="B2353" s="2">
        <v>45064</v>
      </c>
      <c r="C2353">
        <v>33.352989196777337</v>
      </c>
    </row>
    <row r="2354" spans="1:3" x14ac:dyDescent="0.2">
      <c r="A2354" t="s">
        <v>13</v>
      </c>
      <c r="B2354" s="2">
        <v>45065</v>
      </c>
      <c r="C2354">
        <v>33.665103912353523</v>
      </c>
    </row>
    <row r="2355" spans="1:3" x14ac:dyDescent="0.2">
      <c r="A2355" t="s">
        <v>13</v>
      </c>
      <c r="B2355" s="2">
        <v>45069</v>
      </c>
      <c r="C2355">
        <v>34.115936279296882</v>
      </c>
    </row>
    <row r="2356" spans="1:3" x14ac:dyDescent="0.2">
      <c r="A2356" t="s">
        <v>13</v>
      </c>
      <c r="B2356" s="2">
        <v>45070</v>
      </c>
      <c r="C2356">
        <v>34.089939117431641</v>
      </c>
    </row>
    <row r="2357" spans="1:3" x14ac:dyDescent="0.2">
      <c r="A2357" t="s">
        <v>13</v>
      </c>
      <c r="B2357" s="2">
        <v>45071</v>
      </c>
      <c r="C2357">
        <v>33.630424499511719</v>
      </c>
    </row>
    <row r="2358" spans="1:3" x14ac:dyDescent="0.2">
      <c r="A2358" t="s">
        <v>13</v>
      </c>
      <c r="B2358" s="2">
        <v>45072</v>
      </c>
      <c r="C2358">
        <v>33.691116333007812</v>
      </c>
    </row>
    <row r="2359" spans="1:3" x14ac:dyDescent="0.2">
      <c r="A2359" t="s">
        <v>13</v>
      </c>
      <c r="B2359" s="2">
        <v>45075</v>
      </c>
      <c r="C2359">
        <v>34.107273101806641</v>
      </c>
    </row>
    <row r="2360" spans="1:3" x14ac:dyDescent="0.2">
      <c r="A2360" t="s">
        <v>13</v>
      </c>
      <c r="B2360" s="2">
        <v>45076</v>
      </c>
      <c r="C2360">
        <v>33.639091491699219</v>
      </c>
    </row>
    <row r="2361" spans="1:3" x14ac:dyDescent="0.2">
      <c r="A2361" t="s">
        <v>13</v>
      </c>
      <c r="B2361" s="2">
        <v>45077</v>
      </c>
      <c r="C2361">
        <v>32.971511840820312</v>
      </c>
    </row>
    <row r="2362" spans="1:3" x14ac:dyDescent="0.2">
      <c r="A2362" t="s">
        <v>13</v>
      </c>
      <c r="B2362" s="2">
        <v>45078</v>
      </c>
      <c r="C2362">
        <v>33.413677215576172</v>
      </c>
    </row>
    <row r="2363" spans="1:3" x14ac:dyDescent="0.2">
      <c r="A2363" t="s">
        <v>13</v>
      </c>
      <c r="B2363" s="2">
        <v>45079</v>
      </c>
      <c r="C2363">
        <v>34.494655609130859</v>
      </c>
    </row>
    <row r="2364" spans="1:3" x14ac:dyDescent="0.2">
      <c r="A2364" t="s">
        <v>13</v>
      </c>
      <c r="B2364" s="2">
        <v>45082</v>
      </c>
      <c r="C2364">
        <v>34.582538604736328</v>
      </c>
    </row>
    <row r="2365" spans="1:3" x14ac:dyDescent="0.2">
      <c r="A2365" t="s">
        <v>13</v>
      </c>
      <c r="B2365" s="2">
        <v>45083</v>
      </c>
      <c r="C2365">
        <v>34.969230651855469</v>
      </c>
    </row>
    <row r="2366" spans="1:3" x14ac:dyDescent="0.2">
      <c r="A2366" t="s">
        <v>13</v>
      </c>
      <c r="B2366" s="2">
        <v>45084</v>
      </c>
      <c r="C2366">
        <v>35.584430694580078</v>
      </c>
    </row>
    <row r="2367" spans="1:3" x14ac:dyDescent="0.2">
      <c r="A2367" t="s">
        <v>13</v>
      </c>
      <c r="B2367" s="2">
        <v>45085</v>
      </c>
      <c r="C2367">
        <v>35.522907257080078</v>
      </c>
    </row>
    <row r="2368" spans="1:3" x14ac:dyDescent="0.2">
      <c r="A2368" t="s">
        <v>13</v>
      </c>
      <c r="B2368" s="2">
        <v>45086</v>
      </c>
      <c r="C2368">
        <v>35.531696319580078</v>
      </c>
    </row>
    <row r="2369" spans="1:3" x14ac:dyDescent="0.2">
      <c r="A2369" t="s">
        <v>13</v>
      </c>
      <c r="B2369" s="2">
        <v>45089</v>
      </c>
      <c r="C2369">
        <v>34.925296783447273</v>
      </c>
    </row>
    <row r="2370" spans="1:3" x14ac:dyDescent="0.2">
      <c r="A2370" t="s">
        <v>13</v>
      </c>
      <c r="B2370" s="2">
        <v>45090</v>
      </c>
      <c r="C2370">
        <v>35.145008087158203</v>
      </c>
    </row>
    <row r="2371" spans="1:3" x14ac:dyDescent="0.2">
      <c r="A2371" t="s">
        <v>13</v>
      </c>
      <c r="B2371" s="2">
        <v>45091</v>
      </c>
      <c r="C2371">
        <v>34.91650390625</v>
      </c>
    </row>
    <row r="2372" spans="1:3" x14ac:dyDescent="0.2">
      <c r="A2372" t="s">
        <v>13</v>
      </c>
      <c r="B2372" s="2">
        <v>45092</v>
      </c>
      <c r="C2372">
        <v>35.145008087158203</v>
      </c>
    </row>
    <row r="2373" spans="1:3" x14ac:dyDescent="0.2">
      <c r="A2373" t="s">
        <v>13</v>
      </c>
      <c r="B2373" s="2">
        <v>45093</v>
      </c>
      <c r="C2373">
        <v>34.93408203125</v>
      </c>
    </row>
    <row r="2374" spans="1:3" x14ac:dyDescent="0.2">
      <c r="A2374" t="s">
        <v>13</v>
      </c>
      <c r="B2374" s="2">
        <v>45096</v>
      </c>
      <c r="C2374">
        <v>34.88134765625</v>
      </c>
    </row>
    <row r="2375" spans="1:3" x14ac:dyDescent="0.2">
      <c r="A2375" t="s">
        <v>13</v>
      </c>
      <c r="B2375" s="2">
        <v>45097</v>
      </c>
      <c r="C2375">
        <v>33.844310760498047</v>
      </c>
    </row>
    <row r="2376" spans="1:3" x14ac:dyDescent="0.2">
      <c r="A2376" t="s">
        <v>13</v>
      </c>
      <c r="B2376" s="2">
        <v>45098</v>
      </c>
      <c r="C2376">
        <v>34.274948120117188</v>
      </c>
    </row>
    <row r="2377" spans="1:3" x14ac:dyDescent="0.2">
      <c r="A2377" t="s">
        <v>13</v>
      </c>
      <c r="B2377" s="2">
        <v>45099</v>
      </c>
      <c r="C2377">
        <v>33.317012786865227</v>
      </c>
    </row>
    <row r="2378" spans="1:3" x14ac:dyDescent="0.2">
      <c r="A2378" t="s">
        <v>13</v>
      </c>
      <c r="B2378" s="2">
        <v>45100</v>
      </c>
      <c r="C2378">
        <v>32.965473175048828</v>
      </c>
    </row>
    <row r="2379" spans="1:3" x14ac:dyDescent="0.2">
      <c r="A2379" t="s">
        <v>13</v>
      </c>
      <c r="B2379" s="2">
        <v>45103</v>
      </c>
      <c r="C2379">
        <v>33.563087463378913</v>
      </c>
    </row>
    <row r="2380" spans="1:3" x14ac:dyDescent="0.2">
      <c r="A2380" t="s">
        <v>13</v>
      </c>
      <c r="B2380" s="2">
        <v>45104</v>
      </c>
      <c r="C2380">
        <v>33.396102905273438</v>
      </c>
    </row>
    <row r="2381" spans="1:3" x14ac:dyDescent="0.2">
      <c r="A2381" t="s">
        <v>13</v>
      </c>
      <c r="B2381" s="2">
        <v>45105</v>
      </c>
      <c r="C2381">
        <v>33.809165954589837</v>
      </c>
    </row>
    <row r="2382" spans="1:3" x14ac:dyDescent="0.2">
      <c r="A2382" t="s">
        <v>13</v>
      </c>
      <c r="B2382" s="2">
        <v>45106</v>
      </c>
      <c r="C2382">
        <v>33.949775695800781</v>
      </c>
    </row>
    <row r="2383" spans="1:3" x14ac:dyDescent="0.2">
      <c r="A2383" t="s">
        <v>13</v>
      </c>
      <c r="B2383" s="2">
        <v>45107</v>
      </c>
      <c r="C2383">
        <v>34.151908874511719</v>
      </c>
    </row>
    <row r="2384" spans="1:3" x14ac:dyDescent="0.2">
      <c r="A2384" t="s">
        <v>13</v>
      </c>
      <c r="B2384" s="2">
        <v>45111</v>
      </c>
      <c r="C2384">
        <v>34.591335296630859</v>
      </c>
    </row>
    <row r="2385" spans="1:3" x14ac:dyDescent="0.2">
      <c r="A2385" t="s">
        <v>13</v>
      </c>
      <c r="B2385" s="2">
        <v>45112</v>
      </c>
      <c r="C2385">
        <v>34.345252990722663</v>
      </c>
    </row>
    <row r="2386" spans="1:3" x14ac:dyDescent="0.2">
      <c r="A2386" t="s">
        <v>13</v>
      </c>
      <c r="B2386" s="2">
        <v>45113</v>
      </c>
      <c r="C2386">
        <v>33.396102905273438</v>
      </c>
    </row>
    <row r="2387" spans="1:3" x14ac:dyDescent="0.2">
      <c r="A2387" t="s">
        <v>13</v>
      </c>
      <c r="B2387" s="2">
        <v>45114</v>
      </c>
      <c r="C2387">
        <v>34.116748809814453</v>
      </c>
    </row>
    <row r="2388" spans="1:3" x14ac:dyDescent="0.2">
      <c r="A2388" t="s">
        <v>13</v>
      </c>
      <c r="B2388" s="2">
        <v>45117</v>
      </c>
      <c r="C2388">
        <v>34.125545501708977</v>
      </c>
    </row>
    <row r="2389" spans="1:3" x14ac:dyDescent="0.2">
      <c r="A2389" t="s">
        <v>13</v>
      </c>
      <c r="B2389" s="2">
        <v>45118</v>
      </c>
      <c r="C2389">
        <v>34.274948120117188</v>
      </c>
    </row>
    <row r="2390" spans="1:3" x14ac:dyDescent="0.2">
      <c r="A2390" t="s">
        <v>13</v>
      </c>
      <c r="B2390" s="2">
        <v>45119</v>
      </c>
      <c r="C2390">
        <v>34.415561676025391</v>
      </c>
    </row>
    <row r="2391" spans="1:3" x14ac:dyDescent="0.2">
      <c r="A2391" t="s">
        <v>13</v>
      </c>
      <c r="B2391" s="2">
        <v>45120</v>
      </c>
      <c r="C2391">
        <v>34.327686309814453</v>
      </c>
    </row>
    <row r="2392" spans="1:3" x14ac:dyDescent="0.2">
      <c r="A2392" t="s">
        <v>13</v>
      </c>
      <c r="B2392" s="2">
        <v>45121</v>
      </c>
      <c r="C2392">
        <v>33.615818023681641</v>
      </c>
    </row>
    <row r="2393" spans="1:3" x14ac:dyDescent="0.2">
      <c r="A2393" t="s">
        <v>13</v>
      </c>
      <c r="B2393" s="2">
        <v>45124</v>
      </c>
      <c r="C2393">
        <v>33.299430847167969</v>
      </c>
    </row>
    <row r="2394" spans="1:3" x14ac:dyDescent="0.2">
      <c r="A2394" t="s">
        <v>13</v>
      </c>
      <c r="B2394" s="2">
        <v>45125</v>
      </c>
      <c r="C2394">
        <v>33.861896514892578</v>
      </c>
    </row>
    <row r="2395" spans="1:3" x14ac:dyDescent="0.2">
      <c r="A2395" t="s">
        <v>13</v>
      </c>
      <c r="B2395" s="2">
        <v>45126</v>
      </c>
      <c r="C2395">
        <v>33.721279144287109</v>
      </c>
    </row>
    <row r="2396" spans="1:3" x14ac:dyDescent="0.2">
      <c r="A2396" t="s">
        <v>13</v>
      </c>
      <c r="B2396" s="2">
        <v>45127</v>
      </c>
      <c r="C2396">
        <v>33.703704833984382</v>
      </c>
    </row>
    <row r="2397" spans="1:3" x14ac:dyDescent="0.2">
      <c r="A2397" t="s">
        <v>13</v>
      </c>
      <c r="B2397" s="2">
        <v>45128</v>
      </c>
      <c r="C2397">
        <v>34.230998992919922</v>
      </c>
    </row>
    <row r="2398" spans="1:3" x14ac:dyDescent="0.2">
      <c r="A2398" t="s">
        <v>13</v>
      </c>
      <c r="B2398" s="2">
        <v>45131</v>
      </c>
      <c r="C2398">
        <v>34.978023529052727</v>
      </c>
    </row>
    <row r="2399" spans="1:3" x14ac:dyDescent="0.2">
      <c r="A2399" t="s">
        <v>13</v>
      </c>
      <c r="B2399" s="2">
        <v>45132</v>
      </c>
      <c r="C2399">
        <v>35.136222839355469</v>
      </c>
    </row>
    <row r="2400" spans="1:3" x14ac:dyDescent="0.2">
      <c r="A2400" t="s">
        <v>13</v>
      </c>
      <c r="B2400" s="2">
        <v>45133</v>
      </c>
      <c r="C2400">
        <v>35.276828765869141</v>
      </c>
    </row>
    <row r="2401" spans="1:3" x14ac:dyDescent="0.2">
      <c r="A2401" t="s">
        <v>13</v>
      </c>
      <c r="B2401" s="2">
        <v>45134</v>
      </c>
      <c r="C2401">
        <v>34.960445404052727</v>
      </c>
    </row>
    <row r="2402" spans="1:3" x14ac:dyDescent="0.2">
      <c r="A2402" t="s">
        <v>13</v>
      </c>
      <c r="B2402" s="2">
        <v>45135</v>
      </c>
      <c r="C2402">
        <v>35.804145812988281</v>
      </c>
    </row>
    <row r="2403" spans="1:3" x14ac:dyDescent="0.2">
      <c r="A2403" t="s">
        <v>13</v>
      </c>
      <c r="B2403" s="2">
        <v>45138</v>
      </c>
      <c r="C2403">
        <v>36.261135101318359</v>
      </c>
    </row>
    <row r="2404" spans="1:3" x14ac:dyDescent="0.2">
      <c r="A2404" t="s">
        <v>13</v>
      </c>
      <c r="B2404" s="2">
        <v>45139</v>
      </c>
      <c r="C2404">
        <v>36.208408355712891</v>
      </c>
    </row>
    <row r="2405" spans="1:3" x14ac:dyDescent="0.2">
      <c r="A2405" t="s">
        <v>13</v>
      </c>
      <c r="B2405" s="2">
        <v>45140</v>
      </c>
      <c r="C2405">
        <v>35.373508453369141</v>
      </c>
    </row>
    <row r="2406" spans="1:3" x14ac:dyDescent="0.2">
      <c r="A2406" t="s">
        <v>13</v>
      </c>
      <c r="B2406" s="2">
        <v>45141</v>
      </c>
      <c r="C2406">
        <v>35.593219757080078</v>
      </c>
    </row>
    <row r="2407" spans="1:3" x14ac:dyDescent="0.2">
      <c r="A2407" t="s">
        <v>13</v>
      </c>
      <c r="B2407" s="2">
        <v>45142</v>
      </c>
      <c r="C2407">
        <v>36.102951049804688</v>
      </c>
    </row>
    <row r="2408" spans="1:3" x14ac:dyDescent="0.2">
      <c r="A2408" t="s">
        <v>13</v>
      </c>
      <c r="B2408" s="2">
        <v>45146</v>
      </c>
      <c r="C2408">
        <v>36.674190521240227</v>
      </c>
    </row>
    <row r="2409" spans="1:3" x14ac:dyDescent="0.2">
      <c r="A2409" t="s">
        <v>13</v>
      </c>
      <c r="B2409" s="2">
        <v>45147</v>
      </c>
      <c r="C2409">
        <v>37.438793182373047</v>
      </c>
    </row>
    <row r="2410" spans="1:3" x14ac:dyDescent="0.2">
      <c r="A2410" t="s">
        <v>13</v>
      </c>
      <c r="B2410" s="2">
        <v>45148</v>
      </c>
      <c r="C2410">
        <v>37.271812438964837</v>
      </c>
    </row>
    <row r="2411" spans="1:3" x14ac:dyDescent="0.2">
      <c r="A2411" t="s">
        <v>13</v>
      </c>
      <c r="B2411" s="2">
        <v>45149</v>
      </c>
      <c r="C2411">
        <v>37.491523742675781</v>
      </c>
    </row>
    <row r="2412" spans="1:3" x14ac:dyDescent="0.2">
      <c r="A2412" t="s">
        <v>13</v>
      </c>
      <c r="B2412" s="2">
        <v>45152</v>
      </c>
      <c r="C2412">
        <v>37.263023376464837</v>
      </c>
    </row>
    <row r="2413" spans="1:3" x14ac:dyDescent="0.2">
      <c r="A2413" t="s">
        <v>13</v>
      </c>
      <c r="B2413" s="2">
        <v>45153</v>
      </c>
      <c r="C2413">
        <v>36.832386016845703</v>
      </c>
    </row>
    <row r="2414" spans="1:3" x14ac:dyDescent="0.2">
      <c r="A2414" t="s">
        <v>13</v>
      </c>
      <c r="B2414" s="2">
        <v>45154</v>
      </c>
      <c r="C2414">
        <v>37.878219604492188</v>
      </c>
    </row>
    <row r="2415" spans="1:3" x14ac:dyDescent="0.2">
      <c r="A2415" t="s">
        <v>13</v>
      </c>
      <c r="B2415" s="2">
        <v>45155</v>
      </c>
      <c r="C2415">
        <v>38.827362060546882</v>
      </c>
    </row>
    <row r="2416" spans="1:3" x14ac:dyDescent="0.2">
      <c r="A2416" t="s">
        <v>13</v>
      </c>
      <c r="B2416" s="2">
        <v>45156</v>
      </c>
      <c r="C2416">
        <v>39.407398223876953</v>
      </c>
    </row>
    <row r="2417" spans="1:3" x14ac:dyDescent="0.2">
      <c r="A2417" t="s">
        <v>13</v>
      </c>
      <c r="B2417" s="2">
        <v>45159</v>
      </c>
      <c r="C2417">
        <v>38.967975616455078</v>
      </c>
    </row>
    <row r="2418" spans="1:3" x14ac:dyDescent="0.2">
      <c r="A2418" t="s">
        <v>13</v>
      </c>
      <c r="B2418" s="2">
        <v>45160</v>
      </c>
      <c r="C2418">
        <v>38.792209625244141</v>
      </c>
    </row>
    <row r="2419" spans="1:3" x14ac:dyDescent="0.2">
      <c r="A2419" t="s">
        <v>13</v>
      </c>
      <c r="B2419" s="2">
        <v>45161</v>
      </c>
      <c r="C2419">
        <v>39.020717620849609</v>
      </c>
    </row>
    <row r="2420" spans="1:3" x14ac:dyDescent="0.2">
      <c r="A2420" t="s">
        <v>13</v>
      </c>
      <c r="B2420" s="2">
        <v>45162</v>
      </c>
      <c r="C2420">
        <v>38.853729248046882</v>
      </c>
    </row>
    <row r="2421" spans="1:3" x14ac:dyDescent="0.2">
      <c r="A2421" t="s">
        <v>13</v>
      </c>
      <c r="B2421" s="2">
        <v>45163</v>
      </c>
      <c r="C2421">
        <v>39.345882415771477</v>
      </c>
    </row>
    <row r="2422" spans="1:3" x14ac:dyDescent="0.2">
      <c r="A2422" t="s">
        <v>13</v>
      </c>
      <c r="B2422" s="2">
        <v>45166</v>
      </c>
      <c r="C2422">
        <v>39.723793029785163</v>
      </c>
    </row>
    <row r="2423" spans="1:3" x14ac:dyDescent="0.2">
      <c r="A2423" t="s">
        <v>13</v>
      </c>
      <c r="B2423" s="2">
        <v>45167</v>
      </c>
      <c r="C2423">
        <v>40.435646057128913</v>
      </c>
    </row>
    <row r="2424" spans="1:3" x14ac:dyDescent="0.2">
      <c r="A2424" t="s">
        <v>13</v>
      </c>
      <c r="B2424" s="2">
        <v>45168</v>
      </c>
      <c r="C2424">
        <v>40.708099365234382</v>
      </c>
    </row>
    <row r="2425" spans="1:3" x14ac:dyDescent="0.2">
      <c r="A2425" t="s">
        <v>13</v>
      </c>
      <c r="B2425" s="2">
        <v>45169</v>
      </c>
      <c r="C2425">
        <v>40.681430816650391</v>
      </c>
    </row>
    <row r="2426" spans="1:3" x14ac:dyDescent="0.2">
      <c r="A2426" t="s">
        <v>13</v>
      </c>
      <c r="B2426" s="2">
        <v>45170</v>
      </c>
      <c r="C2426">
        <v>41.285835266113281</v>
      </c>
    </row>
    <row r="2427" spans="1:3" x14ac:dyDescent="0.2">
      <c r="A2427" t="s">
        <v>13</v>
      </c>
      <c r="B2427" s="2">
        <v>45174</v>
      </c>
      <c r="C2427">
        <v>41.632469177246087</v>
      </c>
    </row>
    <row r="2428" spans="1:3" x14ac:dyDescent="0.2">
      <c r="A2428" t="s">
        <v>13</v>
      </c>
      <c r="B2428" s="2">
        <v>45175</v>
      </c>
      <c r="C2428">
        <v>41.756904602050781</v>
      </c>
    </row>
    <row r="2429" spans="1:3" x14ac:dyDescent="0.2">
      <c r="A2429" t="s">
        <v>13</v>
      </c>
      <c r="B2429" s="2">
        <v>45176</v>
      </c>
      <c r="C2429">
        <v>41.561359405517578</v>
      </c>
    </row>
    <row r="2430" spans="1:3" x14ac:dyDescent="0.2">
      <c r="A2430" t="s">
        <v>13</v>
      </c>
      <c r="B2430" s="2">
        <v>45177</v>
      </c>
      <c r="C2430">
        <v>41.632469177246087</v>
      </c>
    </row>
    <row r="2431" spans="1:3" x14ac:dyDescent="0.2">
      <c r="A2431" t="s">
        <v>13</v>
      </c>
      <c r="B2431" s="2">
        <v>45180</v>
      </c>
      <c r="C2431">
        <v>40.725868225097663</v>
      </c>
    </row>
    <row r="2432" spans="1:3" x14ac:dyDescent="0.2">
      <c r="A2432" t="s">
        <v>13</v>
      </c>
      <c r="B2432" s="2">
        <v>45181</v>
      </c>
      <c r="C2432">
        <v>41.756904602050781</v>
      </c>
    </row>
    <row r="2433" spans="1:3" x14ac:dyDescent="0.2">
      <c r="A2433" t="s">
        <v>13</v>
      </c>
      <c r="B2433" s="2">
        <v>45182</v>
      </c>
      <c r="C2433">
        <v>41.436927795410163</v>
      </c>
    </row>
    <row r="2434" spans="1:3" x14ac:dyDescent="0.2">
      <c r="A2434" t="s">
        <v>13</v>
      </c>
      <c r="B2434" s="2">
        <v>45183</v>
      </c>
      <c r="C2434">
        <v>41.739124298095703</v>
      </c>
    </row>
    <row r="2435" spans="1:3" x14ac:dyDescent="0.2">
      <c r="A2435" t="s">
        <v>13</v>
      </c>
      <c r="B2435" s="2">
        <v>45184</v>
      </c>
      <c r="C2435">
        <v>42.183536529541023</v>
      </c>
    </row>
    <row r="2436" spans="1:3" x14ac:dyDescent="0.2">
      <c r="A2436" t="s">
        <v>13</v>
      </c>
      <c r="B2436" s="2">
        <v>45187</v>
      </c>
      <c r="C2436">
        <v>41.828014373779297</v>
      </c>
    </row>
    <row r="2437" spans="1:3" x14ac:dyDescent="0.2">
      <c r="A2437" t="s">
        <v>13</v>
      </c>
      <c r="B2437" s="2">
        <v>45188</v>
      </c>
      <c r="C2437">
        <v>41.614692687988281</v>
      </c>
    </row>
    <row r="2438" spans="1:3" x14ac:dyDescent="0.2">
      <c r="A2438" t="s">
        <v>13</v>
      </c>
      <c r="B2438" s="2">
        <v>45189</v>
      </c>
      <c r="C2438">
        <v>41.285835266113281</v>
      </c>
    </row>
    <row r="2439" spans="1:3" x14ac:dyDescent="0.2">
      <c r="A2439" t="s">
        <v>13</v>
      </c>
      <c r="B2439" s="2">
        <v>45190</v>
      </c>
      <c r="C2439">
        <v>40.983623504638672</v>
      </c>
    </row>
    <row r="2440" spans="1:3" x14ac:dyDescent="0.2">
      <c r="A2440" t="s">
        <v>13</v>
      </c>
      <c r="B2440" s="2">
        <v>45191</v>
      </c>
      <c r="C2440">
        <v>40.592544555664062</v>
      </c>
    </row>
    <row r="2441" spans="1:3" x14ac:dyDescent="0.2">
      <c r="A2441" t="s">
        <v>13</v>
      </c>
      <c r="B2441" s="2">
        <v>45194</v>
      </c>
      <c r="C2441">
        <v>40.939186096191413</v>
      </c>
    </row>
    <row r="2442" spans="1:3" x14ac:dyDescent="0.2">
      <c r="A2442" t="s">
        <v>13</v>
      </c>
      <c r="B2442" s="2">
        <v>45195</v>
      </c>
      <c r="C2442">
        <v>41.045845031738281</v>
      </c>
    </row>
    <row r="2443" spans="1:3" x14ac:dyDescent="0.2">
      <c r="A2443" t="s">
        <v>13</v>
      </c>
      <c r="B2443" s="2">
        <v>45196</v>
      </c>
      <c r="C2443">
        <v>42.165756225585938</v>
      </c>
    </row>
    <row r="2444" spans="1:3" x14ac:dyDescent="0.2">
      <c r="A2444" t="s">
        <v>13</v>
      </c>
      <c r="B2444" s="2">
        <v>45197</v>
      </c>
      <c r="C2444">
        <v>42.236869812011719</v>
      </c>
    </row>
    <row r="2445" spans="1:3" x14ac:dyDescent="0.2">
      <c r="A2445" t="s">
        <v>13</v>
      </c>
      <c r="B2445" s="2">
        <v>45198</v>
      </c>
      <c r="C2445">
        <v>41.516925811767578</v>
      </c>
    </row>
    <row r="2446" spans="1:3" x14ac:dyDescent="0.2">
      <c r="A2446" t="s">
        <v>13</v>
      </c>
      <c r="B2446" s="2">
        <v>45201</v>
      </c>
      <c r="C2446">
        <v>40.708095550537109</v>
      </c>
    </row>
    <row r="2447" spans="1:3" x14ac:dyDescent="0.2">
      <c r="A2447" t="s">
        <v>13</v>
      </c>
      <c r="B2447" s="2">
        <v>45202</v>
      </c>
      <c r="C2447">
        <v>40.868080139160163</v>
      </c>
    </row>
    <row r="2448" spans="1:3" x14ac:dyDescent="0.2">
      <c r="A2448" t="s">
        <v>13</v>
      </c>
      <c r="B2448" s="2">
        <v>45203</v>
      </c>
      <c r="C2448">
        <v>38.912666320800781</v>
      </c>
    </row>
    <row r="2449" spans="1:3" x14ac:dyDescent="0.2">
      <c r="A2449" t="s">
        <v>13</v>
      </c>
      <c r="B2449" s="2">
        <v>45204</v>
      </c>
      <c r="C2449">
        <v>38.957111358642578</v>
      </c>
    </row>
    <row r="2450" spans="1:3" x14ac:dyDescent="0.2">
      <c r="A2450" t="s">
        <v>13</v>
      </c>
      <c r="B2450" s="2">
        <v>45205</v>
      </c>
      <c r="C2450">
        <v>39.134876251220703</v>
      </c>
    </row>
    <row r="2451" spans="1:3" x14ac:dyDescent="0.2">
      <c r="A2451" t="s">
        <v>13</v>
      </c>
      <c r="B2451" s="2">
        <v>45209</v>
      </c>
      <c r="C2451">
        <v>40.939186096191413</v>
      </c>
    </row>
    <row r="2452" spans="1:3" x14ac:dyDescent="0.2">
      <c r="A2452" t="s">
        <v>13</v>
      </c>
      <c r="B2452" s="2">
        <v>45210</v>
      </c>
      <c r="C2452">
        <v>40.779201507568359</v>
      </c>
    </row>
    <row r="2453" spans="1:3" x14ac:dyDescent="0.2">
      <c r="A2453" t="s">
        <v>13</v>
      </c>
      <c r="B2453" s="2">
        <v>45211</v>
      </c>
      <c r="C2453">
        <v>41.232490539550781</v>
      </c>
    </row>
    <row r="2454" spans="1:3" x14ac:dyDescent="0.2">
      <c r="A2454" t="s">
        <v>13</v>
      </c>
      <c r="B2454" s="2">
        <v>45212</v>
      </c>
      <c r="C2454">
        <v>41.543582916259773</v>
      </c>
    </row>
    <row r="2455" spans="1:3" x14ac:dyDescent="0.2">
      <c r="A2455" t="s">
        <v>13</v>
      </c>
      <c r="B2455" s="2">
        <v>45215</v>
      </c>
      <c r="C2455">
        <v>41.499141693115227</v>
      </c>
    </row>
    <row r="2456" spans="1:3" x14ac:dyDescent="0.2">
      <c r="A2456" t="s">
        <v>13</v>
      </c>
      <c r="B2456" s="2">
        <v>45216</v>
      </c>
      <c r="C2456">
        <v>41.668025970458977</v>
      </c>
    </row>
    <row r="2457" spans="1:3" x14ac:dyDescent="0.2">
      <c r="A2457" t="s">
        <v>13</v>
      </c>
      <c r="B2457" s="2">
        <v>45217</v>
      </c>
      <c r="C2457">
        <v>42.0679931640625</v>
      </c>
    </row>
    <row r="2458" spans="1:3" x14ac:dyDescent="0.2">
      <c r="A2458" t="s">
        <v>13</v>
      </c>
      <c r="B2458" s="2">
        <v>45218</v>
      </c>
      <c r="C2458">
        <v>42.032436370849609</v>
      </c>
    </row>
    <row r="2459" spans="1:3" x14ac:dyDescent="0.2">
      <c r="A2459" t="s">
        <v>13</v>
      </c>
      <c r="B2459" s="2">
        <v>45219</v>
      </c>
      <c r="C2459">
        <v>41.330272674560547</v>
      </c>
    </row>
    <row r="2460" spans="1:3" x14ac:dyDescent="0.2">
      <c r="A2460" t="s">
        <v>13</v>
      </c>
      <c r="B2460" s="2">
        <v>45222</v>
      </c>
      <c r="C2460">
        <v>40.779201507568359</v>
      </c>
    </row>
    <row r="2461" spans="1:3" x14ac:dyDescent="0.2">
      <c r="A2461" t="s">
        <v>13</v>
      </c>
      <c r="B2461" s="2">
        <v>45223</v>
      </c>
      <c r="C2461">
        <v>40.130363464355469</v>
      </c>
    </row>
    <row r="2462" spans="1:3" x14ac:dyDescent="0.2">
      <c r="A2462" t="s">
        <v>13</v>
      </c>
      <c r="B2462" s="2">
        <v>45224</v>
      </c>
      <c r="C2462">
        <v>40.708095550537109</v>
      </c>
    </row>
    <row r="2463" spans="1:3" x14ac:dyDescent="0.2">
      <c r="A2463" t="s">
        <v>13</v>
      </c>
      <c r="B2463" s="2">
        <v>45225</v>
      </c>
      <c r="C2463">
        <v>40.14813232421875</v>
      </c>
    </row>
    <row r="2464" spans="1:3" x14ac:dyDescent="0.2">
      <c r="A2464" t="s">
        <v>13</v>
      </c>
      <c r="B2464" s="2">
        <v>45226</v>
      </c>
      <c r="C2464">
        <v>40.050365447998047</v>
      </c>
    </row>
    <row r="2465" spans="1:3" x14ac:dyDescent="0.2">
      <c r="A2465" t="s">
        <v>13</v>
      </c>
      <c r="B2465" s="2">
        <v>45229</v>
      </c>
      <c r="C2465">
        <v>39.881488800048828</v>
      </c>
    </row>
    <row r="2466" spans="1:3" x14ac:dyDescent="0.2">
      <c r="A2466" t="s">
        <v>13</v>
      </c>
      <c r="B2466" s="2">
        <v>45230</v>
      </c>
      <c r="C2466">
        <v>39.917037963867188</v>
      </c>
    </row>
    <row r="2467" spans="1:3" x14ac:dyDescent="0.2">
      <c r="A2467" t="s">
        <v>13</v>
      </c>
      <c r="B2467" s="2">
        <v>45231</v>
      </c>
      <c r="C2467">
        <v>40.3170166015625</v>
      </c>
    </row>
    <row r="2468" spans="1:3" x14ac:dyDescent="0.2">
      <c r="A2468" t="s">
        <v>13</v>
      </c>
      <c r="B2468" s="2">
        <v>45232</v>
      </c>
      <c r="C2468">
        <v>41.730236053466797</v>
      </c>
    </row>
    <row r="2469" spans="1:3" x14ac:dyDescent="0.2">
      <c r="A2469" t="s">
        <v>13</v>
      </c>
      <c r="B2469" s="2">
        <v>45233</v>
      </c>
      <c r="C2469">
        <v>40.983623504638672</v>
      </c>
    </row>
    <row r="2470" spans="1:3" x14ac:dyDescent="0.2">
      <c r="A2470" t="s">
        <v>13</v>
      </c>
      <c r="B2470" s="2">
        <v>45236</v>
      </c>
      <c r="C2470">
        <v>40.903640747070312</v>
      </c>
    </row>
    <row r="2471" spans="1:3" x14ac:dyDescent="0.2">
      <c r="A2471" t="s">
        <v>13</v>
      </c>
      <c r="B2471" s="2">
        <v>45237</v>
      </c>
      <c r="C2471">
        <v>39.19708251953125</v>
      </c>
    </row>
    <row r="2472" spans="1:3" x14ac:dyDescent="0.2">
      <c r="A2472" t="s">
        <v>13</v>
      </c>
      <c r="B2472" s="2">
        <v>45238</v>
      </c>
      <c r="C2472">
        <v>38.477149963378913</v>
      </c>
    </row>
    <row r="2473" spans="1:3" x14ac:dyDescent="0.2">
      <c r="A2473" t="s">
        <v>13</v>
      </c>
      <c r="B2473" s="2">
        <v>45239</v>
      </c>
      <c r="C2473">
        <v>39.899265289306641</v>
      </c>
    </row>
    <row r="2474" spans="1:3" x14ac:dyDescent="0.2">
      <c r="A2474" t="s">
        <v>13</v>
      </c>
      <c r="B2474" s="2">
        <v>45240</v>
      </c>
      <c r="C2474">
        <v>40.690315246582031</v>
      </c>
    </row>
    <row r="2475" spans="1:3" x14ac:dyDescent="0.2">
      <c r="A2475" t="s">
        <v>13</v>
      </c>
      <c r="B2475" s="2">
        <v>45243</v>
      </c>
      <c r="C2475">
        <v>41.35693359375</v>
      </c>
    </row>
    <row r="2476" spans="1:3" x14ac:dyDescent="0.2">
      <c r="A2476" t="s">
        <v>13</v>
      </c>
      <c r="B2476" s="2">
        <v>45244</v>
      </c>
      <c r="C2476">
        <v>40.876964569091797</v>
      </c>
    </row>
    <row r="2477" spans="1:3" x14ac:dyDescent="0.2">
      <c r="A2477" t="s">
        <v>13</v>
      </c>
      <c r="B2477" s="2">
        <v>45245</v>
      </c>
      <c r="C2477">
        <v>40.556987762451172</v>
      </c>
    </row>
    <row r="2478" spans="1:3" x14ac:dyDescent="0.2">
      <c r="A2478" t="s">
        <v>13</v>
      </c>
      <c r="B2478" s="2">
        <v>45246</v>
      </c>
      <c r="C2478">
        <v>39.614845275878913</v>
      </c>
    </row>
    <row r="2479" spans="1:3" x14ac:dyDescent="0.2">
      <c r="A2479" t="s">
        <v>13</v>
      </c>
      <c r="B2479" s="2">
        <v>45247</v>
      </c>
      <c r="C2479">
        <v>41.179168701171882</v>
      </c>
    </row>
    <row r="2480" spans="1:3" x14ac:dyDescent="0.2">
      <c r="A2480" t="s">
        <v>13</v>
      </c>
      <c r="B2480" s="2">
        <v>45250</v>
      </c>
      <c r="C2480">
        <v>40.832530975341797</v>
      </c>
    </row>
    <row r="2481" spans="1:3" x14ac:dyDescent="0.2">
      <c r="A2481" t="s">
        <v>13</v>
      </c>
      <c r="B2481" s="2">
        <v>45251</v>
      </c>
      <c r="C2481">
        <v>40.370334625244141</v>
      </c>
    </row>
    <row r="2482" spans="1:3" x14ac:dyDescent="0.2">
      <c r="A2482" t="s">
        <v>13</v>
      </c>
      <c r="B2482" s="2">
        <v>45252</v>
      </c>
      <c r="C2482">
        <v>40.041481018066413</v>
      </c>
    </row>
    <row r="2483" spans="1:3" x14ac:dyDescent="0.2">
      <c r="A2483" t="s">
        <v>13</v>
      </c>
      <c r="B2483" s="2">
        <v>45253</v>
      </c>
      <c r="C2483">
        <v>39.730392456054688</v>
      </c>
    </row>
    <row r="2484" spans="1:3" x14ac:dyDescent="0.2">
      <c r="A2484" t="s">
        <v>13</v>
      </c>
      <c r="B2484" s="2">
        <v>45254</v>
      </c>
      <c r="C2484">
        <v>39.685943603515618</v>
      </c>
    </row>
    <row r="2485" spans="1:3" x14ac:dyDescent="0.2">
      <c r="A2485" t="s">
        <v>13</v>
      </c>
      <c r="B2485" s="2">
        <v>45257</v>
      </c>
      <c r="C2485">
        <v>39.054878234863281</v>
      </c>
    </row>
    <row r="2486" spans="1:3" x14ac:dyDescent="0.2">
      <c r="A2486" t="s">
        <v>13</v>
      </c>
      <c r="B2486" s="2">
        <v>45258</v>
      </c>
      <c r="C2486">
        <v>39.570404052734382</v>
      </c>
    </row>
    <row r="2487" spans="1:3" x14ac:dyDescent="0.2">
      <c r="A2487" t="s">
        <v>13</v>
      </c>
      <c r="B2487" s="2">
        <v>45259</v>
      </c>
      <c r="C2487">
        <v>39.845939636230469</v>
      </c>
    </row>
    <row r="2488" spans="1:3" x14ac:dyDescent="0.2">
      <c r="A2488" t="s">
        <v>13</v>
      </c>
      <c r="B2488" s="2">
        <v>45260</v>
      </c>
      <c r="C2488">
        <v>40.255332946777337</v>
      </c>
    </row>
    <row r="2489" spans="1:3" x14ac:dyDescent="0.2">
      <c r="A2489" t="s">
        <v>13</v>
      </c>
      <c r="B2489" s="2">
        <v>45261</v>
      </c>
      <c r="C2489">
        <v>40.066375732421882</v>
      </c>
    </row>
    <row r="2490" spans="1:3" x14ac:dyDescent="0.2">
      <c r="A2490" t="s">
        <v>13</v>
      </c>
      <c r="B2490" s="2">
        <v>45264</v>
      </c>
      <c r="C2490">
        <v>39.697467803955078</v>
      </c>
    </row>
    <row r="2491" spans="1:3" x14ac:dyDescent="0.2">
      <c r="A2491" t="s">
        <v>13</v>
      </c>
      <c r="B2491" s="2">
        <v>45265</v>
      </c>
      <c r="C2491">
        <v>39.166610717773438</v>
      </c>
    </row>
    <row r="2492" spans="1:3" x14ac:dyDescent="0.2">
      <c r="A2492" t="s">
        <v>13</v>
      </c>
      <c r="B2492" s="2">
        <v>45266</v>
      </c>
      <c r="C2492">
        <v>37.007186889648438</v>
      </c>
    </row>
    <row r="2493" spans="1:3" x14ac:dyDescent="0.2">
      <c r="A2493" t="s">
        <v>13</v>
      </c>
      <c r="B2493" s="2">
        <v>45267</v>
      </c>
      <c r="C2493">
        <v>36.998188018798828</v>
      </c>
    </row>
    <row r="2494" spans="1:3" x14ac:dyDescent="0.2">
      <c r="A2494" t="s">
        <v>13</v>
      </c>
      <c r="B2494" s="2">
        <v>45268</v>
      </c>
      <c r="C2494">
        <v>37.583026885986328</v>
      </c>
    </row>
    <row r="2495" spans="1:3" x14ac:dyDescent="0.2">
      <c r="A2495" t="s">
        <v>13</v>
      </c>
      <c r="B2495" s="2">
        <v>45271</v>
      </c>
      <c r="C2495">
        <v>36.97119140625</v>
      </c>
    </row>
    <row r="2496" spans="1:3" x14ac:dyDescent="0.2">
      <c r="A2496" t="s">
        <v>13</v>
      </c>
      <c r="B2496" s="2">
        <v>45272</v>
      </c>
      <c r="C2496">
        <v>36.197402954101562</v>
      </c>
    </row>
    <row r="2497" spans="1:3" x14ac:dyDescent="0.2">
      <c r="A2497" t="s">
        <v>13</v>
      </c>
      <c r="B2497" s="2">
        <v>45273</v>
      </c>
      <c r="C2497">
        <v>37.025184631347663</v>
      </c>
    </row>
    <row r="2498" spans="1:3" x14ac:dyDescent="0.2">
      <c r="A2498" t="s">
        <v>13</v>
      </c>
      <c r="B2498" s="2">
        <v>45274</v>
      </c>
      <c r="C2498">
        <v>37.717998504638672</v>
      </c>
    </row>
    <row r="2499" spans="1:3" x14ac:dyDescent="0.2">
      <c r="A2499" t="s">
        <v>13</v>
      </c>
      <c r="B2499" s="2">
        <v>45275</v>
      </c>
      <c r="C2499">
        <v>37.232124328613281</v>
      </c>
    </row>
    <row r="2500" spans="1:3" x14ac:dyDescent="0.2">
      <c r="A2500" t="s">
        <v>13</v>
      </c>
      <c r="B2500" s="2">
        <v>45278</v>
      </c>
      <c r="C2500">
        <v>37.906944274902337</v>
      </c>
    </row>
    <row r="2501" spans="1:3" x14ac:dyDescent="0.2">
      <c r="A2501" t="s">
        <v>13</v>
      </c>
      <c r="B2501" s="2">
        <v>45279</v>
      </c>
      <c r="C2501">
        <v>38.554771423339837</v>
      </c>
    </row>
    <row r="2502" spans="1:3" x14ac:dyDescent="0.2">
      <c r="A2502" t="s">
        <v>13</v>
      </c>
      <c r="B2502" s="2">
        <v>45280</v>
      </c>
      <c r="C2502">
        <v>38.203865051269531</v>
      </c>
    </row>
    <row r="2503" spans="1:3" x14ac:dyDescent="0.2">
      <c r="A2503" t="s">
        <v>13</v>
      </c>
      <c r="B2503" s="2">
        <v>45281</v>
      </c>
      <c r="C2503">
        <v>38.185871124267578</v>
      </c>
    </row>
    <row r="2504" spans="1:3" x14ac:dyDescent="0.2">
      <c r="A2504" t="s">
        <v>13</v>
      </c>
      <c r="B2504" s="2">
        <v>45282</v>
      </c>
      <c r="C2504">
        <v>38.203865051269531</v>
      </c>
    </row>
    <row r="2505" spans="1:3" x14ac:dyDescent="0.2">
      <c r="A2505" t="s">
        <v>13</v>
      </c>
      <c r="B2505" s="2">
        <v>45287</v>
      </c>
      <c r="C2505">
        <v>38.446807861328118</v>
      </c>
    </row>
    <row r="2506" spans="1:3" x14ac:dyDescent="0.2">
      <c r="A2506" t="s">
        <v>13</v>
      </c>
      <c r="B2506" s="2">
        <v>45288</v>
      </c>
      <c r="C2506">
        <v>37.969932556152337</v>
      </c>
    </row>
    <row r="2507" spans="1:3" x14ac:dyDescent="0.2">
      <c r="A2507" t="s">
        <v>13</v>
      </c>
      <c r="B2507" s="2">
        <v>45289</v>
      </c>
      <c r="C2507">
        <v>38.194869995117188</v>
      </c>
    </row>
    <row r="2508" spans="1:3" x14ac:dyDescent="0.2">
      <c r="A2508" t="s">
        <v>13</v>
      </c>
      <c r="B2508" s="2">
        <v>45293</v>
      </c>
      <c r="C2508">
        <v>38.509792327880859</v>
      </c>
    </row>
    <row r="2509" spans="1:3" x14ac:dyDescent="0.2">
      <c r="A2509" t="s">
        <v>13</v>
      </c>
      <c r="B2509" s="2">
        <v>45294</v>
      </c>
      <c r="C2509">
        <v>40.795185089111328</v>
      </c>
    </row>
    <row r="2510" spans="1:3" x14ac:dyDescent="0.2">
      <c r="A2510" t="s">
        <v>13</v>
      </c>
      <c r="B2510" s="2">
        <v>45295</v>
      </c>
      <c r="C2510">
        <v>40.489261627197273</v>
      </c>
    </row>
    <row r="2511" spans="1:3" x14ac:dyDescent="0.2">
      <c r="A2511" t="s">
        <v>13</v>
      </c>
      <c r="B2511" s="2">
        <v>45296</v>
      </c>
      <c r="C2511">
        <v>40.633224487304688</v>
      </c>
    </row>
    <row r="2512" spans="1:3" x14ac:dyDescent="0.2">
      <c r="A2512" t="s">
        <v>13</v>
      </c>
      <c r="B2512" s="2">
        <v>45299</v>
      </c>
      <c r="C2512">
        <v>39.706470489501953</v>
      </c>
    </row>
    <row r="2513" spans="1:3" x14ac:dyDescent="0.2">
      <c r="A2513" t="s">
        <v>13</v>
      </c>
      <c r="B2513" s="2">
        <v>45300</v>
      </c>
      <c r="C2513">
        <v>39.418552398681641</v>
      </c>
    </row>
    <row r="2514" spans="1:3" x14ac:dyDescent="0.2">
      <c r="A2514" t="s">
        <v>13</v>
      </c>
      <c r="B2514" s="2">
        <v>45301</v>
      </c>
      <c r="C2514">
        <v>39.0406494140625</v>
      </c>
    </row>
    <row r="2515" spans="1:3" x14ac:dyDescent="0.2">
      <c r="A2515" t="s">
        <v>13</v>
      </c>
      <c r="B2515" s="2">
        <v>45302</v>
      </c>
      <c r="C2515">
        <v>39.355560302734382</v>
      </c>
    </row>
    <row r="2516" spans="1:3" x14ac:dyDescent="0.2">
      <c r="A2516" t="s">
        <v>13</v>
      </c>
      <c r="B2516" s="2">
        <v>45303</v>
      </c>
      <c r="C2516">
        <v>39.544509887695312</v>
      </c>
    </row>
    <row r="2517" spans="1:3" x14ac:dyDescent="0.2">
      <c r="A2517" t="s">
        <v>13</v>
      </c>
      <c r="B2517" s="2">
        <v>45306</v>
      </c>
      <c r="C2517">
        <v>39.499519348144531</v>
      </c>
    </row>
    <row r="2518" spans="1:3" x14ac:dyDescent="0.2">
      <c r="A2518" t="s">
        <v>13</v>
      </c>
      <c r="B2518" s="2">
        <v>45307</v>
      </c>
      <c r="C2518">
        <v>38.842700958251953</v>
      </c>
    </row>
    <row r="2519" spans="1:3" x14ac:dyDescent="0.2">
      <c r="A2519" t="s">
        <v>13</v>
      </c>
      <c r="B2519" s="2">
        <v>45308</v>
      </c>
      <c r="C2519">
        <v>38.293846130371087</v>
      </c>
    </row>
    <row r="2520" spans="1:3" x14ac:dyDescent="0.2">
      <c r="A2520" t="s">
        <v>13</v>
      </c>
      <c r="B2520" s="2">
        <v>45309</v>
      </c>
      <c r="C2520">
        <v>38.158885955810547</v>
      </c>
    </row>
    <row r="2521" spans="1:3" x14ac:dyDescent="0.2">
      <c r="A2521" t="s">
        <v>13</v>
      </c>
      <c r="B2521" s="2">
        <v>45310</v>
      </c>
      <c r="C2521">
        <v>38.059906005859382</v>
      </c>
    </row>
    <row r="2522" spans="1:3" x14ac:dyDescent="0.2">
      <c r="A2522" t="s">
        <v>13</v>
      </c>
      <c r="B2522" s="2">
        <v>45313</v>
      </c>
      <c r="C2522">
        <v>38.446807861328118</v>
      </c>
    </row>
    <row r="2523" spans="1:3" x14ac:dyDescent="0.2">
      <c r="A2523" t="s">
        <v>13</v>
      </c>
      <c r="B2523" s="2">
        <v>45314</v>
      </c>
      <c r="C2523">
        <v>38.212863922119141</v>
      </c>
    </row>
    <row r="2524" spans="1:3" x14ac:dyDescent="0.2">
      <c r="A2524" t="s">
        <v>13</v>
      </c>
      <c r="B2524" s="2">
        <v>45315</v>
      </c>
      <c r="C2524">
        <v>38.734733581542969</v>
      </c>
    </row>
    <row r="2525" spans="1:3" x14ac:dyDescent="0.2">
      <c r="A2525" t="s">
        <v>13</v>
      </c>
      <c r="B2525" s="2">
        <v>45316</v>
      </c>
      <c r="C2525">
        <v>39.157611846923828</v>
      </c>
    </row>
    <row r="2526" spans="1:3" x14ac:dyDescent="0.2">
      <c r="A2526" t="s">
        <v>13</v>
      </c>
      <c r="B2526" s="2">
        <v>45317</v>
      </c>
      <c r="C2526">
        <v>39.607494354248047</v>
      </c>
    </row>
    <row r="2527" spans="1:3" x14ac:dyDescent="0.2">
      <c r="A2527" t="s">
        <v>13</v>
      </c>
      <c r="B2527" s="2">
        <v>45320</v>
      </c>
      <c r="C2527">
        <v>39.544509887695312</v>
      </c>
    </row>
    <row r="2528" spans="1:3" x14ac:dyDescent="0.2">
      <c r="A2528" t="s">
        <v>13</v>
      </c>
      <c r="B2528" s="2">
        <v>45321</v>
      </c>
      <c r="C2528">
        <v>40.462272644042969</v>
      </c>
    </row>
    <row r="2529" spans="1:3" x14ac:dyDescent="0.2">
      <c r="A2529" t="s">
        <v>13</v>
      </c>
      <c r="B2529" s="2">
        <v>45322</v>
      </c>
      <c r="C2529">
        <v>40.057380676269531</v>
      </c>
    </row>
    <row r="2530" spans="1:3" x14ac:dyDescent="0.2">
      <c r="A2530" t="s">
        <v>13</v>
      </c>
      <c r="B2530" s="2">
        <v>45323</v>
      </c>
      <c r="C2530">
        <v>39.490524291992188</v>
      </c>
    </row>
    <row r="2531" spans="1:3" x14ac:dyDescent="0.2">
      <c r="A2531" t="s">
        <v>13</v>
      </c>
      <c r="B2531" s="2">
        <v>45324</v>
      </c>
      <c r="C2531">
        <v>38.896686553955078</v>
      </c>
    </row>
    <row r="2532" spans="1:3" x14ac:dyDescent="0.2">
      <c r="A2532" t="s">
        <v>13</v>
      </c>
      <c r="B2532" s="2">
        <v>45327</v>
      </c>
      <c r="C2532">
        <v>38.770713806152337</v>
      </c>
    </row>
    <row r="2533" spans="1:3" x14ac:dyDescent="0.2">
      <c r="A2533" t="s">
        <v>13</v>
      </c>
      <c r="B2533" s="2">
        <v>45328</v>
      </c>
      <c r="C2533">
        <v>38.806709289550781</v>
      </c>
    </row>
    <row r="2534" spans="1:3" x14ac:dyDescent="0.2">
      <c r="A2534" t="s">
        <v>13</v>
      </c>
      <c r="B2534" s="2">
        <v>45329</v>
      </c>
      <c r="C2534">
        <v>38.914684295654297</v>
      </c>
    </row>
    <row r="2535" spans="1:3" x14ac:dyDescent="0.2">
      <c r="A2535" t="s">
        <v>13</v>
      </c>
      <c r="B2535" s="2">
        <v>45330</v>
      </c>
      <c r="C2535">
        <v>39.0406494140625</v>
      </c>
    </row>
    <row r="2536" spans="1:3" x14ac:dyDescent="0.2">
      <c r="A2536" t="s">
        <v>13</v>
      </c>
      <c r="B2536" s="2">
        <v>45331</v>
      </c>
      <c r="C2536">
        <v>38.923675537109382</v>
      </c>
    </row>
    <row r="2537" spans="1:3" x14ac:dyDescent="0.2">
      <c r="A2537" t="s">
        <v>13</v>
      </c>
      <c r="B2537" s="2">
        <v>45334</v>
      </c>
      <c r="C2537">
        <v>39.184604644775391</v>
      </c>
    </row>
    <row r="2538" spans="1:3" x14ac:dyDescent="0.2">
      <c r="A2538" t="s">
        <v>13</v>
      </c>
      <c r="B2538" s="2">
        <v>45335</v>
      </c>
      <c r="C2538">
        <v>38.563777923583977</v>
      </c>
    </row>
    <row r="2539" spans="1:3" x14ac:dyDescent="0.2">
      <c r="A2539" t="s">
        <v>13</v>
      </c>
      <c r="B2539" s="2">
        <v>45336</v>
      </c>
      <c r="C2539">
        <v>38.419815063476562</v>
      </c>
    </row>
    <row r="2540" spans="1:3" x14ac:dyDescent="0.2">
      <c r="A2540" t="s">
        <v>13</v>
      </c>
      <c r="B2540" s="2">
        <v>45337</v>
      </c>
      <c r="C2540">
        <v>40.111362457275391</v>
      </c>
    </row>
    <row r="2541" spans="1:3" x14ac:dyDescent="0.2">
      <c r="A2541" t="s">
        <v>13</v>
      </c>
      <c r="B2541" s="2">
        <v>45338</v>
      </c>
      <c r="C2541">
        <v>40.111362457275391</v>
      </c>
    </row>
    <row r="2542" spans="1:3" x14ac:dyDescent="0.2">
      <c r="A2542" t="s">
        <v>13</v>
      </c>
      <c r="B2542" s="2">
        <v>45342</v>
      </c>
      <c r="C2542">
        <v>39.697467803955078</v>
      </c>
    </row>
    <row r="2543" spans="1:3" x14ac:dyDescent="0.2">
      <c r="A2543" t="s">
        <v>13</v>
      </c>
      <c r="B2543" s="2">
        <v>45343</v>
      </c>
      <c r="C2543">
        <v>40.804183959960938</v>
      </c>
    </row>
    <row r="2544" spans="1:3" x14ac:dyDescent="0.2">
      <c r="A2544" t="s">
        <v>13</v>
      </c>
      <c r="B2544" s="2">
        <v>45344</v>
      </c>
      <c r="C2544">
        <v>40.687210083007812</v>
      </c>
    </row>
    <row r="2545" spans="1:3" x14ac:dyDescent="0.2">
      <c r="A2545" t="s">
        <v>13</v>
      </c>
      <c r="B2545" s="2">
        <v>45345</v>
      </c>
      <c r="C2545">
        <v>41.200080871582031</v>
      </c>
    </row>
    <row r="2546" spans="1:3" x14ac:dyDescent="0.2">
      <c r="A2546" t="s">
        <v>13</v>
      </c>
      <c r="B2546" s="2">
        <v>45348</v>
      </c>
      <c r="C2546">
        <v>41.101104736328118</v>
      </c>
    </row>
    <row r="2547" spans="1:3" x14ac:dyDescent="0.2">
      <c r="A2547" t="s">
        <v>13</v>
      </c>
      <c r="B2547" s="2">
        <v>45349</v>
      </c>
      <c r="C2547">
        <v>40.939140319824219</v>
      </c>
    </row>
    <row r="2548" spans="1:3" x14ac:dyDescent="0.2">
      <c r="A2548" t="s">
        <v>13</v>
      </c>
      <c r="B2548" s="2">
        <v>45350</v>
      </c>
      <c r="C2548">
        <v>41.35302734375</v>
      </c>
    </row>
    <row r="2549" spans="1:3" x14ac:dyDescent="0.2">
      <c r="A2549" t="s">
        <v>13</v>
      </c>
      <c r="B2549" s="2">
        <v>45351</v>
      </c>
      <c r="C2549">
        <v>41.955875396728523</v>
      </c>
    </row>
    <row r="2550" spans="1:3" x14ac:dyDescent="0.2">
      <c r="A2550" t="s">
        <v>13</v>
      </c>
      <c r="B2550" s="2">
        <v>45352</v>
      </c>
      <c r="C2550">
        <v>43.153053283691413</v>
      </c>
    </row>
    <row r="2551" spans="1:3" x14ac:dyDescent="0.2">
      <c r="A2551" t="s">
        <v>13</v>
      </c>
      <c r="B2551" s="2">
        <v>45355</v>
      </c>
      <c r="C2551">
        <v>42.333683013916023</v>
      </c>
    </row>
    <row r="2552" spans="1:3" x14ac:dyDescent="0.2">
      <c r="A2552" t="s">
        <v>13</v>
      </c>
      <c r="B2552" s="2">
        <v>45356</v>
      </c>
      <c r="C2552">
        <v>42.72515869140625</v>
      </c>
    </row>
    <row r="2553" spans="1:3" x14ac:dyDescent="0.2">
      <c r="A2553" t="s">
        <v>13</v>
      </c>
      <c r="B2553" s="2">
        <v>45357</v>
      </c>
      <c r="C2553">
        <v>42.970977783203118</v>
      </c>
    </row>
    <row r="2554" spans="1:3" x14ac:dyDescent="0.2">
      <c r="A2554" t="s">
        <v>13</v>
      </c>
      <c r="B2554" s="2">
        <v>45358</v>
      </c>
      <c r="C2554">
        <v>42.625011444091797</v>
      </c>
    </row>
    <row r="2555" spans="1:3" x14ac:dyDescent="0.2">
      <c r="A2555" t="s">
        <v>13</v>
      </c>
      <c r="B2555" s="2">
        <v>45359</v>
      </c>
      <c r="C2555">
        <v>42.342792510986328</v>
      </c>
    </row>
    <row r="2556" spans="1:3" x14ac:dyDescent="0.2">
      <c r="A2556" t="s">
        <v>13</v>
      </c>
      <c r="B2556" s="2">
        <v>45362</v>
      </c>
      <c r="C2556">
        <v>42.661441802978523</v>
      </c>
    </row>
    <row r="2557" spans="1:3" x14ac:dyDescent="0.2">
      <c r="A2557" t="s">
        <v>13</v>
      </c>
      <c r="B2557" s="2">
        <v>45363</v>
      </c>
      <c r="C2557">
        <v>43.007392883300781</v>
      </c>
    </row>
    <row r="2558" spans="1:3" x14ac:dyDescent="0.2">
      <c r="A2558" t="s">
        <v>13</v>
      </c>
      <c r="B2558" s="2">
        <v>45364</v>
      </c>
      <c r="C2558">
        <v>43.617359161376953</v>
      </c>
    </row>
    <row r="2559" spans="1:3" x14ac:dyDescent="0.2">
      <c r="A2559" t="s">
        <v>13</v>
      </c>
      <c r="B2559" s="2">
        <v>45365</v>
      </c>
      <c r="C2559">
        <v>44.436717987060547</v>
      </c>
    </row>
    <row r="2560" spans="1:3" x14ac:dyDescent="0.2">
      <c r="A2560" t="s">
        <v>13</v>
      </c>
      <c r="B2560" s="2">
        <v>45366</v>
      </c>
      <c r="C2560">
        <v>44.48223876953125</v>
      </c>
    </row>
    <row r="2561" spans="1:3" x14ac:dyDescent="0.2">
      <c r="A2561" t="s">
        <v>13</v>
      </c>
      <c r="B2561" s="2">
        <v>45369</v>
      </c>
      <c r="C2561">
        <v>44.755355834960938</v>
      </c>
    </row>
    <row r="2562" spans="1:3" x14ac:dyDescent="0.2">
      <c r="A2562" t="s">
        <v>13</v>
      </c>
      <c r="B2562" s="2">
        <v>45370</v>
      </c>
      <c r="C2562">
        <v>44.791774749755859</v>
      </c>
    </row>
    <row r="2563" spans="1:3" x14ac:dyDescent="0.2">
      <c r="A2563" t="s">
        <v>13</v>
      </c>
      <c r="B2563" s="2">
        <v>45371</v>
      </c>
      <c r="C2563">
        <v>44.646110534667969</v>
      </c>
    </row>
    <row r="2564" spans="1:3" x14ac:dyDescent="0.2">
      <c r="A2564" t="s">
        <v>13</v>
      </c>
      <c r="B2564" s="2">
        <v>45372</v>
      </c>
      <c r="C2564">
        <v>44.600593566894531</v>
      </c>
    </row>
    <row r="2565" spans="1:3" x14ac:dyDescent="0.2">
      <c r="A2565" t="s">
        <v>13</v>
      </c>
      <c r="B2565" s="2">
        <v>45373</v>
      </c>
      <c r="C2565">
        <v>44.473136901855469</v>
      </c>
    </row>
    <row r="2566" spans="1:3" x14ac:dyDescent="0.2">
      <c r="A2566" t="s">
        <v>13</v>
      </c>
      <c r="B2566" s="2">
        <v>45376</v>
      </c>
      <c r="C2566">
        <v>45.474578857421882</v>
      </c>
    </row>
    <row r="2567" spans="1:3" x14ac:dyDescent="0.2">
      <c r="A2567" t="s">
        <v>13</v>
      </c>
      <c r="B2567" s="2">
        <v>45377</v>
      </c>
      <c r="C2567">
        <v>45.055793762207031</v>
      </c>
    </row>
    <row r="2568" spans="1:3" x14ac:dyDescent="0.2">
      <c r="A2568" t="s">
        <v>13</v>
      </c>
      <c r="B2568" s="2">
        <v>45378</v>
      </c>
      <c r="C2568">
        <v>45.064899444580078</v>
      </c>
    </row>
    <row r="2569" spans="1:3" x14ac:dyDescent="0.2">
      <c r="A2569" t="s">
        <v>13</v>
      </c>
      <c r="B2569" s="2">
        <v>45379</v>
      </c>
      <c r="C2569">
        <v>45.510993957519531</v>
      </c>
    </row>
    <row r="2570" spans="1:3" x14ac:dyDescent="0.2">
      <c r="A2570" t="s">
        <v>13</v>
      </c>
      <c r="B2570" s="2">
        <v>45383</v>
      </c>
      <c r="C2570">
        <v>46.102752685546882</v>
      </c>
    </row>
    <row r="2571" spans="1:3" x14ac:dyDescent="0.2">
      <c r="A2571" t="s">
        <v>13</v>
      </c>
      <c r="B2571" s="2">
        <v>45384</v>
      </c>
      <c r="C2571">
        <v>46.922115325927727</v>
      </c>
    </row>
    <row r="2572" spans="1:3" x14ac:dyDescent="0.2">
      <c r="A2572" t="s">
        <v>13</v>
      </c>
      <c r="B2572" s="2">
        <v>45385</v>
      </c>
      <c r="C2572">
        <v>47.441043853759773</v>
      </c>
    </row>
    <row r="2573" spans="1:3" x14ac:dyDescent="0.2">
      <c r="A2573" t="s">
        <v>13</v>
      </c>
      <c r="B2573" s="2">
        <v>45386</v>
      </c>
      <c r="C2573">
        <v>47.577606201171882</v>
      </c>
    </row>
    <row r="2574" spans="1:3" x14ac:dyDescent="0.2">
      <c r="A2574" t="s">
        <v>13</v>
      </c>
      <c r="B2574" s="2">
        <v>45387</v>
      </c>
      <c r="C2574">
        <v>48.251304626464837</v>
      </c>
    </row>
    <row r="2575" spans="1:3" x14ac:dyDescent="0.2">
      <c r="A2575" t="s">
        <v>13</v>
      </c>
      <c r="B2575" s="2">
        <v>45390</v>
      </c>
      <c r="C2575">
        <v>47.83251953125</v>
      </c>
    </row>
    <row r="2576" spans="1:3" x14ac:dyDescent="0.2">
      <c r="A2576" t="s">
        <v>13</v>
      </c>
      <c r="B2576" s="2">
        <v>45391</v>
      </c>
      <c r="C2576">
        <v>47.878040313720703</v>
      </c>
    </row>
    <row r="2577" spans="1:3" x14ac:dyDescent="0.2">
      <c r="A2577" t="s">
        <v>13</v>
      </c>
      <c r="B2577" s="2">
        <v>45392</v>
      </c>
      <c r="C2577">
        <v>48.943210601806641</v>
      </c>
    </row>
    <row r="2578" spans="1:3" x14ac:dyDescent="0.2">
      <c r="A2578" t="s">
        <v>13</v>
      </c>
      <c r="B2578" s="2">
        <v>45393</v>
      </c>
      <c r="C2578">
        <v>47.768795013427727</v>
      </c>
    </row>
    <row r="2579" spans="1:3" x14ac:dyDescent="0.2">
      <c r="A2579" t="s">
        <v>13</v>
      </c>
      <c r="B2579" s="2">
        <v>45394</v>
      </c>
      <c r="C2579">
        <v>47.268070220947273</v>
      </c>
    </row>
    <row r="2580" spans="1:3" x14ac:dyDescent="0.2">
      <c r="A2580" t="s">
        <v>13</v>
      </c>
      <c r="B2580" s="2">
        <v>45397</v>
      </c>
      <c r="C2580">
        <v>46.658100128173828</v>
      </c>
    </row>
    <row r="2581" spans="1:3" x14ac:dyDescent="0.2">
      <c r="A2581" t="s">
        <v>13</v>
      </c>
      <c r="B2581" s="2">
        <v>45398</v>
      </c>
      <c r="C2581">
        <v>47.268070220947273</v>
      </c>
    </row>
    <row r="2582" spans="1:3" x14ac:dyDescent="0.2">
      <c r="A2582" t="s">
        <v>13</v>
      </c>
      <c r="B2582" s="2">
        <v>45399</v>
      </c>
      <c r="C2582">
        <v>47.504776000976562</v>
      </c>
    </row>
    <row r="2583" spans="1:3" x14ac:dyDescent="0.2">
      <c r="A2583" t="s">
        <v>13</v>
      </c>
      <c r="B2583" s="2">
        <v>45400</v>
      </c>
      <c r="C2583">
        <v>47.695964813232422</v>
      </c>
    </row>
    <row r="2584" spans="1:3" x14ac:dyDescent="0.2">
      <c r="A2584" t="s">
        <v>13</v>
      </c>
      <c r="B2584" s="2">
        <v>45401</v>
      </c>
      <c r="C2584">
        <v>48.242206573486328</v>
      </c>
    </row>
    <row r="2585" spans="1:3" x14ac:dyDescent="0.2">
      <c r="A2585" t="s">
        <v>13</v>
      </c>
      <c r="B2585" s="2">
        <v>45404</v>
      </c>
      <c r="C2585">
        <v>48.742916107177727</v>
      </c>
    </row>
    <row r="2586" spans="1:3" x14ac:dyDescent="0.2">
      <c r="A2586" t="s">
        <v>13</v>
      </c>
      <c r="B2586" s="2">
        <v>45405</v>
      </c>
      <c r="C2586">
        <v>48.679187774658203</v>
      </c>
    </row>
    <row r="2587" spans="1:3" x14ac:dyDescent="0.2">
      <c r="A2587" t="s">
        <v>13</v>
      </c>
      <c r="B2587" s="2">
        <v>45406</v>
      </c>
      <c r="C2587">
        <v>48.970523834228523</v>
      </c>
    </row>
    <row r="2588" spans="1:3" x14ac:dyDescent="0.2">
      <c r="A2588" t="s">
        <v>13</v>
      </c>
      <c r="B2588" s="2">
        <v>45407</v>
      </c>
      <c r="C2588">
        <v>49.052452087402337</v>
      </c>
    </row>
    <row r="2589" spans="1:3" x14ac:dyDescent="0.2">
      <c r="A2589" t="s">
        <v>13</v>
      </c>
      <c r="B2589" s="2">
        <v>45408</v>
      </c>
      <c r="C2589">
        <v>49.043350219726562</v>
      </c>
    </row>
    <row r="2590" spans="1:3" x14ac:dyDescent="0.2">
      <c r="A2590" t="s">
        <v>13</v>
      </c>
      <c r="B2590" s="2">
        <v>45411</v>
      </c>
      <c r="C2590">
        <v>49.389308929443359</v>
      </c>
    </row>
    <row r="2591" spans="1:3" x14ac:dyDescent="0.2">
      <c r="A2591" t="s">
        <v>13</v>
      </c>
      <c r="B2591" s="2">
        <v>45412</v>
      </c>
      <c r="C2591">
        <v>47.823413848876953</v>
      </c>
    </row>
    <row r="2592" spans="1:3" x14ac:dyDescent="0.2">
      <c r="A2592" t="s">
        <v>13</v>
      </c>
      <c r="B2592" s="2">
        <v>45413</v>
      </c>
      <c r="C2592">
        <v>47.149711608886719</v>
      </c>
    </row>
    <row r="2593" spans="1:3" x14ac:dyDescent="0.2">
      <c r="A2593" t="s">
        <v>13</v>
      </c>
      <c r="B2593" s="2">
        <v>45414</v>
      </c>
      <c r="C2593">
        <v>47.368209838867188</v>
      </c>
    </row>
    <row r="2594" spans="1:3" x14ac:dyDescent="0.2">
      <c r="A2594" t="s">
        <v>13</v>
      </c>
      <c r="B2594" s="2">
        <v>45415</v>
      </c>
      <c r="C2594">
        <v>47.577606201171882</v>
      </c>
    </row>
    <row r="2595" spans="1:3" x14ac:dyDescent="0.2">
      <c r="A2595" t="s">
        <v>13</v>
      </c>
      <c r="B2595" s="2">
        <v>45418</v>
      </c>
      <c r="C2595">
        <v>48.369651794433587</v>
      </c>
    </row>
    <row r="2596" spans="1:3" x14ac:dyDescent="0.2">
      <c r="A2596" t="s">
        <v>13</v>
      </c>
      <c r="B2596" s="2">
        <v>45419</v>
      </c>
      <c r="C2596">
        <v>48.651878356933587</v>
      </c>
    </row>
    <row r="2597" spans="1:3" x14ac:dyDescent="0.2">
      <c r="A2597" t="s">
        <v>13</v>
      </c>
      <c r="B2597" s="2">
        <v>45420</v>
      </c>
      <c r="C2597">
        <v>48.861270904541023</v>
      </c>
    </row>
    <row r="2598" spans="1:3" x14ac:dyDescent="0.2">
      <c r="A2598" t="s">
        <v>13</v>
      </c>
      <c r="B2598" s="2">
        <v>45421</v>
      </c>
      <c r="C2598">
        <v>50.008380889892578</v>
      </c>
    </row>
    <row r="2599" spans="1:3" x14ac:dyDescent="0.2">
      <c r="A2599" t="s">
        <v>13</v>
      </c>
      <c r="B2599" s="2">
        <v>45422</v>
      </c>
      <c r="C2599">
        <v>49.880916595458977</v>
      </c>
    </row>
    <row r="2600" spans="1:3" x14ac:dyDescent="0.2">
      <c r="A2600" t="s">
        <v>13</v>
      </c>
      <c r="B2600" s="2">
        <v>45425</v>
      </c>
      <c r="C2600">
        <v>49.352893829345703</v>
      </c>
    </row>
    <row r="2601" spans="1:3" x14ac:dyDescent="0.2">
      <c r="A2601" t="s">
        <v>13</v>
      </c>
      <c r="B2601" s="2">
        <v>45426</v>
      </c>
      <c r="C2601">
        <v>48.706504821777337</v>
      </c>
    </row>
    <row r="2602" spans="1:3" x14ac:dyDescent="0.2">
      <c r="A2602" t="s">
        <v>13</v>
      </c>
      <c r="B2602" s="2">
        <v>45427</v>
      </c>
      <c r="C2602">
        <v>48.788436889648438</v>
      </c>
    </row>
    <row r="2603" spans="1:3" x14ac:dyDescent="0.2">
      <c r="A2603" t="s">
        <v>13</v>
      </c>
      <c r="B2603" s="2">
        <v>45428</v>
      </c>
      <c r="C2603">
        <v>49.307373046875</v>
      </c>
    </row>
    <row r="2604" spans="1:3" x14ac:dyDescent="0.2">
      <c r="A2604" t="s">
        <v>13</v>
      </c>
      <c r="B2604" s="2">
        <v>45429</v>
      </c>
      <c r="C2604">
        <v>49.680633544921882</v>
      </c>
    </row>
    <row r="2605" spans="1:3" x14ac:dyDescent="0.2">
      <c r="A2605" t="s">
        <v>13</v>
      </c>
      <c r="B2605" s="2">
        <v>45433</v>
      </c>
      <c r="C2605">
        <v>51.009815216064453</v>
      </c>
    </row>
    <row r="2606" spans="1:3" x14ac:dyDescent="0.2">
      <c r="A2606" t="s">
        <v>13</v>
      </c>
      <c r="B2606" s="2">
        <v>45434</v>
      </c>
      <c r="C2606">
        <v>50.463584899902337</v>
      </c>
    </row>
    <row r="2607" spans="1:3" x14ac:dyDescent="0.2">
      <c r="A2607" t="s">
        <v>13</v>
      </c>
      <c r="B2607" s="2">
        <v>45435</v>
      </c>
      <c r="C2607">
        <v>50.208667755126953</v>
      </c>
    </row>
    <row r="2608" spans="1:3" x14ac:dyDescent="0.2">
      <c r="A2608" t="s">
        <v>13</v>
      </c>
      <c r="B2608" s="2">
        <v>45436</v>
      </c>
      <c r="C2608">
        <v>50.126735687255859</v>
      </c>
    </row>
    <row r="2609" spans="1:3" x14ac:dyDescent="0.2">
      <c r="A2609" t="s">
        <v>13</v>
      </c>
      <c r="B2609" s="2">
        <v>45439</v>
      </c>
      <c r="C2609">
        <v>50.327014923095703</v>
      </c>
    </row>
    <row r="2610" spans="1:3" x14ac:dyDescent="0.2">
      <c r="A2610" t="s">
        <v>13</v>
      </c>
      <c r="B2610" s="2">
        <v>45440</v>
      </c>
      <c r="C2610">
        <v>50.563732147216797</v>
      </c>
    </row>
    <row r="2611" spans="1:3" x14ac:dyDescent="0.2">
      <c r="A2611" t="s">
        <v>13</v>
      </c>
      <c r="B2611" s="2">
        <v>45441</v>
      </c>
      <c r="C2611">
        <v>49.589595794677727</v>
      </c>
    </row>
    <row r="2612" spans="1:3" x14ac:dyDescent="0.2">
      <c r="A2612" t="s">
        <v>13</v>
      </c>
      <c r="B2612" s="2">
        <v>45442</v>
      </c>
      <c r="C2612">
        <v>49.680633544921882</v>
      </c>
    </row>
    <row r="2613" spans="1:3" x14ac:dyDescent="0.2">
      <c r="A2613" t="s">
        <v>13</v>
      </c>
      <c r="B2613" s="2">
        <v>45443</v>
      </c>
      <c r="C2613">
        <v>50.618339538574219</v>
      </c>
    </row>
    <row r="2614" spans="1:3" x14ac:dyDescent="0.2">
      <c r="A2614" t="s">
        <v>13</v>
      </c>
      <c r="B2614" s="2">
        <v>45446</v>
      </c>
      <c r="C2614">
        <v>48.214885711669922</v>
      </c>
    </row>
    <row r="2615" spans="1:3" x14ac:dyDescent="0.2">
      <c r="A2615" t="s">
        <v>13</v>
      </c>
      <c r="B2615" s="2">
        <v>45447</v>
      </c>
      <c r="C2615">
        <v>47.345611572265618</v>
      </c>
    </row>
    <row r="2616" spans="1:3" x14ac:dyDescent="0.2">
      <c r="A2616" t="s">
        <v>13</v>
      </c>
      <c r="B2616" s="2">
        <v>45448</v>
      </c>
      <c r="C2616">
        <v>47.566379547119141</v>
      </c>
    </row>
    <row r="2617" spans="1:3" x14ac:dyDescent="0.2">
      <c r="A2617" t="s">
        <v>13</v>
      </c>
      <c r="B2617" s="2">
        <v>45449</v>
      </c>
      <c r="C2617">
        <v>48.265483856201172</v>
      </c>
    </row>
    <row r="2618" spans="1:3" x14ac:dyDescent="0.2">
      <c r="A2618" t="s">
        <v>13</v>
      </c>
      <c r="B2618" s="2">
        <v>45450</v>
      </c>
      <c r="C2618">
        <v>48.0631103515625</v>
      </c>
    </row>
    <row r="2619" spans="1:3" x14ac:dyDescent="0.2">
      <c r="A2619" t="s">
        <v>13</v>
      </c>
      <c r="B2619" s="2">
        <v>45453</v>
      </c>
      <c r="C2619">
        <v>48.302276611328118</v>
      </c>
    </row>
    <row r="2620" spans="1:3" x14ac:dyDescent="0.2">
      <c r="A2620" t="s">
        <v>13</v>
      </c>
      <c r="B2620" s="2">
        <v>45454</v>
      </c>
      <c r="C2620">
        <v>48.201091766357422</v>
      </c>
    </row>
    <row r="2621" spans="1:3" x14ac:dyDescent="0.2">
      <c r="A2621" t="s">
        <v>13</v>
      </c>
      <c r="B2621" s="2">
        <v>45455</v>
      </c>
      <c r="C2621">
        <v>48.053913116455078</v>
      </c>
    </row>
    <row r="2622" spans="1:3" x14ac:dyDescent="0.2">
      <c r="A2622" t="s">
        <v>13</v>
      </c>
      <c r="B2622" s="2">
        <v>45456</v>
      </c>
      <c r="C2622">
        <v>46.646514892578118</v>
      </c>
    </row>
    <row r="2623" spans="1:3" x14ac:dyDescent="0.2">
      <c r="A2623" t="s">
        <v>13</v>
      </c>
      <c r="B2623" s="2">
        <v>45457</v>
      </c>
      <c r="C2623">
        <v>46.232566833496087</v>
      </c>
    </row>
    <row r="2624" spans="1:3" x14ac:dyDescent="0.2">
      <c r="A2624" t="s">
        <v>13</v>
      </c>
      <c r="B2624" s="2">
        <v>45460</v>
      </c>
      <c r="C2624">
        <v>45.965816497802727</v>
      </c>
    </row>
    <row r="2625" spans="1:3" x14ac:dyDescent="0.2">
      <c r="A2625" t="s">
        <v>13</v>
      </c>
      <c r="B2625" s="2">
        <v>45461</v>
      </c>
      <c r="C2625">
        <v>46.710906982421882</v>
      </c>
    </row>
    <row r="2626" spans="1:3" x14ac:dyDescent="0.2">
      <c r="A2626" t="s">
        <v>13</v>
      </c>
      <c r="B2626" s="2">
        <v>45462</v>
      </c>
      <c r="C2626">
        <v>46.710906982421882</v>
      </c>
    </row>
    <row r="2627" spans="1:3" x14ac:dyDescent="0.2">
      <c r="A2627" t="s">
        <v>13</v>
      </c>
      <c r="B2627" s="2">
        <v>45463</v>
      </c>
      <c r="C2627">
        <v>46.784500122070312</v>
      </c>
    </row>
    <row r="2628" spans="1:3" x14ac:dyDescent="0.2">
      <c r="A2628" t="s">
        <v>13</v>
      </c>
      <c r="B2628" s="2">
        <v>45464</v>
      </c>
      <c r="C2628">
        <v>46.204975128173828</v>
      </c>
    </row>
    <row r="2629" spans="1:3" x14ac:dyDescent="0.2">
      <c r="A2629" t="s">
        <v>13</v>
      </c>
      <c r="B2629" s="2">
        <v>45467</v>
      </c>
      <c r="C2629">
        <v>47.621574401855469</v>
      </c>
    </row>
    <row r="2630" spans="1:3" x14ac:dyDescent="0.2">
      <c r="A2630" t="s">
        <v>13</v>
      </c>
      <c r="B2630" s="2">
        <v>45468</v>
      </c>
      <c r="C2630">
        <v>47.419200897216797</v>
      </c>
    </row>
    <row r="2631" spans="1:3" x14ac:dyDescent="0.2">
      <c r="A2631" t="s">
        <v>13</v>
      </c>
      <c r="B2631" s="2">
        <v>45469</v>
      </c>
      <c r="C2631">
        <v>47.014457702636719</v>
      </c>
    </row>
    <row r="2632" spans="1:3" x14ac:dyDescent="0.2">
      <c r="A2632" t="s">
        <v>13</v>
      </c>
      <c r="B2632" s="2">
        <v>45470</v>
      </c>
      <c r="C2632">
        <v>47.86993408203125</v>
      </c>
    </row>
    <row r="2633" spans="1:3" x14ac:dyDescent="0.2">
      <c r="A2633" t="s">
        <v>13</v>
      </c>
      <c r="B2633" s="2">
        <v>45471</v>
      </c>
      <c r="C2633">
        <v>47.971126556396477</v>
      </c>
    </row>
    <row r="2634" spans="1:3" x14ac:dyDescent="0.2">
      <c r="A2634" t="s">
        <v>13</v>
      </c>
      <c r="B2634" s="2">
        <v>45475</v>
      </c>
      <c r="C2634">
        <v>48.743824005126953</v>
      </c>
    </row>
    <row r="2635" spans="1:3" x14ac:dyDescent="0.2">
      <c r="A2635" t="s">
        <v>13</v>
      </c>
      <c r="B2635" s="2">
        <v>45476</v>
      </c>
      <c r="C2635">
        <v>49.139354705810547</v>
      </c>
    </row>
    <row r="2636" spans="1:3" x14ac:dyDescent="0.2">
      <c r="A2636" t="s">
        <v>13</v>
      </c>
      <c r="B2636" s="2">
        <v>45477</v>
      </c>
      <c r="C2636">
        <v>49.130157470703118</v>
      </c>
    </row>
    <row r="2637" spans="1:3" x14ac:dyDescent="0.2">
      <c r="A2637" t="s">
        <v>13</v>
      </c>
      <c r="B2637" s="2">
        <v>45478</v>
      </c>
      <c r="C2637">
        <v>47.354808807373047</v>
      </c>
    </row>
    <row r="2638" spans="1:3" x14ac:dyDescent="0.2">
      <c r="A2638" t="s">
        <v>13</v>
      </c>
      <c r="B2638" s="2">
        <v>45481</v>
      </c>
      <c r="C2638">
        <v>47.603176116943359</v>
      </c>
    </row>
    <row r="2639" spans="1:3" x14ac:dyDescent="0.2">
      <c r="A2639" t="s">
        <v>13</v>
      </c>
      <c r="B2639" s="2">
        <v>45482</v>
      </c>
      <c r="C2639">
        <v>46.996059417724609</v>
      </c>
    </row>
    <row r="2640" spans="1:3" x14ac:dyDescent="0.2">
      <c r="A2640" t="s">
        <v>13</v>
      </c>
      <c r="B2640" s="2">
        <v>45483</v>
      </c>
      <c r="C2640">
        <v>47.483589172363281</v>
      </c>
    </row>
    <row r="2641" spans="1:3" x14ac:dyDescent="0.2">
      <c r="A2641" t="s">
        <v>13</v>
      </c>
      <c r="B2641" s="2">
        <v>45484</v>
      </c>
      <c r="C2641">
        <v>47.925128936767578</v>
      </c>
    </row>
    <row r="2642" spans="1:3" x14ac:dyDescent="0.2">
      <c r="A2642" t="s">
        <v>13</v>
      </c>
      <c r="B2642" s="2">
        <v>45485</v>
      </c>
      <c r="C2642">
        <v>47.99871826171875</v>
      </c>
    </row>
    <row r="2643" spans="1:3" x14ac:dyDescent="0.2">
      <c r="A2643" t="s">
        <v>13</v>
      </c>
      <c r="B2643" s="2">
        <v>45488</v>
      </c>
      <c r="C2643">
        <v>48.872596740722663</v>
      </c>
    </row>
    <row r="2644" spans="1:3" x14ac:dyDescent="0.2">
      <c r="A2644" t="s">
        <v>13</v>
      </c>
      <c r="B2644" s="2">
        <v>45489</v>
      </c>
      <c r="C2644">
        <v>48.293079376220703</v>
      </c>
    </row>
    <row r="2645" spans="1:3" x14ac:dyDescent="0.2">
      <c r="A2645" t="s">
        <v>13</v>
      </c>
      <c r="B2645" s="2">
        <v>45490</v>
      </c>
      <c r="C2645">
        <v>48.909381866455078</v>
      </c>
    </row>
    <row r="2646" spans="1:3" x14ac:dyDescent="0.2">
      <c r="A2646" t="s">
        <v>13</v>
      </c>
      <c r="B2646" s="2">
        <v>45491</v>
      </c>
      <c r="C2646">
        <v>48.964584350585938</v>
      </c>
    </row>
    <row r="2647" spans="1:3" x14ac:dyDescent="0.2">
      <c r="A2647" t="s">
        <v>13</v>
      </c>
      <c r="B2647" s="2">
        <v>45492</v>
      </c>
      <c r="C2647">
        <v>48.615028381347663</v>
      </c>
    </row>
    <row r="2648" spans="1:3" x14ac:dyDescent="0.2">
      <c r="A2648" t="s">
        <v>13</v>
      </c>
      <c r="B2648" s="2">
        <v>45495</v>
      </c>
      <c r="C2648">
        <v>49.038169860839837</v>
      </c>
    </row>
    <row r="2649" spans="1:3" x14ac:dyDescent="0.2">
      <c r="A2649" t="s">
        <v>13</v>
      </c>
      <c r="B2649" s="2">
        <v>45496</v>
      </c>
      <c r="C2649">
        <v>48.274684906005859</v>
      </c>
    </row>
    <row r="2650" spans="1:3" x14ac:dyDescent="0.2">
      <c r="A2650" t="s">
        <v>13</v>
      </c>
      <c r="B2650" s="2">
        <v>45497</v>
      </c>
      <c r="C2650">
        <v>48.329875946044922</v>
      </c>
    </row>
    <row r="2651" spans="1:3" x14ac:dyDescent="0.2">
      <c r="A2651" t="s">
        <v>13</v>
      </c>
      <c r="B2651" s="2">
        <v>45498</v>
      </c>
      <c r="C2651">
        <v>48.936985015869141</v>
      </c>
    </row>
    <row r="2652" spans="1:3" x14ac:dyDescent="0.2">
      <c r="A2652" t="s">
        <v>13</v>
      </c>
      <c r="B2652" s="2">
        <v>45499</v>
      </c>
      <c r="C2652">
        <v>48.964584350585938</v>
      </c>
    </row>
    <row r="2653" spans="1:3" x14ac:dyDescent="0.2">
      <c r="A2653" t="s">
        <v>13</v>
      </c>
      <c r="B2653" s="2">
        <v>45502</v>
      </c>
      <c r="C2653">
        <v>48.780609130859382</v>
      </c>
    </row>
    <row r="2654" spans="1:3" x14ac:dyDescent="0.2">
      <c r="A2654" t="s">
        <v>13</v>
      </c>
      <c r="B2654" s="2">
        <v>45503</v>
      </c>
      <c r="C2654">
        <v>48.95538330078125</v>
      </c>
    </row>
    <row r="2655" spans="1:3" x14ac:dyDescent="0.2">
      <c r="A2655" t="s">
        <v>13</v>
      </c>
      <c r="B2655" s="2">
        <v>45504</v>
      </c>
      <c r="C2655">
        <v>50.721530914306641</v>
      </c>
    </row>
    <row r="2656" spans="1:3" x14ac:dyDescent="0.2">
      <c r="A2656" t="s">
        <v>13</v>
      </c>
      <c r="B2656" s="2">
        <v>45505</v>
      </c>
      <c r="C2656">
        <v>49.157745361328118</v>
      </c>
    </row>
    <row r="2657" spans="1:3" x14ac:dyDescent="0.2">
      <c r="A2657" t="s">
        <v>13</v>
      </c>
      <c r="B2657" s="2">
        <v>45506</v>
      </c>
      <c r="C2657">
        <v>46.848884582519531</v>
      </c>
    </row>
    <row r="2658" spans="1:3" x14ac:dyDescent="0.2">
      <c r="A2658" t="s">
        <v>13</v>
      </c>
      <c r="B2658" s="2">
        <v>45510</v>
      </c>
      <c r="C2658">
        <v>46.885677337646477</v>
      </c>
    </row>
    <row r="2659" spans="1:3" x14ac:dyDescent="0.2">
      <c r="A2659" t="s">
        <v>13</v>
      </c>
      <c r="B2659" s="2">
        <v>45511</v>
      </c>
      <c r="C2659">
        <v>48.936985015869141</v>
      </c>
    </row>
    <row r="2660" spans="1:3" x14ac:dyDescent="0.2">
      <c r="A2660" t="s">
        <v>13</v>
      </c>
      <c r="B2660" s="2">
        <v>45512</v>
      </c>
      <c r="C2660">
        <v>50.252395629882812</v>
      </c>
    </row>
    <row r="2661" spans="1:3" x14ac:dyDescent="0.2">
      <c r="A2661" t="s">
        <v>13</v>
      </c>
      <c r="B2661" s="2">
        <v>45513</v>
      </c>
      <c r="C2661">
        <v>50.114414215087891</v>
      </c>
    </row>
    <row r="2662" spans="1:3" x14ac:dyDescent="0.2">
      <c r="A2662" t="s">
        <v>13</v>
      </c>
      <c r="B2662" s="2">
        <v>45516</v>
      </c>
      <c r="C2662">
        <v>51.255054473876953</v>
      </c>
    </row>
    <row r="2663" spans="1:3" x14ac:dyDescent="0.2">
      <c r="A2663" t="s">
        <v>13</v>
      </c>
      <c r="B2663" s="2">
        <v>45517</v>
      </c>
      <c r="C2663">
        <v>51.650592803955078</v>
      </c>
    </row>
    <row r="2664" spans="1:3" x14ac:dyDescent="0.2">
      <c r="A2664" t="s">
        <v>13</v>
      </c>
      <c r="B2664" s="2">
        <v>45518</v>
      </c>
      <c r="C2664">
        <v>51.935752868652337</v>
      </c>
    </row>
    <row r="2665" spans="1:3" x14ac:dyDescent="0.2">
      <c r="A2665" t="s">
        <v>13</v>
      </c>
      <c r="B2665" s="2">
        <v>45519</v>
      </c>
      <c r="C2665">
        <v>52.570461273193359</v>
      </c>
    </row>
    <row r="2666" spans="1:3" x14ac:dyDescent="0.2">
      <c r="A2666" t="s">
        <v>13</v>
      </c>
      <c r="B2666" s="2">
        <v>45520</v>
      </c>
      <c r="C2666">
        <v>52.036941528320312</v>
      </c>
    </row>
    <row r="2667" spans="1:3" x14ac:dyDescent="0.2">
      <c r="A2667" t="s">
        <v>13</v>
      </c>
      <c r="B2667" s="2">
        <v>45523</v>
      </c>
      <c r="C2667">
        <v>51.880565643310547</v>
      </c>
    </row>
    <row r="2668" spans="1:3" x14ac:dyDescent="0.2">
      <c r="A2668" t="s">
        <v>13</v>
      </c>
      <c r="B2668" s="2">
        <v>45524</v>
      </c>
      <c r="C2668">
        <v>50.491558074951172</v>
      </c>
    </row>
    <row r="2669" spans="1:3" x14ac:dyDescent="0.2">
      <c r="A2669" t="s">
        <v>13</v>
      </c>
      <c r="B2669" s="2">
        <v>45525</v>
      </c>
      <c r="C2669">
        <v>50.344383239746087</v>
      </c>
    </row>
    <row r="2670" spans="1:3" x14ac:dyDescent="0.2">
      <c r="A2670" t="s">
        <v>13</v>
      </c>
      <c r="B2670" s="2">
        <v>45526</v>
      </c>
      <c r="C2670">
        <v>50.519161224365227</v>
      </c>
    </row>
    <row r="2671" spans="1:3" x14ac:dyDescent="0.2">
      <c r="A2671" t="s">
        <v>13</v>
      </c>
      <c r="B2671" s="2">
        <v>45527</v>
      </c>
      <c r="C2671">
        <v>50.758323669433587</v>
      </c>
    </row>
    <row r="2672" spans="1:3" x14ac:dyDescent="0.2">
      <c r="A2672" t="s">
        <v>13</v>
      </c>
      <c r="B2672" s="2">
        <v>45530</v>
      </c>
      <c r="C2672">
        <v>51.751773834228523</v>
      </c>
    </row>
    <row r="2673" spans="1:3" x14ac:dyDescent="0.2">
      <c r="A2673" t="s">
        <v>13</v>
      </c>
      <c r="B2673" s="2">
        <v>45531</v>
      </c>
      <c r="C2673">
        <v>50.500762939453118</v>
      </c>
    </row>
    <row r="2674" spans="1:3" x14ac:dyDescent="0.2">
      <c r="A2674" t="s">
        <v>13</v>
      </c>
      <c r="B2674" s="2">
        <v>45532</v>
      </c>
      <c r="C2674">
        <v>50.362785339355469</v>
      </c>
    </row>
    <row r="2675" spans="1:3" x14ac:dyDescent="0.2">
      <c r="A2675" t="s">
        <v>13</v>
      </c>
      <c r="B2675" s="2">
        <v>45533</v>
      </c>
      <c r="C2675">
        <v>50.841110229492188</v>
      </c>
    </row>
    <row r="2676" spans="1:3" x14ac:dyDescent="0.2">
      <c r="A2676" t="s">
        <v>13</v>
      </c>
      <c r="B2676" s="2">
        <v>45534</v>
      </c>
      <c r="C2676">
        <v>50.279991149902337</v>
      </c>
    </row>
    <row r="2677" spans="1:3" x14ac:dyDescent="0.2">
      <c r="A2677" t="s">
        <v>13</v>
      </c>
      <c r="B2677" s="2">
        <v>45538</v>
      </c>
      <c r="C2677">
        <v>49.516502380371087</v>
      </c>
    </row>
    <row r="2678" spans="1:3" x14ac:dyDescent="0.2">
      <c r="A2678" t="s">
        <v>13</v>
      </c>
      <c r="B2678" s="2">
        <v>45539</v>
      </c>
      <c r="C2678">
        <v>48.768436431884773</v>
      </c>
    </row>
    <row r="2679" spans="1:3" x14ac:dyDescent="0.2">
      <c r="A2679" t="s">
        <v>13</v>
      </c>
      <c r="B2679" s="2">
        <v>45540</v>
      </c>
      <c r="C2679">
        <v>47.709053039550781</v>
      </c>
    </row>
    <row r="2680" spans="1:3" x14ac:dyDescent="0.2">
      <c r="A2680" t="s">
        <v>13</v>
      </c>
      <c r="B2680" s="2">
        <v>45541</v>
      </c>
      <c r="C2680">
        <v>47.058563232421882</v>
      </c>
    </row>
    <row r="2681" spans="1:3" x14ac:dyDescent="0.2">
      <c r="A2681" t="s">
        <v>13</v>
      </c>
      <c r="B2681" s="2">
        <v>45544</v>
      </c>
      <c r="C2681">
        <v>47.123615264892578</v>
      </c>
    </row>
    <row r="2682" spans="1:3" x14ac:dyDescent="0.2">
      <c r="A2682" t="s">
        <v>13</v>
      </c>
      <c r="B2682" s="2">
        <v>45545</v>
      </c>
      <c r="C2682">
        <v>45.627471923828118</v>
      </c>
    </row>
    <row r="2683" spans="1:3" x14ac:dyDescent="0.2">
      <c r="A2683" t="s">
        <v>13</v>
      </c>
      <c r="B2683" s="2">
        <v>45546</v>
      </c>
      <c r="C2683">
        <v>45.497371673583977</v>
      </c>
    </row>
    <row r="2684" spans="1:3" x14ac:dyDescent="0.2">
      <c r="A2684" t="s">
        <v>13</v>
      </c>
      <c r="B2684" s="2">
        <v>45547</v>
      </c>
      <c r="C2684">
        <v>45.8226318359375</v>
      </c>
    </row>
    <row r="2685" spans="1:3" x14ac:dyDescent="0.2">
      <c r="A2685" t="s">
        <v>13</v>
      </c>
      <c r="B2685" s="2">
        <v>45548</v>
      </c>
      <c r="C2685">
        <v>46.027061462402337</v>
      </c>
    </row>
    <row r="2686" spans="1:3" x14ac:dyDescent="0.2">
      <c r="A2686" t="s">
        <v>13</v>
      </c>
      <c r="B2686" s="2">
        <v>45551</v>
      </c>
      <c r="C2686">
        <v>46.389488220214837</v>
      </c>
    </row>
    <row r="2687" spans="1:3" x14ac:dyDescent="0.2">
      <c r="A2687" t="s">
        <v>13</v>
      </c>
      <c r="B2687" s="2">
        <v>45552</v>
      </c>
      <c r="C2687">
        <v>47.0771484375</v>
      </c>
    </row>
    <row r="2688" spans="1:3" x14ac:dyDescent="0.2">
      <c r="A2688" t="s">
        <v>13</v>
      </c>
      <c r="B2688" s="2">
        <v>45553</v>
      </c>
      <c r="C2688">
        <v>46.798362731933587</v>
      </c>
    </row>
    <row r="2689" spans="1:3" x14ac:dyDescent="0.2">
      <c r="A2689" t="s">
        <v>13</v>
      </c>
      <c r="B2689" s="2">
        <v>45554</v>
      </c>
      <c r="C2689">
        <v>47.513908386230469</v>
      </c>
    </row>
    <row r="2690" spans="1:3" x14ac:dyDescent="0.2">
      <c r="A2690" t="s">
        <v>13</v>
      </c>
      <c r="B2690" s="2">
        <v>45555</v>
      </c>
      <c r="C2690">
        <v>46.900596618652337</v>
      </c>
    </row>
    <row r="2691" spans="1:3" x14ac:dyDescent="0.2">
      <c r="A2691" t="s">
        <v>13</v>
      </c>
      <c r="B2691" s="2">
        <v>45558</v>
      </c>
      <c r="C2691">
        <v>47.504615783691413</v>
      </c>
    </row>
    <row r="2692" spans="1:3" x14ac:dyDescent="0.2">
      <c r="A2692" t="s">
        <v>13</v>
      </c>
      <c r="B2692" s="2">
        <v>45559</v>
      </c>
      <c r="C2692">
        <v>47.699764251708977</v>
      </c>
    </row>
    <row r="2693" spans="1:3" x14ac:dyDescent="0.2">
      <c r="A2693" t="s">
        <v>13</v>
      </c>
      <c r="B2693" s="2">
        <v>45560</v>
      </c>
      <c r="C2693">
        <v>46.900596618652337</v>
      </c>
    </row>
    <row r="2694" spans="1:3" x14ac:dyDescent="0.2">
      <c r="A2694" t="s">
        <v>13</v>
      </c>
      <c r="B2694" s="2">
        <v>45561</v>
      </c>
      <c r="C2694">
        <v>45.701816558837891</v>
      </c>
    </row>
    <row r="2695" spans="1:3" x14ac:dyDescent="0.2">
      <c r="A2695" t="s">
        <v>13</v>
      </c>
      <c r="B2695" s="2">
        <v>45562</v>
      </c>
      <c r="C2695">
        <v>46.259387969970703</v>
      </c>
    </row>
    <row r="2696" spans="1:3" x14ac:dyDescent="0.2">
      <c r="A2696" t="s">
        <v>13</v>
      </c>
      <c r="B2696" s="2">
        <v>45565</v>
      </c>
      <c r="C2696">
        <v>46.389488220214837</v>
      </c>
    </row>
    <row r="2697" spans="1:3" x14ac:dyDescent="0.2">
      <c r="A2697" t="s">
        <v>13</v>
      </c>
      <c r="B2697" s="2">
        <v>45566</v>
      </c>
      <c r="C2697">
        <v>48.248035430908203</v>
      </c>
    </row>
    <row r="2698" spans="1:3" x14ac:dyDescent="0.2">
      <c r="A2698" t="s">
        <v>13</v>
      </c>
      <c r="B2698" s="2">
        <v>45567</v>
      </c>
      <c r="C2698">
        <v>48.489646911621087</v>
      </c>
    </row>
    <row r="2699" spans="1:3" x14ac:dyDescent="0.2">
      <c r="A2699" t="s">
        <v>13</v>
      </c>
      <c r="B2699" s="2">
        <v>45568</v>
      </c>
      <c r="C2699">
        <v>49.790634155273438</v>
      </c>
    </row>
    <row r="2700" spans="1:3" x14ac:dyDescent="0.2">
      <c r="A2700" t="s">
        <v>13</v>
      </c>
      <c r="B2700" s="2">
        <v>45569</v>
      </c>
      <c r="C2700">
        <v>50.394664764404297</v>
      </c>
    </row>
    <row r="2701" spans="1:3" x14ac:dyDescent="0.2">
      <c r="A2701" t="s">
        <v>13</v>
      </c>
      <c r="B2701" s="2">
        <v>45572</v>
      </c>
      <c r="C2701">
        <v>51.268184661865227</v>
      </c>
    </row>
    <row r="2702" spans="1:3" x14ac:dyDescent="0.2">
      <c r="A2702" t="s">
        <v>13</v>
      </c>
      <c r="B2702" s="2">
        <v>45573</v>
      </c>
      <c r="C2702">
        <v>49.7999267578125</v>
      </c>
    </row>
    <row r="2703" spans="1:3" x14ac:dyDescent="0.2">
      <c r="A2703" t="s">
        <v>13</v>
      </c>
      <c r="B2703" s="2">
        <v>45574</v>
      </c>
      <c r="C2703">
        <v>50.376079559326172</v>
      </c>
    </row>
    <row r="2704" spans="1:3" x14ac:dyDescent="0.2">
      <c r="A2704" t="s">
        <v>13</v>
      </c>
      <c r="B2704" s="2">
        <v>45575</v>
      </c>
      <c r="C2704">
        <v>51.695659637451172</v>
      </c>
    </row>
    <row r="2705" spans="1:3" x14ac:dyDescent="0.2">
      <c r="A2705" t="s">
        <v>13</v>
      </c>
      <c r="B2705" s="2">
        <v>45576</v>
      </c>
      <c r="C2705">
        <v>51.686363220214837</v>
      </c>
    </row>
    <row r="2706" spans="1:3" x14ac:dyDescent="0.2">
      <c r="A2706" t="s">
        <v>13</v>
      </c>
      <c r="B2706" s="2">
        <v>45580</v>
      </c>
      <c r="C2706">
        <v>49.047214508056641</v>
      </c>
    </row>
    <row r="2707" spans="1:3" x14ac:dyDescent="0.2">
      <c r="A2707" t="s">
        <v>13</v>
      </c>
      <c r="B2707" s="2">
        <v>45581</v>
      </c>
      <c r="C2707">
        <v>49.391048431396477</v>
      </c>
    </row>
    <row r="2708" spans="1:3" x14ac:dyDescent="0.2">
      <c r="A2708" t="s">
        <v>13</v>
      </c>
      <c r="B2708" s="2">
        <v>45582</v>
      </c>
      <c r="C2708">
        <v>49.985786437988281</v>
      </c>
    </row>
    <row r="2709" spans="1:3" x14ac:dyDescent="0.2">
      <c r="A2709" t="s">
        <v>13</v>
      </c>
      <c r="B2709" s="2">
        <v>45583</v>
      </c>
      <c r="C2709">
        <v>50.180931091308587</v>
      </c>
    </row>
    <row r="2710" spans="1:3" x14ac:dyDescent="0.2">
      <c r="A2710" t="s">
        <v>13</v>
      </c>
      <c r="B2710" s="2">
        <v>45586</v>
      </c>
      <c r="C2710">
        <v>50.106590270996087</v>
      </c>
    </row>
    <row r="2711" spans="1:3" x14ac:dyDescent="0.2">
      <c r="A2711" t="s">
        <v>13</v>
      </c>
      <c r="B2711" s="2">
        <v>45587</v>
      </c>
      <c r="C2711">
        <v>50.283149719238281</v>
      </c>
    </row>
    <row r="2712" spans="1:3" x14ac:dyDescent="0.2">
      <c r="A2712" t="s">
        <v>13</v>
      </c>
      <c r="B2712" s="2">
        <v>45588</v>
      </c>
      <c r="C2712">
        <v>49.604785919189453</v>
      </c>
    </row>
    <row r="2713" spans="1:3" x14ac:dyDescent="0.2">
      <c r="A2713" t="s">
        <v>13</v>
      </c>
      <c r="B2713" s="2">
        <v>45589</v>
      </c>
      <c r="C2713">
        <v>49.595493316650391</v>
      </c>
    </row>
    <row r="2714" spans="1:3" x14ac:dyDescent="0.2">
      <c r="A2714" t="s">
        <v>13</v>
      </c>
      <c r="B2714" s="2">
        <v>45590</v>
      </c>
      <c r="C2714">
        <v>50.329620361328118</v>
      </c>
    </row>
    <row r="2715" spans="1:3" x14ac:dyDescent="0.2">
      <c r="A2715" t="s">
        <v>13</v>
      </c>
      <c r="B2715" s="2">
        <v>45593</v>
      </c>
      <c r="C2715">
        <v>49.6512451171875</v>
      </c>
    </row>
    <row r="2716" spans="1:3" x14ac:dyDescent="0.2">
      <c r="A2716" t="s">
        <v>13</v>
      </c>
      <c r="B2716" s="2">
        <v>45594</v>
      </c>
      <c r="C2716">
        <v>49.223777770996087</v>
      </c>
    </row>
    <row r="2717" spans="1:3" x14ac:dyDescent="0.2">
      <c r="A2717" t="s">
        <v>13</v>
      </c>
      <c r="B2717" s="2">
        <v>45595</v>
      </c>
      <c r="C2717">
        <v>49.2052001953125</v>
      </c>
    </row>
    <row r="2718" spans="1:3" x14ac:dyDescent="0.2">
      <c r="A2718" t="s">
        <v>13</v>
      </c>
      <c r="B2718" s="2">
        <v>45596</v>
      </c>
      <c r="C2718">
        <v>48.842781066894531</v>
      </c>
    </row>
    <row r="2719" spans="1:3" x14ac:dyDescent="0.2">
      <c r="A2719" t="s">
        <v>13</v>
      </c>
      <c r="B2719" s="2">
        <v>45597</v>
      </c>
      <c r="C2719">
        <v>48.749847412109382</v>
      </c>
    </row>
    <row r="2720" spans="1:3" x14ac:dyDescent="0.2">
      <c r="A2720" t="s">
        <v>13</v>
      </c>
      <c r="B2720" s="2">
        <v>45600</v>
      </c>
      <c r="C2720">
        <v>49.335296630859382</v>
      </c>
    </row>
    <row r="2721" spans="1:3" x14ac:dyDescent="0.2">
      <c r="A2721" t="s">
        <v>13</v>
      </c>
      <c r="B2721" s="2">
        <v>45601</v>
      </c>
      <c r="C2721">
        <v>49.418930053710938</v>
      </c>
    </row>
    <row r="2722" spans="1:3" x14ac:dyDescent="0.2">
      <c r="A2722" t="s">
        <v>13</v>
      </c>
      <c r="B2722" s="2">
        <v>45602</v>
      </c>
      <c r="C2722">
        <v>50.794258117675781</v>
      </c>
    </row>
    <row r="2723" spans="1:3" x14ac:dyDescent="0.2">
      <c r="A2723" t="s">
        <v>13</v>
      </c>
      <c r="B2723" s="2">
        <v>45603</v>
      </c>
      <c r="C2723">
        <v>51.007987976074219</v>
      </c>
    </row>
    <row r="2724" spans="1:3" x14ac:dyDescent="0.2">
      <c r="A2724" t="s">
        <v>13</v>
      </c>
      <c r="B2724" s="2">
        <v>45604</v>
      </c>
      <c r="C2724">
        <v>50.626983642578118</v>
      </c>
    </row>
    <row r="2725" spans="1:3" x14ac:dyDescent="0.2">
      <c r="A2725" t="s">
        <v>13</v>
      </c>
      <c r="B2725" s="2">
        <v>45607</v>
      </c>
      <c r="C2725">
        <v>50.245983123779297</v>
      </c>
    </row>
    <row r="2726" spans="1:3" x14ac:dyDescent="0.2">
      <c r="A2726" t="s">
        <v>13</v>
      </c>
      <c r="B2726" s="2">
        <v>45608</v>
      </c>
      <c r="C2726">
        <v>49.400341033935547</v>
      </c>
    </row>
    <row r="2727" spans="1:3" x14ac:dyDescent="0.2">
      <c r="A2727" t="s">
        <v>13</v>
      </c>
      <c r="B2727" s="2">
        <v>45609</v>
      </c>
      <c r="C2727">
        <v>51.481918334960938</v>
      </c>
    </row>
    <row r="2728" spans="1:3" x14ac:dyDescent="0.2">
      <c r="A2728" t="s">
        <v>13</v>
      </c>
      <c r="B2728" s="2">
        <v>45610</v>
      </c>
      <c r="C2728">
        <v>52.820075988769531</v>
      </c>
    </row>
    <row r="2729" spans="1:3" x14ac:dyDescent="0.2">
      <c r="A2729" t="s">
        <v>13</v>
      </c>
      <c r="B2729" s="2">
        <v>45611</v>
      </c>
      <c r="C2729">
        <v>52.968765258789062</v>
      </c>
    </row>
    <row r="2730" spans="1:3" x14ac:dyDescent="0.2">
      <c r="A2730" t="s">
        <v>13</v>
      </c>
      <c r="B2730" s="2">
        <v>45614</v>
      </c>
      <c r="C2730">
        <v>53.154621124267578</v>
      </c>
    </row>
    <row r="2731" spans="1:3" x14ac:dyDescent="0.2">
      <c r="A2731" t="s">
        <v>13</v>
      </c>
      <c r="B2731" s="2">
        <v>45615</v>
      </c>
      <c r="C2731">
        <v>53.163909912109382</v>
      </c>
    </row>
    <row r="2732" spans="1:3" x14ac:dyDescent="0.2">
      <c r="A2732" t="s">
        <v>13</v>
      </c>
      <c r="B2732" s="2">
        <v>45616</v>
      </c>
      <c r="C2732">
        <v>53.061683654785163</v>
      </c>
    </row>
    <row r="2733" spans="1:3" x14ac:dyDescent="0.2">
      <c r="A2733" t="s">
        <v>13</v>
      </c>
      <c r="B2733" s="2">
        <v>45617</v>
      </c>
      <c r="C2733">
        <v>53.433403015136719</v>
      </c>
    </row>
    <row r="2734" spans="1:3" x14ac:dyDescent="0.2">
      <c r="A2734" t="s">
        <v>13</v>
      </c>
      <c r="B2734" s="2">
        <v>45618</v>
      </c>
      <c r="C2734">
        <v>53.963092803955078</v>
      </c>
    </row>
    <row r="2735" spans="1:3" x14ac:dyDescent="0.2">
      <c r="A2735" t="s">
        <v>13</v>
      </c>
      <c r="B2735" s="2">
        <v>45621</v>
      </c>
      <c r="C2735">
        <v>52.903717041015618</v>
      </c>
    </row>
    <row r="2736" spans="1:3" x14ac:dyDescent="0.2">
      <c r="A2736" t="s">
        <v>13</v>
      </c>
      <c r="B2736" s="2">
        <v>45622</v>
      </c>
      <c r="C2736">
        <v>51.695659637451172</v>
      </c>
    </row>
    <row r="2737" spans="1:3" x14ac:dyDescent="0.2">
      <c r="A2737" t="s">
        <v>13</v>
      </c>
      <c r="B2737" s="2">
        <v>45623</v>
      </c>
      <c r="C2737">
        <v>51.584140777587891</v>
      </c>
    </row>
    <row r="2738" spans="1:3" x14ac:dyDescent="0.2">
      <c r="A2738" t="s">
        <v>13</v>
      </c>
      <c r="B2738" s="2">
        <v>45624</v>
      </c>
      <c r="C2738">
        <v>51.825752258300781</v>
      </c>
    </row>
    <row r="2739" spans="1:3" x14ac:dyDescent="0.2">
      <c r="A2739" t="s">
        <v>13</v>
      </c>
      <c r="B2739" s="2">
        <v>45625</v>
      </c>
      <c r="C2739">
        <v>51.769996643066413</v>
      </c>
    </row>
    <row r="2740" spans="1:3" x14ac:dyDescent="0.2">
      <c r="A2740" t="s">
        <v>13</v>
      </c>
      <c r="B2740" s="2">
        <v>45628</v>
      </c>
      <c r="C2740">
        <v>51.221721649169922</v>
      </c>
    </row>
    <row r="2741" spans="1:3" x14ac:dyDescent="0.2">
      <c r="A2741" t="s">
        <v>13</v>
      </c>
      <c r="B2741" s="2">
        <v>45629</v>
      </c>
      <c r="C2741">
        <v>51.50341796875</v>
      </c>
    </row>
    <row r="2742" spans="1:3" x14ac:dyDescent="0.2">
      <c r="A2742" t="s">
        <v>13</v>
      </c>
      <c r="B2742" s="2">
        <v>45630</v>
      </c>
      <c r="C2742">
        <v>50.817958831787109</v>
      </c>
    </row>
    <row r="2743" spans="1:3" x14ac:dyDescent="0.2">
      <c r="A2743" t="s">
        <v>13</v>
      </c>
      <c r="B2743" s="2">
        <v>45631</v>
      </c>
      <c r="C2743">
        <v>51.597316741943359</v>
      </c>
    </row>
    <row r="2744" spans="1:3" x14ac:dyDescent="0.2">
      <c r="A2744" t="s">
        <v>13</v>
      </c>
      <c r="B2744" s="2">
        <v>45632</v>
      </c>
      <c r="C2744">
        <v>50.996364593505859</v>
      </c>
    </row>
    <row r="2745" spans="1:3" x14ac:dyDescent="0.2">
      <c r="A2745" t="s">
        <v>13</v>
      </c>
      <c r="B2745" s="2">
        <v>45635</v>
      </c>
      <c r="C2745">
        <v>50.846126556396477</v>
      </c>
    </row>
    <row r="2746" spans="1:3" x14ac:dyDescent="0.2">
      <c r="A2746" t="s">
        <v>13</v>
      </c>
      <c r="B2746" s="2">
        <v>45636</v>
      </c>
      <c r="C2746">
        <v>50.395408630371087</v>
      </c>
    </row>
    <row r="2747" spans="1:3" x14ac:dyDescent="0.2">
      <c r="A2747" t="s">
        <v>13</v>
      </c>
      <c r="B2747" s="2">
        <v>45637</v>
      </c>
      <c r="C2747">
        <v>50.761615753173828</v>
      </c>
    </row>
    <row r="2748" spans="1:3" x14ac:dyDescent="0.2">
      <c r="A2748" t="s">
        <v>13</v>
      </c>
      <c r="B2748" s="2">
        <v>45638</v>
      </c>
      <c r="C2748">
        <v>49.691169738769531</v>
      </c>
    </row>
    <row r="2749" spans="1:3" x14ac:dyDescent="0.2">
      <c r="A2749" t="s">
        <v>13</v>
      </c>
      <c r="B2749" s="2">
        <v>45639</v>
      </c>
      <c r="C2749">
        <v>49.174728393554688</v>
      </c>
    </row>
    <row r="2750" spans="1:3" x14ac:dyDescent="0.2">
      <c r="A2750" t="s">
        <v>13</v>
      </c>
      <c r="B2750" s="2">
        <v>45642</v>
      </c>
      <c r="C2750">
        <v>48.498661041259773</v>
      </c>
    </row>
    <row r="2751" spans="1:3" x14ac:dyDescent="0.2">
      <c r="A2751" t="s">
        <v>13</v>
      </c>
      <c r="B2751" s="2">
        <v>45643</v>
      </c>
      <c r="C2751">
        <v>48.216964721679688</v>
      </c>
    </row>
    <row r="2752" spans="1:3" x14ac:dyDescent="0.2">
      <c r="A2752" t="s">
        <v>13</v>
      </c>
      <c r="B2752" s="2">
        <v>45644</v>
      </c>
      <c r="C2752">
        <v>47.249805450439453</v>
      </c>
    </row>
    <row r="2753" spans="1:3" x14ac:dyDescent="0.2">
      <c r="A2753" t="s">
        <v>13</v>
      </c>
      <c r="B2753" s="2">
        <v>45645</v>
      </c>
      <c r="C2753">
        <v>46.770927429199219</v>
      </c>
    </row>
    <row r="2754" spans="1:3" x14ac:dyDescent="0.2">
      <c r="A2754" t="s">
        <v>13</v>
      </c>
      <c r="B2754" s="2">
        <v>45646</v>
      </c>
      <c r="C2754">
        <v>46.573738098144531</v>
      </c>
    </row>
    <row r="2755" spans="1:3" x14ac:dyDescent="0.2">
      <c r="A2755" t="s">
        <v>13</v>
      </c>
      <c r="B2755" s="2">
        <v>45649</v>
      </c>
      <c r="C2755">
        <v>47.296764373779297</v>
      </c>
    </row>
    <row r="2756" spans="1:3" x14ac:dyDescent="0.2">
      <c r="A2756" t="s">
        <v>13</v>
      </c>
      <c r="B2756" s="2">
        <v>45650</v>
      </c>
      <c r="C2756">
        <v>47.522121429443359</v>
      </c>
    </row>
    <row r="2757" spans="1:3" x14ac:dyDescent="0.2">
      <c r="A2757" t="s">
        <v>13</v>
      </c>
      <c r="B2757" s="2">
        <v>45653</v>
      </c>
      <c r="C2757">
        <v>47.756866455078118</v>
      </c>
    </row>
    <row r="2758" spans="1:3" x14ac:dyDescent="0.2">
      <c r="A2758" t="s">
        <v>13</v>
      </c>
      <c r="B2758" s="2">
        <v>45656</v>
      </c>
      <c r="C2758">
        <v>47.616012573242188</v>
      </c>
    </row>
    <row r="2759" spans="1:3" x14ac:dyDescent="0.2">
      <c r="A2759" t="s">
        <v>13</v>
      </c>
      <c r="B2759" s="2">
        <v>45657</v>
      </c>
      <c r="C2759">
        <v>48.179405212402337</v>
      </c>
    </row>
    <row r="2760" spans="1:3" x14ac:dyDescent="0.2">
      <c r="A2760" t="s">
        <v>13</v>
      </c>
      <c r="B2760" s="2">
        <v>45659</v>
      </c>
      <c r="C2760">
        <v>48.752182006835938</v>
      </c>
    </row>
    <row r="2761" spans="1:3" x14ac:dyDescent="0.2">
      <c r="A2761" t="s">
        <v>13</v>
      </c>
      <c r="B2761" s="2">
        <v>45660</v>
      </c>
      <c r="C2761">
        <v>49.428256988525391</v>
      </c>
    </row>
    <row r="2762" spans="1:3" x14ac:dyDescent="0.2">
      <c r="A2762" t="s">
        <v>13</v>
      </c>
      <c r="B2762" s="2">
        <v>45663</v>
      </c>
      <c r="C2762">
        <v>49.719348907470703</v>
      </c>
    </row>
    <row r="2763" spans="1:3" x14ac:dyDescent="0.2">
      <c r="A2763" t="s">
        <v>13</v>
      </c>
      <c r="B2763" s="2">
        <v>45664</v>
      </c>
      <c r="C2763">
        <v>51.68182373046875</v>
      </c>
    </row>
    <row r="2764" spans="1:3" x14ac:dyDescent="0.2">
      <c r="A2764" t="s">
        <v>13</v>
      </c>
      <c r="B2764" s="2">
        <v>45665</v>
      </c>
      <c r="C2764">
        <v>51.728775024414062</v>
      </c>
    </row>
    <row r="2765" spans="1:3" x14ac:dyDescent="0.2">
      <c r="A2765" t="s">
        <v>13</v>
      </c>
      <c r="B2765" s="2">
        <v>45666</v>
      </c>
      <c r="C2765">
        <v>51.813285827636719</v>
      </c>
    </row>
    <row r="2766" spans="1:3" x14ac:dyDescent="0.2">
      <c r="A2766" t="s">
        <v>13</v>
      </c>
      <c r="B2766" s="2">
        <v>45667</v>
      </c>
      <c r="C2766">
        <v>53.334442138671882</v>
      </c>
    </row>
    <row r="2767" spans="1:3" x14ac:dyDescent="0.2">
      <c r="A2767" t="s">
        <v>13</v>
      </c>
      <c r="B2767" s="2">
        <v>45670</v>
      </c>
      <c r="C2767">
        <v>53.268711090087891</v>
      </c>
    </row>
    <row r="2768" spans="1:3" x14ac:dyDescent="0.2">
      <c r="A2768" t="s">
        <v>13</v>
      </c>
      <c r="B2768" s="2">
        <v>45671</v>
      </c>
      <c r="C2768">
        <v>53.625530242919922</v>
      </c>
    </row>
    <row r="2769" spans="1:3" x14ac:dyDescent="0.2">
      <c r="A2769" t="s">
        <v>13</v>
      </c>
      <c r="B2769" s="2">
        <v>45672</v>
      </c>
      <c r="C2769">
        <v>53.991729736328118</v>
      </c>
    </row>
    <row r="2770" spans="1:3" x14ac:dyDescent="0.2">
      <c r="A2770" t="s">
        <v>13</v>
      </c>
      <c r="B2770" s="2">
        <v>45673</v>
      </c>
      <c r="C2770">
        <v>52.808609008789062</v>
      </c>
    </row>
    <row r="2771" spans="1:3" x14ac:dyDescent="0.2">
      <c r="A2771" t="s">
        <v>13</v>
      </c>
      <c r="B2771" s="2">
        <v>45674</v>
      </c>
      <c r="C2771">
        <v>52.987014770507812</v>
      </c>
    </row>
    <row r="2772" spans="1:3" x14ac:dyDescent="0.2">
      <c r="A2772" t="s">
        <v>13</v>
      </c>
      <c r="B2772" s="2">
        <v>45677</v>
      </c>
      <c r="C2772">
        <v>53.6630859375</v>
      </c>
    </row>
    <row r="2773" spans="1:3" x14ac:dyDescent="0.2">
      <c r="A2773" t="s">
        <v>13</v>
      </c>
      <c r="B2773" s="2">
        <v>45678</v>
      </c>
      <c r="C2773">
        <v>53.616130828857422</v>
      </c>
    </row>
    <row r="2774" spans="1:3" x14ac:dyDescent="0.2">
      <c r="A2774" t="s">
        <v>13</v>
      </c>
      <c r="B2774" s="2">
        <v>45679</v>
      </c>
      <c r="C2774">
        <v>52.996402740478523</v>
      </c>
    </row>
    <row r="2775" spans="1:3" x14ac:dyDescent="0.2">
      <c r="A2775" t="s">
        <v>13</v>
      </c>
      <c r="B2775" s="2">
        <v>45680</v>
      </c>
      <c r="C2775">
        <v>53.202980041503913</v>
      </c>
    </row>
    <row r="2776" spans="1:3" x14ac:dyDescent="0.2">
      <c r="A2776" t="s">
        <v>13</v>
      </c>
      <c r="B2776" s="2">
        <v>45681</v>
      </c>
      <c r="C2776">
        <v>52.470573425292969</v>
      </c>
    </row>
    <row r="2777" spans="1:3" x14ac:dyDescent="0.2">
      <c r="A2777" t="s">
        <v>13</v>
      </c>
      <c r="B2777" s="2">
        <v>45684</v>
      </c>
      <c r="C2777">
        <v>52.329723358154297</v>
      </c>
    </row>
    <row r="2778" spans="1:3" x14ac:dyDescent="0.2">
      <c r="A2778" t="s">
        <v>13</v>
      </c>
      <c r="B2778" s="2">
        <v>45685</v>
      </c>
      <c r="C2778">
        <v>51.709999084472663</v>
      </c>
    </row>
    <row r="2779" spans="1:3" x14ac:dyDescent="0.2">
      <c r="A2779" t="s">
        <v>13</v>
      </c>
      <c r="B2779" s="2">
        <v>45686</v>
      </c>
      <c r="C2779">
        <v>52.28277587890625</v>
      </c>
    </row>
    <row r="2780" spans="1:3" x14ac:dyDescent="0.2">
      <c r="A2780" t="s">
        <v>13</v>
      </c>
      <c r="B2780" s="2">
        <v>45687</v>
      </c>
      <c r="C2780">
        <v>52.51751708984375</v>
      </c>
    </row>
    <row r="2781" spans="1:3" x14ac:dyDescent="0.2">
      <c r="A2781" t="s">
        <v>13</v>
      </c>
      <c r="B2781" s="2">
        <v>45688</v>
      </c>
      <c r="C2781">
        <v>51.202938079833977</v>
      </c>
    </row>
    <row r="2782" spans="1:3" x14ac:dyDescent="0.2">
      <c r="A2782" t="s">
        <v>13</v>
      </c>
      <c r="B2782" s="2">
        <v>45691</v>
      </c>
      <c r="C2782">
        <v>51.390739440917969</v>
      </c>
    </row>
    <row r="2783" spans="1:3" x14ac:dyDescent="0.2">
      <c r="A2783" t="s">
        <v>13</v>
      </c>
      <c r="B2783" s="2">
        <v>45692</v>
      </c>
      <c r="C2783">
        <v>51.315624237060547</v>
      </c>
    </row>
    <row r="2784" spans="1:3" x14ac:dyDescent="0.2">
      <c r="A2784" t="s">
        <v>13</v>
      </c>
      <c r="B2784" s="2">
        <v>45693</v>
      </c>
      <c r="C2784">
        <v>52.057415008544922</v>
      </c>
    </row>
    <row r="2785" spans="1:3" x14ac:dyDescent="0.2">
      <c r="A2785" t="s">
        <v>13</v>
      </c>
      <c r="B2785" s="2">
        <v>45694</v>
      </c>
      <c r="C2785">
        <v>51.634880065917969</v>
      </c>
    </row>
    <row r="2786" spans="1:3" x14ac:dyDescent="0.2">
      <c r="A2786" t="s">
        <v>13</v>
      </c>
      <c r="B2786" s="2">
        <v>45695</v>
      </c>
      <c r="C2786">
        <v>51.963520050048828</v>
      </c>
    </row>
    <row r="2787" spans="1:3" x14ac:dyDescent="0.2">
      <c r="A2787" t="s">
        <v>13</v>
      </c>
      <c r="B2787" s="2">
        <v>45698</v>
      </c>
      <c r="C2787">
        <v>53.118473052978523</v>
      </c>
    </row>
    <row r="2788" spans="1:3" x14ac:dyDescent="0.2">
      <c r="A2788" t="s">
        <v>13</v>
      </c>
      <c r="B2788" s="2">
        <v>45699</v>
      </c>
      <c r="C2788">
        <v>54.5081787109375</v>
      </c>
    </row>
    <row r="2789" spans="1:3" x14ac:dyDescent="0.2">
      <c r="A2789" t="s">
        <v>13</v>
      </c>
      <c r="B2789" s="2">
        <v>45700</v>
      </c>
      <c r="C2789">
        <v>53.127864837646477</v>
      </c>
    </row>
    <row r="2790" spans="1:3" x14ac:dyDescent="0.2">
      <c r="A2790" t="s">
        <v>13</v>
      </c>
      <c r="B2790" s="2">
        <v>45701</v>
      </c>
      <c r="C2790">
        <v>53.221763610839837</v>
      </c>
    </row>
    <row r="2791" spans="1:3" x14ac:dyDescent="0.2">
      <c r="A2791" t="s">
        <v>13</v>
      </c>
      <c r="B2791" s="2">
        <v>45702</v>
      </c>
      <c r="C2791">
        <v>52.630199432373047</v>
      </c>
    </row>
    <row r="2792" spans="1:3" x14ac:dyDescent="0.2">
      <c r="A2792" t="s">
        <v>13</v>
      </c>
      <c r="B2792" s="2">
        <v>45706</v>
      </c>
      <c r="C2792">
        <v>53.043354034423828</v>
      </c>
    </row>
    <row r="2793" spans="1:3" x14ac:dyDescent="0.2">
      <c r="A2793" t="s">
        <v>13</v>
      </c>
      <c r="B2793" s="2">
        <v>45707</v>
      </c>
      <c r="C2793">
        <v>53.278099060058587</v>
      </c>
    </row>
    <row r="2794" spans="1:3" x14ac:dyDescent="0.2">
      <c r="A2794" t="s">
        <v>13</v>
      </c>
      <c r="B2794" s="2">
        <v>45708</v>
      </c>
      <c r="C2794">
        <v>53.475288391113281</v>
      </c>
    </row>
    <row r="2795" spans="1:3" x14ac:dyDescent="0.2">
      <c r="A2795" t="s">
        <v>13</v>
      </c>
      <c r="B2795" s="2">
        <v>45709</v>
      </c>
      <c r="C2795">
        <v>52.76165771484375</v>
      </c>
    </row>
    <row r="2796" spans="1:3" x14ac:dyDescent="0.2">
      <c r="A2796" t="s">
        <v>13</v>
      </c>
      <c r="B2796" s="2">
        <v>45712</v>
      </c>
      <c r="C2796">
        <v>52.386066436767578</v>
      </c>
    </row>
    <row r="2797" spans="1:3" x14ac:dyDescent="0.2">
      <c r="A2797" t="s">
        <v>13</v>
      </c>
      <c r="B2797" s="2">
        <v>45713</v>
      </c>
      <c r="C2797">
        <v>51.925960540771477</v>
      </c>
    </row>
    <row r="2798" spans="1:3" x14ac:dyDescent="0.2">
      <c r="A2798" t="s">
        <v>13</v>
      </c>
      <c r="B2798" s="2">
        <v>45714</v>
      </c>
      <c r="C2798">
        <v>51.484642028808587</v>
      </c>
    </row>
    <row r="2799" spans="1:3" x14ac:dyDescent="0.2">
      <c r="A2799" t="s">
        <v>13</v>
      </c>
      <c r="B2799" s="2">
        <v>45715</v>
      </c>
      <c r="C2799">
        <v>51.841453552246087</v>
      </c>
    </row>
    <row r="2800" spans="1:3" x14ac:dyDescent="0.2">
      <c r="A2800" t="s">
        <v>13</v>
      </c>
      <c r="B2800" s="2">
        <v>45716</v>
      </c>
      <c r="C2800">
        <v>51.9822998046875</v>
      </c>
    </row>
    <row r="2801" spans="1:3" x14ac:dyDescent="0.2">
      <c r="A2801" t="s">
        <v>13</v>
      </c>
      <c r="B2801" s="2">
        <v>45719</v>
      </c>
      <c r="C2801">
        <v>49.324966430664062</v>
      </c>
    </row>
    <row r="2802" spans="1:3" x14ac:dyDescent="0.2">
      <c r="A2802" t="s">
        <v>13</v>
      </c>
      <c r="B2802" s="2">
        <v>45720</v>
      </c>
      <c r="C2802">
        <v>48.242782592773438</v>
      </c>
    </row>
    <row r="2803" spans="1:3" x14ac:dyDescent="0.2">
      <c r="A2803" t="s">
        <v>13</v>
      </c>
      <c r="B2803" s="2">
        <v>45721</v>
      </c>
      <c r="C2803">
        <v>46.742912292480469</v>
      </c>
    </row>
    <row r="2804" spans="1:3" x14ac:dyDescent="0.2">
      <c r="A2804" t="s">
        <v>13</v>
      </c>
      <c r="B2804" s="2">
        <v>45722</v>
      </c>
      <c r="C2804">
        <v>47.217555999755859</v>
      </c>
    </row>
    <row r="2805" spans="1:3" x14ac:dyDescent="0.2">
      <c r="A2805" t="s">
        <v>13</v>
      </c>
      <c r="B2805" s="2">
        <v>45723</v>
      </c>
      <c r="C2805">
        <v>48.783870697021477</v>
      </c>
    </row>
    <row r="2806" spans="1:3" x14ac:dyDescent="0.2">
      <c r="A2806" t="s">
        <v>13</v>
      </c>
      <c r="B2806" s="2">
        <v>45726</v>
      </c>
      <c r="C2806">
        <v>48.926273345947273</v>
      </c>
    </row>
    <row r="2807" spans="1:3" x14ac:dyDescent="0.2">
      <c r="A2807" t="s">
        <v>13</v>
      </c>
      <c r="B2807" s="2">
        <v>45727</v>
      </c>
      <c r="C2807">
        <v>48.442127227783203</v>
      </c>
    </row>
    <row r="2808" spans="1:3" x14ac:dyDescent="0.2">
      <c r="A2808" t="s">
        <v>13</v>
      </c>
      <c r="B2808" s="2">
        <v>45728</v>
      </c>
      <c r="C2808">
        <v>48.793373107910163</v>
      </c>
    </row>
    <row r="2809" spans="1:3" x14ac:dyDescent="0.2">
      <c r="A2809" t="s">
        <v>13</v>
      </c>
      <c r="B2809" s="2">
        <v>45729</v>
      </c>
      <c r="C2809">
        <v>49.097137451171882</v>
      </c>
    </row>
    <row r="2810" spans="1:3" x14ac:dyDescent="0.2">
      <c r="A2810" t="s">
        <v>13</v>
      </c>
      <c r="B2810" s="2">
        <v>45730</v>
      </c>
      <c r="C2810">
        <v>49.979976654052727</v>
      </c>
    </row>
    <row r="2811" spans="1:3" x14ac:dyDescent="0.2">
      <c r="A2811" t="s">
        <v>13</v>
      </c>
      <c r="B2811" s="2">
        <v>45733</v>
      </c>
      <c r="C2811">
        <v>51.052665710449219</v>
      </c>
    </row>
    <row r="2812" spans="1:3" x14ac:dyDescent="0.2">
      <c r="A2812" t="s">
        <v>13</v>
      </c>
      <c r="B2812" s="2">
        <v>45734</v>
      </c>
      <c r="C2812">
        <v>51.033687591552727</v>
      </c>
    </row>
    <row r="2813" spans="1:3" x14ac:dyDescent="0.2">
      <c r="A2813" t="s">
        <v>13</v>
      </c>
      <c r="B2813" s="2">
        <v>45735</v>
      </c>
      <c r="C2813">
        <v>50.967239379882812</v>
      </c>
    </row>
    <row r="2814" spans="1:3" x14ac:dyDescent="0.2">
      <c r="A2814" t="s">
        <v>13</v>
      </c>
      <c r="B2814" s="2">
        <v>45736</v>
      </c>
      <c r="C2814">
        <v>51.261516571044922</v>
      </c>
    </row>
    <row r="2815" spans="1:3" x14ac:dyDescent="0.2">
      <c r="A2815" t="s">
        <v>13</v>
      </c>
      <c r="B2815" s="2">
        <v>45737</v>
      </c>
      <c r="C2815">
        <v>50.995712280273438</v>
      </c>
    </row>
    <row r="2816" spans="1:3" x14ac:dyDescent="0.2">
      <c r="A2816" t="s">
        <v>13</v>
      </c>
      <c r="B2816" s="2">
        <v>45740</v>
      </c>
      <c r="C2816">
        <v>52.267765045166023</v>
      </c>
    </row>
    <row r="2817" spans="1:3" x14ac:dyDescent="0.2">
      <c r="A2817" t="s">
        <v>13</v>
      </c>
      <c r="B2817" s="2">
        <v>45741</v>
      </c>
      <c r="C2817">
        <v>52.182327270507812</v>
      </c>
    </row>
    <row r="2818" spans="1:3" x14ac:dyDescent="0.2">
      <c r="A2818" t="s">
        <v>13</v>
      </c>
      <c r="B2818" s="2">
        <v>45742</v>
      </c>
      <c r="C2818">
        <v>52.704433441162109</v>
      </c>
    </row>
    <row r="2819" spans="1:3" x14ac:dyDescent="0.2">
      <c r="A2819" t="s">
        <v>13</v>
      </c>
      <c r="B2819" s="2">
        <v>45743</v>
      </c>
      <c r="C2819">
        <v>52.486099243164062</v>
      </c>
    </row>
    <row r="2820" spans="1:3" x14ac:dyDescent="0.2">
      <c r="A2820" t="s">
        <v>13</v>
      </c>
      <c r="B2820" s="2">
        <v>45744</v>
      </c>
      <c r="C2820">
        <v>52.134860992431641</v>
      </c>
    </row>
    <row r="2821" spans="1:3" x14ac:dyDescent="0.2">
      <c r="A2821" t="s">
        <v>13</v>
      </c>
      <c r="B2821" s="2">
        <v>45747</v>
      </c>
      <c r="C2821">
        <v>52.894290924072273</v>
      </c>
    </row>
    <row r="2822" spans="1:3" x14ac:dyDescent="0.2">
      <c r="A2822" t="s">
        <v>13</v>
      </c>
      <c r="B2822" s="2">
        <v>45748</v>
      </c>
      <c r="C2822">
        <v>53.055667877197273</v>
      </c>
    </row>
    <row r="2823" spans="1:3" x14ac:dyDescent="0.2">
      <c r="A2823" t="s">
        <v>13</v>
      </c>
      <c r="B2823" s="2">
        <v>45749</v>
      </c>
      <c r="C2823">
        <v>53.236038208007812</v>
      </c>
    </row>
    <row r="2824" spans="1:3" x14ac:dyDescent="0.2">
      <c r="A2824" t="s">
        <v>13</v>
      </c>
      <c r="B2824" s="2">
        <v>45750</v>
      </c>
      <c r="C2824">
        <v>49.201568603515618</v>
      </c>
    </row>
    <row r="2825" spans="1:3" x14ac:dyDescent="0.2">
      <c r="A2825" t="s">
        <v>13</v>
      </c>
      <c r="B2825" s="2">
        <v>45751</v>
      </c>
      <c r="C2825">
        <v>44.863315582275391</v>
      </c>
    </row>
    <row r="2826" spans="1:3" x14ac:dyDescent="0.2">
      <c r="A2826" t="s">
        <v>13</v>
      </c>
      <c r="B2826" s="2">
        <v>45754</v>
      </c>
      <c r="C2826">
        <v>44.749404907226562</v>
      </c>
    </row>
    <row r="2827" spans="1:3" x14ac:dyDescent="0.2">
      <c r="A2827" t="s">
        <v>13</v>
      </c>
      <c r="B2827" s="2">
        <v>45755</v>
      </c>
      <c r="C2827">
        <v>42.660972595214837</v>
      </c>
    </row>
    <row r="2828" spans="1:3" x14ac:dyDescent="0.2">
      <c r="A2828" t="s">
        <v>13</v>
      </c>
      <c r="B2828" s="2">
        <v>45756</v>
      </c>
      <c r="C2828">
        <v>45.869564056396477</v>
      </c>
    </row>
    <row r="2829" spans="1:3" x14ac:dyDescent="0.2">
      <c r="A2829" t="s">
        <v>13</v>
      </c>
      <c r="B2829" s="2">
        <v>45757</v>
      </c>
      <c r="C2829">
        <v>42.774890899658203</v>
      </c>
    </row>
    <row r="2830" spans="1:3" x14ac:dyDescent="0.2">
      <c r="A2830" t="s">
        <v>13</v>
      </c>
      <c r="B2830" s="2">
        <v>45758</v>
      </c>
      <c r="C2830">
        <v>44.113380432128913</v>
      </c>
    </row>
    <row r="2831" spans="1:3" x14ac:dyDescent="0.2">
      <c r="A2831" t="s">
        <v>13</v>
      </c>
      <c r="B2831" s="2">
        <v>45761</v>
      </c>
      <c r="C2831">
        <v>44.103885650634773</v>
      </c>
    </row>
    <row r="2832" spans="1:3" x14ac:dyDescent="0.2">
      <c r="A2832" t="s">
        <v>13</v>
      </c>
      <c r="B2832" s="2">
        <v>45762</v>
      </c>
      <c r="C2832">
        <v>44.141857147216797</v>
      </c>
    </row>
    <row r="2833" spans="1:3" x14ac:dyDescent="0.2">
      <c r="A2833" t="s">
        <v>13</v>
      </c>
      <c r="B2833" s="2">
        <v>45763</v>
      </c>
      <c r="C2833">
        <v>44.483604431152337</v>
      </c>
    </row>
    <row r="2834" spans="1:3" x14ac:dyDescent="0.2">
      <c r="A2834" t="s">
        <v>13</v>
      </c>
      <c r="B2834" s="2">
        <v>45764</v>
      </c>
      <c r="C2834">
        <v>45.375934600830078</v>
      </c>
    </row>
    <row r="2835" spans="1:3" x14ac:dyDescent="0.2">
      <c r="A2835" t="s">
        <v>13</v>
      </c>
      <c r="B2835" s="2">
        <v>45768</v>
      </c>
      <c r="C2835">
        <v>45.385429382324219</v>
      </c>
    </row>
    <row r="2836" spans="1:3" x14ac:dyDescent="0.2">
      <c r="A2836" t="s">
        <v>13</v>
      </c>
      <c r="B2836" s="2">
        <v>45769</v>
      </c>
      <c r="C2836">
        <v>46.477104187011719</v>
      </c>
    </row>
    <row r="2837" spans="1:3" x14ac:dyDescent="0.2">
      <c r="A2837" t="s">
        <v>13</v>
      </c>
      <c r="B2837" s="2">
        <v>45770</v>
      </c>
      <c r="C2837">
        <v>46.239784240722663</v>
      </c>
    </row>
    <row r="2838" spans="1:3" x14ac:dyDescent="0.2">
      <c r="A2838" t="s">
        <v>13</v>
      </c>
      <c r="B2838" s="2">
        <v>45771</v>
      </c>
      <c r="C2838">
        <v>46.818851470947273</v>
      </c>
    </row>
    <row r="2839" spans="1:3" x14ac:dyDescent="0.2">
      <c r="A2839" t="s">
        <v>13</v>
      </c>
      <c r="B2839" s="2">
        <v>45772</v>
      </c>
      <c r="C2839">
        <v>46.837841033935547</v>
      </c>
    </row>
    <row r="2840" spans="1:3" x14ac:dyDescent="0.2">
      <c r="A2840" t="s">
        <v>13</v>
      </c>
      <c r="B2840" s="2">
        <v>45775</v>
      </c>
      <c r="C2840">
        <v>46.847332000732422</v>
      </c>
    </row>
    <row r="2841" spans="1:3" x14ac:dyDescent="0.2">
      <c r="A2841" t="s">
        <v>13</v>
      </c>
      <c r="B2841" s="2">
        <v>45776</v>
      </c>
      <c r="C2841">
        <v>46.932769775390618</v>
      </c>
    </row>
    <row r="2842" spans="1:3" x14ac:dyDescent="0.2">
      <c r="A2842" t="s">
        <v>13</v>
      </c>
      <c r="B2842" s="2">
        <v>45777</v>
      </c>
      <c r="C2842">
        <v>46.220798492431641</v>
      </c>
    </row>
    <row r="2843" spans="1:3" x14ac:dyDescent="0.2">
      <c r="A2843" t="s">
        <v>13</v>
      </c>
      <c r="B2843" s="2">
        <v>45778</v>
      </c>
      <c r="C2843">
        <v>46.913776397705078</v>
      </c>
    </row>
    <row r="2844" spans="1:3" x14ac:dyDescent="0.2">
      <c r="A2844" t="s">
        <v>13</v>
      </c>
      <c r="B2844" s="2">
        <v>45779</v>
      </c>
      <c r="C2844">
        <v>47.217555999755859</v>
      </c>
    </row>
    <row r="2845" spans="1:3" x14ac:dyDescent="0.2">
      <c r="A2845" t="s">
        <v>13</v>
      </c>
      <c r="B2845" s="2">
        <v>45782</v>
      </c>
      <c r="C2845">
        <v>45.755649566650391</v>
      </c>
    </row>
    <row r="2846" spans="1:3" x14ac:dyDescent="0.2">
      <c r="A2846" t="s">
        <v>13</v>
      </c>
      <c r="B2846" s="2">
        <v>45783</v>
      </c>
      <c r="C2846">
        <v>45.907539367675781</v>
      </c>
    </row>
    <row r="2847" spans="1:3" x14ac:dyDescent="0.2">
      <c r="A2847" t="s">
        <v>13</v>
      </c>
      <c r="B2847" s="2">
        <v>45784</v>
      </c>
      <c r="C2847">
        <v>44.607013702392578</v>
      </c>
    </row>
    <row r="2848" spans="1:3" x14ac:dyDescent="0.2">
      <c r="A2848" t="s">
        <v>13</v>
      </c>
      <c r="B2848" s="2">
        <v>45785</v>
      </c>
      <c r="C2848">
        <v>45.271511077880859</v>
      </c>
    </row>
    <row r="2849" spans="1:3" x14ac:dyDescent="0.2">
      <c r="A2849" t="s">
        <v>13</v>
      </c>
      <c r="B2849" s="2">
        <v>45786</v>
      </c>
      <c r="C2849">
        <v>46.249275207519531</v>
      </c>
    </row>
    <row r="2850" spans="1:3" x14ac:dyDescent="0.2">
      <c r="A2850" t="s">
        <v>13</v>
      </c>
      <c r="B2850" s="2">
        <v>45789</v>
      </c>
      <c r="C2850">
        <v>47.625747680664062</v>
      </c>
    </row>
    <row r="2851" spans="1:3" x14ac:dyDescent="0.2">
      <c r="A2851" t="s">
        <v>13</v>
      </c>
      <c r="B2851" s="2">
        <v>45790</v>
      </c>
      <c r="C2851">
        <v>48.185825347900391</v>
      </c>
    </row>
    <row r="2852" spans="1:3" x14ac:dyDescent="0.2">
      <c r="A2852" t="s">
        <v>13</v>
      </c>
      <c r="B2852" s="2">
        <v>45791</v>
      </c>
      <c r="C2852">
        <v>48.223800659179688</v>
      </c>
    </row>
    <row r="2853" spans="1:3" x14ac:dyDescent="0.2">
      <c r="A2853" t="s">
        <v>13</v>
      </c>
      <c r="B2853" s="2">
        <v>45792</v>
      </c>
      <c r="C2853">
        <v>47.69219970703125</v>
      </c>
    </row>
    <row r="2854" spans="1:3" x14ac:dyDescent="0.2">
      <c r="A2854" t="s">
        <v>13</v>
      </c>
      <c r="B2854" s="2">
        <v>45793</v>
      </c>
      <c r="C2854">
        <v>47.331466674804688</v>
      </c>
    </row>
    <row r="2855" spans="1:3" x14ac:dyDescent="0.2">
      <c r="A2855" t="s">
        <v>13</v>
      </c>
      <c r="B2855" s="2">
        <v>45797</v>
      </c>
      <c r="C2855">
        <v>46.543556213378913</v>
      </c>
    </row>
    <row r="2856" spans="1:3" x14ac:dyDescent="0.2">
      <c r="A2856" t="s">
        <v>13</v>
      </c>
      <c r="B2856" s="2">
        <v>45798</v>
      </c>
      <c r="C2856">
        <v>46.268264770507812</v>
      </c>
    </row>
    <row r="2857" spans="1:3" x14ac:dyDescent="0.2">
      <c r="A2857" t="s">
        <v>13</v>
      </c>
      <c r="B2857" s="2">
        <v>45799</v>
      </c>
      <c r="C2857">
        <v>46.562541961669922</v>
      </c>
    </row>
    <row r="2858" spans="1:3" x14ac:dyDescent="0.2">
      <c r="A2858" t="s">
        <v>13</v>
      </c>
      <c r="B2858" s="2">
        <v>45800</v>
      </c>
      <c r="C2858">
        <v>46.562541961669922</v>
      </c>
    </row>
    <row r="2859" spans="1:3" x14ac:dyDescent="0.2">
      <c r="A2859" t="s">
        <v>13</v>
      </c>
      <c r="B2859" s="2">
        <v>45803</v>
      </c>
      <c r="C2859">
        <v>46.780879974365227</v>
      </c>
    </row>
    <row r="2860" spans="1:3" x14ac:dyDescent="0.2">
      <c r="A2860" t="s">
        <v>13</v>
      </c>
      <c r="B2860" s="2">
        <v>45804</v>
      </c>
      <c r="C2860">
        <v>46.866310119628913</v>
      </c>
    </row>
    <row r="2861" spans="1:3" x14ac:dyDescent="0.2">
      <c r="A2861" t="s">
        <v>13</v>
      </c>
      <c r="B2861" s="2">
        <v>45805</v>
      </c>
      <c r="C2861">
        <v>46.401165008544922</v>
      </c>
    </row>
    <row r="2862" spans="1:3" x14ac:dyDescent="0.2">
      <c r="A2862" t="s">
        <v>13</v>
      </c>
      <c r="B2862" s="2">
        <v>45806</v>
      </c>
      <c r="C2862">
        <v>46.875808715820312</v>
      </c>
    </row>
    <row r="2863" spans="1:3" x14ac:dyDescent="0.2">
      <c r="A2863" t="s">
        <v>13</v>
      </c>
      <c r="B2863" s="2">
        <v>45807</v>
      </c>
      <c r="C2863">
        <v>46.315731048583977</v>
      </c>
    </row>
    <row r="2864" spans="1:3" x14ac:dyDescent="0.2">
      <c r="A2864" t="s">
        <v>13</v>
      </c>
      <c r="B2864" s="2">
        <v>45810</v>
      </c>
      <c r="C2864">
        <v>47.663719177246087</v>
      </c>
    </row>
    <row r="2865" spans="1:3" x14ac:dyDescent="0.2">
      <c r="A2865" t="s">
        <v>13</v>
      </c>
      <c r="B2865" s="2">
        <v>45811</v>
      </c>
      <c r="C2865">
        <v>48.081409454345703</v>
      </c>
    </row>
    <row r="2866" spans="1:3" x14ac:dyDescent="0.2">
      <c r="A2866" t="s">
        <v>13</v>
      </c>
      <c r="B2866" s="2">
        <v>45812</v>
      </c>
      <c r="C2866">
        <v>47.726169586181641</v>
      </c>
    </row>
    <row r="2867" spans="1:3" x14ac:dyDescent="0.2">
      <c r="A2867" t="s">
        <v>13</v>
      </c>
      <c r="B2867" s="2">
        <v>45813</v>
      </c>
      <c r="C2867">
        <v>48.062202453613281</v>
      </c>
    </row>
    <row r="2868" spans="1:3" x14ac:dyDescent="0.2">
      <c r="A2868" t="s">
        <v>13</v>
      </c>
      <c r="B2868" s="2">
        <v>45814</v>
      </c>
      <c r="C2868">
        <v>48.350231170654297</v>
      </c>
    </row>
    <row r="2869" spans="1:3" x14ac:dyDescent="0.2">
      <c r="A2869" t="s">
        <v>13</v>
      </c>
      <c r="B2869" s="2">
        <v>45817</v>
      </c>
      <c r="C2869">
        <v>48.599853515625</v>
      </c>
    </row>
    <row r="2870" spans="1:3" x14ac:dyDescent="0.2">
      <c r="A2870" t="s">
        <v>13</v>
      </c>
      <c r="B2870" s="2">
        <v>45818</v>
      </c>
      <c r="C2870">
        <v>49.396732330322273</v>
      </c>
    </row>
    <row r="2871" spans="1:3" x14ac:dyDescent="0.2">
      <c r="A2871" t="s">
        <v>13</v>
      </c>
      <c r="B2871" s="2">
        <v>45819</v>
      </c>
      <c r="C2871">
        <v>50.971279144287109</v>
      </c>
    </row>
    <row r="2872" spans="1:3" x14ac:dyDescent="0.2">
      <c r="A2872" t="s">
        <v>13</v>
      </c>
      <c r="B2872" s="2">
        <v>45820</v>
      </c>
      <c r="C2872">
        <v>51.048084259033203</v>
      </c>
    </row>
    <row r="2873" spans="1:3" x14ac:dyDescent="0.2">
      <c r="A2873" t="s">
        <v>13</v>
      </c>
      <c r="B2873" s="2">
        <v>45821</v>
      </c>
      <c r="C2873">
        <v>53.448318481445312</v>
      </c>
    </row>
    <row r="2874" spans="1:3" x14ac:dyDescent="0.2">
      <c r="A2874" t="s">
        <v>13</v>
      </c>
      <c r="B2874" s="2">
        <v>45824</v>
      </c>
      <c r="C2874">
        <v>53.006671905517578</v>
      </c>
    </row>
    <row r="2875" spans="1:3" x14ac:dyDescent="0.2">
      <c r="A2875" t="s">
        <v>13</v>
      </c>
      <c r="B2875" s="2">
        <v>45825</v>
      </c>
      <c r="C2875">
        <v>53.755546569824219</v>
      </c>
    </row>
    <row r="2876" spans="1:3" x14ac:dyDescent="0.2">
      <c r="A2876" t="s">
        <v>13</v>
      </c>
      <c r="B2876" s="2">
        <v>45826</v>
      </c>
      <c r="C2876">
        <v>52.670646667480469</v>
      </c>
    </row>
    <row r="2877" spans="1:3" x14ac:dyDescent="0.2">
      <c r="A2877" t="s">
        <v>13</v>
      </c>
      <c r="B2877" s="2">
        <v>45827</v>
      </c>
      <c r="C2877">
        <v>52.939468383789062</v>
      </c>
    </row>
    <row r="2878" spans="1:3" x14ac:dyDescent="0.2">
      <c r="A2878" t="s">
        <v>13</v>
      </c>
      <c r="B2878" s="2">
        <v>45828</v>
      </c>
      <c r="C2878">
        <v>52.997074127197273</v>
      </c>
    </row>
    <row r="2879" spans="1:3" x14ac:dyDescent="0.2">
      <c r="A2879" t="s">
        <v>13</v>
      </c>
      <c r="B2879" s="2">
        <v>45831</v>
      </c>
      <c r="C2879">
        <v>51.384120941162109</v>
      </c>
    </row>
    <row r="2880" spans="1:3" x14ac:dyDescent="0.2">
      <c r="A2880" t="s">
        <v>13</v>
      </c>
      <c r="B2880" s="2">
        <v>45832</v>
      </c>
      <c r="C2880">
        <v>50.462432861328118</v>
      </c>
    </row>
    <row r="2881" spans="1:3" x14ac:dyDescent="0.2">
      <c r="A2881" t="s">
        <v>13</v>
      </c>
      <c r="B2881" s="2">
        <v>45833</v>
      </c>
      <c r="C2881">
        <v>50.011188507080078</v>
      </c>
    </row>
    <row r="2882" spans="1:3" x14ac:dyDescent="0.2">
      <c r="A2882" t="s">
        <v>13</v>
      </c>
      <c r="B2882" s="2">
        <v>45834</v>
      </c>
      <c r="C2882">
        <v>49.694355010986328</v>
      </c>
    </row>
    <row r="2883" spans="1:3" x14ac:dyDescent="0.2">
      <c r="A2883" t="s">
        <v>13</v>
      </c>
      <c r="B2883" s="2">
        <v>45835</v>
      </c>
      <c r="C2883">
        <v>49.406330108642578</v>
      </c>
    </row>
    <row r="2884" spans="1:3" x14ac:dyDescent="0.2">
      <c r="A2884" t="s">
        <v>13</v>
      </c>
      <c r="B2884" s="2">
        <v>45838</v>
      </c>
      <c r="C2884">
        <v>48.974288940429688</v>
      </c>
    </row>
    <row r="2885" spans="1:3" x14ac:dyDescent="0.2">
      <c r="A2885" t="s">
        <v>13</v>
      </c>
      <c r="B2885" s="2">
        <v>45840</v>
      </c>
      <c r="C2885">
        <v>49.924781799316413</v>
      </c>
    </row>
    <row r="2886" spans="1:3" x14ac:dyDescent="0.2">
      <c r="A2886" t="s">
        <v>13</v>
      </c>
      <c r="B2886" s="2">
        <v>45841</v>
      </c>
      <c r="C2886">
        <v>50.087993621826172</v>
      </c>
    </row>
    <row r="2887" spans="1:3" x14ac:dyDescent="0.2">
      <c r="A2887" t="s">
        <v>13</v>
      </c>
      <c r="B2887" s="2">
        <v>45842</v>
      </c>
      <c r="C2887">
        <v>49.703960418701172</v>
      </c>
    </row>
    <row r="2888" spans="1:3" x14ac:dyDescent="0.2">
      <c r="A2888" t="s">
        <v>13</v>
      </c>
      <c r="B2888" s="2">
        <v>45845</v>
      </c>
      <c r="C2888">
        <v>49.617549896240227</v>
      </c>
    </row>
    <row r="2889" spans="1:3" x14ac:dyDescent="0.2">
      <c r="A2889" t="s">
        <v>13</v>
      </c>
      <c r="B2889" s="2">
        <v>45846</v>
      </c>
      <c r="C2889">
        <v>51.000083923339837</v>
      </c>
    </row>
    <row r="2890" spans="1:3" x14ac:dyDescent="0.2">
      <c r="A2890" t="s">
        <v>13</v>
      </c>
      <c r="B2890" s="2">
        <v>45847</v>
      </c>
      <c r="C2890">
        <v>51.566532135009773</v>
      </c>
    </row>
    <row r="2891" spans="1:3" x14ac:dyDescent="0.2">
      <c r="A2891" t="s">
        <v>13</v>
      </c>
      <c r="B2891" s="2">
        <v>45848</v>
      </c>
      <c r="C2891">
        <v>51.691352844238281</v>
      </c>
    </row>
    <row r="2892" spans="1:3" x14ac:dyDescent="0.2">
      <c r="A2892" t="s">
        <v>13</v>
      </c>
      <c r="B2892" s="2">
        <v>45849</v>
      </c>
      <c r="C2892">
        <v>52.680244445800781</v>
      </c>
    </row>
    <row r="2893" spans="1:3" x14ac:dyDescent="0.2">
      <c r="A2893" t="s">
        <v>13</v>
      </c>
      <c r="B2893" s="2">
        <v>45852</v>
      </c>
      <c r="C2893">
        <v>52.392215728759773</v>
      </c>
    </row>
    <row r="2894" spans="1:3" x14ac:dyDescent="0.2">
      <c r="A2894" t="s">
        <v>13</v>
      </c>
      <c r="B2894" s="2">
        <v>45853</v>
      </c>
      <c r="C2894">
        <v>51.940967559814453</v>
      </c>
    </row>
    <row r="2895" spans="1:3" x14ac:dyDescent="0.2">
      <c r="A2895" t="s">
        <v>13</v>
      </c>
      <c r="B2895" s="2">
        <v>45854</v>
      </c>
      <c r="C2895">
        <v>51.422523498535163</v>
      </c>
    </row>
    <row r="2896" spans="1:3" x14ac:dyDescent="0.2">
      <c r="A2896" t="s">
        <v>13</v>
      </c>
      <c r="B2896" s="2">
        <v>45855</v>
      </c>
      <c r="C2896">
        <v>51.566532135009773</v>
      </c>
    </row>
    <row r="2897" spans="1:3" x14ac:dyDescent="0.2">
      <c r="A2897" t="s">
        <v>13</v>
      </c>
      <c r="B2897" s="2">
        <v>45856</v>
      </c>
      <c r="C2897">
        <v>51.182502746582031</v>
      </c>
    </row>
    <row r="2898" spans="1:3" x14ac:dyDescent="0.2">
      <c r="A2898" t="s">
        <v>13</v>
      </c>
      <c r="B2898" s="2">
        <v>45859</v>
      </c>
      <c r="C2898">
        <v>50.865673065185547</v>
      </c>
    </row>
    <row r="2899" spans="1:3" x14ac:dyDescent="0.2">
      <c r="A2899" t="s">
        <v>13</v>
      </c>
      <c r="B2899" s="2">
        <v>45860</v>
      </c>
      <c r="C2899">
        <v>51.076892852783203</v>
      </c>
    </row>
    <row r="2900" spans="1:3" x14ac:dyDescent="0.2">
      <c r="A2900" t="s">
        <v>13</v>
      </c>
      <c r="B2900" s="2">
        <v>45861</v>
      </c>
      <c r="C2900">
        <v>51.806560516357422</v>
      </c>
    </row>
    <row r="2901" spans="1:3" x14ac:dyDescent="0.2">
      <c r="A2901" t="s">
        <v>13</v>
      </c>
      <c r="B2901" s="2">
        <v>45862</v>
      </c>
      <c r="C2901">
        <v>51.998577117919922</v>
      </c>
    </row>
    <row r="2902" spans="1:3" x14ac:dyDescent="0.2">
      <c r="A2902" t="s">
        <v>13</v>
      </c>
      <c r="B2902" s="2">
        <v>45863</v>
      </c>
      <c r="C2902">
        <v>51.710548400878913</v>
      </c>
    </row>
    <row r="2903" spans="1:3" x14ac:dyDescent="0.2">
      <c r="A2903" t="s">
        <v>13</v>
      </c>
      <c r="B2903" s="2">
        <v>45866</v>
      </c>
      <c r="C2903">
        <v>52.718647003173828</v>
      </c>
    </row>
    <row r="2904" spans="1:3" x14ac:dyDescent="0.2">
      <c r="A2904" t="s">
        <v>13</v>
      </c>
      <c r="B2904" s="2">
        <v>45867</v>
      </c>
      <c r="C2904">
        <v>52.997074127197273</v>
      </c>
    </row>
    <row r="2905" spans="1:3" x14ac:dyDescent="0.2">
      <c r="A2905" t="s">
        <v>13</v>
      </c>
      <c r="B2905" s="2">
        <v>45868</v>
      </c>
      <c r="C2905">
        <v>52.747451782226562</v>
      </c>
    </row>
    <row r="2906" spans="1:3" x14ac:dyDescent="0.2">
      <c r="A2906" t="s">
        <v>13</v>
      </c>
      <c r="B2906" s="2">
        <v>45869</v>
      </c>
      <c r="C2906">
        <v>52.469024658203118</v>
      </c>
    </row>
    <row r="2907" spans="1:3" x14ac:dyDescent="0.2">
      <c r="A2907" t="s">
        <v>13</v>
      </c>
      <c r="B2907" s="2">
        <v>45870</v>
      </c>
      <c r="C2907">
        <v>51.710548400878913</v>
      </c>
    </row>
    <row r="2908" spans="1:3" x14ac:dyDescent="0.2">
      <c r="A2908" t="s">
        <v>13</v>
      </c>
      <c r="B2908" s="2">
        <v>45874</v>
      </c>
      <c r="C2908">
        <v>51.892971038818359</v>
      </c>
    </row>
    <row r="2909" spans="1:3" x14ac:dyDescent="0.2">
      <c r="A2909" t="s">
        <v>13</v>
      </c>
      <c r="B2909" s="2">
        <v>45875</v>
      </c>
      <c r="C2909">
        <v>51.758556365966797</v>
      </c>
    </row>
    <row r="2910" spans="1:3" x14ac:dyDescent="0.2">
      <c r="A2910" t="s">
        <v>13</v>
      </c>
      <c r="B2910" s="2">
        <v>45876</v>
      </c>
      <c r="C2910">
        <v>51.480125427246087</v>
      </c>
    </row>
    <row r="2911" spans="1:3" x14ac:dyDescent="0.2">
      <c r="A2911" t="s">
        <v>13</v>
      </c>
      <c r="B2911" s="2">
        <v>45877</v>
      </c>
      <c r="C2911">
        <v>51.787353515625</v>
      </c>
    </row>
    <row r="2912" spans="1:3" x14ac:dyDescent="0.2">
      <c r="A2912" t="s">
        <v>13</v>
      </c>
      <c r="B2912" s="2">
        <v>45880</v>
      </c>
      <c r="C2912">
        <v>51.316917419433587</v>
      </c>
    </row>
    <row r="2913" spans="1:3" x14ac:dyDescent="0.2">
      <c r="A2913" t="s">
        <v>13</v>
      </c>
      <c r="B2913" s="2">
        <v>45881</v>
      </c>
      <c r="C2913">
        <v>51.364917755126953</v>
      </c>
    </row>
    <row r="2914" spans="1:3" x14ac:dyDescent="0.2">
      <c r="A2914" t="s">
        <v>13</v>
      </c>
      <c r="B2914" s="2">
        <v>45882</v>
      </c>
      <c r="C2914">
        <v>51.432125091552727</v>
      </c>
    </row>
    <row r="2915" spans="1:3" x14ac:dyDescent="0.2">
      <c r="A2915" t="s">
        <v>13</v>
      </c>
      <c r="B2915" s="2">
        <v>45883</v>
      </c>
      <c r="C2915">
        <v>51.710548400878913</v>
      </c>
    </row>
    <row r="2916" spans="1:3" x14ac:dyDescent="0.2">
      <c r="A2916" t="s">
        <v>13</v>
      </c>
      <c r="B2916" s="2">
        <v>45884</v>
      </c>
      <c r="C2916">
        <v>51.566532135009773</v>
      </c>
    </row>
    <row r="2917" spans="1:3" x14ac:dyDescent="0.2">
      <c r="A2917" t="s">
        <v>13</v>
      </c>
      <c r="B2917" s="2">
        <v>45887</v>
      </c>
      <c r="C2917">
        <v>51.144096374511719</v>
      </c>
    </row>
    <row r="2918" spans="1:3" x14ac:dyDescent="0.2">
      <c r="A2918" t="s">
        <v>13</v>
      </c>
      <c r="B2918" s="2">
        <v>45888</v>
      </c>
      <c r="C2918">
        <v>51.086490631103523</v>
      </c>
    </row>
    <row r="2919" spans="1:3" x14ac:dyDescent="0.2">
      <c r="A2919" t="s">
        <v>13</v>
      </c>
      <c r="B2919" s="2">
        <v>45889</v>
      </c>
      <c r="C2919">
        <v>51.4033203125</v>
      </c>
    </row>
    <row r="2920" spans="1:3" x14ac:dyDescent="0.2">
      <c r="A2920" t="s">
        <v>13</v>
      </c>
      <c r="B2920" s="2">
        <v>45890</v>
      </c>
      <c r="C2920">
        <v>52.123394012451172</v>
      </c>
    </row>
    <row r="2921" spans="1:3" x14ac:dyDescent="0.2">
      <c r="A2921" t="s">
        <v>13</v>
      </c>
      <c r="B2921" s="2">
        <v>45891</v>
      </c>
      <c r="C2921">
        <v>53.073879241943359</v>
      </c>
    </row>
    <row r="2922" spans="1:3" x14ac:dyDescent="0.2">
      <c r="A2922" t="s">
        <v>13</v>
      </c>
      <c r="B2922" s="2">
        <v>45894</v>
      </c>
      <c r="C2922">
        <v>53.72674560546875</v>
      </c>
    </row>
    <row r="2923" spans="1:3" x14ac:dyDescent="0.2">
      <c r="A2923" t="s">
        <v>13</v>
      </c>
      <c r="B2923" s="2">
        <v>45895</v>
      </c>
      <c r="C2923">
        <v>53.285106658935547</v>
      </c>
    </row>
    <row r="2924" spans="1:3" x14ac:dyDescent="0.2">
      <c r="A2924" t="s">
        <v>13</v>
      </c>
      <c r="B2924" s="2">
        <v>45896</v>
      </c>
      <c r="C2924">
        <v>54.302803039550781</v>
      </c>
    </row>
    <row r="2925" spans="1:3" x14ac:dyDescent="0.2">
      <c r="A2925" t="s">
        <v>13</v>
      </c>
      <c r="B2925" s="2">
        <v>45897</v>
      </c>
      <c r="C2925">
        <v>54.936458587646477</v>
      </c>
    </row>
    <row r="2926" spans="1:3" x14ac:dyDescent="0.2">
      <c r="A2926" t="s">
        <v>13</v>
      </c>
      <c r="B2926" s="2">
        <v>45898</v>
      </c>
      <c r="C2926">
        <v>54.504421234130859</v>
      </c>
    </row>
    <row r="2927" spans="1:3" x14ac:dyDescent="0.2">
      <c r="A2927" t="s">
        <v>13</v>
      </c>
      <c r="B2927" s="2">
        <v>45902</v>
      </c>
      <c r="C2927">
        <v>54.667633056640618</v>
      </c>
    </row>
    <row r="2928" spans="1:3" x14ac:dyDescent="0.2">
      <c r="A2928" t="s">
        <v>13</v>
      </c>
      <c r="B2928" s="2">
        <v>45903</v>
      </c>
      <c r="C2928">
        <v>53.880355834960938</v>
      </c>
    </row>
    <row r="2929" spans="1:3" x14ac:dyDescent="0.2">
      <c r="A2929" t="s">
        <v>13</v>
      </c>
      <c r="B2929" s="2">
        <v>45904</v>
      </c>
      <c r="C2929">
        <v>53.919158935546882</v>
      </c>
    </row>
    <row r="2930" spans="1:3" x14ac:dyDescent="0.2">
      <c r="A2930" t="s">
        <v>13</v>
      </c>
      <c r="B2930" s="2">
        <v>45905</v>
      </c>
      <c r="C2930">
        <v>53.734870910644531</v>
      </c>
    </row>
    <row r="2931" spans="1:3" x14ac:dyDescent="0.2">
      <c r="A2931" t="s">
        <v>13</v>
      </c>
      <c r="B2931" s="2">
        <v>45908</v>
      </c>
      <c r="C2931">
        <v>53.909461975097663</v>
      </c>
    </row>
    <row r="2932" spans="1:3" x14ac:dyDescent="0.2">
      <c r="A2932" t="s">
        <v>13</v>
      </c>
      <c r="B2932" s="2">
        <v>45909</v>
      </c>
      <c r="C2932">
        <v>55.073387145996087</v>
      </c>
    </row>
    <row r="2933" spans="1:3" x14ac:dyDescent="0.2">
      <c r="A2933" t="s">
        <v>13</v>
      </c>
      <c r="B2933" s="2">
        <v>45910</v>
      </c>
      <c r="C2933">
        <v>56.790184020996087</v>
      </c>
    </row>
    <row r="2934" spans="1:3" x14ac:dyDescent="0.2">
      <c r="A2934" t="s">
        <v>13</v>
      </c>
      <c r="B2934" s="2">
        <v>45911</v>
      </c>
      <c r="C2934">
        <v>56.353717803955078</v>
      </c>
    </row>
    <row r="2935" spans="1:3" x14ac:dyDescent="0.2">
      <c r="A2935" t="s">
        <v>13</v>
      </c>
      <c r="B2935" s="2">
        <v>45912</v>
      </c>
      <c r="C2935">
        <v>56.014236450195312</v>
      </c>
    </row>
    <row r="2936" spans="1:3" x14ac:dyDescent="0.2">
      <c r="A2936" t="s">
        <v>13</v>
      </c>
      <c r="B2936" s="2">
        <v>45915</v>
      </c>
      <c r="C2936">
        <v>56.382816314697273</v>
      </c>
    </row>
    <row r="2937" spans="1:3" x14ac:dyDescent="0.2">
      <c r="A2937" t="s">
        <v>13</v>
      </c>
      <c r="B2937" s="2">
        <v>45916</v>
      </c>
      <c r="C2937">
        <v>57.372154235839837</v>
      </c>
    </row>
    <row r="2938" spans="1:3" x14ac:dyDescent="0.2">
      <c r="A2938" t="s">
        <v>13</v>
      </c>
      <c r="B2938" s="2">
        <v>45917</v>
      </c>
      <c r="C2938">
        <v>57.246059417724609</v>
      </c>
    </row>
    <row r="2939" spans="1:3" x14ac:dyDescent="0.2">
      <c r="A2939" t="s">
        <v>13</v>
      </c>
      <c r="B2939" s="2">
        <v>45918</v>
      </c>
      <c r="C2939">
        <v>57.149066925048828</v>
      </c>
    </row>
    <row r="2940" spans="1:3" x14ac:dyDescent="0.2">
      <c r="A2940" t="s">
        <v>13</v>
      </c>
      <c r="B2940" s="2">
        <v>45919</v>
      </c>
      <c r="C2940">
        <v>55.558361053466797</v>
      </c>
    </row>
    <row r="2941" spans="1:3" x14ac:dyDescent="0.2">
      <c r="A2941" t="s">
        <v>13</v>
      </c>
      <c r="B2941" s="2">
        <v>45922</v>
      </c>
      <c r="C2941">
        <v>56.004535675048828</v>
      </c>
    </row>
    <row r="2942" spans="1:3" x14ac:dyDescent="0.2">
      <c r="A2942" t="s">
        <v>13</v>
      </c>
      <c r="B2942" s="2">
        <v>45923</v>
      </c>
      <c r="C2942">
        <v>56.790184020996087</v>
      </c>
    </row>
    <row r="2943" spans="1:3" x14ac:dyDescent="0.2">
      <c r="A2943" t="s">
        <v>13</v>
      </c>
      <c r="B2943" s="2">
        <v>45924</v>
      </c>
      <c r="C2943">
        <v>57.216964721679688</v>
      </c>
    </row>
    <row r="2944" spans="1:3" x14ac:dyDescent="0.2">
      <c r="A2944" t="s">
        <v>13</v>
      </c>
      <c r="B2944" s="2">
        <v>45925</v>
      </c>
      <c r="C2944">
        <v>57.779529571533203</v>
      </c>
    </row>
    <row r="2945" spans="1:3" x14ac:dyDescent="0.2">
      <c r="A2945" t="s">
        <v>13</v>
      </c>
      <c r="B2945" s="2">
        <v>45926</v>
      </c>
      <c r="C2945">
        <v>57.604938507080078</v>
      </c>
    </row>
    <row r="2946" spans="1:3" x14ac:dyDescent="0.2">
      <c r="A2946" t="s">
        <v>13</v>
      </c>
      <c r="B2946" s="2">
        <v>45929</v>
      </c>
      <c r="C2946">
        <v>56.712593078613281</v>
      </c>
    </row>
    <row r="2947" spans="1:3" x14ac:dyDescent="0.2">
      <c r="A2947" t="s">
        <v>13</v>
      </c>
      <c r="B2947" s="2">
        <v>45930</v>
      </c>
      <c r="C2947">
        <v>56.489513397216797</v>
      </c>
    </row>
    <row r="2948" spans="1:3" x14ac:dyDescent="0.2">
      <c r="A2948" t="s">
        <v>13</v>
      </c>
      <c r="B2948" s="2">
        <v>45931</v>
      </c>
      <c r="C2948">
        <v>55.829952239990227</v>
      </c>
    </row>
    <row r="2949" spans="1:3" x14ac:dyDescent="0.2">
      <c r="A2949" t="s">
        <v>13</v>
      </c>
      <c r="B2949" s="2">
        <v>45932</v>
      </c>
      <c r="C2949">
        <v>55.684452056884773</v>
      </c>
    </row>
    <row r="2950" spans="1:3" x14ac:dyDescent="0.2">
      <c r="A2950" t="s">
        <v>13</v>
      </c>
      <c r="B2950" s="2">
        <v>45933</v>
      </c>
      <c r="C2950">
        <v>55.965740203857422</v>
      </c>
    </row>
    <row r="2951" spans="1:3" x14ac:dyDescent="0.2">
      <c r="A2951" t="s">
        <v>13</v>
      </c>
      <c r="B2951" s="2">
        <v>45936</v>
      </c>
      <c r="C2951">
        <v>56.208225250244141</v>
      </c>
    </row>
    <row r="2952" spans="1:3" x14ac:dyDescent="0.2">
      <c r="A2952" t="s">
        <v>13</v>
      </c>
      <c r="B2952" s="2">
        <v>45937</v>
      </c>
      <c r="C2952">
        <v>55.994838714599609</v>
      </c>
    </row>
    <row r="2953" spans="1:3" x14ac:dyDescent="0.2">
      <c r="A2953" t="s">
        <v>13</v>
      </c>
      <c r="B2953" s="2">
        <v>45938</v>
      </c>
      <c r="C2953">
        <v>55.286777496337891</v>
      </c>
    </row>
    <row r="2954" spans="1:3" x14ac:dyDescent="0.2">
      <c r="A2954" t="s">
        <v>13</v>
      </c>
      <c r="B2954" s="2">
        <v>45939</v>
      </c>
      <c r="C2954">
        <v>54.947299957275391</v>
      </c>
    </row>
    <row r="2955" spans="1:3" x14ac:dyDescent="0.2">
      <c r="A2955" t="s">
        <v>13</v>
      </c>
      <c r="B2955" s="2">
        <v>45940</v>
      </c>
      <c r="C2955">
        <v>53.618476867675781</v>
      </c>
    </row>
    <row r="2956" spans="1:3" x14ac:dyDescent="0.2">
      <c r="A2956" t="s">
        <v>13</v>
      </c>
      <c r="B2956" s="2">
        <v>45944</v>
      </c>
      <c r="C2956">
        <v>53.647579193115227</v>
      </c>
    </row>
    <row r="2957" spans="1:3" x14ac:dyDescent="0.2">
      <c r="A2957" t="s">
        <v>13</v>
      </c>
      <c r="B2957" s="2">
        <v>45945</v>
      </c>
      <c r="C2957">
        <v>53.298393249511719</v>
      </c>
    </row>
    <row r="2958" spans="1:3" x14ac:dyDescent="0.2">
      <c r="A2958" t="s">
        <v>13</v>
      </c>
      <c r="B2958" s="2">
        <v>45946</v>
      </c>
      <c r="C2958">
        <v>52.570938110351562</v>
      </c>
    </row>
    <row r="2959" spans="1:3" x14ac:dyDescent="0.2">
      <c r="A2959" t="s">
        <v>13</v>
      </c>
      <c r="B2959" s="2">
        <v>45947</v>
      </c>
      <c r="C2959">
        <v>52.415744781494141</v>
      </c>
    </row>
    <row r="2960" spans="1:3" x14ac:dyDescent="0.2">
      <c r="A2960" t="s">
        <v>13</v>
      </c>
      <c r="B2960" s="2">
        <v>45950</v>
      </c>
      <c r="C2960">
        <v>52.124763488769531</v>
      </c>
    </row>
    <row r="2961" spans="1:3" x14ac:dyDescent="0.2">
      <c r="A2961" t="s">
        <v>13</v>
      </c>
      <c r="B2961" s="2">
        <v>45951</v>
      </c>
      <c r="C2961">
        <v>51.901668548583977</v>
      </c>
    </row>
    <row r="2962" spans="1:3" x14ac:dyDescent="0.2">
      <c r="A2962" t="s">
        <v>13</v>
      </c>
      <c r="B2962" s="2">
        <v>45952</v>
      </c>
      <c r="C2962">
        <v>53.026809692382812</v>
      </c>
    </row>
    <row r="2963" spans="1:3" x14ac:dyDescent="0.2">
      <c r="A2963" t="s">
        <v>13</v>
      </c>
      <c r="B2963" s="2">
        <v>45953</v>
      </c>
      <c r="C2963">
        <v>53.754264831542969</v>
      </c>
    </row>
    <row r="2964" spans="1:3" x14ac:dyDescent="0.2">
      <c r="A2964" t="s">
        <v>13</v>
      </c>
      <c r="B2964" s="2">
        <v>45954</v>
      </c>
      <c r="C2964">
        <v>54.054950714111328</v>
      </c>
    </row>
    <row r="2965" spans="1:3" x14ac:dyDescent="0.2">
      <c r="A2965" t="s">
        <v>13</v>
      </c>
      <c r="B2965" s="2">
        <v>45957</v>
      </c>
      <c r="C2965">
        <v>54.384727478027337</v>
      </c>
    </row>
    <row r="2966" spans="1:3" x14ac:dyDescent="0.2">
      <c r="A2966" t="s">
        <v>13</v>
      </c>
      <c r="B2966" s="2">
        <v>45958</v>
      </c>
      <c r="C2966">
        <v>53.589374542236328</v>
      </c>
    </row>
    <row r="2967" spans="1:3" x14ac:dyDescent="0.2">
      <c r="A2967" t="s">
        <v>13</v>
      </c>
      <c r="B2967" s="2">
        <v>45959</v>
      </c>
      <c r="C2967">
        <v>54.113147735595703</v>
      </c>
    </row>
    <row r="2968" spans="1:3" x14ac:dyDescent="0.2">
      <c r="A2968" t="s">
        <v>13</v>
      </c>
      <c r="B2968" s="2">
        <v>45960</v>
      </c>
      <c r="C2968">
        <v>53.890060424804688</v>
      </c>
    </row>
    <row r="2969" spans="1:3" x14ac:dyDescent="0.2">
      <c r="A2969" t="s">
        <v>13</v>
      </c>
      <c r="B2969" s="2">
        <v>45961</v>
      </c>
      <c r="C2969">
        <v>54.171344757080078</v>
      </c>
    </row>
    <row r="2970" spans="1:3" x14ac:dyDescent="0.2">
      <c r="A2970" t="s">
        <v>13</v>
      </c>
      <c r="B2970" s="2">
        <v>45964</v>
      </c>
      <c r="C2970">
        <v>54.006454467773438</v>
      </c>
    </row>
    <row r="2971" spans="1:3" x14ac:dyDescent="0.2">
      <c r="A2971" t="s">
        <v>13</v>
      </c>
      <c r="B2971" s="2">
        <v>45965</v>
      </c>
      <c r="C2971">
        <v>53.977359771728523</v>
      </c>
    </row>
    <row r="2972" spans="1:3" x14ac:dyDescent="0.2">
      <c r="A2972" t="s">
        <v>13</v>
      </c>
      <c r="B2972" s="2">
        <v>45966</v>
      </c>
      <c r="C2972">
        <v>56.421611785888672</v>
      </c>
    </row>
    <row r="2973" spans="1:3" x14ac:dyDescent="0.2">
      <c r="A2973" t="s">
        <v>13</v>
      </c>
      <c r="B2973" s="2">
        <v>45967</v>
      </c>
      <c r="C2973">
        <v>57.488548278808587</v>
      </c>
    </row>
    <row r="2974" spans="1:3" x14ac:dyDescent="0.2">
      <c r="A2974" t="s">
        <v>13</v>
      </c>
      <c r="B2974" s="2">
        <v>45968</v>
      </c>
      <c r="C2974">
        <v>57.963821411132812</v>
      </c>
    </row>
    <row r="2975" spans="1:3" x14ac:dyDescent="0.2">
      <c r="A2975" t="s">
        <v>13</v>
      </c>
      <c r="B2975" s="2">
        <v>45971</v>
      </c>
      <c r="C2975">
        <v>58.57489013671875</v>
      </c>
    </row>
    <row r="2976" spans="1:3" x14ac:dyDescent="0.2">
      <c r="A2976" t="s">
        <v>13</v>
      </c>
      <c r="B2976" s="2">
        <v>45972</v>
      </c>
      <c r="C2976">
        <v>59.864910125732422</v>
      </c>
    </row>
    <row r="2977" spans="1:3" x14ac:dyDescent="0.2">
      <c r="A2977" t="s">
        <v>13</v>
      </c>
      <c r="B2977" s="2">
        <v>45973</v>
      </c>
      <c r="C2977">
        <v>60.05889892578125</v>
      </c>
    </row>
    <row r="2978" spans="1:3" x14ac:dyDescent="0.2">
      <c r="A2978" t="s">
        <v>13</v>
      </c>
      <c r="B2978" s="2">
        <v>45974</v>
      </c>
      <c r="C2978">
        <v>59.341140747070312</v>
      </c>
    </row>
    <row r="2979" spans="1:3" x14ac:dyDescent="0.2">
      <c r="A2979" t="s">
        <v>13</v>
      </c>
      <c r="B2979" s="2">
        <v>45975</v>
      </c>
      <c r="C2979">
        <v>60.301383972167969</v>
      </c>
    </row>
    <row r="2980" spans="1:3" x14ac:dyDescent="0.2">
      <c r="A2980" t="s">
        <v>13</v>
      </c>
      <c r="B2980" s="2">
        <v>45978</v>
      </c>
      <c r="C2980">
        <v>60.572967529296882</v>
      </c>
    </row>
    <row r="2981" spans="1:3" x14ac:dyDescent="0.2">
      <c r="A2981" t="s">
        <v>13</v>
      </c>
      <c r="B2981" s="2">
        <v>45979</v>
      </c>
      <c r="C2981">
        <v>61.300430297851562</v>
      </c>
    </row>
    <row r="2982" spans="1:3" x14ac:dyDescent="0.2">
      <c r="A2982" t="s">
        <v>13</v>
      </c>
      <c r="B2982" s="2">
        <v>45980</v>
      </c>
      <c r="C2982">
        <v>61.348926544189453</v>
      </c>
    </row>
    <row r="2983" spans="1:3" x14ac:dyDescent="0.2">
      <c r="A2983" t="s">
        <v>13</v>
      </c>
      <c r="B2983" s="2">
        <v>45981</v>
      </c>
      <c r="C2983">
        <v>61.09674072265625</v>
      </c>
    </row>
    <row r="2984" spans="1:3" x14ac:dyDescent="0.2">
      <c r="A2984" t="s">
        <v>13</v>
      </c>
      <c r="B2984" s="2">
        <v>45982</v>
      </c>
      <c r="C2984">
        <v>60.553573608398438</v>
      </c>
    </row>
    <row r="2985" spans="1:3" x14ac:dyDescent="0.2">
      <c r="A2985" t="s">
        <v>13</v>
      </c>
      <c r="B2985" s="2">
        <v>45985</v>
      </c>
      <c r="C2985">
        <v>60.572967529296882</v>
      </c>
    </row>
    <row r="2986" spans="1:3" x14ac:dyDescent="0.2">
      <c r="A2986" t="s">
        <v>13</v>
      </c>
      <c r="B2986" s="2">
        <v>45986</v>
      </c>
      <c r="C2986">
        <v>60.640869140625</v>
      </c>
    </row>
    <row r="2987" spans="1:3" x14ac:dyDescent="0.2">
      <c r="A2987" t="s">
        <v>13</v>
      </c>
      <c r="B2987" s="2">
        <v>45987</v>
      </c>
      <c r="C2987">
        <v>60.543869018554688</v>
      </c>
    </row>
    <row r="2988" spans="1:3" x14ac:dyDescent="0.2">
      <c r="A2988" t="s">
        <v>13</v>
      </c>
      <c r="B2988" s="2">
        <v>45988</v>
      </c>
      <c r="C2988">
        <v>60.621467590332031</v>
      </c>
    </row>
    <row r="2989" spans="1:3" x14ac:dyDescent="0.2">
      <c r="A2989" t="s">
        <v>13</v>
      </c>
      <c r="B2989" s="2">
        <v>45989</v>
      </c>
      <c r="C2989">
        <v>60.951248168945312</v>
      </c>
    </row>
    <row r="2990" spans="1:3" x14ac:dyDescent="0.2">
      <c r="A2990" t="s">
        <v>13</v>
      </c>
      <c r="B2990" s="2">
        <v>45992</v>
      </c>
      <c r="C2990">
        <v>60.86395263671875</v>
      </c>
    </row>
    <row r="2991" spans="1:3" x14ac:dyDescent="0.2">
      <c r="A2991" t="s">
        <v>13</v>
      </c>
      <c r="B2991" s="2">
        <v>45993</v>
      </c>
      <c r="C2991">
        <v>59.59332275390625</v>
      </c>
    </row>
    <row r="2992" spans="1:3" x14ac:dyDescent="0.2">
      <c r="A2992" t="s">
        <v>13</v>
      </c>
      <c r="B2992" s="2">
        <v>45994</v>
      </c>
      <c r="C2992">
        <v>61.082183837890618</v>
      </c>
    </row>
    <row r="2993" spans="1:3" x14ac:dyDescent="0.2">
      <c r="A2993" t="s">
        <v>13</v>
      </c>
      <c r="B2993" s="2">
        <v>45995</v>
      </c>
      <c r="C2993">
        <v>61.189929962158203</v>
      </c>
    </row>
    <row r="2994" spans="1:3" x14ac:dyDescent="0.2">
      <c r="A2994" t="s">
        <v>13</v>
      </c>
      <c r="B2994" s="2">
        <v>45996</v>
      </c>
      <c r="C2994">
        <v>59.936149597167969</v>
      </c>
    </row>
    <row r="2995" spans="1:3" x14ac:dyDescent="0.2">
      <c r="A2995" t="s">
        <v>13</v>
      </c>
      <c r="B2995" s="2">
        <v>45999</v>
      </c>
      <c r="C2995">
        <v>59.779430389404297</v>
      </c>
    </row>
    <row r="2996" spans="1:3" x14ac:dyDescent="0.2">
      <c r="A2996" t="s">
        <v>13</v>
      </c>
      <c r="B2996" s="2">
        <v>46000</v>
      </c>
      <c r="C2996">
        <v>59.397426605224609</v>
      </c>
    </row>
    <row r="2997" spans="1:3" x14ac:dyDescent="0.2">
      <c r="A2997" t="s">
        <v>13</v>
      </c>
      <c r="B2997" s="2">
        <v>46001</v>
      </c>
      <c r="C2997">
        <v>59.701068878173828</v>
      </c>
    </row>
    <row r="2998" spans="1:3" x14ac:dyDescent="0.2">
      <c r="A2998" t="s">
        <v>13</v>
      </c>
      <c r="B2998" s="2">
        <v>46002</v>
      </c>
      <c r="C2998">
        <v>59.730457305908203</v>
      </c>
    </row>
    <row r="2999" spans="1:3" x14ac:dyDescent="0.2">
      <c r="A2999" t="s">
        <v>13</v>
      </c>
      <c r="B2999" s="2">
        <v>46003</v>
      </c>
      <c r="C2999">
        <v>59.759841918945312</v>
      </c>
    </row>
    <row r="3000" spans="1:3" x14ac:dyDescent="0.2">
      <c r="A3000" t="s">
        <v>13</v>
      </c>
      <c r="B3000" s="2">
        <v>46006</v>
      </c>
      <c r="C3000">
        <v>58.839107513427727</v>
      </c>
    </row>
    <row r="3001" spans="1:3" x14ac:dyDescent="0.2">
      <c r="A3001" t="s">
        <v>13</v>
      </c>
      <c r="B3001" s="2">
        <v>46007</v>
      </c>
      <c r="C3001">
        <v>56.870296478271477</v>
      </c>
    </row>
    <row r="3002" spans="1:3" x14ac:dyDescent="0.2">
      <c r="A3002" t="s">
        <v>13</v>
      </c>
      <c r="B3002" s="2">
        <v>46008</v>
      </c>
      <c r="C3002">
        <v>57.771438598632812</v>
      </c>
    </row>
    <row r="3003" spans="1:3" x14ac:dyDescent="0.2">
      <c r="A3003" t="s">
        <v>13</v>
      </c>
      <c r="B3003" s="2">
        <v>46009</v>
      </c>
      <c r="C3003">
        <v>57.262092590332031</v>
      </c>
    </row>
    <row r="3004" spans="1:3" x14ac:dyDescent="0.2">
      <c r="A3004" t="s">
        <v>13</v>
      </c>
      <c r="B3004" s="2">
        <v>46010</v>
      </c>
      <c r="C3004">
        <v>57.771438598632812</v>
      </c>
    </row>
    <row r="3005" spans="1:3" x14ac:dyDescent="0.2">
      <c r="A3005" t="s">
        <v>13</v>
      </c>
      <c r="B3005" s="2">
        <v>46013</v>
      </c>
      <c r="C3005">
        <v>57.849800109863281</v>
      </c>
    </row>
    <row r="3006" spans="1:3" x14ac:dyDescent="0.2">
      <c r="A3006" t="s">
        <v>13</v>
      </c>
      <c r="B3006" s="2">
        <v>46014</v>
      </c>
      <c r="C3006">
        <v>57.879188537597663</v>
      </c>
    </row>
    <row r="3007" spans="1:3" x14ac:dyDescent="0.2">
      <c r="A3007" t="s">
        <v>13</v>
      </c>
      <c r="B3007" s="2">
        <v>46015</v>
      </c>
      <c r="C3007">
        <v>57.88897705078125</v>
      </c>
    </row>
    <row r="3008" spans="1:3" x14ac:dyDescent="0.2">
      <c r="A3008" t="s">
        <v>13</v>
      </c>
      <c r="B3008" s="2">
        <v>46020</v>
      </c>
      <c r="C3008">
        <v>58.682384490966797</v>
      </c>
    </row>
    <row r="3009" spans="1:3" x14ac:dyDescent="0.2">
      <c r="A3009" t="s">
        <v>13</v>
      </c>
      <c r="B3009" s="2">
        <v>46021</v>
      </c>
      <c r="C3009">
        <v>59.720661163330078</v>
      </c>
    </row>
    <row r="3010" spans="1:3" x14ac:dyDescent="0.2">
      <c r="A3010" t="s">
        <v>13</v>
      </c>
      <c r="B3010" s="2">
        <v>46022</v>
      </c>
      <c r="C3010">
        <v>59.671684265136719</v>
      </c>
    </row>
    <row r="3011" spans="1:3" x14ac:dyDescent="0.2">
      <c r="A3011" t="s">
        <v>14</v>
      </c>
      <c r="B3011" s="2">
        <v>44565</v>
      </c>
      <c r="C3011">
        <v>41.944622039794922</v>
      </c>
    </row>
    <row r="3012" spans="1:3" x14ac:dyDescent="0.2">
      <c r="A3012" t="s">
        <v>14</v>
      </c>
      <c r="B3012" s="2">
        <v>44566</v>
      </c>
      <c r="C3012">
        <v>41.481529235839837</v>
      </c>
    </row>
    <row r="3013" spans="1:3" x14ac:dyDescent="0.2">
      <c r="A3013" t="s">
        <v>14</v>
      </c>
      <c r="B3013" s="2">
        <v>44567</v>
      </c>
      <c r="C3013">
        <v>42.835159301757812</v>
      </c>
    </row>
    <row r="3014" spans="1:3" x14ac:dyDescent="0.2">
      <c r="A3014" t="s">
        <v>14</v>
      </c>
      <c r="B3014" s="2">
        <v>44568</v>
      </c>
      <c r="C3014">
        <v>43.271518707275391</v>
      </c>
    </row>
    <row r="3015" spans="1:3" x14ac:dyDescent="0.2">
      <c r="A3015" t="s">
        <v>14</v>
      </c>
      <c r="B3015" s="2">
        <v>44571</v>
      </c>
      <c r="C3015">
        <v>43.431831359863281</v>
      </c>
    </row>
    <row r="3016" spans="1:3" x14ac:dyDescent="0.2">
      <c r="A3016" t="s">
        <v>14</v>
      </c>
      <c r="B3016" s="2">
        <v>44572</v>
      </c>
      <c r="C3016">
        <v>43.609935760498047</v>
      </c>
    </row>
    <row r="3017" spans="1:3" x14ac:dyDescent="0.2">
      <c r="A3017" t="s">
        <v>14</v>
      </c>
      <c r="B3017" s="2">
        <v>44573</v>
      </c>
      <c r="C3017">
        <v>44.019584655761719</v>
      </c>
    </row>
    <row r="3018" spans="1:3" x14ac:dyDescent="0.2">
      <c r="A3018" t="s">
        <v>14</v>
      </c>
      <c r="B3018" s="2">
        <v>44574</v>
      </c>
      <c r="C3018">
        <v>44.357990264892578</v>
      </c>
    </row>
    <row r="3019" spans="1:3" x14ac:dyDescent="0.2">
      <c r="A3019" t="s">
        <v>14</v>
      </c>
      <c r="B3019" s="2">
        <v>44575</v>
      </c>
      <c r="C3019">
        <v>45.399925231933587</v>
      </c>
    </row>
    <row r="3020" spans="1:3" x14ac:dyDescent="0.2">
      <c r="A3020" t="s">
        <v>14</v>
      </c>
      <c r="B3020" s="2">
        <v>44578</v>
      </c>
      <c r="C3020">
        <v>46.130168914794922</v>
      </c>
    </row>
    <row r="3021" spans="1:3" x14ac:dyDescent="0.2">
      <c r="A3021" t="s">
        <v>14</v>
      </c>
      <c r="B3021" s="2">
        <v>44579</v>
      </c>
      <c r="C3021">
        <v>45.444450378417969</v>
      </c>
    </row>
    <row r="3022" spans="1:3" x14ac:dyDescent="0.2">
      <c r="A3022" t="s">
        <v>14</v>
      </c>
      <c r="B3022" s="2">
        <v>44580</v>
      </c>
      <c r="C3022">
        <v>45.880828857421882</v>
      </c>
    </row>
    <row r="3023" spans="1:3" x14ac:dyDescent="0.2">
      <c r="A3023" t="s">
        <v>14</v>
      </c>
      <c r="B3023" s="2">
        <v>44581</v>
      </c>
      <c r="C3023">
        <v>46.09454345703125</v>
      </c>
    </row>
    <row r="3024" spans="1:3" x14ac:dyDescent="0.2">
      <c r="A3024" t="s">
        <v>14</v>
      </c>
      <c r="B3024" s="2">
        <v>44582</v>
      </c>
      <c r="C3024">
        <v>45.061511993408203</v>
      </c>
    </row>
    <row r="3025" spans="1:3" x14ac:dyDescent="0.2">
      <c r="A3025" t="s">
        <v>14</v>
      </c>
      <c r="B3025" s="2">
        <v>44585</v>
      </c>
      <c r="C3025">
        <v>45.043712615966797</v>
      </c>
    </row>
    <row r="3026" spans="1:3" x14ac:dyDescent="0.2">
      <c r="A3026" t="s">
        <v>14</v>
      </c>
      <c r="B3026" s="2">
        <v>44586</v>
      </c>
      <c r="C3026">
        <v>46.050025939941413</v>
      </c>
    </row>
    <row r="3027" spans="1:3" x14ac:dyDescent="0.2">
      <c r="A3027" t="s">
        <v>14</v>
      </c>
      <c r="B3027" s="2">
        <v>44587</v>
      </c>
      <c r="C3027">
        <v>46.406234741210938</v>
      </c>
    </row>
    <row r="3028" spans="1:3" x14ac:dyDescent="0.2">
      <c r="A3028" t="s">
        <v>14</v>
      </c>
      <c r="B3028" s="2">
        <v>44588</v>
      </c>
      <c r="C3028">
        <v>46.860424041748047</v>
      </c>
    </row>
    <row r="3029" spans="1:3" x14ac:dyDescent="0.2">
      <c r="A3029" t="s">
        <v>14</v>
      </c>
      <c r="B3029" s="2">
        <v>44589</v>
      </c>
      <c r="C3029">
        <v>46.210323333740227</v>
      </c>
    </row>
    <row r="3030" spans="1:3" x14ac:dyDescent="0.2">
      <c r="A3030" t="s">
        <v>14</v>
      </c>
      <c r="B3030" s="2">
        <v>44592</v>
      </c>
      <c r="C3030">
        <v>46.317180633544922</v>
      </c>
    </row>
    <row r="3031" spans="1:3" x14ac:dyDescent="0.2">
      <c r="A3031" t="s">
        <v>14</v>
      </c>
      <c r="B3031" s="2">
        <v>44593</v>
      </c>
      <c r="C3031">
        <v>48.801799774169922</v>
      </c>
    </row>
    <row r="3032" spans="1:3" x14ac:dyDescent="0.2">
      <c r="A3032" t="s">
        <v>14</v>
      </c>
      <c r="B3032" s="2">
        <v>44594</v>
      </c>
      <c r="C3032">
        <v>48.481208801269531</v>
      </c>
    </row>
    <row r="3033" spans="1:3" x14ac:dyDescent="0.2">
      <c r="A3033" t="s">
        <v>14</v>
      </c>
      <c r="B3033" s="2">
        <v>44595</v>
      </c>
      <c r="C3033">
        <v>48.677131652832031</v>
      </c>
    </row>
    <row r="3034" spans="1:3" x14ac:dyDescent="0.2">
      <c r="A3034" t="s">
        <v>14</v>
      </c>
      <c r="B3034" s="2">
        <v>44596</v>
      </c>
      <c r="C3034">
        <v>48.819614410400391</v>
      </c>
    </row>
    <row r="3035" spans="1:3" x14ac:dyDescent="0.2">
      <c r="A3035" t="s">
        <v>14</v>
      </c>
      <c r="B3035" s="2">
        <v>44599</v>
      </c>
      <c r="C3035">
        <v>49.585479736328118</v>
      </c>
    </row>
    <row r="3036" spans="1:3" x14ac:dyDescent="0.2">
      <c r="A3036" t="s">
        <v>14</v>
      </c>
      <c r="B3036" s="2">
        <v>44600</v>
      </c>
      <c r="C3036">
        <v>48.846332550048828</v>
      </c>
    </row>
    <row r="3037" spans="1:3" x14ac:dyDescent="0.2">
      <c r="A3037" t="s">
        <v>14</v>
      </c>
      <c r="B3037" s="2">
        <v>44601</v>
      </c>
      <c r="C3037">
        <v>48.819614410400391</v>
      </c>
    </row>
    <row r="3038" spans="1:3" x14ac:dyDescent="0.2">
      <c r="A3038" t="s">
        <v>14</v>
      </c>
      <c r="B3038" s="2">
        <v>44602</v>
      </c>
      <c r="C3038">
        <v>48.953197479248047</v>
      </c>
    </row>
    <row r="3039" spans="1:3" x14ac:dyDescent="0.2">
      <c r="A3039" t="s">
        <v>14</v>
      </c>
      <c r="B3039" s="2">
        <v>44603</v>
      </c>
      <c r="C3039">
        <v>51.054882049560547</v>
      </c>
    </row>
    <row r="3040" spans="1:3" x14ac:dyDescent="0.2">
      <c r="A3040" t="s">
        <v>14</v>
      </c>
      <c r="B3040" s="2">
        <v>44606</v>
      </c>
      <c r="C3040">
        <v>50.110904693603523</v>
      </c>
    </row>
    <row r="3041" spans="1:3" x14ac:dyDescent="0.2">
      <c r="A3041" t="s">
        <v>14</v>
      </c>
      <c r="B3041" s="2">
        <v>44607</v>
      </c>
      <c r="C3041">
        <v>49.692340850830078</v>
      </c>
    </row>
    <row r="3042" spans="1:3" x14ac:dyDescent="0.2">
      <c r="A3042" t="s">
        <v>14</v>
      </c>
      <c r="B3042" s="2">
        <v>44608</v>
      </c>
      <c r="C3042">
        <v>49.434085845947273</v>
      </c>
    </row>
    <row r="3043" spans="1:3" x14ac:dyDescent="0.2">
      <c r="A3043" t="s">
        <v>14</v>
      </c>
      <c r="B3043" s="2">
        <v>44609</v>
      </c>
      <c r="C3043">
        <v>49.941696166992188</v>
      </c>
    </row>
    <row r="3044" spans="1:3" x14ac:dyDescent="0.2">
      <c r="A3044" t="s">
        <v>14</v>
      </c>
      <c r="B3044" s="2">
        <v>44610</v>
      </c>
      <c r="C3044">
        <v>49.336128234863281</v>
      </c>
    </row>
    <row r="3045" spans="1:3" x14ac:dyDescent="0.2">
      <c r="A3045" t="s">
        <v>14</v>
      </c>
      <c r="B3045" s="2">
        <v>44614</v>
      </c>
      <c r="C3045">
        <v>49.033348083496087</v>
      </c>
    </row>
    <row r="3046" spans="1:3" x14ac:dyDescent="0.2">
      <c r="A3046" t="s">
        <v>14</v>
      </c>
      <c r="B3046" s="2">
        <v>44615</v>
      </c>
      <c r="C3046">
        <v>49.211448669433587</v>
      </c>
    </row>
    <row r="3047" spans="1:3" x14ac:dyDescent="0.2">
      <c r="A3047" t="s">
        <v>14</v>
      </c>
      <c r="B3047" s="2">
        <v>44616</v>
      </c>
      <c r="C3047">
        <v>48.997718811035163</v>
      </c>
    </row>
    <row r="3048" spans="1:3" x14ac:dyDescent="0.2">
      <c r="A3048" t="s">
        <v>14</v>
      </c>
      <c r="B3048" s="2">
        <v>44617</v>
      </c>
      <c r="C3048">
        <v>49.567668914794922</v>
      </c>
    </row>
    <row r="3049" spans="1:3" x14ac:dyDescent="0.2">
      <c r="A3049" t="s">
        <v>14</v>
      </c>
      <c r="B3049" s="2">
        <v>44620</v>
      </c>
      <c r="C3049">
        <v>50.663040161132812</v>
      </c>
    </row>
    <row r="3050" spans="1:3" x14ac:dyDescent="0.2">
      <c r="A3050" t="s">
        <v>14</v>
      </c>
      <c r="B3050" s="2">
        <v>44621</v>
      </c>
      <c r="C3050">
        <v>50.707569122314453</v>
      </c>
    </row>
    <row r="3051" spans="1:3" x14ac:dyDescent="0.2">
      <c r="A3051" t="s">
        <v>14</v>
      </c>
      <c r="B3051" s="2">
        <v>44622</v>
      </c>
      <c r="C3051">
        <v>51.800556182861328</v>
      </c>
    </row>
    <row r="3052" spans="1:3" x14ac:dyDescent="0.2">
      <c r="A3052" t="s">
        <v>14</v>
      </c>
      <c r="B3052" s="2">
        <v>44623</v>
      </c>
      <c r="C3052">
        <v>51.173439025878913</v>
      </c>
    </row>
    <row r="3053" spans="1:3" x14ac:dyDescent="0.2">
      <c r="A3053" t="s">
        <v>14</v>
      </c>
      <c r="B3053" s="2">
        <v>44624</v>
      </c>
      <c r="C3053">
        <v>52.651649475097663</v>
      </c>
    </row>
    <row r="3054" spans="1:3" x14ac:dyDescent="0.2">
      <c r="A3054" t="s">
        <v>14</v>
      </c>
      <c r="B3054" s="2">
        <v>44627</v>
      </c>
      <c r="C3054">
        <v>52.786041259765618</v>
      </c>
    </row>
    <row r="3055" spans="1:3" x14ac:dyDescent="0.2">
      <c r="A3055" t="s">
        <v>14</v>
      </c>
      <c r="B3055" s="2">
        <v>44628</v>
      </c>
      <c r="C3055">
        <v>51.890151977539062</v>
      </c>
    </row>
    <row r="3056" spans="1:3" x14ac:dyDescent="0.2">
      <c r="A3056" t="s">
        <v>14</v>
      </c>
      <c r="B3056" s="2">
        <v>44629</v>
      </c>
      <c r="C3056">
        <v>51.549713134765618</v>
      </c>
    </row>
    <row r="3057" spans="1:3" x14ac:dyDescent="0.2">
      <c r="A3057" t="s">
        <v>14</v>
      </c>
      <c r="B3057" s="2">
        <v>44630</v>
      </c>
      <c r="C3057">
        <v>50.815074920654297</v>
      </c>
    </row>
    <row r="3058" spans="1:3" x14ac:dyDescent="0.2">
      <c r="A3058" t="s">
        <v>14</v>
      </c>
      <c r="B3058" s="2">
        <v>44631</v>
      </c>
      <c r="C3058">
        <v>51.755760192871087</v>
      </c>
    </row>
    <row r="3059" spans="1:3" x14ac:dyDescent="0.2">
      <c r="A3059" t="s">
        <v>14</v>
      </c>
      <c r="B3059" s="2">
        <v>44634</v>
      </c>
      <c r="C3059">
        <v>50.071483612060547</v>
      </c>
    </row>
    <row r="3060" spans="1:3" x14ac:dyDescent="0.2">
      <c r="A3060" t="s">
        <v>14</v>
      </c>
      <c r="B3060" s="2">
        <v>44635</v>
      </c>
      <c r="C3060">
        <v>48.620132446289062</v>
      </c>
    </row>
    <row r="3061" spans="1:3" x14ac:dyDescent="0.2">
      <c r="A3061" t="s">
        <v>14</v>
      </c>
      <c r="B3061" s="2">
        <v>44636</v>
      </c>
      <c r="C3061">
        <v>47.804878234863281</v>
      </c>
    </row>
    <row r="3062" spans="1:3" x14ac:dyDescent="0.2">
      <c r="A3062" t="s">
        <v>14</v>
      </c>
      <c r="B3062" s="2">
        <v>44637</v>
      </c>
      <c r="C3062">
        <v>48.602218627929688</v>
      </c>
    </row>
    <row r="3063" spans="1:3" x14ac:dyDescent="0.2">
      <c r="A3063" t="s">
        <v>14</v>
      </c>
      <c r="B3063" s="2">
        <v>44638</v>
      </c>
      <c r="C3063">
        <v>48.440959930419922</v>
      </c>
    </row>
    <row r="3064" spans="1:3" x14ac:dyDescent="0.2">
      <c r="A3064" t="s">
        <v>14</v>
      </c>
      <c r="B3064" s="2">
        <v>44641</v>
      </c>
      <c r="C3064">
        <v>49.874382019042969</v>
      </c>
    </row>
    <row r="3065" spans="1:3" x14ac:dyDescent="0.2">
      <c r="A3065" t="s">
        <v>14</v>
      </c>
      <c r="B3065" s="2">
        <v>44642</v>
      </c>
      <c r="C3065">
        <v>50.205875396728523</v>
      </c>
    </row>
    <row r="3066" spans="1:3" x14ac:dyDescent="0.2">
      <c r="A3066" t="s">
        <v>14</v>
      </c>
      <c r="B3066" s="2">
        <v>44643</v>
      </c>
      <c r="C3066">
        <v>51.486995697021477</v>
      </c>
    </row>
    <row r="3067" spans="1:3" x14ac:dyDescent="0.2">
      <c r="A3067" t="s">
        <v>14</v>
      </c>
      <c r="B3067" s="2">
        <v>44644</v>
      </c>
      <c r="C3067">
        <v>50.886745452880859</v>
      </c>
    </row>
    <row r="3068" spans="1:3" x14ac:dyDescent="0.2">
      <c r="A3068" t="s">
        <v>14</v>
      </c>
      <c r="B3068" s="2">
        <v>44645</v>
      </c>
      <c r="C3068">
        <v>52.777080535888672</v>
      </c>
    </row>
    <row r="3069" spans="1:3" x14ac:dyDescent="0.2">
      <c r="A3069" t="s">
        <v>14</v>
      </c>
      <c r="B3069" s="2">
        <v>44648</v>
      </c>
      <c r="C3069">
        <v>52.965217590332031</v>
      </c>
    </row>
    <row r="3070" spans="1:3" x14ac:dyDescent="0.2">
      <c r="A3070" t="s">
        <v>14</v>
      </c>
      <c r="B3070" s="2">
        <v>44649</v>
      </c>
      <c r="C3070">
        <v>52.821865081787109</v>
      </c>
    </row>
    <row r="3071" spans="1:3" x14ac:dyDescent="0.2">
      <c r="A3071" t="s">
        <v>14</v>
      </c>
      <c r="B3071" s="2">
        <v>44650</v>
      </c>
      <c r="C3071">
        <v>53.816318511962891</v>
      </c>
    </row>
    <row r="3072" spans="1:3" x14ac:dyDescent="0.2">
      <c r="A3072" t="s">
        <v>14</v>
      </c>
      <c r="B3072" s="2">
        <v>44651</v>
      </c>
      <c r="C3072">
        <v>54.201553344726562</v>
      </c>
    </row>
    <row r="3073" spans="1:3" x14ac:dyDescent="0.2">
      <c r="A3073" t="s">
        <v>14</v>
      </c>
      <c r="B3073" s="2">
        <v>44652</v>
      </c>
      <c r="C3073">
        <v>55.169109344482422</v>
      </c>
    </row>
    <row r="3074" spans="1:3" x14ac:dyDescent="0.2">
      <c r="A3074" t="s">
        <v>14</v>
      </c>
      <c r="B3074" s="2">
        <v>44655</v>
      </c>
      <c r="C3074">
        <v>56.154598236083977</v>
      </c>
    </row>
    <row r="3075" spans="1:3" x14ac:dyDescent="0.2">
      <c r="A3075" t="s">
        <v>14</v>
      </c>
      <c r="B3075" s="2">
        <v>44656</v>
      </c>
      <c r="C3075">
        <v>55.536426544189453</v>
      </c>
    </row>
    <row r="3076" spans="1:3" x14ac:dyDescent="0.2">
      <c r="A3076" t="s">
        <v>14</v>
      </c>
      <c r="B3076" s="2">
        <v>44657</v>
      </c>
      <c r="C3076">
        <v>55.070575714111328</v>
      </c>
    </row>
    <row r="3077" spans="1:3" x14ac:dyDescent="0.2">
      <c r="A3077" t="s">
        <v>14</v>
      </c>
      <c r="B3077" s="2">
        <v>44658</v>
      </c>
      <c r="C3077">
        <v>55.957500457763672</v>
      </c>
    </row>
    <row r="3078" spans="1:3" x14ac:dyDescent="0.2">
      <c r="A3078" t="s">
        <v>14</v>
      </c>
      <c r="B3078" s="2">
        <v>44659</v>
      </c>
      <c r="C3078">
        <v>57.543243408203118</v>
      </c>
    </row>
    <row r="3079" spans="1:3" x14ac:dyDescent="0.2">
      <c r="A3079" t="s">
        <v>14</v>
      </c>
      <c r="B3079" s="2">
        <v>44662</v>
      </c>
      <c r="C3079">
        <v>56.710052490234382</v>
      </c>
    </row>
    <row r="3080" spans="1:3" x14ac:dyDescent="0.2">
      <c r="A3080" t="s">
        <v>14</v>
      </c>
      <c r="B3080" s="2">
        <v>44663</v>
      </c>
      <c r="C3080">
        <v>57.964302062988281</v>
      </c>
    </row>
    <row r="3081" spans="1:3" x14ac:dyDescent="0.2">
      <c r="A3081" t="s">
        <v>14</v>
      </c>
      <c r="B3081" s="2">
        <v>44664</v>
      </c>
      <c r="C3081">
        <v>57.444690704345703</v>
      </c>
    </row>
    <row r="3082" spans="1:3" x14ac:dyDescent="0.2">
      <c r="A3082" t="s">
        <v>14</v>
      </c>
      <c r="B3082" s="2">
        <v>44665</v>
      </c>
      <c r="C3082">
        <v>57.328216552734382</v>
      </c>
    </row>
    <row r="3083" spans="1:3" x14ac:dyDescent="0.2">
      <c r="A3083" t="s">
        <v>14</v>
      </c>
      <c r="B3083" s="2">
        <v>44669</v>
      </c>
      <c r="C3083">
        <v>58.286830902099609</v>
      </c>
    </row>
    <row r="3084" spans="1:3" x14ac:dyDescent="0.2">
      <c r="A3084" t="s">
        <v>14</v>
      </c>
      <c r="B3084" s="2">
        <v>44670</v>
      </c>
      <c r="C3084">
        <v>57.149036407470703</v>
      </c>
    </row>
    <row r="3085" spans="1:3" x14ac:dyDescent="0.2">
      <c r="A3085" t="s">
        <v>14</v>
      </c>
      <c r="B3085" s="2">
        <v>44671</v>
      </c>
      <c r="C3085">
        <v>57.704498291015618</v>
      </c>
    </row>
    <row r="3086" spans="1:3" x14ac:dyDescent="0.2">
      <c r="A3086" t="s">
        <v>14</v>
      </c>
      <c r="B3086" s="2">
        <v>44672</v>
      </c>
      <c r="C3086">
        <v>55.912704467773438</v>
      </c>
    </row>
    <row r="3087" spans="1:3" x14ac:dyDescent="0.2">
      <c r="A3087" t="s">
        <v>14</v>
      </c>
      <c r="B3087" s="2">
        <v>44673</v>
      </c>
      <c r="C3087">
        <v>54.954097747802727</v>
      </c>
    </row>
    <row r="3088" spans="1:3" x14ac:dyDescent="0.2">
      <c r="A3088" t="s">
        <v>14</v>
      </c>
      <c r="B3088" s="2">
        <v>44676</v>
      </c>
      <c r="C3088">
        <v>53.216072082519531</v>
      </c>
    </row>
    <row r="3089" spans="1:3" x14ac:dyDescent="0.2">
      <c r="A3089" t="s">
        <v>14</v>
      </c>
      <c r="B3089" s="2">
        <v>44677</v>
      </c>
      <c r="C3089">
        <v>53.744651794433587</v>
      </c>
    </row>
    <row r="3090" spans="1:3" x14ac:dyDescent="0.2">
      <c r="A3090" t="s">
        <v>14</v>
      </c>
      <c r="B3090" s="2">
        <v>44678</v>
      </c>
      <c r="C3090">
        <v>56.065006256103523</v>
      </c>
    </row>
    <row r="3091" spans="1:3" x14ac:dyDescent="0.2">
      <c r="A3091" t="s">
        <v>14</v>
      </c>
      <c r="B3091" s="2">
        <v>44679</v>
      </c>
      <c r="C3091">
        <v>57.444690704345703</v>
      </c>
    </row>
    <row r="3092" spans="1:3" x14ac:dyDescent="0.2">
      <c r="A3092" t="s">
        <v>14</v>
      </c>
      <c r="B3092" s="2">
        <v>44680</v>
      </c>
      <c r="C3092">
        <v>57.946388244628913</v>
      </c>
    </row>
    <row r="3093" spans="1:3" x14ac:dyDescent="0.2">
      <c r="A3093" t="s">
        <v>14</v>
      </c>
      <c r="B3093" s="2">
        <v>44683</v>
      </c>
      <c r="C3093">
        <v>58.3853759765625</v>
      </c>
    </row>
    <row r="3094" spans="1:3" x14ac:dyDescent="0.2">
      <c r="A3094" t="s">
        <v>14</v>
      </c>
      <c r="B3094" s="2">
        <v>44684</v>
      </c>
      <c r="C3094">
        <v>60.956581115722663</v>
      </c>
    </row>
    <row r="3095" spans="1:3" x14ac:dyDescent="0.2">
      <c r="A3095" t="s">
        <v>14</v>
      </c>
      <c r="B3095" s="2">
        <v>44685</v>
      </c>
      <c r="C3095">
        <v>60.732627868652337</v>
      </c>
    </row>
    <row r="3096" spans="1:3" x14ac:dyDescent="0.2">
      <c r="A3096" t="s">
        <v>14</v>
      </c>
      <c r="B3096" s="2">
        <v>44686</v>
      </c>
      <c r="C3096">
        <v>60.320499420166023</v>
      </c>
    </row>
    <row r="3097" spans="1:3" x14ac:dyDescent="0.2">
      <c r="A3097" t="s">
        <v>14</v>
      </c>
      <c r="B3097" s="2">
        <v>44687</v>
      </c>
      <c r="C3097">
        <v>60.938671112060547</v>
      </c>
    </row>
    <row r="3098" spans="1:3" x14ac:dyDescent="0.2">
      <c r="A3098" t="s">
        <v>14</v>
      </c>
      <c r="B3098" s="2">
        <v>44690</v>
      </c>
      <c r="C3098">
        <v>56.790676116943359</v>
      </c>
    </row>
    <row r="3099" spans="1:3" x14ac:dyDescent="0.2">
      <c r="A3099" t="s">
        <v>14</v>
      </c>
      <c r="B3099" s="2">
        <v>44691</v>
      </c>
      <c r="C3099">
        <v>56.396488189697273</v>
      </c>
    </row>
    <row r="3100" spans="1:3" x14ac:dyDescent="0.2">
      <c r="A3100" t="s">
        <v>14</v>
      </c>
      <c r="B3100" s="2">
        <v>44692</v>
      </c>
      <c r="C3100">
        <v>55.760414123535163</v>
      </c>
    </row>
    <row r="3101" spans="1:3" x14ac:dyDescent="0.2">
      <c r="A3101" t="s">
        <v>14</v>
      </c>
      <c r="B3101" s="2">
        <v>44693</v>
      </c>
      <c r="C3101">
        <v>55.437885284423828</v>
      </c>
    </row>
    <row r="3102" spans="1:3" x14ac:dyDescent="0.2">
      <c r="A3102" t="s">
        <v>14</v>
      </c>
      <c r="B3102" s="2">
        <v>44694</v>
      </c>
      <c r="C3102">
        <v>57.596988677978523</v>
      </c>
    </row>
    <row r="3103" spans="1:3" x14ac:dyDescent="0.2">
      <c r="A3103" t="s">
        <v>14</v>
      </c>
      <c r="B3103" s="2">
        <v>44697</v>
      </c>
      <c r="C3103">
        <v>58.421207427978523</v>
      </c>
    </row>
    <row r="3104" spans="1:3" x14ac:dyDescent="0.2">
      <c r="A3104" t="s">
        <v>14</v>
      </c>
      <c r="B3104" s="2">
        <v>44698</v>
      </c>
      <c r="C3104">
        <v>58.304740905761719</v>
      </c>
    </row>
    <row r="3105" spans="1:3" x14ac:dyDescent="0.2">
      <c r="A3105" t="s">
        <v>14</v>
      </c>
      <c r="B3105" s="2">
        <v>44699</v>
      </c>
      <c r="C3105">
        <v>57.758243560791023</v>
      </c>
    </row>
    <row r="3106" spans="1:3" x14ac:dyDescent="0.2">
      <c r="A3106" t="s">
        <v>14</v>
      </c>
      <c r="B3106" s="2">
        <v>44700</v>
      </c>
      <c r="C3106">
        <v>58.430171966552727</v>
      </c>
    </row>
    <row r="3107" spans="1:3" x14ac:dyDescent="0.2">
      <c r="A3107" t="s">
        <v>14</v>
      </c>
      <c r="B3107" s="2">
        <v>44701</v>
      </c>
      <c r="C3107">
        <v>59.836734771728523</v>
      </c>
    </row>
    <row r="3108" spans="1:3" x14ac:dyDescent="0.2">
      <c r="A3108" t="s">
        <v>14</v>
      </c>
      <c r="B3108" s="2">
        <v>44705</v>
      </c>
      <c r="C3108">
        <v>60.428005218505859</v>
      </c>
    </row>
    <row r="3109" spans="1:3" x14ac:dyDescent="0.2">
      <c r="A3109" t="s">
        <v>14</v>
      </c>
      <c r="B3109" s="2">
        <v>44706</v>
      </c>
      <c r="C3109">
        <v>61.520999908447273</v>
      </c>
    </row>
    <row r="3110" spans="1:3" x14ac:dyDescent="0.2">
      <c r="A3110" t="s">
        <v>14</v>
      </c>
      <c r="B3110" s="2">
        <v>44707</v>
      </c>
      <c r="C3110">
        <v>61.816654205322273</v>
      </c>
    </row>
    <row r="3111" spans="1:3" x14ac:dyDescent="0.2">
      <c r="A3111" t="s">
        <v>14</v>
      </c>
      <c r="B3111" s="2">
        <v>44708</v>
      </c>
      <c r="C3111">
        <v>63.653209686279297</v>
      </c>
    </row>
    <row r="3112" spans="1:3" x14ac:dyDescent="0.2">
      <c r="A3112" t="s">
        <v>14</v>
      </c>
      <c r="B3112" s="2">
        <v>44711</v>
      </c>
      <c r="C3112">
        <v>64.746200561523438</v>
      </c>
    </row>
    <row r="3113" spans="1:3" x14ac:dyDescent="0.2">
      <c r="A3113" t="s">
        <v>14</v>
      </c>
      <c r="B3113" s="2">
        <v>44712</v>
      </c>
      <c r="C3113">
        <v>62.067489624023438</v>
      </c>
    </row>
    <row r="3114" spans="1:3" x14ac:dyDescent="0.2">
      <c r="A3114" t="s">
        <v>14</v>
      </c>
      <c r="B3114" s="2">
        <v>44713</v>
      </c>
      <c r="C3114">
        <v>63.534992218017578</v>
      </c>
    </row>
    <row r="3115" spans="1:3" x14ac:dyDescent="0.2">
      <c r="A3115" t="s">
        <v>14</v>
      </c>
      <c r="B3115" s="2">
        <v>44714</v>
      </c>
      <c r="C3115">
        <v>62.30157470703125</v>
      </c>
    </row>
    <row r="3116" spans="1:3" x14ac:dyDescent="0.2">
      <c r="A3116" t="s">
        <v>14</v>
      </c>
      <c r="B3116" s="2">
        <v>44715</v>
      </c>
      <c r="C3116">
        <v>62.74273681640625</v>
      </c>
    </row>
    <row r="3117" spans="1:3" x14ac:dyDescent="0.2">
      <c r="A3117" t="s">
        <v>14</v>
      </c>
      <c r="B3117" s="2">
        <v>44718</v>
      </c>
      <c r="C3117">
        <v>63.102848052978523</v>
      </c>
    </row>
    <row r="3118" spans="1:3" x14ac:dyDescent="0.2">
      <c r="A3118" t="s">
        <v>14</v>
      </c>
      <c r="B3118" s="2">
        <v>44719</v>
      </c>
      <c r="C3118">
        <v>64.597373962402344</v>
      </c>
    </row>
    <row r="3119" spans="1:3" x14ac:dyDescent="0.2">
      <c r="A3119" t="s">
        <v>14</v>
      </c>
      <c r="B3119" s="2">
        <v>44720</v>
      </c>
      <c r="C3119">
        <v>65.308609008789062</v>
      </c>
    </row>
    <row r="3120" spans="1:3" x14ac:dyDescent="0.2">
      <c r="A3120" t="s">
        <v>14</v>
      </c>
      <c r="B3120" s="2">
        <v>44721</v>
      </c>
      <c r="C3120">
        <v>64.246246337890625</v>
      </c>
    </row>
    <row r="3121" spans="1:3" x14ac:dyDescent="0.2">
      <c r="A3121" t="s">
        <v>14</v>
      </c>
      <c r="B3121" s="2">
        <v>44722</v>
      </c>
      <c r="C3121">
        <v>62.292572021484382</v>
      </c>
    </row>
    <row r="3122" spans="1:3" x14ac:dyDescent="0.2">
      <c r="A3122" t="s">
        <v>14</v>
      </c>
      <c r="B3122" s="2">
        <v>44725</v>
      </c>
      <c r="C3122">
        <v>63.021831512451172</v>
      </c>
    </row>
    <row r="3123" spans="1:3" x14ac:dyDescent="0.2">
      <c r="A3123" t="s">
        <v>14</v>
      </c>
      <c r="B3123" s="2">
        <v>44726</v>
      </c>
      <c r="C3123">
        <v>62.121513366699219</v>
      </c>
    </row>
    <row r="3124" spans="1:3" x14ac:dyDescent="0.2">
      <c r="A3124" t="s">
        <v>14</v>
      </c>
      <c r="B3124" s="2">
        <v>44727</v>
      </c>
      <c r="C3124">
        <v>61.131168365478523</v>
      </c>
    </row>
    <row r="3125" spans="1:3" x14ac:dyDescent="0.2">
      <c r="A3125" t="s">
        <v>14</v>
      </c>
      <c r="B3125" s="2">
        <v>44728</v>
      </c>
      <c r="C3125">
        <v>59.150489807128913</v>
      </c>
    </row>
    <row r="3126" spans="1:3" x14ac:dyDescent="0.2">
      <c r="A3126" t="s">
        <v>14</v>
      </c>
      <c r="B3126" s="2">
        <v>44729</v>
      </c>
      <c r="C3126">
        <v>56.908702850341797</v>
      </c>
    </row>
    <row r="3127" spans="1:3" x14ac:dyDescent="0.2">
      <c r="A3127" t="s">
        <v>14</v>
      </c>
      <c r="B3127" s="2">
        <v>44732</v>
      </c>
      <c r="C3127">
        <v>58.142135620117188</v>
      </c>
    </row>
    <row r="3128" spans="1:3" x14ac:dyDescent="0.2">
      <c r="A3128" t="s">
        <v>14</v>
      </c>
      <c r="B3128" s="2">
        <v>44733</v>
      </c>
      <c r="C3128">
        <v>58.646308898925781</v>
      </c>
    </row>
    <row r="3129" spans="1:3" x14ac:dyDescent="0.2">
      <c r="A3129" t="s">
        <v>14</v>
      </c>
      <c r="B3129" s="2">
        <v>44734</v>
      </c>
      <c r="C3129">
        <v>55.990386962890618</v>
      </c>
    </row>
    <row r="3130" spans="1:3" x14ac:dyDescent="0.2">
      <c r="A3130" t="s">
        <v>14</v>
      </c>
      <c r="B3130" s="2">
        <v>44735</v>
      </c>
      <c r="C3130">
        <v>52.425151824951172</v>
      </c>
    </row>
    <row r="3131" spans="1:3" x14ac:dyDescent="0.2">
      <c r="A3131" t="s">
        <v>14</v>
      </c>
      <c r="B3131" s="2">
        <v>44736</v>
      </c>
      <c r="C3131">
        <v>54.396842956542969</v>
      </c>
    </row>
    <row r="3132" spans="1:3" x14ac:dyDescent="0.2">
      <c r="A3132" t="s">
        <v>14</v>
      </c>
      <c r="B3132" s="2">
        <v>44739</v>
      </c>
      <c r="C3132">
        <v>56.116439819335938</v>
      </c>
    </row>
    <row r="3133" spans="1:3" x14ac:dyDescent="0.2">
      <c r="A3133" t="s">
        <v>14</v>
      </c>
      <c r="B3133" s="2">
        <v>44740</v>
      </c>
      <c r="C3133">
        <v>57.205810546875</v>
      </c>
    </row>
    <row r="3134" spans="1:3" x14ac:dyDescent="0.2">
      <c r="A3134" t="s">
        <v>14</v>
      </c>
      <c r="B3134" s="2">
        <v>44741</v>
      </c>
      <c r="C3134">
        <v>55.216121673583977</v>
      </c>
    </row>
    <row r="3135" spans="1:3" x14ac:dyDescent="0.2">
      <c r="A3135" t="s">
        <v>14</v>
      </c>
      <c r="B3135" s="2">
        <v>44742</v>
      </c>
      <c r="C3135">
        <v>54.630924224853523</v>
      </c>
    </row>
    <row r="3136" spans="1:3" x14ac:dyDescent="0.2">
      <c r="A3136" t="s">
        <v>14</v>
      </c>
      <c r="B3136" s="2">
        <v>44746</v>
      </c>
      <c r="C3136">
        <v>55.135093688964837</v>
      </c>
    </row>
    <row r="3137" spans="1:3" x14ac:dyDescent="0.2">
      <c r="A3137" t="s">
        <v>14</v>
      </c>
      <c r="B3137" s="2">
        <v>44747</v>
      </c>
      <c r="C3137">
        <v>52.227085113525391</v>
      </c>
    </row>
    <row r="3138" spans="1:3" x14ac:dyDescent="0.2">
      <c r="A3138" t="s">
        <v>14</v>
      </c>
      <c r="B3138" s="2">
        <v>44748</v>
      </c>
      <c r="C3138">
        <v>49.958301544189453</v>
      </c>
    </row>
    <row r="3139" spans="1:3" x14ac:dyDescent="0.2">
      <c r="A3139" t="s">
        <v>14</v>
      </c>
      <c r="B3139" s="2">
        <v>44749</v>
      </c>
      <c r="C3139">
        <v>51.659889221191413</v>
      </c>
    </row>
    <row r="3140" spans="1:3" x14ac:dyDescent="0.2">
      <c r="A3140" t="s">
        <v>14</v>
      </c>
      <c r="B3140" s="2">
        <v>44750</v>
      </c>
      <c r="C3140">
        <v>51.758926391601562</v>
      </c>
    </row>
    <row r="3141" spans="1:3" x14ac:dyDescent="0.2">
      <c r="A3141" t="s">
        <v>14</v>
      </c>
      <c r="B3141" s="2">
        <v>44753</v>
      </c>
      <c r="C3141">
        <v>51.101699829101562</v>
      </c>
    </row>
    <row r="3142" spans="1:3" x14ac:dyDescent="0.2">
      <c r="A3142" t="s">
        <v>14</v>
      </c>
      <c r="B3142" s="2">
        <v>44754</v>
      </c>
      <c r="C3142">
        <v>49.967300415039062</v>
      </c>
    </row>
    <row r="3143" spans="1:3" x14ac:dyDescent="0.2">
      <c r="A3143" t="s">
        <v>14</v>
      </c>
      <c r="B3143" s="2">
        <v>44755</v>
      </c>
      <c r="C3143">
        <v>49.508140563964837</v>
      </c>
    </row>
    <row r="3144" spans="1:3" x14ac:dyDescent="0.2">
      <c r="A3144" t="s">
        <v>14</v>
      </c>
      <c r="B3144" s="2">
        <v>44756</v>
      </c>
      <c r="C3144">
        <v>47.941604614257812</v>
      </c>
    </row>
    <row r="3145" spans="1:3" x14ac:dyDescent="0.2">
      <c r="A3145" t="s">
        <v>14</v>
      </c>
      <c r="B3145" s="2">
        <v>44757</v>
      </c>
      <c r="C3145">
        <v>48.886932373046882</v>
      </c>
    </row>
    <row r="3146" spans="1:3" x14ac:dyDescent="0.2">
      <c r="A3146" t="s">
        <v>14</v>
      </c>
      <c r="B3146" s="2">
        <v>44760</v>
      </c>
      <c r="C3146">
        <v>49.715217590332031</v>
      </c>
    </row>
    <row r="3147" spans="1:3" x14ac:dyDescent="0.2">
      <c r="A3147" t="s">
        <v>14</v>
      </c>
      <c r="B3147" s="2">
        <v>44761</v>
      </c>
      <c r="C3147">
        <v>52.083034515380859</v>
      </c>
    </row>
    <row r="3148" spans="1:3" x14ac:dyDescent="0.2">
      <c r="A3148" t="s">
        <v>14</v>
      </c>
      <c r="B3148" s="2">
        <v>44762</v>
      </c>
      <c r="C3148">
        <v>52.542190551757812</v>
      </c>
    </row>
    <row r="3149" spans="1:3" x14ac:dyDescent="0.2">
      <c r="A3149" t="s">
        <v>14</v>
      </c>
      <c r="B3149" s="2">
        <v>44763</v>
      </c>
      <c r="C3149">
        <v>51.065689086914062</v>
      </c>
    </row>
    <row r="3150" spans="1:3" x14ac:dyDescent="0.2">
      <c r="A3150" t="s">
        <v>14</v>
      </c>
      <c r="B3150" s="2">
        <v>44764</v>
      </c>
      <c r="C3150">
        <v>50.219394683837891</v>
      </c>
    </row>
    <row r="3151" spans="1:3" x14ac:dyDescent="0.2">
      <c r="A3151" t="s">
        <v>14</v>
      </c>
      <c r="B3151" s="2">
        <v>44767</v>
      </c>
      <c r="C3151">
        <v>51.470821380615227</v>
      </c>
    </row>
    <row r="3152" spans="1:3" x14ac:dyDescent="0.2">
      <c r="A3152" t="s">
        <v>14</v>
      </c>
      <c r="B3152" s="2">
        <v>44768</v>
      </c>
      <c r="C3152">
        <v>51.434803009033203</v>
      </c>
    </row>
    <row r="3153" spans="1:3" x14ac:dyDescent="0.2">
      <c r="A3153" t="s">
        <v>14</v>
      </c>
      <c r="B3153" s="2">
        <v>44769</v>
      </c>
      <c r="C3153">
        <v>52.416152954101562</v>
      </c>
    </row>
    <row r="3154" spans="1:3" x14ac:dyDescent="0.2">
      <c r="A3154" t="s">
        <v>14</v>
      </c>
      <c r="B3154" s="2">
        <v>44770</v>
      </c>
      <c r="C3154">
        <v>53.172416687011719</v>
      </c>
    </row>
    <row r="3155" spans="1:3" x14ac:dyDescent="0.2">
      <c r="A3155" t="s">
        <v>14</v>
      </c>
      <c r="B3155" s="2">
        <v>44771</v>
      </c>
      <c r="C3155">
        <v>55.252140045166023</v>
      </c>
    </row>
    <row r="3156" spans="1:3" x14ac:dyDescent="0.2">
      <c r="A3156" t="s">
        <v>14</v>
      </c>
      <c r="B3156" s="2">
        <v>44775</v>
      </c>
      <c r="C3156">
        <v>53.262447357177727</v>
      </c>
    </row>
    <row r="3157" spans="1:3" x14ac:dyDescent="0.2">
      <c r="A3157" t="s">
        <v>14</v>
      </c>
      <c r="B3157" s="2">
        <v>44776</v>
      </c>
      <c r="C3157">
        <v>51.236736297607422</v>
      </c>
    </row>
    <row r="3158" spans="1:3" x14ac:dyDescent="0.2">
      <c r="A3158" t="s">
        <v>14</v>
      </c>
      <c r="B3158" s="2">
        <v>44777</v>
      </c>
      <c r="C3158">
        <v>48.346736907958977</v>
      </c>
    </row>
    <row r="3159" spans="1:3" x14ac:dyDescent="0.2">
      <c r="A3159" t="s">
        <v>14</v>
      </c>
      <c r="B3159" s="2">
        <v>44778</v>
      </c>
      <c r="C3159">
        <v>49.499141693115227</v>
      </c>
    </row>
    <row r="3160" spans="1:3" x14ac:dyDescent="0.2">
      <c r="A3160" t="s">
        <v>14</v>
      </c>
      <c r="B3160" s="2">
        <v>44781</v>
      </c>
      <c r="C3160">
        <v>48.832908630371087</v>
      </c>
    </row>
    <row r="3161" spans="1:3" x14ac:dyDescent="0.2">
      <c r="A3161" t="s">
        <v>14</v>
      </c>
      <c r="B3161" s="2">
        <v>44782</v>
      </c>
      <c r="C3161">
        <v>50.390457153320312</v>
      </c>
    </row>
    <row r="3162" spans="1:3" x14ac:dyDescent="0.2">
      <c r="A3162" t="s">
        <v>14</v>
      </c>
      <c r="B3162" s="2">
        <v>44783</v>
      </c>
      <c r="C3162">
        <v>50.489479064941413</v>
      </c>
    </row>
    <row r="3163" spans="1:3" x14ac:dyDescent="0.2">
      <c r="A3163" t="s">
        <v>14</v>
      </c>
      <c r="B3163" s="2">
        <v>44784</v>
      </c>
      <c r="C3163">
        <v>52.911323547363281</v>
      </c>
    </row>
    <row r="3164" spans="1:3" x14ac:dyDescent="0.2">
      <c r="A3164" t="s">
        <v>14</v>
      </c>
      <c r="B3164" s="2">
        <v>44785</v>
      </c>
      <c r="C3164">
        <v>53.001350402832031</v>
      </c>
    </row>
    <row r="3165" spans="1:3" x14ac:dyDescent="0.2">
      <c r="A3165" t="s">
        <v>14</v>
      </c>
      <c r="B3165" s="2">
        <v>44788</v>
      </c>
      <c r="C3165">
        <v>52.281108856201172</v>
      </c>
    </row>
    <row r="3166" spans="1:3" x14ac:dyDescent="0.2">
      <c r="A3166" t="s">
        <v>14</v>
      </c>
      <c r="B3166" s="2">
        <v>44789</v>
      </c>
      <c r="C3166">
        <v>52.155055999755859</v>
      </c>
    </row>
    <row r="3167" spans="1:3" x14ac:dyDescent="0.2">
      <c r="A3167" t="s">
        <v>14</v>
      </c>
      <c r="B3167" s="2">
        <v>44790</v>
      </c>
      <c r="C3167">
        <v>53.370479583740227</v>
      </c>
    </row>
    <row r="3168" spans="1:3" x14ac:dyDescent="0.2">
      <c r="A3168" t="s">
        <v>14</v>
      </c>
      <c r="B3168" s="2">
        <v>44791</v>
      </c>
      <c r="C3168">
        <v>55.189109802246087</v>
      </c>
    </row>
    <row r="3169" spans="1:3" x14ac:dyDescent="0.2">
      <c r="A3169" t="s">
        <v>14</v>
      </c>
      <c r="B3169" s="2">
        <v>44792</v>
      </c>
      <c r="C3169">
        <v>55.405189514160163</v>
      </c>
    </row>
    <row r="3170" spans="1:3" x14ac:dyDescent="0.2">
      <c r="A3170" t="s">
        <v>14</v>
      </c>
      <c r="B3170" s="2">
        <v>44795</v>
      </c>
      <c r="C3170">
        <v>56.278491973876953</v>
      </c>
    </row>
    <row r="3171" spans="1:3" x14ac:dyDescent="0.2">
      <c r="A3171" t="s">
        <v>14</v>
      </c>
      <c r="B3171" s="2">
        <v>44796</v>
      </c>
      <c r="C3171">
        <v>58.448249816894531</v>
      </c>
    </row>
    <row r="3172" spans="1:3" x14ac:dyDescent="0.2">
      <c r="A3172" t="s">
        <v>14</v>
      </c>
      <c r="B3172" s="2">
        <v>44797</v>
      </c>
      <c r="C3172">
        <v>58.898399353027337</v>
      </c>
    </row>
    <row r="3173" spans="1:3" x14ac:dyDescent="0.2">
      <c r="A3173" t="s">
        <v>14</v>
      </c>
      <c r="B3173" s="2">
        <v>44798</v>
      </c>
      <c r="C3173">
        <v>59.681659698486328</v>
      </c>
    </row>
    <row r="3174" spans="1:3" x14ac:dyDescent="0.2">
      <c r="A3174" t="s">
        <v>14</v>
      </c>
      <c r="B3174" s="2">
        <v>44799</v>
      </c>
      <c r="C3174">
        <v>59.114486694335938</v>
      </c>
    </row>
    <row r="3175" spans="1:3" x14ac:dyDescent="0.2">
      <c r="A3175" t="s">
        <v>14</v>
      </c>
      <c r="B3175" s="2">
        <v>44802</v>
      </c>
      <c r="C3175">
        <v>60.933094024658203</v>
      </c>
    </row>
    <row r="3176" spans="1:3" x14ac:dyDescent="0.2">
      <c r="A3176" t="s">
        <v>14</v>
      </c>
      <c r="B3176" s="2">
        <v>44803</v>
      </c>
      <c r="C3176">
        <v>58.916404724121087</v>
      </c>
    </row>
    <row r="3177" spans="1:3" x14ac:dyDescent="0.2">
      <c r="A3177" t="s">
        <v>14</v>
      </c>
      <c r="B3177" s="2">
        <v>44804</v>
      </c>
      <c r="C3177">
        <v>58.034103393554688</v>
      </c>
    </row>
    <row r="3178" spans="1:3" x14ac:dyDescent="0.2">
      <c r="A3178" t="s">
        <v>14</v>
      </c>
      <c r="B3178" s="2">
        <v>44805</v>
      </c>
      <c r="C3178">
        <v>56.776027679443359</v>
      </c>
    </row>
    <row r="3179" spans="1:3" x14ac:dyDescent="0.2">
      <c r="A3179" t="s">
        <v>14</v>
      </c>
      <c r="B3179" s="2">
        <v>44806</v>
      </c>
      <c r="C3179">
        <v>58.16986083984375</v>
      </c>
    </row>
    <row r="3180" spans="1:3" x14ac:dyDescent="0.2">
      <c r="A3180" t="s">
        <v>14</v>
      </c>
      <c r="B3180" s="2">
        <v>44810</v>
      </c>
      <c r="C3180">
        <v>57.300979614257812</v>
      </c>
    </row>
    <row r="3181" spans="1:3" x14ac:dyDescent="0.2">
      <c r="A3181" t="s">
        <v>14</v>
      </c>
      <c r="B3181" s="2">
        <v>44811</v>
      </c>
      <c r="C3181">
        <v>55.355045318603523</v>
      </c>
    </row>
    <row r="3182" spans="1:3" x14ac:dyDescent="0.2">
      <c r="A3182" t="s">
        <v>14</v>
      </c>
      <c r="B3182" s="2">
        <v>44812</v>
      </c>
      <c r="C3182">
        <v>55.925247192382812</v>
      </c>
    </row>
    <row r="3183" spans="1:3" x14ac:dyDescent="0.2">
      <c r="A3183" t="s">
        <v>14</v>
      </c>
      <c r="B3183" s="2">
        <v>44813</v>
      </c>
      <c r="C3183">
        <v>57.110908508300781</v>
      </c>
    </row>
    <row r="3184" spans="1:3" x14ac:dyDescent="0.2">
      <c r="A3184" t="s">
        <v>14</v>
      </c>
      <c r="B3184" s="2">
        <v>44816</v>
      </c>
      <c r="C3184">
        <v>57.319080352783203</v>
      </c>
    </row>
    <row r="3185" spans="1:3" x14ac:dyDescent="0.2">
      <c r="A3185" t="s">
        <v>14</v>
      </c>
      <c r="B3185" s="2">
        <v>44817</v>
      </c>
      <c r="C3185">
        <v>56.866539001464837</v>
      </c>
    </row>
    <row r="3186" spans="1:3" x14ac:dyDescent="0.2">
      <c r="A3186" t="s">
        <v>14</v>
      </c>
      <c r="B3186" s="2">
        <v>44818</v>
      </c>
      <c r="C3186">
        <v>57.880241394042969</v>
      </c>
    </row>
    <row r="3187" spans="1:3" x14ac:dyDescent="0.2">
      <c r="A3187" t="s">
        <v>14</v>
      </c>
      <c r="B3187" s="2">
        <v>44819</v>
      </c>
      <c r="C3187">
        <v>55.608463287353523</v>
      </c>
    </row>
    <row r="3188" spans="1:3" x14ac:dyDescent="0.2">
      <c r="A3188" t="s">
        <v>14</v>
      </c>
      <c r="B3188" s="2">
        <v>44820</v>
      </c>
      <c r="C3188">
        <v>55.074462890625</v>
      </c>
    </row>
    <row r="3189" spans="1:3" x14ac:dyDescent="0.2">
      <c r="A3189" t="s">
        <v>14</v>
      </c>
      <c r="B3189" s="2">
        <v>44823</v>
      </c>
      <c r="C3189">
        <v>55.97955322265625</v>
      </c>
    </row>
    <row r="3190" spans="1:3" x14ac:dyDescent="0.2">
      <c r="A3190" t="s">
        <v>14</v>
      </c>
      <c r="B3190" s="2">
        <v>44824</v>
      </c>
      <c r="C3190">
        <v>56.033863067626953</v>
      </c>
    </row>
    <row r="3191" spans="1:3" x14ac:dyDescent="0.2">
      <c r="A3191" t="s">
        <v>14</v>
      </c>
      <c r="B3191" s="2">
        <v>44825</v>
      </c>
      <c r="C3191">
        <v>55.183078765869141</v>
      </c>
    </row>
    <row r="3192" spans="1:3" x14ac:dyDescent="0.2">
      <c r="A3192" t="s">
        <v>14</v>
      </c>
      <c r="B3192" s="2">
        <v>44826</v>
      </c>
      <c r="C3192">
        <v>55.065410614013672</v>
      </c>
    </row>
    <row r="3193" spans="1:3" x14ac:dyDescent="0.2">
      <c r="A3193" t="s">
        <v>14</v>
      </c>
      <c r="B3193" s="2">
        <v>44827</v>
      </c>
      <c r="C3193">
        <v>51.671348571777337</v>
      </c>
    </row>
    <row r="3194" spans="1:3" x14ac:dyDescent="0.2">
      <c r="A3194" t="s">
        <v>14</v>
      </c>
      <c r="B3194" s="2">
        <v>44830</v>
      </c>
      <c r="C3194">
        <v>50.18701171875</v>
      </c>
    </row>
    <row r="3195" spans="1:3" x14ac:dyDescent="0.2">
      <c r="A3195" t="s">
        <v>14</v>
      </c>
      <c r="B3195" s="2">
        <v>44831</v>
      </c>
      <c r="C3195">
        <v>52.060535430908203</v>
      </c>
    </row>
    <row r="3196" spans="1:3" x14ac:dyDescent="0.2">
      <c r="A3196" t="s">
        <v>14</v>
      </c>
      <c r="B3196" s="2">
        <v>44832</v>
      </c>
      <c r="C3196">
        <v>54.386600494384773</v>
      </c>
    </row>
    <row r="3197" spans="1:3" x14ac:dyDescent="0.2">
      <c r="A3197" t="s">
        <v>14</v>
      </c>
      <c r="B3197" s="2">
        <v>44833</v>
      </c>
      <c r="C3197">
        <v>54.793899536132812</v>
      </c>
    </row>
    <row r="3198" spans="1:3" x14ac:dyDescent="0.2">
      <c r="A3198" t="s">
        <v>14</v>
      </c>
      <c r="B3198" s="2">
        <v>44834</v>
      </c>
      <c r="C3198">
        <v>54.133174896240227</v>
      </c>
    </row>
    <row r="3199" spans="1:3" x14ac:dyDescent="0.2">
      <c r="A3199" t="s">
        <v>14</v>
      </c>
      <c r="B3199" s="2">
        <v>44837</v>
      </c>
      <c r="C3199">
        <v>56.85748291015625</v>
      </c>
    </row>
    <row r="3200" spans="1:3" x14ac:dyDescent="0.2">
      <c r="A3200" t="s">
        <v>14</v>
      </c>
      <c r="B3200" s="2">
        <v>44838</v>
      </c>
      <c r="C3200">
        <v>58.676712036132812</v>
      </c>
    </row>
    <row r="3201" spans="1:3" x14ac:dyDescent="0.2">
      <c r="A3201" t="s">
        <v>14</v>
      </c>
      <c r="B3201" s="2">
        <v>44839</v>
      </c>
      <c r="C3201">
        <v>58.712921142578118</v>
      </c>
    </row>
    <row r="3202" spans="1:3" x14ac:dyDescent="0.2">
      <c r="A3202" t="s">
        <v>14</v>
      </c>
      <c r="B3202" s="2">
        <v>44840</v>
      </c>
      <c r="C3202">
        <v>59.708499908447273</v>
      </c>
    </row>
    <row r="3203" spans="1:3" x14ac:dyDescent="0.2">
      <c r="A3203" t="s">
        <v>14</v>
      </c>
      <c r="B3203" s="2">
        <v>44841</v>
      </c>
      <c r="C3203">
        <v>58.758174896240227</v>
      </c>
    </row>
    <row r="3204" spans="1:3" x14ac:dyDescent="0.2">
      <c r="A3204" t="s">
        <v>14</v>
      </c>
      <c r="B3204" s="2">
        <v>44845</v>
      </c>
      <c r="C3204">
        <v>56.622173309326172</v>
      </c>
    </row>
    <row r="3205" spans="1:3" x14ac:dyDescent="0.2">
      <c r="A3205" t="s">
        <v>14</v>
      </c>
      <c r="B3205" s="2">
        <v>44846</v>
      </c>
      <c r="C3205">
        <v>57.364337921142578</v>
      </c>
    </row>
    <row r="3206" spans="1:3" x14ac:dyDescent="0.2">
      <c r="A3206" t="s">
        <v>14</v>
      </c>
      <c r="B3206" s="2">
        <v>44847</v>
      </c>
      <c r="C3206">
        <v>60.061496734619141</v>
      </c>
    </row>
    <row r="3207" spans="1:3" x14ac:dyDescent="0.2">
      <c r="A3207" t="s">
        <v>14</v>
      </c>
      <c r="B3207" s="2">
        <v>44848</v>
      </c>
      <c r="C3207">
        <v>58.034103393554688</v>
      </c>
    </row>
    <row r="3208" spans="1:3" x14ac:dyDescent="0.2">
      <c r="A3208" t="s">
        <v>14</v>
      </c>
      <c r="B3208" s="2">
        <v>44851</v>
      </c>
      <c r="C3208">
        <v>58.296577453613281</v>
      </c>
    </row>
    <row r="3209" spans="1:3" x14ac:dyDescent="0.2">
      <c r="A3209" t="s">
        <v>14</v>
      </c>
      <c r="B3209" s="2">
        <v>44852</v>
      </c>
      <c r="C3209">
        <v>58.368980407714837</v>
      </c>
    </row>
    <row r="3210" spans="1:3" x14ac:dyDescent="0.2">
      <c r="A3210" t="s">
        <v>14</v>
      </c>
      <c r="B3210" s="2">
        <v>44853</v>
      </c>
      <c r="C3210">
        <v>60.695053100585938</v>
      </c>
    </row>
    <row r="3211" spans="1:3" x14ac:dyDescent="0.2">
      <c r="A3211" t="s">
        <v>14</v>
      </c>
      <c r="B3211" s="2">
        <v>44854</v>
      </c>
      <c r="C3211">
        <v>60.504978179931641</v>
      </c>
    </row>
    <row r="3212" spans="1:3" x14ac:dyDescent="0.2">
      <c r="A3212" t="s">
        <v>14</v>
      </c>
      <c r="B3212" s="2">
        <v>44855</v>
      </c>
      <c r="C3212">
        <v>61.401020050048828</v>
      </c>
    </row>
    <row r="3213" spans="1:3" x14ac:dyDescent="0.2">
      <c r="A3213" t="s">
        <v>14</v>
      </c>
      <c r="B3213" s="2">
        <v>44858</v>
      </c>
      <c r="C3213">
        <v>60.323970794677727</v>
      </c>
    </row>
    <row r="3214" spans="1:3" x14ac:dyDescent="0.2">
      <c r="A3214" t="s">
        <v>14</v>
      </c>
      <c r="B3214" s="2">
        <v>44859</v>
      </c>
      <c r="C3214">
        <v>59.554653167724609</v>
      </c>
    </row>
    <row r="3215" spans="1:3" x14ac:dyDescent="0.2">
      <c r="A3215" t="s">
        <v>14</v>
      </c>
      <c r="B3215" s="2">
        <v>44860</v>
      </c>
      <c r="C3215">
        <v>60.387325286865227</v>
      </c>
    </row>
    <row r="3216" spans="1:3" x14ac:dyDescent="0.2">
      <c r="A3216" t="s">
        <v>14</v>
      </c>
      <c r="B3216" s="2">
        <v>44861</v>
      </c>
      <c r="C3216">
        <v>61.066127777099609</v>
      </c>
    </row>
    <row r="3217" spans="1:3" x14ac:dyDescent="0.2">
      <c r="A3217" t="s">
        <v>14</v>
      </c>
      <c r="B3217" s="2">
        <v>44862</v>
      </c>
      <c r="C3217">
        <v>66.641464233398438</v>
      </c>
    </row>
    <row r="3218" spans="1:3" x14ac:dyDescent="0.2">
      <c r="A3218" t="s">
        <v>14</v>
      </c>
      <c r="B3218" s="2">
        <v>44865</v>
      </c>
      <c r="C3218">
        <v>67.075904846191406</v>
      </c>
    </row>
    <row r="3219" spans="1:3" x14ac:dyDescent="0.2">
      <c r="A3219" t="s">
        <v>14</v>
      </c>
      <c r="B3219" s="2">
        <v>44866</v>
      </c>
      <c r="C3219">
        <v>67.999114990234375</v>
      </c>
    </row>
    <row r="3220" spans="1:3" x14ac:dyDescent="0.2">
      <c r="A3220" t="s">
        <v>14</v>
      </c>
      <c r="B3220" s="2">
        <v>44867</v>
      </c>
      <c r="C3220">
        <v>67.664207458496094</v>
      </c>
    </row>
    <row r="3221" spans="1:3" x14ac:dyDescent="0.2">
      <c r="A3221" t="s">
        <v>14</v>
      </c>
      <c r="B3221" s="2">
        <v>44868</v>
      </c>
      <c r="C3221">
        <v>70.379463195800781</v>
      </c>
    </row>
    <row r="3222" spans="1:3" x14ac:dyDescent="0.2">
      <c r="A3222" t="s">
        <v>14</v>
      </c>
      <c r="B3222" s="2">
        <v>44869</v>
      </c>
      <c r="C3222">
        <v>69.800224304199219</v>
      </c>
    </row>
    <row r="3223" spans="1:3" x14ac:dyDescent="0.2">
      <c r="A3223" t="s">
        <v>14</v>
      </c>
      <c r="B3223" s="2">
        <v>44872</v>
      </c>
      <c r="C3223">
        <v>69.655403137207031</v>
      </c>
    </row>
    <row r="3224" spans="1:3" x14ac:dyDescent="0.2">
      <c r="A3224" t="s">
        <v>14</v>
      </c>
      <c r="B3224" s="2">
        <v>44873</v>
      </c>
      <c r="C3224">
        <v>68.922271728515625</v>
      </c>
    </row>
    <row r="3225" spans="1:3" x14ac:dyDescent="0.2">
      <c r="A3225" t="s">
        <v>14</v>
      </c>
      <c r="B3225" s="2">
        <v>44874</v>
      </c>
      <c r="C3225">
        <v>67.374588012695312</v>
      </c>
    </row>
    <row r="3226" spans="1:3" x14ac:dyDescent="0.2">
      <c r="A3226" t="s">
        <v>14</v>
      </c>
      <c r="B3226" s="2">
        <v>44875</v>
      </c>
      <c r="C3226">
        <v>68.714118957519531</v>
      </c>
    </row>
    <row r="3227" spans="1:3" x14ac:dyDescent="0.2">
      <c r="A3227" t="s">
        <v>14</v>
      </c>
      <c r="B3227" s="2">
        <v>44876</v>
      </c>
      <c r="C3227">
        <v>69.43817138671875</v>
      </c>
    </row>
    <row r="3228" spans="1:3" x14ac:dyDescent="0.2">
      <c r="A3228" t="s">
        <v>14</v>
      </c>
      <c r="B3228" s="2">
        <v>44879</v>
      </c>
      <c r="C3228">
        <v>68.171051025390625</v>
      </c>
    </row>
    <row r="3229" spans="1:3" x14ac:dyDescent="0.2">
      <c r="A3229" t="s">
        <v>14</v>
      </c>
      <c r="B3229" s="2">
        <v>44880</v>
      </c>
      <c r="C3229">
        <v>68.714118957519531</v>
      </c>
    </row>
    <row r="3230" spans="1:3" x14ac:dyDescent="0.2">
      <c r="A3230" t="s">
        <v>14</v>
      </c>
      <c r="B3230" s="2">
        <v>44881</v>
      </c>
      <c r="C3230">
        <v>68.180099487304688</v>
      </c>
    </row>
    <row r="3231" spans="1:3" x14ac:dyDescent="0.2">
      <c r="A3231" t="s">
        <v>14</v>
      </c>
      <c r="B3231" s="2">
        <v>44882</v>
      </c>
      <c r="C3231">
        <v>68.315864562988281</v>
      </c>
    </row>
    <row r="3232" spans="1:3" x14ac:dyDescent="0.2">
      <c r="A3232" t="s">
        <v>14</v>
      </c>
      <c r="B3232" s="2">
        <v>44883</v>
      </c>
      <c r="C3232">
        <v>68.406379699707031</v>
      </c>
    </row>
    <row r="3233" spans="1:3" x14ac:dyDescent="0.2">
      <c r="A3233" t="s">
        <v>14</v>
      </c>
      <c r="B3233" s="2">
        <v>44886</v>
      </c>
      <c r="C3233">
        <v>68.098648071289062</v>
      </c>
    </row>
    <row r="3234" spans="1:3" x14ac:dyDescent="0.2">
      <c r="A3234" t="s">
        <v>14</v>
      </c>
      <c r="B3234" s="2">
        <v>44887</v>
      </c>
      <c r="C3234">
        <v>69.582984924316406</v>
      </c>
    </row>
    <row r="3235" spans="1:3" x14ac:dyDescent="0.2">
      <c r="A3235" t="s">
        <v>14</v>
      </c>
      <c r="B3235" s="2">
        <v>44888</v>
      </c>
      <c r="C3235">
        <v>69.211898803710938</v>
      </c>
    </row>
    <row r="3236" spans="1:3" x14ac:dyDescent="0.2">
      <c r="A3236" t="s">
        <v>14</v>
      </c>
      <c r="B3236" s="2">
        <v>44889</v>
      </c>
      <c r="C3236">
        <v>69.257164001464844</v>
      </c>
    </row>
    <row r="3237" spans="1:3" x14ac:dyDescent="0.2">
      <c r="A3237" t="s">
        <v>14</v>
      </c>
      <c r="B3237" s="2">
        <v>44890</v>
      </c>
      <c r="C3237">
        <v>69.302421569824219</v>
      </c>
    </row>
    <row r="3238" spans="1:3" x14ac:dyDescent="0.2">
      <c r="A3238" t="s">
        <v>14</v>
      </c>
      <c r="B3238" s="2">
        <v>44893</v>
      </c>
      <c r="C3238">
        <v>68.741256713867188</v>
      </c>
    </row>
    <row r="3239" spans="1:3" x14ac:dyDescent="0.2">
      <c r="A3239" t="s">
        <v>14</v>
      </c>
      <c r="B3239" s="2">
        <v>44894</v>
      </c>
      <c r="C3239">
        <v>70.578590393066406</v>
      </c>
    </row>
    <row r="3240" spans="1:3" x14ac:dyDescent="0.2">
      <c r="A3240" t="s">
        <v>14</v>
      </c>
      <c r="B3240" s="2">
        <v>44895</v>
      </c>
      <c r="C3240">
        <v>69.266212463378906</v>
      </c>
    </row>
    <row r="3241" spans="1:3" x14ac:dyDescent="0.2">
      <c r="A3241" t="s">
        <v>14</v>
      </c>
      <c r="B3241" s="2">
        <v>44896</v>
      </c>
      <c r="C3241">
        <v>68.902091979980469</v>
      </c>
    </row>
    <row r="3242" spans="1:3" x14ac:dyDescent="0.2">
      <c r="A3242" t="s">
        <v>14</v>
      </c>
      <c r="B3242" s="2">
        <v>44897</v>
      </c>
      <c r="C3242">
        <v>68.592567443847656</v>
      </c>
    </row>
    <row r="3243" spans="1:3" x14ac:dyDescent="0.2">
      <c r="A3243" t="s">
        <v>14</v>
      </c>
      <c r="B3243" s="2">
        <v>44900</v>
      </c>
      <c r="C3243">
        <v>66.107398986816406</v>
      </c>
    </row>
    <row r="3244" spans="1:3" x14ac:dyDescent="0.2">
      <c r="A3244" t="s">
        <v>14</v>
      </c>
      <c r="B3244" s="2">
        <v>44901</v>
      </c>
      <c r="C3244">
        <v>64.323196411132812</v>
      </c>
    </row>
    <row r="3245" spans="1:3" x14ac:dyDescent="0.2">
      <c r="A3245" t="s">
        <v>14</v>
      </c>
      <c r="B3245" s="2">
        <v>44902</v>
      </c>
      <c r="C3245">
        <v>64.987716674804688</v>
      </c>
    </row>
    <row r="3246" spans="1:3" x14ac:dyDescent="0.2">
      <c r="A3246" t="s">
        <v>14</v>
      </c>
      <c r="B3246" s="2">
        <v>44903</v>
      </c>
      <c r="C3246">
        <v>64.1866455078125</v>
      </c>
    </row>
    <row r="3247" spans="1:3" x14ac:dyDescent="0.2">
      <c r="A3247" t="s">
        <v>14</v>
      </c>
      <c r="B3247" s="2">
        <v>44904</v>
      </c>
      <c r="C3247">
        <v>62.102001190185547</v>
      </c>
    </row>
    <row r="3248" spans="1:3" x14ac:dyDescent="0.2">
      <c r="A3248" t="s">
        <v>14</v>
      </c>
      <c r="B3248" s="2">
        <v>44907</v>
      </c>
      <c r="C3248">
        <v>60.372386932373047</v>
      </c>
    </row>
    <row r="3249" spans="1:3" x14ac:dyDescent="0.2">
      <c r="A3249" t="s">
        <v>14</v>
      </c>
      <c r="B3249" s="2">
        <v>44908</v>
      </c>
      <c r="C3249">
        <v>60.618171691894531</v>
      </c>
    </row>
    <row r="3250" spans="1:3" x14ac:dyDescent="0.2">
      <c r="A3250" t="s">
        <v>14</v>
      </c>
      <c r="B3250" s="2">
        <v>44909</v>
      </c>
      <c r="C3250">
        <v>59.98095703125</v>
      </c>
    </row>
    <row r="3251" spans="1:3" x14ac:dyDescent="0.2">
      <c r="A3251" t="s">
        <v>14</v>
      </c>
      <c r="B3251" s="2">
        <v>44910</v>
      </c>
      <c r="C3251">
        <v>59.006912231445312</v>
      </c>
    </row>
    <row r="3252" spans="1:3" x14ac:dyDescent="0.2">
      <c r="A3252" t="s">
        <v>14</v>
      </c>
      <c r="B3252" s="2">
        <v>44911</v>
      </c>
      <c r="C3252">
        <v>58.133010864257812</v>
      </c>
    </row>
    <row r="3253" spans="1:3" x14ac:dyDescent="0.2">
      <c r="A3253" t="s">
        <v>14</v>
      </c>
      <c r="B3253" s="2">
        <v>44914</v>
      </c>
      <c r="C3253">
        <v>58.251350402832031</v>
      </c>
    </row>
    <row r="3254" spans="1:3" x14ac:dyDescent="0.2">
      <c r="A3254" t="s">
        <v>14</v>
      </c>
      <c r="B3254" s="2">
        <v>44915</v>
      </c>
      <c r="C3254">
        <v>58.205837249755859</v>
      </c>
    </row>
    <row r="3255" spans="1:3" x14ac:dyDescent="0.2">
      <c r="A3255" t="s">
        <v>14</v>
      </c>
      <c r="B3255" s="2">
        <v>44916</v>
      </c>
      <c r="C3255">
        <v>59.462074279785163</v>
      </c>
    </row>
    <row r="3256" spans="1:3" x14ac:dyDescent="0.2">
      <c r="A3256" t="s">
        <v>14</v>
      </c>
      <c r="B3256" s="2">
        <v>44917</v>
      </c>
      <c r="C3256">
        <v>58.060176849365227</v>
      </c>
    </row>
    <row r="3257" spans="1:3" x14ac:dyDescent="0.2">
      <c r="A3257" t="s">
        <v>14</v>
      </c>
      <c r="B3257" s="2">
        <v>44918</v>
      </c>
      <c r="C3257">
        <v>59.689647674560547</v>
      </c>
    </row>
    <row r="3258" spans="1:3" x14ac:dyDescent="0.2">
      <c r="A3258" t="s">
        <v>14</v>
      </c>
      <c r="B3258" s="2">
        <v>44923</v>
      </c>
      <c r="C3258">
        <v>59.107044219970703</v>
      </c>
    </row>
    <row r="3259" spans="1:3" x14ac:dyDescent="0.2">
      <c r="A3259" t="s">
        <v>14</v>
      </c>
      <c r="B3259" s="2">
        <v>44924</v>
      </c>
      <c r="C3259">
        <v>59.798896789550781</v>
      </c>
    </row>
    <row r="3260" spans="1:3" x14ac:dyDescent="0.2">
      <c r="A3260" t="s">
        <v>14</v>
      </c>
      <c r="B3260" s="2">
        <v>44925</v>
      </c>
      <c r="C3260">
        <v>60.035564422607422</v>
      </c>
    </row>
    <row r="3261" spans="1:3" x14ac:dyDescent="0.2">
      <c r="A3261" t="s">
        <v>14</v>
      </c>
      <c r="B3261" s="2">
        <v>44929</v>
      </c>
      <c r="C3261">
        <v>57.623226165771477</v>
      </c>
    </row>
    <row r="3262" spans="1:3" x14ac:dyDescent="0.2">
      <c r="A3262" t="s">
        <v>14</v>
      </c>
      <c r="B3262" s="2">
        <v>44930</v>
      </c>
      <c r="C3262">
        <v>56.539943695068359</v>
      </c>
    </row>
    <row r="3263" spans="1:3" x14ac:dyDescent="0.2">
      <c r="A3263" t="s">
        <v>14</v>
      </c>
      <c r="B3263" s="2">
        <v>44931</v>
      </c>
      <c r="C3263">
        <v>57.623226165771477</v>
      </c>
    </row>
    <row r="3264" spans="1:3" x14ac:dyDescent="0.2">
      <c r="A3264" t="s">
        <v>14</v>
      </c>
      <c r="B3264" s="2">
        <v>44932</v>
      </c>
      <c r="C3264">
        <v>59.079746246337891</v>
      </c>
    </row>
    <row r="3265" spans="1:3" x14ac:dyDescent="0.2">
      <c r="A3265" t="s">
        <v>14</v>
      </c>
      <c r="B3265" s="2">
        <v>44935</v>
      </c>
      <c r="C3265">
        <v>58.396995544433587</v>
      </c>
    </row>
    <row r="3266" spans="1:3" x14ac:dyDescent="0.2">
      <c r="A3266" t="s">
        <v>14</v>
      </c>
      <c r="B3266" s="2">
        <v>44936</v>
      </c>
      <c r="C3266">
        <v>58.42431640625</v>
      </c>
    </row>
    <row r="3267" spans="1:3" x14ac:dyDescent="0.2">
      <c r="A3267" t="s">
        <v>14</v>
      </c>
      <c r="B3267" s="2">
        <v>44937</v>
      </c>
      <c r="C3267">
        <v>57.94183349609375</v>
      </c>
    </row>
    <row r="3268" spans="1:3" x14ac:dyDescent="0.2">
      <c r="A3268" t="s">
        <v>14</v>
      </c>
      <c r="B3268" s="2">
        <v>44938</v>
      </c>
      <c r="C3268">
        <v>58.706512451171882</v>
      </c>
    </row>
    <row r="3269" spans="1:3" x14ac:dyDescent="0.2">
      <c r="A3269" t="s">
        <v>14</v>
      </c>
      <c r="B3269" s="2">
        <v>44939</v>
      </c>
      <c r="C3269">
        <v>59.871711730957031</v>
      </c>
    </row>
    <row r="3270" spans="1:3" x14ac:dyDescent="0.2">
      <c r="A3270" t="s">
        <v>14</v>
      </c>
      <c r="B3270" s="2">
        <v>44942</v>
      </c>
      <c r="C3270">
        <v>59.899036407470703</v>
      </c>
    </row>
    <row r="3271" spans="1:3" x14ac:dyDescent="0.2">
      <c r="A3271" t="s">
        <v>14</v>
      </c>
      <c r="B3271" s="2">
        <v>44943</v>
      </c>
      <c r="C3271">
        <v>60.5362548828125</v>
      </c>
    </row>
    <row r="3272" spans="1:3" x14ac:dyDescent="0.2">
      <c r="A3272" t="s">
        <v>14</v>
      </c>
      <c r="B3272" s="2">
        <v>44944</v>
      </c>
      <c r="C3272">
        <v>60.144813537597663</v>
      </c>
    </row>
    <row r="3273" spans="1:3" x14ac:dyDescent="0.2">
      <c r="A3273" t="s">
        <v>14</v>
      </c>
      <c r="B3273" s="2">
        <v>44945</v>
      </c>
      <c r="C3273">
        <v>62.211231231689453</v>
      </c>
    </row>
    <row r="3274" spans="1:3" x14ac:dyDescent="0.2">
      <c r="A3274" t="s">
        <v>14</v>
      </c>
      <c r="B3274" s="2">
        <v>44946</v>
      </c>
      <c r="C3274">
        <v>62.092891693115227</v>
      </c>
    </row>
    <row r="3275" spans="1:3" x14ac:dyDescent="0.2">
      <c r="A3275" t="s">
        <v>14</v>
      </c>
      <c r="B3275" s="2">
        <v>44949</v>
      </c>
      <c r="C3275">
        <v>62.739223480224609</v>
      </c>
    </row>
    <row r="3276" spans="1:3" x14ac:dyDescent="0.2">
      <c r="A3276" t="s">
        <v>14</v>
      </c>
      <c r="B3276" s="2">
        <v>44950</v>
      </c>
      <c r="C3276">
        <v>63.258098602294922</v>
      </c>
    </row>
    <row r="3277" spans="1:3" x14ac:dyDescent="0.2">
      <c r="A3277" t="s">
        <v>14</v>
      </c>
      <c r="B3277" s="2">
        <v>44951</v>
      </c>
      <c r="C3277">
        <v>63.522087097167969</v>
      </c>
    </row>
    <row r="3278" spans="1:3" x14ac:dyDescent="0.2">
      <c r="A3278" t="s">
        <v>14</v>
      </c>
      <c r="B3278" s="2">
        <v>44952</v>
      </c>
      <c r="C3278">
        <v>65.597618103027344</v>
      </c>
    </row>
    <row r="3279" spans="1:3" x14ac:dyDescent="0.2">
      <c r="A3279" t="s">
        <v>14</v>
      </c>
      <c r="B3279" s="2">
        <v>44953</v>
      </c>
      <c r="C3279">
        <v>66.171134948730469</v>
      </c>
    </row>
    <row r="3280" spans="1:3" x14ac:dyDescent="0.2">
      <c r="A3280" t="s">
        <v>14</v>
      </c>
      <c r="B3280" s="2">
        <v>44956</v>
      </c>
      <c r="C3280">
        <v>64.314079284667969</v>
      </c>
    </row>
    <row r="3281" spans="1:3" x14ac:dyDescent="0.2">
      <c r="A3281" t="s">
        <v>14</v>
      </c>
      <c r="B3281" s="2">
        <v>44957</v>
      </c>
      <c r="C3281">
        <v>66.198448181152344</v>
      </c>
    </row>
    <row r="3282" spans="1:3" x14ac:dyDescent="0.2">
      <c r="A3282" t="s">
        <v>14</v>
      </c>
      <c r="B3282" s="2">
        <v>44958</v>
      </c>
      <c r="C3282">
        <v>64.022789001464844</v>
      </c>
    </row>
    <row r="3283" spans="1:3" x14ac:dyDescent="0.2">
      <c r="A3283" t="s">
        <v>14</v>
      </c>
      <c r="B3283" s="2">
        <v>44959</v>
      </c>
      <c r="C3283">
        <v>61.710567474365227</v>
      </c>
    </row>
    <row r="3284" spans="1:3" x14ac:dyDescent="0.2">
      <c r="A3284" t="s">
        <v>14</v>
      </c>
      <c r="B3284" s="2">
        <v>44960</v>
      </c>
      <c r="C3284">
        <v>61.501174926757812</v>
      </c>
    </row>
    <row r="3285" spans="1:3" x14ac:dyDescent="0.2">
      <c r="A3285" t="s">
        <v>14</v>
      </c>
      <c r="B3285" s="2">
        <v>44963</v>
      </c>
      <c r="C3285">
        <v>61.109745025634773</v>
      </c>
    </row>
    <row r="3286" spans="1:3" x14ac:dyDescent="0.2">
      <c r="A3286" t="s">
        <v>14</v>
      </c>
      <c r="B3286" s="2">
        <v>44964</v>
      </c>
      <c r="C3286">
        <v>62.420612335205078</v>
      </c>
    </row>
    <row r="3287" spans="1:3" x14ac:dyDescent="0.2">
      <c r="A3287" t="s">
        <v>14</v>
      </c>
      <c r="B3287" s="2">
        <v>44965</v>
      </c>
      <c r="C3287">
        <v>63.330928802490227</v>
      </c>
    </row>
    <row r="3288" spans="1:3" x14ac:dyDescent="0.2">
      <c r="A3288" t="s">
        <v>14</v>
      </c>
      <c r="B3288" s="2">
        <v>44966</v>
      </c>
      <c r="C3288">
        <v>63.349151611328118</v>
      </c>
    </row>
    <row r="3289" spans="1:3" x14ac:dyDescent="0.2">
      <c r="A3289" t="s">
        <v>14</v>
      </c>
      <c r="B3289" s="2">
        <v>44967</v>
      </c>
      <c r="C3289">
        <v>65.315437316894531</v>
      </c>
    </row>
    <row r="3290" spans="1:3" x14ac:dyDescent="0.2">
      <c r="A3290" t="s">
        <v>14</v>
      </c>
      <c r="B3290" s="2">
        <v>44970</v>
      </c>
      <c r="C3290">
        <v>64.832954406738281</v>
      </c>
    </row>
    <row r="3291" spans="1:3" x14ac:dyDescent="0.2">
      <c r="A3291" t="s">
        <v>14</v>
      </c>
      <c r="B3291" s="2">
        <v>44971</v>
      </c>
      <c r="C3291">
        <v>64.323196411132812</v>
      </c>
    </row>
    <row r="3292" spans="1:3" x14ac:dyDescent="0.2">
      <c r="A3292" t="s">
        <v>14</v>
      </c>
      <c r="B3292" s="2">
        <v>44972</v>
      </c>
      <c r="C3292">
        <v>63.540302276611328</v>
      </c>
    </row>
    <row r="3293" spans="1:3" x14ac:dyDescent="0.2">
      <c r="A3293" t="s">
        <v>14</v>
      </c>
      <c r="B3293" s="2">
        <v>44973</v>
      </c>
      <c r="C3293">
        <v>63.003223419189453</v>
      </c>
    </row>
    <row r="3294" spans="1:3" x14ac:dyDescent="0.2">
      <c r="A3294" t="s">
        <v>14</v>
      </c>
      <c r="B3294" s="2">
        <v>44974</v>
      </c>
      <c r="C3294">
        <v>61.510288238525391</v>
      </c>
    </row>
    <row r="3295" spans="1:3" x14ac:dyDescent="0.2">
      <c r="A3295" t="s">
        <v>14</v>
      </c>
      <c r="B3295" s="2">
        <v>44978</v>
      </c>
      <c r="C3295">
        <v>61.965446472167969</v>
      </c>
    </row>
    <row r="3296" spans="1:3" x14ac:dyDescent="0.2">
      <c r="A3296" t="s">
        <v>14</v>
      </c>
      <c r="B3296" s="2">
        <v>44979</v>
      </c>
      <c r="C3296">
        <v>60.709213256835938</v>
      </c>
    </row>
    <row r="3297" spans="1:3" x14ac:dyDescent="0.2">
      <c r="A3297" t="s">
        <v>14</v>
      </c>
      <c r="B3297" s="2">
        <v>44980</v>
      </c>
      <c r="C3297">
        <v>61.428367614746087</v>
      </c>
    </row>
    <row r="3298" spans="1:3" x14ac:dyDescent="0.2">
      <c r="A3298" t="s">
        <v>14</v>
      </c>
      <c r="B3298" s="2">
        <v>44981</v>
      </c>
      <c r="C3298">
        <v>61.819801330566413</v>
      </c>
    </row>
    <row r="3299" spans="1:3" x14ac:dyDescent="0.2">
      <c r="A3299" t="s">
        <v>14</v>
      </c>
      <c r="B3299" s="2">
        <v>44984</v>
      </c>
      <c r="C3299">
        <v>62.584468841552727</v>
      </c>
    </row>
    <row r="3300" spans="1:3" x14ac:dyDescent="0.2">
      <c r="A3300" t="s">
        <v>14</v>
      </c>
      <c r="B3300" s="2">
        <v>44985</v>
      </c>
      <c r="C3300">
        <v>61.437465667724609</v>
      </c>
    </row>
    <row r="3301" spans="1:3" x14ac:dyDescent="0.2">
      <c r="A3301" t="s">
        <v>14</v>
      </c>
      <c r="B3301" s="2">
        <v>44986</v>
      </c>
      <c r="C3301">
        <v>62.675506591796882</v>
      </c>
    </row>
    <row r="3302" spans="1:3" x14ac:dyDescent="0.2">
      <c r="A3302" t="s">
        <v>14</v>
      </c>
      <c r="B3302" s="2">
        <v>44987</v>
      </c>
      <c r="C3302">
        <v>63.784061431884773</v>
      </c>
    </row>
    <row r="3303" spans="1:3" x14ac:dyDescent="0.2">
      <c r="A3303" t="s">
        <v>14</v>
      </c>
      <c r="B3303" s="2">
        <v>44988</v>
      </c>
      <c r="C3303">
        <v>64.196357727050781</v>
      </c>
    </row>
    <row r="3304" spans="1:3" x14ac:dyDescent="0.2">
      <c r="A3304" t="s">
        <v>14</v>
      </c>
      <c r="B3304" s="2">
        <v>44991</v>
      </c>
      <c r="C3304">
        <v>64.700225830078125</v>
      </c>
    </row>
    <row r="3305" spans="1:3" x14ac:dyDescent="0.2">
      <c r="A3305" t="s">
        <v>14</v>
      </c>
      <c r="B3305" s="2">
        <v>44992</v>
      </c>
      <c r="C3305">
        <v>64.058914184570312</v>
      </c>
    </row>
    <row r="3306" spans="1:3" x14ac:dyDescent="0.2">
      <c r="A3306" t="s">
        <v>14</v>
      </c>
      <c r="B3306" s="2">
        <v>44993</v>
      </c>
      <c r="C3306">
        <v>64.626945495605469</v>
      </c>
    </row>
    <row r="3307" spans="1:3" x14ac:dyDescent="0.2">
      <c r="A3307" t="s">
        <v>14</v>
      </c>
      <c r="B3307" s="2">
        <v>44994</v>
      </c>
      <c r="C3307">
        <v>64.251304626464844</v>
      </c>
    </row>
    <row r="3308" spans="1:3" x14ac:dyDescent="0.2">
      <c r="A3308" t="s">
        <v>14</v>
      </c>
      <c r="B3308" s="2">
        <v>44995</v>
      </c>
      <c r="C3308">
        <v>63.637481689453118</v>
      </c>
    </row>
    <row r="3309" spans="1:3" x14ac:dyDescent="0.2">
      <c r="A3309" t="s">
        <v>14</v>
      </c>
      <c r="B3309" s="2">
        <v>44998</v>
      </c>
      <c r="C3309">
        <v>61.035556793212891</v>
      </c>
    </row>
    <row r="3310" spans="1:3" x14ac:dyDescent="0.2">
      <c r="A3310" t="s">
        <v>14</v>
      </c>
      <c r="B3310" s="2">
        <v>44999</v>
      </c>
      <c r="C3310">
        <v>59.752891540527337</v>
      </c>
    </row>
    <row r="3311" spans="1:3" x14ac:dyDescent="0.2">
      <c r="A3311" t="s">
        <v>14</v>
      </c>
      <c r="B3311" s="2">
        <v>45000</v>
      </c>
      <c r="C3311">
        <v>57.673183441162109</v>
      </c>
    </row>
    <row r="3312" spans="1:3" x14ac:dyDescent="0.2">
      <c r="A3312" t="s">
        <v>14</v>
      </c>
      <c r="B3312" s="2">
        <v>45001</v>
      </c>
      <c r="C3312">
        <v>57.581569671630859</v>
      </c>
    </row>
    <row r="3313" spans="1:3" x14ac:dyDescent="0.2">
      <c r="A3313" t="s">
        <v>14</v>
      </c>
      <c r="B3313" s="2">
        <v>45002</v>
      </c>
      <c r="C3313">
        <v>56.399703979492188</v>
      </c>
    </row>
    <row r="3314" spans="1:3" x14ac:dyDescent="0.2">
      <c r="A3314" t="s">
        <v>14</v>
      </c>
      <c r="B3314" s="2">
        <v>45005</v>
      </c>
      <c r="C3314">
        <v>58.268695831298828</v>
      </c>
    </row>
    <row r="3315" spans="1:3" x14ac:dyDescent="0.2">
      <c r="A3315" t="s">
        <v>14</v>
      </c>
      <c r="B3315" s="2">
        <v>45006</v>
      </c>
      <c r="C3315">
        <v>60.000270843505859</v>
      </c>
    </row>
    <row r="3316" spans="1:3" x14ac:dyDescent="0.2">
      <c r="A3316" t="s">
        <v>14</v>
      </c>
      <c r="B3316" s="2">
        <v>45007</v>
      </c>
      <c r="C3316">
        <v>59.349788665771477</v>
      </c>
    </row>
    <row r="3317" spans="1:3" x14ac:dyDescent="0.2">
      <c r="A3317" t="s">
        <v>14</v>
      </c>
      <c r="B3317" s="2">
        <v>45008</v>
      </c>
      <c r="C3317">
        <v>58.342002868652337</v>
      </c>
    </row>
    <row r="3318" spans="1:3" x14ac:dyDescent="0.2">
      <c r="A3318" t="s">
        <v>14</v>
      </c>
      <c r="B3318" s="2">
        <v>45009</v>
      </c>
      <c r="C3318">
        <v>58.177082061767578</v>
      </c>
    </row>
    <row r="3319" spans="1:3" x14ac:dyDescent="0.2">
      <c r="A3319" t="s">
        <v>14</v>
      </c>
      <c r="B3319" s="2">
        <v>45012</v>
      </c>
      <c r="C3319">
        <v>59.368106842041023</v>
      </c>
    </row>
    <row r="3320" spans="1:3" x14ac:dyDescent="0.2">
      <c r="A3320" t="s">
        <v>14</v>
      </c>
      <c r="B3320" s="2">
        <v>45013</v>
      </c>
      <c r="C3320">
        <v>60.815658569335938</v>
      </c>
    </row>
    <row r="3321" spans="1:3" x14ac:dyDescent="0.2">
      <c r="A3321" t="s">
        <v>14</v>
      </c>
      <c r="B3321" s="2">
        <v>45014</v>
      </c>
      <c r="C3321">
        <v>62.391475677490227</v>
      </c>
    </row>
    <row r="3322" spans="1:3" x14ac:dyDescent="0.2">
      <c r="A3322" t="s">
        <v>14</v>
      </c>
      <c r="B3322" s="2">
        <v>45015</v>
      </c>
      <c r="C3322">
        <v>62.290706634521477</v>
      </c>
    </row>
    <row r="3323" spans="1:3" x14ac:dyDescent="0.2">
      <c r="A3323" t="s">
        <v>14</v>
      </c>
      <c r="B3323" s="2">
        <v>45016</v>
      </c>
      <c r="C3323">
        <v>62.968673706054688</v>
      </c>
    </row>
    <row r="3324" spans="1:3" x14ac:dyDescent="0.2">
      <c r="A3324" t="s">
        <v>14</v>
      </c>
      <c r="B3324" s="2">
        <v>45019</v>
      </c>
      <c r="C3324">
        <v>66.752479553222656</v>
      </c>
    </row>
    <row r="3325" spans="1:3" x14ac:dyDescent="0.2">
      <c r="A3325" t="s">
        <v>14</v>
      </c>
      <c r="B3325" s="2">
        <v>45020</v>
      </c>
      <c r="C3325">
        <v>66.569244384765625</v>
      </c>
    </row>
    <row r="3326" spans="1:3" x14ac:dyDescent="0.2">
      <c r="A3326" t="s">
        <v>14</v>
      </c>
      <c r="B3326" s="2">
        <v>45021</v>
      </c>
      <c r="C3326">
        <v>66.486770629882812</v>
      </c>
    </row>
    <row r="3327" spans="1:3" x14ac:dyDescent="0.2">
      <c r="A3327" t="s">
        <v>14</v>
      </c>
      <c r="B3327" s="2">
        <v>45022</v>
      </c>
      <c r="C3327">
        <v>66.184440612792969</v>
      </c>
    </row>
    <row r="3328" spans="1:3" x14ac:dyDescent="0.2">
      <c r="A3328" t="s">
        <v>14</v>
      </c>
      <c r="B3328" s="2">
        <v>45026</v>
      </c>
      <c r="C3328">
        <v>66.743309020996094</v>
      </c>
    </row>
    <row r="3329" spans="1:3" x14ac:dyDescent="0.2">
      <c r="A3329" t="s">
        <v>14</v>
      </c>
      <c r="B3329" s="2">
        <v>45027</v>
      </c>
      <c r="C3329">
        <v>67.586196899414062</v>
      </c>
    </row>
    <row r="3330" spans="1:3" x14ac:dyDescent="0.2">
      <c r="A3330" t="s">
        <v>14</v>
      </c>
      <c r="B3330" s="2">
        <v>45028</v>
      </c>
      <c r="C3330">
        <v>67.99847412109375</v>
      </c>
    </row>
    <row r="3331" spans="1:3" x14ac:dyDescent="0.2">
      <c r="A3331" t="s">
        <v>14</v>
      </c>
      <c r="B3331" s="2">
        <v>45029</v>
      </c>
      <c r="C3331">
        <v>67.696144104003906</v>
      </c>
    </row>
    <row r="3332" spans="1:3" x14ac:dyDescent="0.2">
      <c r="A3332" t="s">
        <v>14</v>
      </c>
      <c r="B3332" s="2">
        <v>45030</v>
      </c>
      <c r="C3332">
        <v>68.35577392578125</v>
      </c>
    </row>
    <row r="3333" spans="1:3" x14ac:dyDescent="0.2">
      <c r="A3333" t="s">
        <v>14</v>
      </c>
      <c r="B3333" s="2">
        <v>45033</v>
      </c>
      <c r="C3333">
        <v>68.126739501953125</v>
      </c>
    </row>
    <row r="3334" spans="1:3" x14ac:dyDescent="0.2">
      <c r="A3334" t="s">
        <v>14</v>
      </c>
      <c r="B3334" s="2">
        <v>45034</v>
      </c>
      <c r="C3334">
        <v>67.045654296875</v>
      </c>
    </row>
    <row r="3335" spans="1:3" x14ac:dyDescent="0.2">
      <c r="A3335" t="s">
        <v>14</v>
      </c>
      <c r="B3335" s="2">
        <v>45035</v>
      </c>
      <c r="C3335">
        <v>66.395164489746094</v>
      </c>
    </row>
    <row r="3336" spans="1:3" x14ac:dyDescent="0.2">
      <c r="A3336" t="s">
        <v>14</v>
      </c>
      <c r="B3336" s="2">
        <v>45036</v>
      </c>
      <c r="C3336">
        <v>65.753822326660156</v>
      </c>
    </row>
    <row r="3337" spans="1:3" x14ac:dyDescent="0.2">
      <c r="A3337" t="s">
        <v>14</v>
      </c>
      <c r="B3337" s="2">
        <v>45037</v>
      </c>
      <c r="C3337">
        <v>65.909591674804688</v>
      </c>
    </row>
    <row r="3338" spans="1:3" x14ac:dyDescent="0.2">
      <c r="A3338" t="s">
        <v>14</v>
      </c>
      <c r="B3338" s="2">
        <v>45040</v>
      </c>
      <c r="C3338">
        <v>65.92791748046875</v>
      </c>
    </row>
    <row r="3339" spans="1:3" x14ac:dyDescent="0.2">
      <c r="A3339" t="s">
        <v>14</v>
      </c>
      <c r="B3339" s="2">
        <v>45041</v>
      </c>
      <c r="C3339">
        <v>64.581138610839844</v>
      </c>
    </row>
    <row r="3340" spans="1:3" x14ac:dyDescent="0.2">
      <c r="A3340" t="s">
        <v>14</v>
      </c>
      <c r="B3340" s="2">
        <v>45042</v>
      </c>
      <c r="C3340">
        <v>63.573333740234382</v>
      </c>
    </row>
    <row r="3341" spans="1:3" x14ac:dyDescent="0.2">
      <c r="A3341" t="s">
        <v>14</v>
      </c>
      <c r="B3341" s="2">
        <v>45043</v>
      </c>
      <c r="C3341">
        <v>63.674129486083977</v>
      </c>
    </row>
    <row r="3342" spans="1:3" x14ac:dyDescent="0.2">
      <c r="A3342" t="s">
        <v>14</v>
      </c>
      <c r="B3342" s="2">
        <v>45044</v>
      </c>
      <c r="C3342">
        <v>63.271003723144531</v>
      </c>
    </row>
    <row r="3343" spans="1:3" x14ac:dyDescent="0.2">
      <c r="A3343" t="s">
        <v>14</v>
      </c>
      <c r="B3343" s="2">
        <v>45047</v>
      </c>
      <c r="C3343">
        <v>62.189922332763672</v>
      </c>
    </row>
    <row r="3344" spans="1:3" x14ac:dyDescent="0.2">
      <c r="A3344" t="s">
        <v>14</v>
      </c>
      <c r="B3344" s="2">
        <v>45048</v>
      </c>
      <c r="C3344">
        <v>58.003013610839837</v>
      </c>
    </row>
    <row r="3345" spans="1:3" x14ac:dyDescent="0.2">
      <c r="A3345" t="s">
        <v>14</v>
      </c>
      <c r="B3345" s="2">
        <v>45049</v>
      </c>
      <c r="C3345">
        <v>57.004375457763672</v>
      </c>
    </row>
    <row r="3346" spans="1:3" x14ac:dyDescent="0.2">
      <c r="A3346" t="s">
        <v>14</v>
      </c>
      <c r="B3346" s="2">
        <v>45050</v>
      </c>
      <c r="C3346">
        <v>55.21783447265625</v>
      </c>
    </row>
    <row r="3347" spans="1:3" x14ac:dyDescent="0.2">
      <c r="A3347" t="s">
        <v>14</v>
      </c>
      <c r="B3347" s="2">
        <v>45051</v>
      </c>
      <c r="C3347">
        <v>57.11431884765625</v>
      </c>
    </row>
    <row r="3348" spans="1:3" x14ac:dyDescent="0.2">
      <c r="A3348" t="s">
        <v>14</v>
      </c>
      <c r="B3348" s="2">
        <v>45054</v>
      </c>
      <c r="C3348">
        <v>57.325038909912109</v>
      </c>
    </row>
    <row r="3349" spans="1:3" x14ac:dyDescent="0.2">
      <c r="A3349" t="s">
        <v>14</v>
      </c>
      <c r="B3349" s="2">
        <v>45055</v>
      </c>
      <c r="C3349">
        <v>57.98468017578125</v>
      </c>
    </row>
    <row r="3350" spans="1:3" x14ac:dyDescent="0.2">
      <c r="A3350" t="s">
        <v>14</v>
      </c>
      <c r="B3350" s="2">
        <v>45056</v>
      </c>
      <c r="C3350">
        <v>56.931087493896477</v>
      </c>
    </row>
    <row r="3351" spans="1:3" x14ac:dyDescent="0.2">
      <c r="A3351" t="s">
        <v>14</v>
      </c>
      <c r="B3351" s="2">
        <v>45057</v>
      </c>
      <c r="C3351">
        <v>56.033233642578118</v>
      </c>
    </row>
    <row r="3352" spans="1:3" x14ac:dyDescent="0.2">
      <c r="A3352" t="s">
        <v>14</v>
      </c>
      <c r="B3352" s="2">
        <v>45058</v>
      </c>
      <c r="C3352">
        <v>56.152336120605469</v>
      </c>
    </row>
    <row r="3353" spans="1:3" x14ac:dyDescent="0.2">
      <c r="A3353" t="s">
        <v>14</v>
      </c>
      <c r="B3353" s="2">
        <v>45061</v>
      </c>
      <c r="C3353">
        <v>56.866950988769531</v>
      </c>
    </row>
    <row r="3354" spans="1:3" x14ac:dyDescent="0.2">
      <c r="A3354" t="s">
        <v>14</v>
      </c>
      <c r="B3354" s="2">
        <v>45062</v>
      </c>
      <c r="C3354">
        <v>56.051555633544922</v>
      </c>
    </row>
    <row r="3355" spans="1:3" x14ac:dyDescent="0.2">
      <c r="A3355" t="s">
        <v>14</v>
      </c>
      <c r="B3355" s="2">
        <v>45063</v>
      </c>
      <c r="C3355">
        <v>56.729526519775391</v>
      </c>
    </row>
    <row r="3356" spans="1:3" x14ac:dyDescent="0.2">
      <c r="A3356" t="s">
        <v>14</v>
      </c>
      <c r="B3356" s="2">
        <v>45064</v>
      </c>
      <c r="C3356">
        <v>57.572406768798828</v>
      </c>
    </row>
    <row r="3357" spans="1:3" x14ac:dyDescent="0.2">
      <c r="A3357" t="s">
        <v>14</v>
      </c>
      <c r="B3357" s="2">
        <v>45065</v>
      </c>
      <c r="C3357">
        <v>57.966361999511719</v>
      </c>
    </row>
    <row r="3358" spans="1:3" x14ac:dyDescent="0.2">
      <c r="A3358" t="s">
        <v>14</v>
      </c>
      <c r="B3358" s="2">
        <v>45069</v>
      </c>
      <c r="C3358">
        <v>59.203205108642578</v>
      </c>
    </row>
    <row r="3359" spans="1:3" x14ac:dyDescent="0.2">
      <c r="A3359" t="s">
        <v>14</v>
      </c>
      <c r="B3359" s="2">
        <v>45070</v>
      </c>
      <c r="C3359">
        <v>58.552707672119141</v>
      </c>
    </row>
    <row r="3360" spans="1:3" x14ac:dyDescent="0.2">
      <c r="A3360" t="s">
        <v>14</v>
      </c>
      <c r="B3360" s="2">
        <v>45071</v>
      </c>
      <c r="C3360">
        <v>58.589359283447273</v>
      </c>
    </row>
    <row r="3361" spans="1:3" x14ac:dyDescent="0.2">
      <c r="A3361" t="s">
        <v>14</v>
      </c>
      <c r="B3361" s="2">
        <v>45072</v>
      </c>
      <c r="C3361">
        <v>58.626007080078118</v>
      </c>
    </row>
    <row r="3362" spans="1:3" x14ac:dyDescent="0.2">
      <c r="A3362" t="s">
        <v>14</v>
      </c>
      <c r="B3362" s="2">
        <v>45075</v>
      </c>
      <c r="C3362">
        <v>58.479423522949219</v>
      </c>
    </row>
    <row r="3363" spans="1:3" x14ac:dyDescent="0.2">
      <c r="A3363" t="s">
        <v>14</v>
      </c>
      <c r="B3363" s="2">
        <v>45076</v>
      </c>
      <c r="C3363">
        <v>58.067138671875</v>
      </c>
    </row>
    <row r="3364" spans="1:3" x14ac:dyDescent="0.2">
      <c r="A3364" t="s">
        <v>14</v>
      </c>
      <c r="B3364" s="2">
        <v>45077</v>
      </c>
      <c r="C3364">
        <v>56.454666137695312</v>
      </c>
    </row>
    <row r="3365" spans="1:3" x14ac:dyDescent="0.2">
      <c r="A3365" t="s">
        <v>14</v>
      </c>
      <c r="B3365" s="2">
        <v>45078</v>
      </c>
      <c r="C3365">
        <v>57.895606994628913</v>
      </c>
    </row>
    <row r="3366" spans="1:3" x14ac:dyDescent="0.2">
      <c r="A3366" t="s">
        <v>14</v>
      </c>
      <c r="B3366" s="2">
        <v>45079</v>
      </c>
      <c r="C3366">
        <v>59.521255493164062</v>
      </c>
    </row>
    <row r="3367" spans="1:3" x14ac:dyDescent="0.2">
      <c r="A3367" t="s">
        <v>14</v>
      </c>
      <c r="B3367" s="2">
        <v>45082</v>
      </c>
      <c r="C3367">
        <v>59.327281951904297</v>
      </c>
    </row>
    <row r="3368" spans="1:3" x14ac:dyDescent="0.2">
      <c r="A3368" t="s">
        <v>14</v>
      </c>
      <c r="B3368" s="2">
        <v>45083</v>
      </c>
      <c r="C3368">
        <v>60.241718292236328</v>
      </c>
    </row>
    <row r="3369" spans="1:3" x14ac:dyDescent="0.2">
      <c r="A3369" t="s">
        <v>14</v>
      </c>
      <c r="B3369" s="2">
        <v>45084</v>
      </c>
      <c r="C3369">
        <v>61.303939819335938</v>
      </c>
    </row>
    <row r="3370" spans="1:3" x14ac:dyDescent="0.2">
      <c r="A3370" t="s">
        <v>14</v>
      </c>
      <c r="B3370" s="2">
        <v>45085</v>
      </c>
      <c r="C3370">
        <v>61.202346801757812</v>
      </c>
    </row>
    <row r="3371" spans="1:3" x14ac:dyDescent="0.2">
      <c r="A3371" t="s">
        <v>14</v>
      </c>
      <c r="B3371" s="2">
        <v>45086</v>
      </c>
      <c r="C3371">
        <v>61.913555145263672</v>
      </c>
    </row>
    <row r="3372" spans="1:3" x14ac:dyDescent="0.2">
      <c r="A3372" t="s">
        <v>14</v>
      </c>
      <c r="B3372" s="2">
        <v>45089</v>
      </c>
      <c r="C3372">
        <v>60.832874298095703</v>
      </c>
    </row>
    <row r="3373" spans="1:3" x14ac:dyDescent="0.2">
      <c r="A3373" t="s">
        <v>14</v>
      </c>
      <c r="B3373" s="2">
        <v>45090</v>
      </c>
      <c r="C3373">
        <v>61.691890716552727</v>
      </c>
    </row>
    <row r="3374" spans="1:3" x14ac:dyDescent="0.2">
      <c r="A3374" t="s">
        <v>14</v>
      </c>
      <c r="B3374" s="2">
        <v>45091</v>
      </c>
      <c r="C3374">
        <v>61.137672424316413</v>
      </c>
    </row>
    <row r="3375" spans="1:3" x14ac:dyDescent="0.2">
      <c r="A3375" t="s">
        <v>14</v>
      </c>
      <c r="B3375" s="2">
        <v>45092</v>
      </c>
      <c r="C3375">
        <v>61.14691162109375</v>
      </c>
    </row>
    <row r="3376" spans="1:3" x14ac:dyDescent="0.2">
      <c r="A3376" t="s">
        <v>14</v>
      </c>
      <c r="B3376" s="2">
        <v>45093</v>
      </c>
      <c r="C3376">
        <v>60.398738861083977</v>
      </c>
    </row>
    <row r="3377" spans="1:3" x14ac:dyDescent="0.2">
      <c r="A3377" t="s">
        <v>14</v>
      </c>
      <c r="B3377" s="2">
        <v>45096</v>
      </c>
      <c r="C3377">
        <v>60.223239898681641</v>
      </c>
    </row>
    <row r="3378" spans="1:3" x14ac:dyDescent="0.2">
      <c r="A3378" t="s">
        <v>14</v>
      </c>
      <c r="B3378" s="2">
        <v>45097</v>
      </c>
      <c r="C3378">
        <v>59.752166748046882</v>
      </c>
    </row>
    <row r="3379" spans="1:3" x14ac:dyDescent="0.2">
      <c r="A3379" t="s">
        <v>14</v>
      </c>
      <c r="B3379" s="2">
        <v>45098</v>
      </c>
      <c r="C3379">
        <v>60.703556060791023</v>
      </c>
    </row>
    <row r="3380" spans="1:3" x14ac:dyDescent="0.2">
      <c r="A3380" t="s">
        <v>14</v>
      </c>
      <c r="B3380" s="2">
        <v>45099</v>
      </c>
      <c r="C3380">
        <v>59.419654846191413</v>
      </c>
    </row>
    <row r="3381" spans="1:3" x14ac:dyDescent="0.2">
      <c r="A3381" t="s">
        <v>14</v>
      </c>
      <c r="B3381" s="2">
        <v>45100</v>
      </c>
      <c r="C3381">
        <v>58.542167663574219</v>
      </c>
    </row>
    <row r="3382" spans="1:3" x14ac:dyDescent="0.2">
      <c r="A3382" t="s">
        <v>14</v>
      </c>
      <c r="B3382" s="2">
        <v>45103</v>
      </c>
      <c r="C3382">
        <v>60.795917510986328</v>
      </c>
    </row>
    <row r="3383" spans="1:3" x14ac:dyDescent="0.2">
      <c r="A3383" t="s">
        <v>14</v>
      </c>
      <c r="B3383" s="2">
        <v>45104</v>
      </c>
      <c r="C3383">
        <v>60.675849914550781</v>
      </c>
    </row>
    <row r="3384" spans="1:3" x14ac:dyDescent="0.2">
      <c r="A3384" t="s">
        <v>14</v>
      </c>
      <c r="B3384" s="2">
        <v>45105</v>
      </c>
      <c r="C3384">
        <v>61.682643890380859</v>
      </c>
    </row>
    <row r="3385" spans="1:3" x14ac:dyDescent="0.2">
      <c r="A3385" t="s">
        <v>14</v>
      </c>
      <c r="B3385" s="2">
        <v>45106</v>
      </c>
      <c r="C3385">
        <v>62.347686767578118</v>
      </c>
    </row>
    <row r="3386" spans="1:3" x14ac:dyDescent="0.2">
      <c r="A3386" t="s">
        <v>14</v>
      </c>
      <c r="B3386" s="2">
        <v>45107</v>
      </c>
      <c r="C3386">
        <v>62.606304168701172</v>
      </c>
    </row>
    <row r="3387" spans="1:3" x14ac:dyDescent="0.2">
      <c r="A3387" t="s">
        <v>14</v>
      </c>
      <c r="B3387" s="2">
        <v>45111</v>
      </c>
      <c r="C3387">
        <v>62.920360565185547</v>
      </c>
    </row>
    <row r="3388" spans="1:3" x14ac:dyDescent="0.2">
      <c r="A3388" t="s">
        <v>14</v>
      </c>
      <c r="B3388" s="2">
        <v>45112</v>
      </c>
      <c r="C3388">
        <v>62.846466064453118</v>
      </c>
    </row>
    <row r="3389" spans="1:3" x14ac:dyDescent="0.2">
      <c r="A3389" t="s">
        <v>14</v>
      </c>
      <c r="B3389" s="2">
        <v>45113</v>
      </c>
      <c r="C3389">
        <v>60.601943969726562</v>
      </c>
    </row>
    <row r="3390" spans="1:3" x14ac:dyDescent="0.2">
      <c r="A3390" t="s">
        <v>14</v>
      </c>
      <c r="B3390" s="2">
        <v>45114</v>
      </c>
      <c r="C3390">
        <v>60.426445007324219</v>
      </c>
    </row>
    <row r="3391" spans="1:3" x14ac:dyDescent="0.2">
      <c r="A3391" t="s">
        <v>14</v>
      </c>
      <c r="B3391" s="2">
        <v>45117</v>
      </c>
      <c r="C3391">
        <v>59.641334533691413</v>
      </c>
    </row>
    <row r="3392" spans="1:3" x14ac:dyDescent="0.2">
      <c r="A3392" t="s">
        <v>14</v>
      </c>
      <c r="B3392" s="2">
        <v>45118</v>
      </c>
      <c r="C3392">
        <v>60.601943969726562</v>
      </c>
    </row>
    <row r="3393" spans="1:3" x14ac:dyDescent="0.2">
      <c r="A3393" t="s">
        <v>14</v>
      </c>
      <c r="B3393" s="2">
        <v>45119</v>
      </c>
      <c r="C3393">
        <v>59.863006591796882</v>
      </c>
    </row>
    <row r="3394" spans="1:3" x14ac:dyDescent="0.2">
      <c r="A3394" t="s">
        <v>14</v>
      </c>
      <c r="B3394" s="2">
        <v>45120</v>
      </c>
      <c r="C3394">
        <v>60.749725341796882</v>
      </c>
    </row>
    <row r="3395" spans="1:3" x14ac:dyDescent="0.2">
      <c r="A3395" t="s">
        <v>14</v>
      </c>
      <c r="B3395" s="2">
        <v>45121</v>
      </c>
      <c r="C3395">
        <v>59.807594299316413</v>
      </c>
    </row>
    <row r="3396" spans="1:3" x14ac:dyDescent="0.2">
      <c r="A3396" t="s">
        <v>14</v>
      </c>
      <c r="B3396" s="2">
        <v>45124</v>
      </c>
      <c r="C3396">
        <v>59.364227294921882</v>
      </c>
    </row>
    <row r="3397" spans="1:3" x14ac:dyDescent="0.2">
      <c r="A3397" t="s">
        <v>14</v>
      </c>
      <c r="B3397" s="2">
        <v>45125</v>
      </c>
      <c r="C3397">
        <v>59.964622497558587</v>
      </c>
    </row>
    <row r="3398" spans="1:3" x14ac:dyDescent="0.2">
      <c r="A3398" t="s">
        <v>14</v>
      </c>
      <c r="B3398" s="2">
        <v>45126</v>
      </c>
      <c r="C3398">
        <v>59.040939331054688</v>
      </c>
    </row>
    <row r="3399" spans="1:3" x14ac:dyDescent="0.2">
      <c r="A3399" t="s">
        <v>14</v>
      </c>
      <c r="B3399" s="2">
        <v>45127</v>
      </c>
      <c r="C3399">
        <v>60.269424438476562</v>
      </c>
    </row>
    <row r="3400" spans="1:3" x14ac:dyDescent="0.2">
      <c r="A3400" t="s">
        <v>14</v>
      </c>
      <c r="B3400" s="2">
        <v>45128</v>
      </c>
      <c r="C3400">
        <v>62.042873382568359</v>
      </c>
    </row>
    <row r="3401" spans="1:3" x14ac:dyDescent="0.2">
      <c r="A3401" t="s">
        <v>14</v>
      </c>
      <c r="B3401" s="2">
        <v>45131</v>
      </c>
      <c r="C3401">
        <v>63.714714050292969</v>
      </c>
    </row>
    <row r="3402" spans="1:3" x14ac:dyDescent="0.2">
      <c r="A3402" t="s">
        <v>14</v>
      </c>
      <c r="B3402" s="2">
        <v>45132</v>
      </c>
      <c r="C3402">
        <v>63.566932678222663</v>
      </c>
    </row>
    <row r="3403" spans="1:3" x14ac:dyDescent="0.2">
      <c r="A3403" t="s">
        <v>14</v>
      </c>
      <c r="B3403" s="2">
        <v>45133</v>
      </c>
      <c r="C3403">
        <v>63.622341156005859</v>
      </c>
    </row>
    <row r="3404" spans="1:3" x14ac:dyDescent="0.2">
      <c r="A3404" t="s">
        <v>14</v>
      </c>
      <c r="B3404" s="2">
        <v>45134</v>
      </c>
      <c r="C3404">
        <v>63.040435791015618</v>
      </c>
    </row>
    <row r="3405" spans="1:3" x14ac:dyDescent="0.2">
      <c r="A3405" t="s">
        <v>14</v>
      </c>
      <c r="B3405" s="2">
        <v>45135</v>
      </c>
      <c r="C3405">
        <v>66.162429809570312</v>
      </c>
    </row>
    <row r="3406" spans="1:3" x14ac:dyDescent="0.2">
      <c r="A3406" t="s">
        <v>14</v>
      </c>
      <c r="B3406" s="2">
        <v>45138</v>
      </c>
      <c r="C3406">
        <v>65.617477416992188</v>
      </c>
    </row>
    <row r="3407" spans="1:3" x14ac:dyDescent="0.2">
      <c r="A3407" t="s">
        <v>14</v>
      </c>
      <c r="B3407" s="2">
        <v>45139</v>
      </c>
      <c r="C3407">
        <v>65.635940551757812</v>
      </c>
    </row>
    <row r="3408" spans="1:3" x14ac:dyDescent="0.2">
      <c r="A3408" t="s">
        <v>14</v>
      </c>
      <c r="B3408" s="2">
        <v>45140</v>
      </c>
      <c r="C3408">
        <v>64.416709899902344</v>
      </c>
    </row>
    <row r="3409" spans="1:3" x14ac:dyDescent="0.2">
      <c r="A3409" t="s">
        <v>14</v>
      </c>
      <c r="B3409" s="2">
        <v>45141</v>
      </c>
      <c r="C3409">
        <v>64.619911193847656</v>
      </c>
    </row>
    <row r="3410" spans="1:3" x14ac:dyDescent="0.2">
      <c r="A3410" t="s">
        <v>14</v>
      </c>
      <c r="B3410" s="2">
        <v>45142</v>
      </c>
      <c r="C3410">
        <v>65.68212890625</v>
      </c>
    </row>
    <row r="3411" spans="1:3" x14ac:dyDescent="0.2">
      <c r="A3411" t="s">
        <v>14</v>
      </c>
      <c r="B3411" s="2">
        <v>45146</v>
      </c>
      <c r="C3411">
        <v>66.97528076171875</v>
      </c>
    </row>
    <row r="3412" spans="1:3" x14ac:dyDescent="0.2">
      <c r="A3412" t="s">
        <v>14</v>
      </c>
      <c r="B3412" s="2">
        <v>45147</v>
      </c>
      <c r="C3412">
        <v>67.224655151367188</v>
      </c>
    </row>
    <row r="3413" spans="1:3" x14ac:dyDescent="0.2">
      <c r="A3413" t="s">
        <v>14</v>
      </c>
      <c r="B3413" s="2">
        <v>45148</v>
      </c>
      <c r="C3413">
        <v>67.889694213867188</v>
      </c>
    </row>
    <row r="3414" spans="1:3" x14ac:dyDescent="0.2">
      <c r="A3414" t="s">
        <v>14</v>
      </c>
      <c r="B3414" s="2">
        <v>45149</v>
      </c>
      <c r="C3414">
        <v>68.924217224121094</v>
      </c>
    </row>
    <row r="3415" spans="1:3" x14ac:dyDescent="0.2">
      <c r="A3415" t="s">
        <v>14</v>
      </c>
      <c r="B3415" s="2">
        <v>45152</v>
      </c>
      <c r="C3415">
        <v>68.720993041992188</v>
      </c>
    </row>
    <row r="3416" spans="1:3" x14ac:dyDescent="0.2">
      <c r="A3416" t="s">
        <v>14</v>
      </c>
      <c r="B3416" s="2">
        <v>45153</v>
      </c>
      <c r="C3416">
        <v>67.464820861816406</v>
      </c>
    </row>
    <row r="3417" spans="1:3" x14ac:dyDescent="0.2">
      <c r="A3417" t="s">
        <v>14</v>
      </c>
      <c r="B3417" s="2">
        <v>45154</v>
      </c>
      <c r="C3417">
        <v>67.852760314941406</v>
      </c>
    </row>
    <row r="3418" spans="1:3" x14ac:dyDescent="0.2">
      <c r="A3418" t="s">
        <v>14</v>
      </c>
      <c r="B3418" s="2">
        <v>45155</v>
      </c>
      <c r="C3418">
        <v>69.367568969726562</v>
      </c>
    </row>
    <row r="3419" spans="1:3" x14ac:dyDescent="0.2">
      <c r="A3419" t="s">
        <v>14</v>
      </c>
      <c r="B3419" s="2">
        <v>45156</v>
      </c>
      <c r="C3419">
        <v>70.309707641601562</v>
      </c>
    </row>
    <row r="3420" spans="1:3" x14ac:dyDescent="0.2">
      <c r="A3420" t="s">
        <v>14</v>
      </c>
      <c r="B3420" s="2">
        <v>45159</v>
      </c>
      <c r="C3420">
        <v>69.96795654296875</v>
      </c>
    </row>
    <row r="3421" spans="1:3" x14ac:dyDescent="0.2">
      <c r="A3421" t="s">
        <v>14</v>
      </c>
      <c r="B3421" s="2">
        <v>45160</v>
      </c>
      <c r="C3421">
        <v>69.570785522460938</v>
      </c>
    </row>
    <row r="3422" spans="1:3" x14ac:dyDescent="0.2">
      <c r="A3422" t="s">
        <v>14</v>
      </c>
      <c r="B3422" s="2">
        <v>45161</v>
      </c>
      <c r="C3422">
        <v>69.229019165039062</v>
      </c>
    </row>
    <row r="3423" spans="1:3" x14ac:dyDescent="0.2">
      <c r="A3423" t="s">
        <v>14</v>
      </c>
      <c r="B3423" s="2">
        <v>45162</v>
      </c>
      <c r="C3423">
        <v>68.628639221191406</v>
      </c>
    </row>
    <row r="3424" spans="1:3" x14ac:dyDescent="0.2">
      <c r="A3424" t="s">
        <v>14</v>
      </c>
      <c r="B3424" s="2">
        <v>45163</v>
      </c>
      <c r="C3424">
        <v>69.302925109863281</v>
      </c>
    </row>
    <row r="3425" spans="1:3" x14ac:dyDescent="0.2">
      <c r="A3425" t="s">
        <v>14</v>
      </c>
      <c r="B3425" s="2">
        <v>45166</v>
      </c>
      <c r="C3425">
        <v>69.99566650390625</v>
      </c>
    </row>
    <row r="3426" spans="1:3" x14ac:dyDescent="0.2">
      <c r="A3426" t="s">
        <v>14</v>
      </c>
      <c r="B3426" s="2">
        <v>45167</v>
      </c>
      <c r="C3426">
        <v>70.77154541015625</v>
      </c>
    </row>
    <row r="3427" spans="1:3" x14ac:dyDescent="0.2">
      <c r="A3427" t="s">
        <v>14</v>
      </c>
      <c r="B3427" s="2">
        <v>45168</v>
      </c>
      <c r="C3427">
        <v>71.344230651855469</v>
      </c>
    </row>
    <row r="3428" spans="1:3" x14ac:dyDescent="0.2">
      <c r="A3428" t="s">
        <v>14</v>
      </c>
      <c r="B3428" s="2">
        <v>45169</v>
      </c>
      <c r="C3428">
        <v>71.334938049316406</v>
      </c>
    </row>
    <row r="3429" spans="1:3" x14ac:dyDescent="0.2">
      <c r="A3429" t="s">
        <v>14</v>
      </c>
      <c r="B3429" s="2">
        <v>45170</v>
      </c>
      <c r="C3429">
        <v>73.2686767578125</v>
      </c>
    </row>
    <row r="3430" spans="1:3" x14ac:dyDescent="0.2">
      <c r="A3430" t="s">
        <v>14</v>
      </c>
      <c r="B3430" s="2">
        <v>45174</v>
      </c>
      <c r="C3430">
        <v>73.250083923339844</v>
      </c>
    </row>
    <row r="3431" spans="1:3" x14ac:dyDescent="0.2">
      <c r="A3431" t="s">
        <v>14</v>
      </c>
      <c r="B3431" s="2">
        <v>45175</v>
      </c>
      <c r="C3431">
        <v>73.594062805175781</v>
      </c>
    </row>
    <row r="3432" spans="1:3" x14ac:dyDescent="0.2">
      <c r="A3432" t="s">
        <v>14</v>
      </c>
      <c r="B3432" s="2">
        <v>45176</v>
      </c>
      <c r="C3432">
        <v>73.175697326660156</v>
      </c>
    </row>
    <row r="3433" spans="1:3" x14ac:dyDescent="0.2">
      <c r="A3433" t="s">
        <v>14</v>
      </c>
      <c r="B3433" s="2">
        <v>45177</v>
      </c>
      <c r="C3433">
        <v>73.454627990722656</v>
      </c>
    </row>
    <row r="3434" spans="1:3" x14ac:dyDescent="0.2">
      <c r="A3434" t="s">
        <v>14</v>
      </c>
      <c r="B3434" s="2">
        <v>45180</v>
      </c>
      <c r="C3434">
        <v>72.692268371582031</v>
      </c>
    </row>
    <row r="3435" spans="1:3" x14ac:dyDescent="0.2">
      <c r="A3435" t="s">
        <v>14</v>
      </c>
      <c r="B3435" s="2">
        <v>45181</v>
      </c>
      <c r="C3435">
        <v>73.780006408691406</v>
      </c>
    </row>
    <row r="3436" spans="1:3" x14ac:dyDescent="0.2">
      <c r="A3436" t="s">
        <v>14</v>
      </c>
      <c r="B3436" s="2">
        <v>45182</v>
      </c>
      <c r="C3436">
        <v>73.175697326660156</v>
      </c>
    </row>
    <row r="3437" spans="1:3" x14ac:dyDescent="0.2">
      <c r="A3437" t="s">
        <v>14</v>
      </c>
      <c r="B3437" s="2">
        <v>45183</v>
      </c>
      <c r="C3437">
        <v>75.10015869140625</v>
      </c>
    </row>
    <row r="3438" spans="1:3" x14ac:dyDescent="0.2">
      <c r="A3438" t="s">
        <v>14</v>
      </c>
      <c r="B3438" s="2">
        <v>45184</v>
      </c>
      <c r="C3438">
        <v>74.402885437011719</v>
      </c>
    </row>
    <row r="3439" spans="1:3" x14ac:dyDescent="0.2">
      <c r="A3439" t="s">
        <v>14</v>
      </c>
      <c r="B3439" s="2">
        <v>45187</v>
      </c>
      <c r="C3439">
        <v>73.696334838867188</v>
      </c>
    </row>
    <row r="3440" spans="1:3" x14ac:dyDescent="0.2">
      <c r="A3440" t="s">
        <v>14</v>
      </c>
      <c r="B3440" s="2">
        <v>45188</v>
      </c>
      <c r="C3440">
        <v>73.101325988769531</v>
      </c>
    </row>
    <row r="3441" spans="1:3" x14ac:dyDescent="0.2">
      <c r="A3441" t="s">
        <v>14</v>
      </c>
      <c r="B3441" s="2">
        <v>45189</v>
      </c>
      <c r="C3441">
        <v>72.757354736328125</v>
      </c>
    </row>
    <row r="3442" spans="1:3" x14ac:dyDescent="0.2">
      <c r="A3442" t="s">
        <v>14</v>
      </c>
      <c r="B3442" s="2">
        <v>45190</v>
      </c>
      <c r="C3442">
        <v>72.36688232421875</v>
      </c>
    </row>
    <row r="3443" spans="1:3" x14ac:dyDescent="0.2">
      <c r="A3443" t="s">
        <v>14</v>
      </c>
      <c r="B3443" s="2">
        <v>45191</v>
      </c>
      <c r="C3443">
        <v>73.231491088867188</v>
      </c>
    </row>
    <row r="3444" spans="1:3" x14ac:dyDescent="0.2">
      <c r="A3444" t="s">
        <v>14</v>
      </c>
      <c r="B3444" s="2">
        <v>45194</v>
      </c>
      <c r="C3444">
        <v>75.444145202636719</v>
      </c>
    </row>
    <row r="3445" spans="1:3" x14ac:dyDescent="0.2">
      <c r="A3445" t="s">
        <v>14</v>
      </c>
      <c r="B3445" s="2">
        <v>45195</v>
      </c>
      <c r="C3445">
        <v>75.890388488769531</v>
      </c>
    </row>
    <row r="3446" spans="1:3" x14ac:dyDescent="0.2">
      <c r="A3446" t="s">
        <v>14</v>
      </c>
      <c r="B3446" s="2">
        <v>45196</v>
      </c>
      <c r="C3446">
        <v>78.409858703613281</v>
      </c>
    </row>
    <row r="3447" spans="1:3" x14ac:dyDescent="0.2">
      <c r="A3447" t="s">
        <v>14</v>
      </c>
      <c r="B3447" s="2">
        <v>45197</v>
      </c>
      <c r="C3447">
        <v>78.075172424316406</v>
      </c>
    </row>
    <row r="3448" spans="1:3" x14ac:dyDescent="0.2">
      <c r="A3448" t="s">
        <v>14</v>
      </c>
      <c r="B3448" s="2">
        <v>45198</v>
      </c>
      <c r="C3448">
        <v>77.777671813964844</v>
      </c>
    </row>
    <row r="3449" spans="1:3" x14ac:dyDescent="0.2">
      <c r="A3449" t="s">
        <v>14</v>
      </c>
      <c r="B3449" s="2">
        <v>45201</v>
      </c>
      <c r="C3449">
        <v>76.141410827636719</v>
      </c>
    </row>
    <row r="3450" spans="1:3" x14ac:dyDescent="0.2">
      <c r="A3450" t="s">
        <v>14</v>
      </c>
      <c r="B3450" s="2">
        <v>45202</v>
      </c>
      <c r="C3450">
        <v>76.029838562011719</v>
      </c>
    </row>
    <row r="3451" spans="1:3" x14ac:dyDescent="0.2">
      <c r="A3451" t="s">
        <v>14</v>
      </c>
      <c r="B3451" s="2">
        <v>45203</v>
      </c>
      <c r="C3451">
        <v>73.082733154296875</v>
      </c>
    </row>
    <row r="3452" spans="1:3" x14ac:dyDescent="0.2">
      <c r="A3452" t="s">
        <v>14</v>
      </c>
      <c r="B3452" s="2">
        <v>45204</v>
      </c>
      <c r="C3452">
        <v>72.301788330078125</v>
      </c>
    </row>
    <row r="3453" spans="1:3" x14ac:dyDescent="0.2">
      <c r="A3453" t="s">
        <v>14</v>
      </c>
      <c r="B3453" s="2">
        <v>45205</v>
      </c>
      <c r="C3453">
        <v>72.831718444824219</v>
      </c>
    </row>
    <row r="3454" spans="1:3" x14ac:dyDescent="0.2">
      <c r="A3454" t="s">
        <v>14</v>
      </c>
      <c r="B3454" s="2">
        <v>45209</v>
      </c>
      <c r="C3454">
        <v>76.178596496582031</v>
      </c>
    </row>
    <row r="3455" spans="1:3" x14ac:dyDescent="0.2">
      <c r="A3455" t="s">
        <v>14</v>
      </c>
      <c r="B3455" s="2">
        <v>45210</v>
      </c>
      <c r="C3455">
        <v>76.187889099121094</v>
      </c>
    </row>
    <row r="3456" spans="1:3" x14ac:dyDescent="0.2">
      <c r="A3456" t="s">
        <v>14</v>
      </c>
      <c r="B3456" s="2">
        <v>45211</v>
      </c>
      <c r="C3456">
        <v>77.275619506835938</v>
      </c>
    </row>
    <row r="3457" spans="1:3" x14ac:dyDescent="0.2">
      <c r="A3457" t="s">
        <v>14</v>
      </c>
      <c r="B3457" s="2">
        <v>45212</v>
      </c>
      <c r="C3457">
        <v>77.154762268066406</v>
      </c>
    </row>
    <row r="3458" spans="1:3" x14ac:dyDescent="0.2">
      <c r="A3458" t="s">
        <v>14</v>
      </c>
      <c r="B3458" s="2">
        <v>45215</v>
      </c>
      <c r="C3458">
        <v>77.238449096679688</v>
      </c>
    </row>
    <row r="3459" spans="1:3" x14ac:dyDescent="0.2">
      <c r="A3459" t="s">
        <v>14</v>
      </c>
      <c r="B3459" s="2">
        <v>45216</v>
      </c>
      <c r="C3459">
        <v>77.470863342285156</v>
      </c>
    </row>
    <row r="3460" spans="1:3" x14ac:dyDescent="0.2">
      <c r="A3460" t="s">
        <v>14</v>
      </c>
      <c r="B3460" s="2">
        <v>45217</v>
      </c>
      <c r="C3460">
        <v>77.759063720703125</v>
      </c>
    </row>
    <row r="3461" spans="1:3" x14ac:dyDescent="0.2">
      <c r="A3461" t="s">
        <v>14</v>
      </c>
      <c r="B3461" s="2">
        <v>45218</v>
      </c>
      <c r="C3461">
        <v>77.703292846679688</v>
      </c>
    </row>
    <row r="3462" spans="1:3" x14ac:dyDescent="0.2">
      <c r="A3462" t="s">
        <v>14</v>
      </c>
      <c r="B3462" s="2">
        <v>45219</v>
      </c>
      <c r="C3462">
        <v>76.262260437011719</v>
      </c>
    </row>
    <row r="3463" spans="1:3" x14ac:dyDescent="0.2">
      <c r="A3463" t="s">
        <v>14</v>
      </c>
      <c r="B3463" s="2">
        <v>45222</v>
      </c>
      <c r="C3463">
        <v>74.737594604492188</v>
      </c>
    </row>
    <row r="3464" spans="1:3" x14ac:dyDescent="0.2">
      <c r="A3464" t="s">
        <v>14</v>
      </c>
      <c r="B3464" s="2">
        <v>45223</v>
      </c>
      <c r="C3464">
        <v>73.845062255859375</v>
      </c>
    </row>
    <row r="3465" spans="1:3" x14ac:dyDescent="0.2">
      <c r="A3465" t="s">
        <v>14</v>
      </c>
      <c r="B3465" s="2">
        <v>45224</v>
      </c>
      <c r="C3465">
        <v>75.165245056152344</v>
      </c>
    </row>
    <row r="3466" spans="1:3" x14ac:dyDescent="0.2">
      <c r="A3466" t="s">
        <v>14</v>
      </c>
      <c r="B3466" s="2">
        <v>45225</v>
      </c>
      <c r="C3466">
        <v>75.583610534667969</v>
      </c>
    </row>
    <row r="3467" spans="1:3" x14ac:dyDescent="0.2">
      <c r="A3467" t="s">
        <v>14</v>
      </c>
      <c r="B3467" s="2">
        <v>45226</v>
      </c>
      <c r="C3467">
        <v>74.133277893066406</v>
      </c>
    </row>
    <row r="3468" spans="1:3" x14ac:dyDescent="0.2">
      <c r="A3468" t="s">
        <v>14</v>
      </c>
      <c r="B3468" s="2">
        <v>45229</v>
      </c>
      <c r="C3468">
        <v>74.282035827636719</v>
      </c>
    </row>
    <row r="3469" spans="1:3" x14ac:dyDescent="0.2">
      <c r="A3469" t="s">
        <v>14</v>
      </c>
      <c r="B3469" s="2">
        <v>45230</v>
      </c>
      <c r="C3469">
        <v>73.473190307617188</v>
      </c>
    </row>
    <row r="3470" spans="1:3" x14ac:dyDescent="0.2">
      <c r="A3470" t="s">
        <v>14</v>
      </c>
      <c r="B3470" s="2">
        <v>45231</v>
      </c>
      <c r="C3470">
        <v>74.756179809570312</v>
      </c>
    </row>
    <row r="3471" spans="1:3" x14ac:dyDescent="0.2">
      <c r="A3471" t="s">
        <v>14</v>
      </c>
      <c r="B3471" s="2">
        <v>45232</v>
      </c>
      <c r="C3471">
        <v>74.802658081054688</v>
      </c>
    </row>
    <row r="3472" spans="1:3" x14ac:dyDescent="0.2">
      <c r="A3472" t="s">
        <v>14</v>
      </c>
      <c r="B3472" s="2">
        <v>45233</v>
      </c>
      <c r="C3472">
        <v>72.980476379394531</v>
      </c>
    </row>
    <row r="3473" spans="1:3" x14ac:dyDescent="0.2">
      <c r="A3473" t="s">
        <v>14</v>
      </c>
      <c r="B3473" s="2">
        <v>45236</v>
      </c>
      <c r="C3473">
        <v>72.961875915527344</v>
      </c>
    </row>
    <row r="3474" spans="1:3" x14ac:dyDescent="0.2">
      <c r="A3474" t="s">
        <v>14</v>
      </c>
      <c r="B3474" s="2">
        <v>45237</v>
      </c>
      <c r="C3474">
        <v>71.520866394042969</v>
      </c>
    </row>
    <row r="3475" spans="1:3" x14ac:dyDescent="0.2">
      <c r="A3475" t="s">
        <v>14</v>
      </c>
      <c r="B3475" s="2">
        <v>45238</v>
      </c>
      <c r="C3475">
        <v>70.209991455078125</v>
      </c>
    </row>
    <row r="3476" spans="1:3" x14ac:dyDescent="0.2">
      <c r="A3476" t="s">
        <v>14</v>
      </c>
      <c r="B3476" s="2">
        <v>45239</v>
      </c>
      <c r="C3476">
        <v>70.275070190429688</v>
      </c>
    </row>
    <row r="3477" spans="1:3" x14ac:dyDescent="0.2">
      <c r="A3477" t="s">
        <v>14</v>
      </c>
      <c r="B3477" s="2">
        <v>45240</v>
      </c>
      <c r="C3477">
        <v>71.846237182617188</v>
      </c>
    </row>
    <row r="3478" spans="1:3" x14ac:dyDescent="0.2">
      <c r="A3478" t="s">
        <v>14</v>
      </c>
      <c r="B3478" s="2">
        <v>45243</v>
      </c>
      <c r="C3478">
        <v>72.841011047363281</v>
      </c>
    </row>
    <row r="3479" spans="1:3" x14ac:dyDescent="0.2">
      <c r="A3479" t="s">
        <v>14</v>
      </c>
      <c r="B3479" s="2">
        <v>45244</v>
      </c>
      <c r="C3479">
        <v>72.329696655273438</v>
      </c>
    </row>
    <row r="3480" spans="1:3" x14ac:dyDescent="0.2">
      <c r="A3480" t="s">
        <v>14</v>
      </c>
      <c r="B3480" s="2">
        <v>45245</v>
      </c>
      <c r="C3480">
        <v>71.678909301757812</v>
      </c>
    </row>
    <row r="3481" spans="1:3" x14ac:dyDescent="0.2">
      <c r="A3481" t="s">
        <v>14</v>
      </c>
      <c r="B3481" s="2">
        <v>45246</v>
      </c>
      <c r="C3481">
        <v>71.093215942382812</v>
      </c>
    </row>
    <row r="3482" spans="1:3" x14ac:dyDescent="0.2">
      <c r="A3482" t="s">
        <v>14</v>
      </c>
      <c r="B3482" s="2">
        <v>45247</v>
      </c>
      <c r="C3482">
        <v>73.547569274902344</v>
      </c>
    </row>
    <row r="3483" spans="1:3" x14ac:dyDescent="0.2">
      <c r="A3483" t="s">
        <v>14</v>
      </c>
      <c r="B3483" s="2">
        <v>45250</v>
      </c>
      <c r="C3483">
        <v>73.687034606933594</v>
      </c>
    </row>
    <row r="3484" spans="1:3" x14ac:dyDescent="0.2">
      <c r="A3484" t="s">
        <v>14</v>
      </c>
      <c r="B3484" s="2">
        <v>45251</v>
      </c>
      <c r="C3484">
        <v>73.333755493164062</v>
      </c>
    </row>
    <row r="3485" spans="1:3" x14ac:dyDescent="0.2">
      <c r="A3485" t="s">
        <v>14</v>
      </c>
      <c r="B3485" s="2">
        <v>45252</v>
      </c>
      <c r="C3485">
        <v>72.534217834472656</v>
      </c>
    </row>
    <row r="3486" spans="1:3" x14ac:dyDescent="0.2">
      <c r="A3486" t="s">
        <v>14</v>
      </c>
      <c r="B3486" s="2">
        <v>45253</v>
      </c>
      <c r="C3486">
        <v>73.259361267089844</v>
      </c>
    </row>
    <row r="3487" spans="1:3" x14ac:dyDescent="0.2">
      <c r="A3487" t="s">
        <v>14</v>
      </c>
      <c r="B3487" s="2">
        <v>45254</v>
      </c>
      <c r="C3487">
        <v>73.324478149414062</v>
      </c>
    </row>
    <row r="3488" spans="1:3" x14ac:dyDescent="0.2">
      <c r="A3488" t="s">
        <v>14</v>
      </c>
      <c r="B3488" s="2">
        <v>45257</v>
      </c>
      <c r="C3488">
        <v>72.664390563964844</v>
      </c>
    </row>
    <row r="3489" spans="1:3" x14ac:dyDescent="0.2">
      <c r="A3489" t="s">
        <v>14</v>
      </c>
      <c r="B3489" s="2">
        <v>45258</v>
      </c>
      <c r="C3489">
        <v>72.961875915527344</v>
      </c>
    </row>
    <row r="3490" spans="1:3" x14ac:dyDescent="0.2">
      <c r="A3490" t="s">
        <v>14</v>
      </c>
      <c r="B3490" s="2">
        <v>45259</v>
      </c>
      <c r="C3490">
        <v>72.729446411132812</v>
      </c>
    </row>
    <row r="3491" spans="1:3" x14ac:dyDescent="0.2">
      <c r="A3491" t="s">
        <v>14</v>
      </c>
      <c r="B3491" s="2">
        <v>45260</v>
      </c>
      <c r="C3491">
        <v>71.531791687011719</v>
      </c>
    </row>
    <row r="3492" spans="1:3" x14ac:dyDescent="0.2">
      <c r="A3492" t="s">
        <v>14</v>
      </c>
      <c r="B3492" s="2">
        <v>45261</v>
      </c>
      <c r="C3492">
        <v>72.130615234375</v>
      </c>
    </row>
    <row r="3493" spans="1:3" x14ac:dyDescent="0.2">
      <c r="A3493" t="s">
        <v>14</v>
      </c>
      <c r="B3493" s="2">
        <v>45264</v>
      </c>
      <c r="C3493">
        <v>72.158699035644531</v>
      </c>
    </row>
    <row r="3494" spans="1:3" x14ac:dyDescent="0.2">
      <c r="A3494" t="s">
        <v>14</v>
      </c>
      <c r="B3494" s="2">
        <v>45265</v>
      </c>
      <c r="C3494">
        <v>71.90606689453125</v>
      </c>
    </row>
    <row r="3495" spans="1:3" x14ac:dyDescent="0.2">
      <c r="A3495" t="s">
        <v>14</v>
      </c>
      <c r="B3495" s="2">
        <v>45266</v>
      </c>
      <c r="C3495">
        <v>70.053459167480469</v>
      </c>
    </row>
    <row r="3496" spans="1:3" x14ac:dyDescent="0.2">
      <c r="A3496" t="s">
        <v>14</v>
      </c>
      <c r="B3496" s="2">
        <v>45267</v>
      </c>
      <c r="C3496">
        <v>68.069831848144531</v>
      </c>
    </row>
    <row r="3497" spans="1:3" x14ac:dyDescent="0.2">
      <c r="A3497" t="s">
        <v>14</v>
      </c>
      <c r="B3497" s="2">
        <v>45268</v>
      </c>
      <c r="C3497">
        <v>70.474502563476562</v>
      </c>
    </row>
    <row r="3498" spans="1:3" x14ac:dyDescent="0.2">
      <c r="A3498" t="s">
        <v>14</v>
      </c>
      <c r="B3498" s="2">
        <v>45271</v>
      </c>
      <c r="C3498">
        <v>68.996139526367188</v>
      </c>
    </row>
    <row r="3499" spans="1:3" x14ac:dyDescent="0.2">
      <c r="A3499" t="s">
        <v>14</v>
      </c>
      <c r="B3499" s="2">
        <v>45272</v>
      </c>
      <c r="C3499">
        <v>68.032402038574219</v>
      </c>
    </row>
    <row r="3500" spans="1:3" x14ac:dyDescent="0.2">
      <c r="A3500" t="s">
        <v>14</v>
      </c>
      <c r="B3500" s="2">
        <v>45273</v>
      </c>
      <c r="C3500">
        <v>69.145835876464844</v>
      </c>
    </row>
    <row r="3501" spans="1:3" x14ac:dyDescent="0.2">
      <c r="A3501" t="s">
        <v>14</v>
      </c>
      <c r="B3501" s="2">
        <v>45274</v>
      </c>
      <c r="C3501">
        <v>70.8768310546875</v>
      </c>
    </row>
    <row r="3502" spans="1:3" x14ac:dyDescent="0.2">
      <c r="A3502" t="s">
        <v>14</v>
      </c>
      <c r="B3502" s="2">
        <v>45275</v>
      </c>
      <c r="C3502">
        <v>69.220687866210938</v>
      </c>
    </row>
    <row r="3503" spans="1:3" x14ac:dyDescent="0.2">
      <c r="A3503" t="s">
        <v>14</v>
      </c>
      <c r="B3503" s="2">
        <v>45278</v>
      </c>
      <c r="C3503">
        <v>70.9049072265625</v>
      </c>
    </row>
    <row r="3504" spans="1:3" x14ac:dyDescent="0.2">
      <c r="A3504" t="s">
        <v>14</v>
      </c>
      <c r="B3504" s="2">
        <v>45279</v>
      </c>
      <c r="C3504">
        <v>71.494384765625</v>
      </c>
    </row>
    <row r="3505" spans="1:3" x14ac:dyDescent="0.2">
      <c r="A3505" t="s">
        <v>14</v>
      </c>
      <c r="B3505" s="2">
        <v>45280</v>
      </c>
      <c r="C3505">
        <v>70.053459167480469</v>
      </c>
    </row>
    <row r="3506" spans="1:3" x14ac:dyDescent="0.2">
      <c r="A3506" t="s">
        <v>14</v>
      </c>
      <c r="B3506" s="2">
        <v>45281</v>
      </c>
      <c r="C3506">
        <v>69.959884643554688</v>
      </c>
    </row>
    <row r="3507" spans="1:3" x14ac:dyDescent="0.2">
      <c r="A3507" t="s">
        <v>14</v>
      </c>
      <c r="B3507" s="2">
        <v>45282</v>
      </c>
      <c r="C3507">
        <v>70.231231689453125</v>
      </c>
    </row>
    <row r="3508" spans="1:3" x14ac:dyDescent="0.2">
      <c r="A3508" t="s">
        <v>14</v>
      </c>
      <c r="B3508" s="2">
        <v>45287</v>
      </c>
      <c r="C3508">
        <v>70.914268493652344</v>
      </c>
    </row>
    <row r="3509" spans="1:3" x14ac:dyDescent="0.2">
      <c r="A3509" t="s">
        <v>14</v>
      </c>
      <c r="B3509" s="2">
        <v>45288</v>
      </c>
      <c r="C3509">
        <v>69.997306823730469</v>
      </c>
    </row>
    <row r="3510" spans="1:3" x14ac:dyDescent="0.2">
      <c r="A3510" t="s">
        <v>14</v>
      </c>
      <c r="B3510" s="2">
        <v>45289</v>
      </c>
      <c r="C3510">
        <v>70.624214172363281</v>
      </c>
    </row>
    <row r="3511" spans="1:3" x14ac:dyDescent="0.2">
      <c r="A3511" t="s">
        <v>14</v>
      </c>
      <c r="B3511" s="2">
        <v>45293</v>
      </c>
      <c r="C3511">
        <v>72.196136474609375</v>
      </c>
    </row>
    <row r="3512" spans="1:3" x14ac:dyDescent="0.2">
      <c r="A3512" t="s">
        <v>14</v>
      </c>
      <c r="B3512" s="2">
        <v>45294</v>
      </c>
      <c r="C3512">
        <v>74.666297912597656</v>
      </c>
    </row>
    <row r="3513" spans="1:3" x14ac:dyDescent="0.2">
      <c r="A3513" t="s">
        <v>14</v>
      </c>
      <c r="B3513" s="2">
        <v>45295</v>
      </c>
      <c r="C3513">
        <v>73.702552795410156</v>
      </c>
    </row>
    <row r="3514" spans="1:3" x14ac:dyDescent="0.2">
      <c r="A3514" t="s">
        <v>14</v>
      </c>
      <c r="B3514" s="2">
        <v>45296</v>
      </c>
      <c r="C3514">
        <v>73.543487548828125</v>
      </c>
    </row>
    <row r="3515" spans="1:3" x14ac:dyDescent="0.2">
      <c r="A3515" t="s">
        <v>14</v>
      </c>
      <c r="B3515" s="2">
        <v>45299</v>
      </c>
      <c r="C3515">
        <v>71.840576171875</v>
      </c>
    </row>
    <row r="3516" spans="1:3" x14ac:dyDescent="0.2">
      <c r="A3516" t="s">
        <v>14</v>
      </c>
      <c r="B3516" s="2">
        <v>45300</v>
      </c>
      <c r="C3516">
        <v>72.907218933105469</v>
      </c>
    </row>
    <row r="3517" spans="1:3" x14ac:dyDescent="0.2">
      <c r="A3517" t="s">
        <v>14</v>
      </c>
      <c r="B3517" s="2">
        <v>45301</v>
      </c>
      <c r="C3517">
        <v>72.467475891113281</v>
      </c>
    </row>
    <row r="3518" spans="1:3" x14ac:dyDescent="0.2">
      <c r="A3518" t="s">
        <v>14</v>
      </c>
      <c r="B3518" s="2">
        <v>45302</v>
      </c>
      <c r="C3518">
        <v>73.244064331054688</v>
      </c>
    </row>
    <row r="3519" spans="1:3" x14ac:dyDescent="0.2">
      <c r="A3519" t="s">
        <v>14</v>
      </c>
      <c r="B3519" s="2">
        <v>45303</v>
      </c>
      <c r="C3519">
        <v>72.94464111328125</v>
      </c>
    </row>
    <row r="3520" spans="1:3" x14ac:dyDescent="0.2">
      <c r="A3520" t="s">
        <v>14</v>
      </c>
      <c r="B3520" s="2">
        <v>45306</v>
      </c>
      <c r="C3520">
        <v>73.4686279296875</v>
      </c>
    </row>
    <row r="3521" spans="1:3" x14ac:dyDescent="0.2">
      <c r="A3521" t="s">
        <v>14</v>
      </c>
      <c r="B3521" s="2">
        <v>45307</v>
      </c>
      <c r="C3521">
        <v>72.766860961914062</v>
      </c>
    </row>
    <row r="3522" spans="1:3" x14ac:dyDescent="0.2">
      <c r="A3522" t="s">
        <v>14</v>
      </c>
      <c r="B3522" s="2">
        <v>45308</v>
      </c>
      <c r="C3522">
        <v>69.819534301757812</v>
      </c>
    </row>
    <row r="3523" spans="1:3" x14ac:dyDescent="0.2">
      <c r="A3523" t="s">
        <v>14</v>
      </c>
      <c r="B3523" s="2">
        <v>45309</v>
      </c>
      <c r="C3523">
        <v>70.100234985351562</v>
      </c>
    </row>
    <row r="3524" spans="1:3" x14ac:dyDescent="0.2">
      <c r="A3524" t="s">
        <v>14</v>
      </c>
      <c r="B3524" s="2">
        <v>45310</v>
      </c>
      <c r="C3524">
        <v>70.09088134765625</v>
      </c>
    </row>
    <row r="3525" spans="1:3" x14ac:dyDescent="0.2">
      <c r="A3525" t="s">
        <v>14</v>
      </c>
      <c r="B3525" s="2">
        <v>45313</v>
      </c>
      <c r="C3525">
        <v>69.604331970214844</v>
      </c>
    </row>
    <row r="3526" spans="1:3" x14ac:dyDescent="0.2">
      <c r="A3526" t="s">
        <v>14</v>
      </c>
      <c r="B3526" s="2">
        <v>45314</v>
      </c>
      <c r="C3526">
        <v>69.463973999023438</v>
      </c>
    </row>
    <row r="3527" spans="1:3" x14ac:dyDescent="0.2">
      <c r="A3527" t="s">
        <v>14</v>
      </c>
      <c r="B3527" s="2">
        <v>45315</v>
      </c>
      <c r="C3527">
        <v>70.390281677246094</v>
      </c>
    </row>
    <row r="3528" spans="1:3" x14ac:dyDescent="0.2">
      <c r="A3528" t="s">
        <v>14</v>
      </c>
      <c r="B3528" s="2">
        <v>45316</v>
      </c>
      <c r="C3528">
        <v>71.569221496582031</v>
      </c>
    </row>
    <row r="3529" spans="1:3" x14ac:dyDescent="0.2">
      <c r="A3529" t="s">
        <v>14</v>
      </c>
      <c r="B3529" s="2">
        <v>45317</v>
      </c>
      <c r="C3529">
        <v>72.158699035644531</v>
      </c>
    </row>
    <row r="3530" spans="1:3" x14ac:dyDescent="0.2">
      <c r="A3530" t="s">
        <v>14</v>
      </c>
      <c r="B3530" s="2">
        <v>45320</v>
      </c>
      <c r="C3530">
        <v>71.747001647949219</v>
      </c>
    </row>
    <row r="3531" spans="1:3" x14ac:dyDescent="0.2">
      <c r="A3531" t="s">
        <v>14</v>
      </c>
      <c r="B3531" s="2">
        <v>45321</v>
      </c>
      <c r="C3531">
        <v>73.786758422851562</v>
      </c>
    </row>
    <row r="3532" spans="1:3" x14ac:dyDescent="0.2">
      <c r="A3532" t="s">
        <v>14</v>
      </c>
      <c r="B3532" s="2">
        <v>45322</v>
      </c>
      <c r="C3532">
        <v>72.561042785644531</v>
      </c>
    </row>
    <row r="3533" spans="1:3" x14ac:dyDescent="0.2">
      <c r="A3533" t="s">
        <v>14</v>
      </c>
      <c r="B3533" s="2">
        <v>45323</v>
      </c>
      <c r="C3533">
        <v>71.681510925292969</v>
      </c>
    </row>
    <row r="3534" spans="1:3" x14ac:dyDescent="0.2">
      <c r="A3534" t="s">
        <v>14</v>
      </c>
      <c r="B3534" s="2">
        <v>45324</v>
      </c>
      <c r="C3534">
        <v>71.045265197753906</v>
      </c>
    </row>
    <row r="3535" spans="1:3" x14ac:dyDescent="0.2">
      <c r="A3535" t="s">
        <v>14</v>
      </c>
      <c r="B3535" s="2">
        <v>45327</v>
      </c>
      <c r="C3535">
        <v>71.485015869140625</v>
      </c>
    </row>
    <row r="3536" spans="1:3" x14ac:dyDescent="0.2">
      <c r="A3536" t="s">
        <v>14</v>
      </c>
      <c r="B3536" s="2">
        <v>45328</v>
      </c>
      <c r="C3536">
        <v>72.486175537109375</v>
      </c>
    </row>
    <row r="3537" spans="1:3" x14ac:dyDescent="0.2">
      <c r="A3537" t="s">
        <v>14</v>
      </c>
      <c r="B3537" s="2">
        <v>45329</v>
      </c>
      <c r="C3537">
        <v>71.980934143066406</v>
      </c>
    </row>
    <row r="3538" spans="1:3" x14ac:dyDescent="0.2">
      <c r="A3538" t="s">
        <v>14</v>
      </c>
      <c r="B3538" s="2">
        <v>45330</v>
      </c>
      <c r="C3538">
        <v>74.170379638671875</v>
      </c>
    </row>
    <row r="3539" spans="1:3" x14ac:dyDescent="0.2">
      <c r="A3539" t="s">
        <v>14</v>
      </c>
      <c r="B3539" s="2">
        <v>45331</v>
      </c>
      <c r="C3539">
        <v>73.449920654296875</v>
      </c>
    </row>
    <row r="3540" spans="1:3" x14ac:dyDescent="0.2">
      <c r="A3540" t="s">
        <v>14</v>
      </c>
      <c r="B3540" s="2">
        <v>45334</v>
      </c>
      <c r="C3540">
        <v>75.3118896484375</v>
      </c>
    </row>
    <row r="3541" spans="1:3" x14ac:dyDescent="0.2">
      <c r="A3541" t="s">
        <v>14</v>
      </c>
      <c r="B3541" s="2">
        <v>45335</v>
      </c>
      <c r="C3541">
        <v>74.394950866699219</v>
      </c>
    </row>
    <row r="3542" spans="1:3" x14ac:dyDescent="0.2">
      <c r="A3542" t="s">
        <v>14</v>
      </c>
      <c r="B3542" s="2">
        <v>45336</v>
      </c>
      <c r="C3542">
        <v>74.741127014160156</v>
      </c>
    </row>
    <row r="3543" spans="1:3" x14ac:dyDescent="0.2">
      <c r="A3543" t="s">
        <v>14</v>
      </c>
      <c r="B3543" s="2">
        <v>45337</v>
      </c>
      <c r="C3543">
        <v>76.069793701171875</v>
      </c>
    </row>
    <row r="3544" spans="1:3" x14ac:dyDescent="0.2">
      <c r="A3544" t="s">
        <v>14</v>
      </c>
      <c r="B3544" s="2">
        <v>45338</v>
      </c>
      <c r="C3544">
        <v>75.55517578125</v>
      </c>
    </row>
    <row r="3545" spans="1:3" x14ac:dyDescent="0.2">
      <c r="A3545" t="s">
        <v>14</v>
      </c>
      <c r="B3545" s="2">
        <v>45342</v>
      </c>
      <c r="C3545">
        <v>74.703712463378906</v>
      </c>
    </row>
    <row r="3546" spans="1:3" x14ac:dyDescent="0.2">
      <c r="A3546" t="s">
        <v>14</v>
      </c>
      <c r="B3546" s="2">
        <v>45343</v>
      </c>
      <c r="C3546">
        <v>76.996101379394531</v>
      </c>
    </row>
    <row r="3547" spans="1:3" x14ac:dyDescent="0.2">
      <c r="A3547" t="s">
        <v>14</v>
      </c>
      <c r="B3547" s="2">
        <v>45344</v>
      </c>
      <c r="C3547">
        <v>77.716552734375</v>
      </c>
    </row>
    <row r="3548" spans="1:3" x14ac:dyDescent="0.2">
      <c r="A3548" t="s">
        <v>14</v>
      </c>
      <c r="B3548" s="2">
        <v>45345</v>
      </c>
      <c r="C3548">
        <v>77.884994506835938</v>
      </c>
    </row>
    <row r="3549" spans="1:3" x14ac:dyDescent="0.2">
      <c r="A3549" t="s">
        <v>14</v>
      </c>
      <c r="B3549" s="2">
        <v>45348</v>
      </c>
      <c r="C3549">
        <v>79.129417419433594</v>
      </c>
    </row>
    <row r="3550" spans="1:3" x14ac:dyDescent="0.2">
      <c r="A3550" t="s">
        <v>14</v>
      </c>
      <c r="B3550" s="2">
        <v>45349</v>
      </c>
      <c r="C3550">
        <v>79.831169128417969</v>
      </c>
    </row>
    <row r="3551" spans="1:3" x14ac:dyDescent="0.2">
      <c r="A3551" t="s">
        <v>14</v>
      </c>
      <c r="B3551" s="2">
        <v>45350</v>
      </c>
      <c r="C3551">
        <v>78.876792907714844</v>
      </c>
    </row>
    <row r="3552" spans="1:3" x14ac:dyDescent="0.2">
      <c r="A3552" t="s">
        <v>14</v>
      </c>
      <c r="B3552" s="2">
        <v>45351</v>
      </c>
      <c r="C3552">
        <v>79.456916809082031</v>
      </c>
    </row>
    <row r="3553" spans="1:3" x14ac:dyDescent="0.2">
      <c r="A3553" t="s">
        <v>14</v>
      </c>
      <c r="B3553" s="2">
        <v>45352</v>
      </c>
      <c r="C3553">
        <v>81.200210571289062</v>
      </c>
    </row>
    <row r="3554" spans="1:3" x14ac:dyDescent="0.2">
      <c r="A3554" t="s">
        <v>14</v>
      </c>
      <c r="B3554" s="2">
        <v>45355</v>
      </c>
      <c r="C3554">
        <v>79.918632507324219</v>
      </c>
    </row>
    <row r="3555" spans="1:3" x14ac:dyDescent="0.2">
      <c r="A3555" t="s">
        <v>14</v>
      </c>
      <c r="B3555" s="2">
        <v>45356</v>
      </c>
      <c r="C3555">
        <v>81.096549987792969</v>
      </c>
    </row>
    <row r="3556" spans="1:3" x14ac:dyDescent="0.2">
      <c r="A3556" t="s">
        <v>14</v>
      </c>
      <c r="B3556" s="2">
        <v>45357</v>
      </c>
      <c r="C3556">
        <v>81.303855895996094</v>
      </c>
    </row>
    <row r="3557" spans="1:3" x14ac:dyDescent="0.2">
      <c r="A3557" t="s">
        <v>14</v>
      </c>
      <c r="B3557" s="2">
        <v>45358</v>
      </c>
      <c r="C3557">
        <v>81.756172180175781</v>
      </c>
    </row>
    <row r="3558" spans="1:3" x14ac:dyDescent="0.2">
      <c r="A3558" t="s">
        <v>14</v>
      </c>
      <c r="B3558" s="2">
        <v>45359</v>
      </c>
      <c r="C3558">
        <v>81.652519226074219</v>
      </c>
    </row>
    <row r="3559" spans="1:3" x14ac:dyDescent="0.2">
      <c r="A3559" t="s">
        <v>14</v>
      </c>
      <c r="B3559" s="2">
        <v>45362</v>
      </c>
      <c r="C3559">
        <v>83.254486083984375</v>
      </c>
    </row>
    <row r="3560" spans="1:3" x14ac:dyDescent="0.2">
      <c r="A3560" t="s">
        <v>14</v>
      </c>
      <c r="B3560" s="2">
        <v>45363</v>
      </c>
      <c r="C3560">
        <v>84.093154907226562</v>
      </c>
    </row>
    <row r="3561" spans="1:3" x14ac:dyDescent="0.2">
      <c r="A3561" t="s">
        <v>14</v>
      </c>
      <c r="B3561" s="2">
        <v>45364</v>
      </c>
      <c r="C3561">
        <v>85.167396545410156</v>
      </c>
    </row>
    <row r="3562" spans="1:3" x14ac:dyDescent="0.2">
      <c r="A3562" t="s">
        <v>14</v>
      </c>
      <c r="B3562" s="2">
        <v>45365</v>
      </c>
      <c r="C3562">
        <v>86.458389282226562</v>
      </c>
    </row>
    <row r="3563" spans="1:3" x14ac:dyDescent="0.2">
      <c r="A3563" t="s">
        <v>14</v>
      </c>
      <c r="B3563" s="2">
        <v>45366</v>
      </c>
      <c r="C3563">
        <v>86.090866088867188</v>
      </c>
    </row>
    <row r="3564" spans="1:3" x14ac:dyDescent="0.2">
      <c r="A3564" t="s">
        <v>14</v>
      </c>
      <c r="B3564" s="2">
        <v>45369</v>
      </c>
      <c r="C3564">
        <v>86.279342651367188</v>
      </c>
    </row>
    <row r="3565" spans="1:3" x14ac:dyDescent="0.2">
      <c r="A3565" t="s">
        <v>14</v>
      </c>
      <c r="B3565" s="2">
        <v>45370</v>
      </c>
      <c r="C3565">
        <v>86.006072998046875</v>
      </c>
    </row>
    <row r="3566" spans="1:3" x14ac:dyDescent="0.2">
      <c r="A3566" t="s">
        <v>14</v>
      </c>
      <c r="B3566" s="2">
        <v>45371</v>
      </c>
      <c r="C3566">
        <v>85.525482177734375</v>
      </c>
    </row>
    <row r="3567" spans="1:3" x14ac:dyDescent="0.2">
      <c r="A3567" t="s">
        <v>14</v>
      </c>
      <c r="B3567" s="2">
        <v>45372</v>
      </c>
      <c r="C3567">
        <v>86.109725952148438</v>
      </c>
    </row>
    <row r="3568" spans="1:3" x14ac:dyDescent="0.2">
      <c r="A3568" t="s">
        <v>14</v>
      </c>
      <c r="B3568" s="2">
        <v>45373</v>
      </c>
      <c r="C3568">
        <v>86.844749450683594</v>
      </c>
    </row>
    <row r="3569" spans="1:3" x14ac:dyDescent="0.2">
      <c r="A3569" t="s">
        <v>14</v>
      </c>
      <c r="B3569" s="2">
        <v>45376</v>
      </c>
      <c r="C3569">
        <v>88.295921325683594</v>
      </c>
    </row>
    <row r="3570" spans="1:3" x14ac:dyDescent="0.2">
      <c r="A3570" t="s">
        <v>14</v>
      </c>
      <c r="B3570" s="2">
        <v>45377</v>
      </c>
      <c r="C3570">
        <v>87.721092224121094</v>
      </c>
    </row>
    <row r="3571" spans="1:3" x14ac:dyDescent="0.2">
      <c r="A3571" t="s">
        <v>14</v>
      </c>
      <c r="B3571" s="2">
        <v>45378</v>
      </c>
      <c r="C3571">
        <v>87.909568786621094</v>
      </c>
    </row>
    <row r="3572" spans="1:3" x14ac:dyDescent="0.2">
      <c r="A3572" t="s">
        <v>14</v>
      </c>
      <c r="B3572" s="2">
        <v>45379</v>
      </c>
      <c r="C3572">
        <v>88.04150390625</v>
      </c>
    </row>
    <row r="3573" spans="1:3" x14ac:dyDescent="0.2">
      <c r="A3573" t="s">
        <v>14</v>
      </c>
      <c r="B3573" s="2">
        <v>45383</v>
      </c>
      <c r="C3573">
        <v>89.228836059570312</v>
      </c>
    </row>
    <row r="3574" spans="1:3" x14ac:dyDescent="0.2">
      <c r="A3574" t="s">
        <v>14</v>
      </c>
      <c r="B3574" s="2">
        <v>45384</v>
      </c>
      <c r="C3574">
        <v>90.86846923828125</v>
      </c>
    </row>
    <row r="3575" spans="1:3" x14ac:dyDescent="0.2">
      <c r="A3575" t="s">
        <v>14</v>
      </c>
      <c r="B3575" s="2">
        <v>45385</v>
      </c>
      <c r="C3575">
        <v>92.197158813476562</v>
      </c>
    </row>
    <row r="3576" spans="1:3" x14ac:dyDescent="0.2">
      <c r="A3576" t="s">
        <v>14</v>
      </c>
      <c r="B3576" s="2">
        <v>45386</v>
      </c>
      <c r="C3576">
        <v>92.065223693847656</v>
      </c>
    </row>
    <row r="3577" spans="1:3" x14ac:dyDescent="0.2">
      <c r="A3577" t="s">
        <v>14</v>
      </c>
      <c r="B3577" s="2">
        <v>45387</v>
      </c>
      <c r="C3577">
        <v>93.327949523925781</v>
      </c>
    </row>
    <row r="3578" spans="1:3" x14ac:dyDescent="0.2">
      <c r="A3578" t="s">
        <v>14</v>
      </c>
      <c r="B3578" s="2">
        <v>45390</v>
      </c>
      <c r="C3578">
        <v>93.572944641113281</v>
      </c>
    </row>
    <row r="3579" spans="1:3" x14ac:dyDescent="0.2">
      <c r="A3579" t="s">
        <v>14</v>
      </c>
      <c r="B3579" s="2">
        <v>45391</v>
      </c>
      <c r="C3579">
        <v>92.875625610351562</v>
      </c>
    </row>
    <row r="3580" spans="1:3" x14ac:dyDescent="0.2">
      <c r="A3580" t="s">
        <v>14</v>
      </c>
      <c r="B3580" s="2">
        <v>45392</v>
      </c>
      <c r="C3580">
        <v>95.16546630859375</v>
      </c>
    </row>
    <row r="3581" spans="1:3" x14ac:dyDescent="0.2">
      <c r="A3581" t="s">
        <v>14</v>
      </c>
      <c r="B3581" s="2">
        <v>45393</v>
      </c>
      <c r="C3581">
        <v>91.810798645019531</v>
      </c>
    </row>
    <row r="3582" spans="1:3" x14ac:dyDescent="0.2">
      <c r="A3582" t="s">
        <v>14</v>
      </c>
      <c r="B3582" s="2">
        <v>45394</v>
      </c>
      <c r="C3582">
        <v>90.7930908203125</v>
      </c>
    </row>
    <row r="3583" spans="1:3" x14ac:dyDescent="0.2">
      <c r="A3583" t="s">
        <v>14</v>
      </c>
      <c r="B3583" s="2">
        <v>45397</v>
      </c>
      <c r="C3583">
        <v>89.125167846679688</v>
      </c>
    </row>
    <row r="3584" spans="1:3" x14ac:dyDescent="0.2">
      <c r="A3584" t="s">
        <v>14</v>
      </c>
      <c r="B3584" s="2">
        <v>45398</v>
      </c>
      <c r="C3584">
        <v>90.604629516601562</v>
      </c>
    </row>
    <row r="3585" spans="1:3" x14ac:dyDescent="0.2">
      <c r="A3585" t="s">
        <v>14</v>
      </c>
      <c r="B3585" s="2">
        <v>45399</v>
      </c>
      <c r="C3585">
        <v>89.954414367675781</v>
      </c>
    </row>
    <row r="3586" spans="1:3" x14ac:dyDescent="0.2">
      <c r="A3586" t="s">
        <v>14</v>
      </c>
      <c r="B3586" s="2">
        <v>45400</v>
      </c>
      <c r="C3586">
        <v>89.059226989746094</v>
      </c>
    </row>
    <row r="3587" spans="1:3" x14ac:dyDescent="0.2">
      <c r="A3587" t="s">
        <v>14</v>
      </c>
      <c r="B3587" s="2">
        <v>45401</v>
      </c>
      <c r="C3587">
        <v>90.114601135253906</v>
      </c>
    </row>
    <row r="3588" spans="1:3" x14ac:dyDescent="0.2">
      <c r="A3588" t="s">
        <v>14</v>
      </c>
      <c r="B3588" s="2">
        <v>45404</v>
      </c>
      <c r="C3588">
        <v>90.925010681152344</v>
      </c>
    </row>
    <row r="3589" spans="1:3" x14ac:dyDescent="0.2">
      <c r="A3589" t="s">
        <v>14</v>
      </c>
      <c r="B3589" s="2">
        <v>45405</v>
      </c>
      <c r="C3589">
        <v>90.943855285644531</v>
      </c>
    </row>
    <row r="3590" spans="1:3" x14ac:dyDescent="0.2">
      <c r="A3590" t="s">
        <v>14</v>
      </c>
      <c r="B3590" s="2">
        <v>45406</v>
      </c>
      <c r="C3590">
        <v>91.320793151855469</v>
      </c>
    </row>
    <row r="3591" spans="1:3" x14ac:dyDescent="0.2">
      <c r="A3591" t="s">
        <v>14</v>
      </c>
      <c r="B3591" s="2">
        <v>45407</v>
      </c>
      <c r="C3591">
        <v>91.744834899902344</v>
      </c>
    </row>
    <row r="3592" spans="1:3" x14ac:dyDescent="0.2">
      <c r="A3592" t="s">
        <v>14</v>
      </c>
      <c r="B3592" s="2">
        <v>45408</v>
      </c>
      <c r="C3592">
        <v>90.990966796875</v>
      </c>
    </row>
    <row r="3593" spans="1:3" x14ac:dyDescent="0.2">
      <c r="A3593" t="s">
        <v>14</v>
      </c>
      <c r="B3593" s="2">
        <v>45411</v>
      </c>
      <c r="C3593">
        <v>91.612907409667969</v>
      </c>
    </row>
    <row r="3594" spans="1:3" x14ac:dyDescent="0.2">
      <c r="A3594" t="s">
        <v>14</v>
      </c>
      <c r="B3594" s="2">
        <v>45412</v>
      </c>
      <c r="C3594">
        <v>89.191131591796875</v>
      </c>
    </row>
    <row r="3595" spans="1:3" x14ac:dyDescent="0.2">
      <c r="A3595" t="s">
        <v>14</v>
      </c>
      <c r="B3595" s="2">
        <v>45413</v>
      </c>
      <c r="C3595">
        <v>87.353599548339844</v>
      </c>
    </row>
    <row r="3596" spans="1:3" x14ac:dyDescent="0.2">
      <c r="A3596" t="s">
        <v>14</v>
      </c>
      <c r="B3596" s="2">
        <v>45414</v>
      </c>
      <c r="C3596">
        <v>87.853042602539062</v>
      </c>
    </row>
    <row r="3597" spans="1:3" x14ac:dyDescent="0.2">
      <c r="A3597" t="s">
        <v>14</v>
      </c>
      <c r="B3597" s="2">
        <v>45415</v>
      </c>
      <c r="C3597">
        <v>87.739959716796875</v>
      </c>
    </row>
    <row r="3598" spans="1:3" x14ac:dyDescent="0.2">
      <c r="A3598" t="s">
        <v>14</v>
      </c>
      <c r="B3598" s="2">
        <v>45418</v>
      </c>
      <c r="C3598">
        <v>89.209983825683594</v>
      </c>
    </row>
    <row r="3599" spans="1:3" x14ac:dyDescent="0.2">
      <c r="A3599" t="s">
        <v>14</v>
      </c>
      <c r="B3599" s="2">
        <v>45419</v>
      </c>
      <c r="C3599">
        <v>89.37017822265625</v>
      </c>
    </row>
    <row r="3600" spans="1:3" x14ac:dyDescent="0.2">
      <c r="A3600" t="s">
        <v>14</v>
      </c>
      <c r="B3600" s="2">
        <v>45420</v>
      </c>
      <c r="C3600">
        <v>90.161727905273438</v>
      </c>
    </row>
    <row r="3601" spans="1:3" x14ac:dyDescent="0.2">
      <c r="A3601" t="s">
        <v>14</v>
      </c>
      <c r="B3601" s="2">
        <v>45421</v>
      </c>
      <c r="C3601">
        <v>90.321914672851562</v>
      </c>
    </row>
    <row r="3602" spans="1:3" x14ac:dyDescent="0.2">
      <c r="A3602" t="s">
        <v>14</v>
      </c>
      <c r="B3602" s="2">
        <v>45422</v>
      </c>
      <c r="C3602">
        <v>89.935569763183594</v>
      </c>
    </row>
    <row r="3603" spans="1:3" x14ac:dyDescent="0.2">
      <c r="A3603" t="s">
        <v>14</v>
      </c>
      <c r="B3603" s="2">
        <v>45425</v>
      </c>
      <c r="C3603">
        <v>89.643440246582031</v>
      </c>
    </row>
    <row r="3604" spans="1:3" x14ac:dyDescent="0.2">
      <c r="A3604" t="s">
        <v>14</v>
      </c>
      <c r="B3604" s="2">
        <v>45426</v>
      </c>
      <c r="C3604">
        <v>88.748237609863281</v>
      </c>
    </row>
    <row r="3605" spans="1:3" x14ac:dyDescent="0.2">
      <c r="A3605" t="s">
        <v>14</v>
      </c>
      <c r="B3605" s="2">
        <v>45427</v>
      </c>
      <c r="C3605">
        <v>88.710548400878906</v>
      </c>
    </row>
    <row r="3606" spans="1:3" x14ac:dyDescent="0.2">
      <c r="A3606" t="s">
        <v>14</v>
      </c>
      <c r="B3606" s="2">
        <v>45428</v>
      </c>
      <c r="C3606">
        <v>88.870742797851562</v>
      </c>
    </row>
    <row r="3607" spans="1:3" x14ac:dyDescent="0.2">
      <c r="A3607" t="s">
        <v>14</v>
      </c>
      <c r="B3607" s="2">
        <v>45429</v>
      </c>
      <c r="C3607">
        <v>89.747116088867188</v>
      </c>
    </row>
    <row r="3608" spans="1:3" x14ac:dyDescent="0.2">
      <c r="A3608" t="s">
        <v>14</v>
      </c>
      <c r="B3608" s="2">
        <v>45433</v>
      </c>
      <c r="C3608">
        <v>89.586898803710938</v>
      </c>
    </row>
    <row r="3609" spans="1:3" x14ac:dyDescent="0.2">
      <c r="A3609" t="s">
        <v>14</v>
      </c>
      <c r="B3609" s="2">
        <v>45434</v>
      </c>
      <c r="C3609">
        <v>87.871871948242188</v>
      </c>
    </row>
    <row r="3610" spans="1:3" x14ac:dyDescent="0.2">
      <c r="A3610" t="s">
        <v>14</v>
      </c>
      <c r="B3610" s="2">
        <v>45435</v>
      </c>
      <c r="C3610">
        <v>88.0980224609375</v>
      </c>
    </row>
    <row r="3611" spans="1:3" x14ac:dyDescent="0.2">
      <c r="A3611" t="s">
        <v>14</v>
      </c>
      <c r="B3611" s="2">
        <v>45436</v>
      </c>
      <c r="C3611">
        <v>88.993240356445312</v>
      </c>
    </row>
    <row r="3612" spans="1:3" x14ac:dyDescent="0.2">
      <c r="A3612" t="s">
        <v>14</v>
      </c>
      <c r="B3612" s="2">
        <v>45439</v>
      </c>
      <c r="C3612">
        <v>88.93670654296875</v>
      </c>
    </row>
    <row r="3613" spans="1:3" x14ac:dyDescent="0.2">
      <c r="A3613" t="s">
        <v>14</v>
      </c>
      <c r="B3613" s="2">
        <v>45440</v>
      </c>
      <c r="C3613">
        <v>90.990966796875</v>
      </c>
    </row>
    <row r="3614" spans="1:3" x14ac:dyDescent="0.2">
      <c r="A3614" t="s">
        <v>14</v>
      </c>
      <c r="B3614" s="2">
        <v>45441</v>
      </c>
      <c r="C3614">
        <v>89.483245849609375</v>
      </c>
    </row>
    <row r="3615" spans="1:3" x14ac:dyDescent="0.2">
      <c r="A3615" t="s">
        <v>14</v>
      </c>
      <c r="B3615" s="2">
        <v>45442</v>
      </c>
      <c r="C3615">
        <v>89.454978942871094</v>
      </c>
    </row>
    <row r="3616" spans="1:3" x14ac:dyDescent="0.2">
      <c r="A3616" t="s">
        <v>14</v>
      </c>
      <c r="B3616" s="2">
        <v>45443</v>
      </c>
      <c r="C3616">
        <v>90.7459716796875</v>
      </c>
    </row>
    <row r="3617" spans="1:3" x14ac:dyDescent="0.2">
      <c r="A3617" t="s">
        <v>14</v>
      </c>
      <c r="B3617" s="2">
        <v>45446</v>
      </c>
      <c r="C3617">
        <v>86.033256530761719</v>
      </c>
    </row>
    <row r="3618" spans="1:3" x14ac:dyDescent="0.2">
      <c r="A3618" t="s">
        <v>14</v>
      </c>
      <c r="B3618" s="2">
        <v>45447</v>
      </c>
      <c r="C3618">
        <v>84.478134155273438</v>
      </c>
    </row>
    <row r="3619" spans="1:3" x14ac:dyDescent="0.2">
      <c r="A3619" t="s">
        <v>14</v>
      </c>
      <c r="B3619" s="2">
        <v>45448</v>
      </c>
      <c r="C3619">
        <v>84.383308410644531</v>
      </c>
    </row>
    <row r="3620" spans="1:3" x14ac:dyDescent="0.2">
      <c r="A3620" t="s">
        <v>14</v>
      </c>
      <c r="B3620" s="2">
        <v>45449</v>
      </c>
      <c r="C3620">
        <v>85.217765808105469</v>
      </c>
    </row>
    <row r="3621" spans="1:3" x14ac:dyDescent="0.2">
      <c r="A3621" t="s">
        <v>14</v>
      </c>
      <c r="B3621" s="2">
        <v>45450</v>
      </c>
      <c r="C3621">
        <v>84.288505554199219</v>
      </c>
    </row>
    <row r="3622" spans="1:3" x14ac:dyDescent="0.2">
      <c r="A3622" t="s">
        <v>14</v>
      </c>
      <c r="B3622" s="2">
        <v>45453</v>
      </c>
      <c r="C3622">
        <v>85.8056640625</v>
      </c>
    </row>
    <row r="3623" spans="1:3" x14ac:dyDescent="0.2">
      <c r="A3623" t="s">
        <v>14</v>
      </c>
      <c r="B3623" s="2">
        <v>45454</v>
      </c>
      <c r="C3623">
        <v>85.616035461425781</v>
      </c>
    </row>
    <row r="3624" spans="1:3" x14ac:dyDescent="0.2">
      <c r="A3624" t="s">
        <v>14</v>
      </c>
      <c r="B3624" s="2">
        <v>45455</v>
      </c>
      <c r="C3624">
        <v>85.464302062988281</v>
      </c>
    </row>
    <row r="3625" spans="1:3" x14ac:dyDescent="0.2">
      <c r="A3625" t="s">
        <v>14</v>
      </c>
      <c r="B3625" s="2">
        <v>45456</v>
      </c>
      <c r="C3625">
        <v>83.880752563476562</v>
      </c>
    </row>
    <row r="3626" spans="1:3" x14ac:dyDescent="0.2">
      <c r="A3626" t="s">
        <v>14</v>
      </c>
      <c r="B3626" s="2">
        <v>45457</v>
      </c>
      <c r="C3626">
        <v>83.548873901367188</v>
      </c>
    </row>
    <row r="3627" spans="1:3" x14ac:dyDescent="0.2">
      <c r="A3627" t="s">
        <v>14</v>
      </c>
      <c r="B3627" s="2">
        <v>45460</v>
      </c>
      <c r="C3627">
        <v>83.947120666503906</v>
      </c>
    </row>
    <row r="3628" spans="1:3" x14ac:dyDescent="0.2">
      <c r="A3628" t="s">
        <v>14</v>
      </c>
      <c r="B3628" s="2">
        <v>45461</v>
      </c>
      <c r="C3628">
        <v>85.227249145507812</v>
      </c>
    </row>
    <row r="3629" spans="1:3" x14ac:dyDescent="0.2">
      <c r="A3629" t="s">
        <v>14</v>
      </c>
      <c r="B3629" s="2">
        <v>45462</v>
      </c>
      <c r="C3629">
        <v>85.341026306152344</v>
      </c>
    </row>
    <row r="3630" spans="1:3" x14ac:dyDescent="0.2">
      <c r="A3630" t="s">
        <v>14</v>
      </c>
      <c r="B3630" s="2">
        <v>45463</v>
      </c>
      <c r="C3630">
        <v>86.365127563476562</v>
      </c>
    </row>
    <row r="3631" spans="1:3" x14ac:dyDescent="0.2">
      <c r="A3631" t="s">
        <v>14</v>
      </c>
      <c r="B3631" s="2">
        <v>45464</v>
      </c>
      <c r="C3631">
        <v>85.862564086914062</v>
      </c>
    </row>
    <row r="3632" spans="1:3" x14ac:dyDescent="0.2">
      <c r="A3632" t="s">
        <v>14</v>
      </c>
      <c r="B3632" s="2">
        <v>45467</v>
      </c>
      <c r="C3632">
        <v>89.086563110351562</v>
      </c>
    </row>
    <row r="3633" spans="1:3" x14ac:dyDescent="0.2">
      <c r="A3633" t="s">
        <v>14</v>
      </c>
      <c r="B3633" s="2">
        <v>45468</v>
      </c>
      <c r="C3633">
        <v>88.745185852050781</v>
      </c>
    </row>
    <row r="3634" spans="1:3" x14ac:dyDescent="0.2">
      <c r="A3634" t="s">
        <v>14</v>
      </c>
      <c r="B3634" s="2">
        <v>45469</v>
      </c>
      <c r="C3634">
        <v>88.233154296875</v>
      </c>
    </row>
    <row r="3635" spans="1:3" x14ac:dyDescent="0.2">
      <c r="A3635" t="s">
        <v>14</v>
      </c>
      <c r="B3635" s="2">
        <v>45470</v>
      </c>
      <c r="C3635">
        <v>89.589126586914062</v>
      </c>
    </row>
    <row r="3636" spans="1:3" x14ac:dyDescent="0.2">
      <c r="A3636" t="s">
        <v>14</v>
      </c>
      <c r="B3636" s="2">
        <v>45471</v>
      </c>
      <c r="C3636">
        <v>88.451240539550781</v>
      </c>
    </row>
    <row r="3637" spans="1:3" x14ac:dyDescent="0.2">
      <c r="A3637" t="s">
        <v>14</v>
      </c>
      <c r="B3637" s="2">
        <v>45475</v>
      </c>
      <c r="C3637">
        <v>89.048629760742188</v>
      </c>
    </row>
    <row r="3638" spans="1:3" x14ac:dyDescent="0.2">
      <c r="A3638" t="s">
        <v>14</v>
      </c>
      <c r="B3638" s="2">
        <v>45476</v>
      </c>
      <c r="C3638">
        <v>90.452018737792969</v>
      </c>
    </row>
    <row r="3639" spans="1:3" x14ac:dyDescent="0.2">
      <c r="A3639" t="s">
        <v>14</v>
      </c>
      <c r="B3639" s="2">
        <v>45477</v>
      </c>
      <c r="C3639">
        <v>91.362327575683594</v>
      </c>
    </row>
    <row r="3640" spans="1:3" x14ac:dyDescent="0.2">
      <c r="A3640" t="s">
        <v>14</v>
      </c>
      <c r="B3640" s="2">
        <v>45478</v>
      </c>
      <c r="C3640">
        <v>88.745185852050781</v>
      </c>
    </row>
    <row r="3641" spans="1:3" x14ac:dyDescent="0.2">
      <c r="A3641" t="s">
        <v>14</v>
      </c>
      <c r="B3641" s="2">
        <v>45481</v>
      </c>
      <c r="C3641">
        <v>88.422798156738281</v>
      </c>
    </row>
    <row r="3642" spans="1:3" x14ac:dyDescent="0.2">
      <c r="A3642" t="s">
        <v>14</v>
      </c>
      <c r="B3642" s="2">
        <v>45482</v>
      </c>
      <c r="C3642">
        <v>87.417671203613281</v>
      </c>
    </row>
    <row r="3643" spans="1:3" x14ac:dyDescent="0.2">
      <c r="A3643" t="s">
        <v>14</v>
      </c>
      <c r="B3643" s="2">
        <v>45483</v>
      </c>
      <c r="C3643">
        <v>89.257232666015625</v>
      </c>
    </row>
    <row r="3644" spans="1:3" x14ac:dyDescent="0.2">
      <c r="A3644" t="s">
        <v>14</v>
      </c>
      <c r="B3644" s="2">
        <v>45484</v>
      </c>
      <c r="C3644">
        <v>90.632186889648438</v>
      </c>
    </row>
    <row r="3645" spans="1:3" x14ac:dyDescent="0.2">
      <c r="A3645" t="s">
        <v>14</v>
      </c>
      <c r="B3645" s="2">
        <v>45485</v>
      </c>
      <c r="C3645">
        <v>91.001991271972656</v>
      </c>
    </row>
    <row r="3646" spans="1:3" x14ac:dyDescent="0.2">
      <c r="A3646" t="s">
        <v>14</v>
      </c>
      <c r="B3646" s="2">
        <v>45488</v>
      </c>
      <c r="C3646">
        <v>92.803642272949219</v>
      </c>
    </row>
    <row r="3647" spans="1:3" x14ac:dyDescent="0.2">
      <c r="A3647" t="s">
        <v>14</v>
      </c>
      <c r="B3647" s="2">
        <v>45489</v>
      </c>
      <c r="C3647">
        <v>91.599372863769531</v>
      </c>
    </row>
    <row r="3648" spans="1:3" x14ac:dyDescent="0.2">
      <c r="A3648" t="s">
        <v>14</v>
      </c>
      <c r="B3648" s="2">
        <v>45490</v>
      </c>
      <c r="C3648">
        <v>91.580421447753906</v>
      </c>
    </row>
    <row r="3649" spans="1:3" x14ac:dyDescent="0.2">
      <c r="A3649" t="s">
        <v>14</v>
      </c>
      <c r="B3649" s="2">
        <v>45491</v>
      </c>
      <c r="C3649">
        <v>90.698562622070312</v>
      </c>
    </row>
    <row r="3650" spans="1:3" x14ac:dyDescent="0.2">
      <c r="A3650" t="s">
        <v>14</v>
      </c>
      <c r="B3650" s="2">
        <v>45492</v>
      </c>
      <c r="C3650">
        <v>90.319267272949219</v>
      </c>
    </row>
    <row r="3651" spans="1:3" x14ac:dyDescent="0.2">
      <c r="A3651" t="s">
        <v>14</v>
      </c>
      <c r="B3651" s="2">
        <v>45495</v>
      </c>
      <c r="C3651">
        <v>91.656272888183594</v>
      </c>
    </row>
    <row r="3652" spans="1:3" x14ac:dyDescent="0.2">
      <c r="A3652" t="s">
        <v>14</v>
      </c>
      <c r="B3652" s="2">
        <v>45496</v>
      </c>
      <c r="C3652">
        <v>90.603736877441406</v>
      </c>
    </row>
    <row r="3653" spans="1:3" x14ac:dyDescent="0.2">
      <c r="A3653" t="s">
        <v>14</v>
      </c>
      <c r="B3653" s="2">
        <v>45497</v>
      </c>
      <c r="C3653">
        <v>91.580421447753906</v>
      </c>
    </row>
    <row r="3654" spans="1:3" x14ac:dyDescent="0.2">
      <c r="A3654" t="s">
        <v>14</v>
      </c>
      <c r="B3654" s="2">
        <v>45498</v>
      </c>
      <c r="C3654">
        <v>92.481239318847656</v>
      </c>
    </row>
    <row r="3655" spans="1:3" x14ac:dyDescent="0.2">
      <c r="A3655" t="s">
        <v>14</v>
      </c>
      <c r="B3655" s="2">
        <v>45499</v>
      </c>
      <c r="C3655">
        <v>93.07861328125</v>
      </c>
    </row>
    <row r="3656" spans="1:3" x14ac:dyDescent="0.2">
      <c r="A3656" t="s">
        <v>14</v>
      </c>
      <c r="B3656" s="2">
        <v>45502</v>
      </c>
      <c r="C3656">
        <v>90.632186889648438</v>
      </c>
    </row>
    <row r="3657" spans="1:3" x14ac:dyDescent="0.2">
      <c r="A3657" t="s">
        <v>14</v>
      </c>
      <c r="B3657" s="2">
        <v>45503</v>
      </c>
      <c r="C3657">
        <v>91.533004760742188</v>
      </c>
    </row>
    <row r="3658" spans="1:3" x14ac:dyDescent="0.2">
      <c r="A3658" t="s">
        <v>14</v>
      </c>
      <c r="B3658" s="2">
        <v>45504</v>
      </c>
      <c r="C3658">
        <v>93.789810180664062</v>
      </c>
    </row>
    <row r="3659" spans="1:3" x14ac:dyDescent="0.2">
      <c r="A3659" t="s">
        <v>14</v>
      </c>
      <c r="B3659" s="2">
        <v>45505</v>
      </c>
      <c r="C3659">
        <v>90.992507934570312</v>
      </c>
    </row>
    <row r="3660" spans="1:3" x14ac:dyDescent="0.2">
      <c r="A3660" t="s">
        <v>14</v>
      </c>
      <c r="B3660" s="2">
        <v>45506</v>
      </c>
      <c r="C3660">
        <v>89.608085632324219</v>
      </c>
    </row>
    <row r="3661" spans="1:3" x14ac:dyDescent="0.2">
      <c r="A3661" t="s">
        <v>14</v>
      </c>
      <c r="B3661" s="2">
        <v>45510</v>
      </c>
      <c r="C3661">
        <v>89.247756958007812</v>
      </c>
    </row>
    <row r="3662" spans="1:3" x14ac:dyDescent="0.2">
      <c r="A3662" t="s">
        <v>14</v>
      </c>
      <c r="B3662" s="2">
        <v>45511</v>
      </c>
      <c r="C3662">
        <v>90.670112609863281</v>
      </c>
    </row>
    <row r="3663" spans="1:3" x14ac:dyDescent="0.2">
      <c r="A3663" t="s">
        <v>14</v>
      </c>
      <c r="B3663" s="2">
        <v>45512</v>
      </c>
      <c r="C3663">
        <v>93.315689086914062</v>
      </c>
    </row>
    <row r="3664" spans="1:3" x14ac:dyDescent="0.2">
      <c r="A3664" t="s">
        <v>14</v>
      </c>
      <c r="B3664" s="2">
        <v>45513</v>
      </c>
      <c r="C3664">
        <v>94.216514587402344</v>
      </c>
    </row>
    <row r="3665" spans="1:3" x14ac:dyDescent="0.2">
      <c r="A3665" t="s">
        <v>14</v>
      </c>
      <c r="B3665" s="2">
        <v>45516</v>
      </c>
      <c r="C3665">
        <v>97.933586120605469</v>
      </c>
    </row>
    <row r="3666" spans="1:3" x14ac:dyDescent="0.2">
      <c r="A3666" t="s">
        <v>14</v>
      </c>
      <c r="B3666" s="2">
        <v>45517</v>
      </c>
      <c r="C3666">
        <v>97.867202758789062</v>
      </c>
    </row>
    <row r="3667" spans="1:3" x14ac:dyDescent="0.2">
      <c r="A3667" t="s">
        <v>14</v>
      </c>
      <c r="B3667" s="2">
        <v>45518</v>
      </c>
      <c r="C3667">
        <v>98.692161560058594</v>
      </c>
    </row>
    <row r="3668" spans="1:3" x14ac:dyDescent="0.2">
      <c r="A3668" t="s">
        <v>14</v>
      </c>
      <c r="B3668" s="2">
        <v>45519</v>
      </c>
      <c r="C3668">
        <v>100.0102081298828</v>
      </c>
    </row>
    <row r="3669" spans="1:3" x14ac:dyDescent="0.2">
      <c r="A3669" t="s">
        <v>14</v>
      </c>
      <c r="B3669" s="2">
        <v>45520</v>
      </c>
      <c r="C3669">
        <v>99.336967468261719</v>
      </c>
    </row>
    <row r="3670" spans="1:3" x14ac:dyDescent="0.2">
      <c r="A3670" t="s">
        <v>14</v>
      </c>
      <c r="B3670" s="2">
        <v>45523</v>
      </c>
      <c r="C3670">
        <v>98.142189025878906</v>
      </c>
    </row>
    <row r="3671" spans="1:3" x14ac:dyDescent="0.2">
      <c r="A3671" t="s">
        <v>14</v>
      </c>
      <c r="B3671" s="2">
        <v>45524</v>
      </c>
      <c r="C3671">
        <v>96.103485107421875</v>
      </c>
    </row>
    <row r="3672" spans="1:3" x14ac:dyDescent="0.2">
      <c r="A3672" t="s">
        <v>14</v>
      </c>
      <c r="B3672" s="2">
        <v>45525</v>
      </c>
      <c r="C3672">
        <v>96.302619934082031</v>
      </c>
    </row>
    <row r="3673" spans="1:3" x14ac:dyDescent="0.2">
      <c r="A3673" t="s">
        <v>14</v>
      </c>
      <c r="B3673" s="2">
        <v>45526</v>
      </c>
      <c r="C3673">
        <v>96.416404724121094</v>
      </c>
    </row>
    <row r="3674" spans="1:3" x14ac:dyDescent="0.2">
      <c r="A3674" t="s">
        <v>14</v>
      </c>
      <c r="B3674" s="2">
        <v>45527</v>
      </c>
      <c r="C3674">
        <v>97.573249816894531</v>
      </c>
    </row>
    <row r="3675" spans="1:3" x14ac:dyDescent="0.2">
      <c r="A3675" t="s">
        <v>14</v>
      </c>
      <c r="B3675" s="2">
        <v>45530</v>
      </c>
      <c r="C3675">
        <v>98.711128234863281</v>
      </c>
    </row>
    <row r="3676" spans="1:3" x14ac:dyDescent="0.2">
      <c r="A3676" t="s">
        <v>14</v>
      </c>
      <c r="B3676" s="2">
        <v>45531</v>
      </c>
      <c r="C3676">
        <v>96.900016784667969</v>
      </c>
    </row>
    <row r="3677" spans="1:3" x14ac:dyDescent="0.2">
      <c r="A3677" t="s">
        <v>14</v>
      </c>
      <c r="B3677" s="2">
        <v>45532</v>
      </c>
      <c r="C3677">
        <v>96.615524291992188</v>
      </c>
    </row>
    <row r="3678" spans="1:3" x14ac:dyDescent="0.2">
      <c r="A3678" t="s">
        <v>14</v>
      </c>
      <c r="B3678" s="2">
        <v>45533</v>
      </c>
      <c r="C3678">
        <v>97.630149841308594</v>
      </c>
    </row>
    <row r="3679" spans="1:3" x14ac:dyDescent="0.2">
      <c r="A3679" t="s">
        <v>14</v>
      </c>
      <c r="B3679" s="2">
        <v>45534</v>
      </c>
      <c r="C3679">
        <v>96.245719909667969</v>
      </c>
    </row>
    <row r="3680" spans="1:3" x14ac:dyDescent="0.2">
      <c r="A3680" t="s">
        <v>14</v>
      </c>
      <c r="B3680" s="2">
        <v>45538</v>
      </c>
      <c r="C3680">
        <v>93.600143432617188</v>
      </c>
    </row>
    <row r="3681" spans="1:3" x14ac:dyDescent="0.2">
      <c r="A3681" t="s">
        <v>14</v>
      </c>
      <c r="B3681" s="2">
        <v>45539</v>
      </c>
      <c r="C3681">
        <v>91.625312805175781</v>
      </c>
    </row>
    <row r="3682" spans="1:3" x14ac:dyDescent="0.2">
      <c r="A3682" t="s">
        <v>14</v>
      </c>
      <c r="B3682" s="2">
        <v>45540</v>
      </c>
      <c r="C3682">
        <v>89.974830627441406</v>
      </c>
    </row>
    <row r="3683" spans="1:3" x14ac:dyDescent="0.2">
      <c r="A3683" t="s">
        <v>14</v>
      </c>
      <c r="B3683" s="2">
        <v>45541</v>
      </c>
      <c r="C3683">
        <v>88.038139343261719</v>
      </c>
    </row>
    <row r="3684" spans="1:3" x14ac:dyDescent="0.2">
      <c r="A3684" t="s">
        <v>14</v>
      </c>
      <c r="B3684" s="2">
        <v>45544</v>
      </c>
      <c r="C3684">
        <v>87.980911254882812</v>
      </c>
    </row>
    <row r="3685" spans="1:3" x14ac:dyDescent="0.2">
      <c r="A3685" t="s">
        <v>14</v>
      </c>
      <c r="B3685" s="2">
        <v>45545</v>
      </c>
      <c r="C3685">
        <v>85.824775695800781</v>
      </c>
    </row>
    <row r="3686" spans="1:3" x14ac:dyDescent="0.2">
      <c r="A3686" t="s">
        <v>14</v>
      </c>
      <c r="B3686" s="2">
        <v>45546</v>
      </c>
      <c r="C3686">
        <v>84.947090148925781</v>
      </c>
    </row>
    <row r="3687" spans="1:3" x14ac:dyDescent="0.2">
      <c r="A3687" t="s">
        <v>14</v>
      </c>
      <c r="B3687" s="2">
        <v>45547</v>
      </c>
      <c r="C3687">
        <v>85.395477294921875</v>
      </c>
    </row>
    <row r="3688" spans="1:3" x14ac:dyDescent="0.2">
      <c r="A3688" t="s">
        <v>14</v>
      </c>
      <c r="B3688" s="2">
        <v>45548</v>
      </c>
      <c r="C3688">
        <v>85.862945556640625</v>
      </c>
    </row>
    <row r="3689" spans="1:3" x14ac:dyDescent="0.2">
      <c r="A3689" t="s">
        <v>14</v>
      </c>
      <c r="B3689" s="2">
        <v>45551</v>
      </c>
      <c r="C3689">
        <v>86.864692687988281</v>
      </c>
    </row>
    <row r="3690" spans="1:3" x14ac:dyDescent="0.2">
      <c r="A3690" t="s">
        <v>14</v>
      </c>
      <c r="B3690" s="2">
        <v>45552</v>
      </c>
      <c r="C3690">
        <v>87.274925231933594</v>
      </c>
    </row>
    <row r="3691" spans="1:3" x14ac:dyDescent="0.2">
      <c r="A3691" t="s">
        <v>14</v>
      </c>
      <c r="B3691" s="2">
        <v>45553</v>
      </c>
      <c r="C3691">
        <v>86.960075378417969</v>
      </c>
    </row>
    <row r="3692" spans="1:3" x14ac:dyDescent="0.2">
      <c r="A3692" t="s">
        <v>14</v>
      </c>
      <c r="B3692" s="2">
        <v>45554</v>
      </c>
      <c r="C3692">
        <v>88.982627868652344</v>
      </c>
    </row>
    <row r="3693" spans="1:3" x14ac:dyDescent="0.2">
      <c r="A3693" t="s">
        <v>14</v>
      </c>
      <c r="B3693" s="2">
        <v>45555</v>
      </c>
      <c r="C3693">
        <v>88.810905456542969</v>
      </c>
    </row>
    <row r="3694" spans="1:3" x14ac:dyDescent="0.2">
      <c r="A3694" t="s">
        <v>14</v>
      </c>
      <c r="B3694" s="2">
        <v>45558</v>
      </c>
      <c r="C3694">
        <v>90.604484558105469</v>
      </c>
    </row>
    <row r="3695" spans="1:3" x14ac:dyDescent="0.2">
      <c r="A3695" t="s">
        <v>14</v>
      </c>
      <c r="B3695" s="2">
        <v>45559</v>
      </c>
      <c r="C3695">
        <v>91.510826110839844</v>
      </c>
    </row>
    <row r="3696" spans="1:3" x14ac:dyDescent="0.2">
      <c r="A3696" t="s">
        <v>14</v>
      </c>
      <c r="B3696" s="2">
        <v>45560</v>
      </c>
      <c r="C3696">
        <v>90.537712097167969</v>
      </c>
    </row>
    <row r="3697" spans="1:3" x14ac:dyDescent="0.2">
      <c r="A3697" t="s">
        <v>14</v>
      </c>
      <c r="B3697" s="2">
        <v>45561</v>
      </c>
      <c r="C3697">
        <v>88.400680541992188</v>
      </c>
    </row>
    <row r="3698" spans="1:3" x14ac:dyDescent="0.2">
      <c r="A3698" t="s">
        <v>14</v>
      </c>
      <c r="B3698" s="2">
        <v>45562</v>
      </c>
      <c r="C3698">
        <v>90.461380004882812</v>
      </c>
    </row>
    <row r="3699" spans="1:3" x14ac:dyDescent="0.2">
      <c r="A3699" t="s">
        <v>14</v>
      </c>
      <c r="B3699" s="2">
        <v>45565</v>
      </c>
      <c r="C3699">
        <v>90.776214599609375</v>
      </c>
    </row>
    <row r="3700" spans="1:3" x14ac:dyDescent="0.2">
      <c r="A3700" t="s">
        <v>14</v>
      </c>
      <c r="B3700" s="2">
        <v>45566</v>
      </c>
      <c r="C3700">
        <v>94.754524230957031</v>
      </c>
    </row>
    <row r="3701" spans="1:3" x14ac:dyDescent="0.2">
      <c r="A3701" t="s">
        <v>14</v>
      </c>
      <c r="B3701" s="2">
        <v>45567</v>
      </c>
      <c r="C3701">
        <v>95.260169982910156</v>
      </c>
    </row>
    <row r="3702" spans="1:3" x14ac:dyDescent="0.2">
      <c r="A3702" t="s">
        <v>14</v>
      </c>
      <c r="B3702" s="2">
        <v>45568</v>
      </c>
      <c r="C3702">
        <v>98.503883361816406</v>
      </c>
    </row>
    <row r="3703" spans="1:3" x14ac:dyDescent="0.2">
      <c r="A3703" t="s">
        <v>14</v>
      </c>
      <c r="B3703" s="2">
        <v>45569</v>
      </c>
      <c r="C3703">
        <v>99.973091125488281</v>
      </c>
    </row>
    <row r="3704" spans="1:3" x14ac:dyDescent="0.2">
      <c r="A3704" t="s">
        <v>14</v>
      </c>
      <c r="B3704" s="2">
        <v>45572</v>
      </c>
      <c r="C3704">
        <v>103.01646423339839</v>
      </c>
    </row>
    <row r="3705" spans="1:3" x14ac:dyDescent="0.2">
      <c r="A3705" t="s">
        <v>14</v>
      </c>
      <c r="B3705" s="2">
        <v>45573</v>
      </c>
      <c r="C3705">
        <v>100.46917724609381</v>
      </c>
    </row>
    <row r="3706" spans="1:3" x14ac:dyDescent="0.2">
      <c r="A3706" t="s">
        <v>14</v>
      </c>
      <c r="B3706" s="2">
        <v>45574</v>
      </c>
      <c r="C3706">
        <v>100.8889694213867</v>
      </c>
    </row>
    <row r="3707" spans="1:3" x14ac:dyDescent="0.2">
      <c r="A3707" t="s">
        <v>14</v>
      </c>
      <c r="B3707" s="2">
        <v>45575</v>
      </c>
      <c r="C3707">
        <v>103.0450744628906</v>
      </c>
    </row>
    <row r="3708" spans="1:3" x14ac:dyDescent="0.2">
      <c r="A3708" t="s">
        <v>14</v>
      </c>
      <c r="B3708" s="2">
        <v>45576</v>
      </c>
      <c r="C3708">
        <v>102.89243316650391</v>
      </c>
    </row>
    <row r="3709" spans="1:3" x14ac:dyDescent="0.2">
      <c r="A3709" t="s">
        <v>14</v>
      </c>
      <c r="B3709" s="2">
        <v>45580</v>
      </c>
      <c r="C3709">
        <v>98.904571533203125</v>
      </c>
    </row>
    <row r="3710" spans="1:3" x14ac:dyDescent="0.2">
      <c r="A3710" t="s">
        <v>14</v>
      </c>
      <c r="B3710" s="2">
        <v>45581</v>
      </c>
      <c r="C3710">
        <v>99.992179870605469</v>
      </c>
    </row>
    <row r="3711" spans="1:3" x14ac:dyDescent="0.2">
      <c r="A3711" t="s">
        <v>14</v>
      </c>
      <c r="B3711" s="2">
        <v>45582</v>
      </c>
      <c r="C3711">
        <v>101.919319152832</v>
      </c>
    </row>
    <row r="3712" spans="1:3" x14ac:dyDescent="0.2">
      <c r="A3712" t="s">
        <v>14</v>
      </c>
      <c r="B3712" s="2">
        <v>45583</v>
      </c>
      <c r="C3712">
        <v>101.423225402832</v>
      </c>
    </row>
    <row r="3713" spans="1:3" x14ac:dyDescent="0.2">
      <c r="A3713" t="s">
        <v>14</v>
      </c>
      <c r="B3713" s="2">
        <v>45586</v>
      </c>
      <c r="C3713">
        <v>101.7762145996094</v>
      </c>
    </row>
    <row r="3714" spans="1:3" x14ac:dyDescent="0.2">
      <c r="A3714" t="s">
        <v>14</v>
      </c>
      <c r="B3714" s="2">
        <v>45587</v>
      </c>
      <c r="C3714">
        <v>100.8985061645508</v>
      </c>
    </row>
    <row r="3715" spans="1:3" x14ac:dyDescent="0.2">
      <c r="A3715" t="s">
        <v>14</v>
      </c>
      <c r="B3715" s="2">
        <v>45588</v>
      </c>
      <c r="C3715">
        <v>99.181251525878906</v>
      </c>
    </row>
    <row r="3716" spans="1:3" x14ac:dyDescent="0.2">
      <c r="A3716" t="s">
        <v>14</v>
      </c>
      <c r="B3716" s="2">
        <v>45589</v>
      </c>
      <c r="C3716">
        <v>99.534233093261719</v>
      </c>
    </row>
    <row r="3717" spans="1:3" x14ac:dyDescent="0.2">
      <c r="A3717" t="s">
        <v>14</v>
      </c>
      <c r="B3717" s="2">
        <v>45590</v>
      </c>
      <c r="C3717">
        <v>100.8603439331055</v>
      </c>
    </row>
    <row r="3718" spans="1:3" x14ac:dyDescent="0.2">
      <c r="A3718" t="s">
        <v>14</v>
      </c>
      <c r="B3718" s="2">
        <v>45593</v>
      </c>
      <c r="C3718">
        <v>99.047683715820312</v>
      </c>
    </row>
    <row r="3719" spans="1:3" x14ac:dyDescent="0.2">
      <c r="A3719" t="s">
        <v>14</v>
      </c>
      <c r="B3719" s="2">
        <v>45594</v>
      </c>
      <c r="C3719">
        <v>98.341697692871094</v>
      </c>
    </row>
    <row r="3720" spans="1:3" x14ac:dyDescent="0.2">
      <c r="A3720" t="s">
        <v>14</v>
      </c>
      <c r="B3720" s="2">
        <v>45595</v>
      </c>
      <c r="C3720">
        <v>98.475265502929688</v>
      </c>
    </row>
    <row r="3721" spans="1:3" x14ac:dyDescent="0.2">
      <c r="A3721" t="s">
        <v>14</v>
      </c>
      <c r="B3721" s="2">
        <v>45596</v>
      </c>
      <c r="C3721">
        <v>99.124008178710938</v>
      </c>
    </row>
    <row r="3722" spans="1:3" x14ac:dyDescent="0.2">
      <c r="A3722" t="s">
        <v>14</v>
      </c>
      <c r="B3722" s="2">
        <v>45597</v>
      </c>
      <c r="C3722">
        <v>94.038993835449219</v>
      </c>
    </row>
    <row r="3723" spans="1:3" x14ac:dyDescent="0.2">
      <c r="A3723" t="s">
        <v>14</v>
      </c>
      <c r="B3723" s="2">
        <v>45600</v>
      </c>
      <c r="C3723">
        <v>93.972213745117188</v>
      </c>
    </row>
    <row r="3724" spans="1:3" x14ac:dyDescent="0.2">
      <c r="A3724" t="s">
        <v>14</v>
      </c>
      <c r="B3724" s="2">
        <v>45601</v>
      </c>
      <c r="C3724">
        <v>93.17083740234375</v>
      </c>
    </row>
    <row r="3725" spans="1:3" x14ac:dyDescent="0.2">
      <c r="A3725" t="s">
        <v>14</v>
      </c>
      <c r="B3725" s="2">
        <v>45602</v>
      </c>
      <c r="C3725">
        <v>96.376396179199219</v>
      </c>
    </row>
    <row r="3726" spans="1:3" x14ac:dyDescent="0.2">
      <c r="A3726" t="s">
        <v>14</v>
      </c>
      <c r="B3726" s="2">
        <v>45603</v>
      </c>
      <c r="C3726">
        <v>97.864692687988281</v>
      </c>
    </row>
    <row r="3727" spans="1:3" x14ac:dyDescent="0.2">
      <c r="A3727" t="s">
        <v>14</v>
      </c>
      <c r="B3727" s="2">
        <v>45604</v>
      </c>
      <c r="C3727">
        <v>97.17779541015625</v>
      </c>
    </row>
    <row r="3728" spans="1:3" x14ac:dyDescent="0.2">
      <c r="A3728" t="s">
        <v>14</v>
      </c>
      <c r="B3728" s="2">
        <v>45607</v>
      </c>
      <c r="C3728">
        <v>97.969627380371094</v>
      </c>
    </row>
    <row r="3729" spans="1:3" x14ac:dyDescent="0.2">
      <c r="A3729" t="s">
        <v>14</v>
      </c>
      <c r="B3729" s="2">
        <v>45608</v>
      </c>
      <c r="C3729">
        <v>97.00604248046875</v>
      </c>
    </row>
    <row r="3730" spans="1:3" x14ac:dyDescent="0.2">
      <c r="A3730" t="s">
        <v>14</v>
      </c>
      <c r="B3730" s="2">
        <v>45609</v>
      </c>
      <c r="C3730">
        <v>97.196861267089844</v>
      </c>
    </row>
    <row r="3731" spans="1:3" x14ac:dyDescent="0.2">
      <c r="A3731" t="s">
        <v>14</v>
      </c>
      <c r="B3731" s="2">
        <v>45610</v>
      </c>
      <c r="C3731">
        <v>100.04942321777339</v>
      </c>
    </row>
    <row r="3732" spans="1:3" x14ac:dyDescent="0.2">
      <c r="A3732" t="s">
        <v>14</v>
      </c>
      <c r="B3732" s="2">
        <v>45611</v>
      </c>
      <c r="C3732">
        <v>99.725044250488281</v>
      </c>
    </row>
    <row r="3733" spans="1:3" x14ac:dyDescent="0.2">
      <c r="A3733" t="s">
        <v>14</v>
      </c>
      <c r="B3733" s="2">
        <v>45614</v>
      </c>
      <c r="C3733">
        <v>100.86988830566411</v>
      </c>
    </row>
    <row r="3734" spans="1:3" x14ac:dyDescent="0.2">
      <c r="A3734" t="s">
        <v>14</v>
      </c>
      <c r="B3734" s="2">
        <v>45615</v>
      </c>
      <c r="C3734">
        <v>101.1084060668945</v>
      </c>
    </row>
    <row r="3735" spans="1:3" x14ac:dyDescent="0.2">
      <c r="A3735" t="s">
        <v>14</v>
      </c>
      <c r="B3735" s="2">
        <v>45616</v>
      </c>
      <c r="C3735">
        <v>101.4422912597656</v>
      </c>
    </row>
    <row r="3736" spans="1:3" x14ac:dyDescent="0.2">
      <c r="A3736" t="s">
        <v>14</v>
      </c>
      <c r="B3736" s="2">
        <v>45617</v>
      </c>
      <c r="C3736">
        <v>102.9210510253906</v>
      </c>
    </row>
    <row r="3737" spans="1:3" x14ac:dyDescent="0.2">
      <c r="A3737" t="s">
        <v>14</v>
      </c>
      <c r="B3737" s="2">
        <v>45618</v>
      </c>
      <c r="C3737">
        <v>103.0641555786133</v>
      </c>
    </row>
    <row r="3738" spans="1:3" x14ac:dyDescent="0.2">
      <c r="A3738" t="s">
        <v>14</v>
      </c>
      <c r="B3738" s="2">
        <v>45621</v>
      </c>
      <c r="C3738">
        <v>101.0511474609375</v>
      </c>
    </row>
    <row r="3739" spans="1:3" x14ac:dyDescent="0.2">
      <c r="A3739" t="s">
        <v>14</v>
      </c>
      <c r="B3739" s="2">
        <v>45622</v>
      </c>
      <c r="C3739">
        <v>98.91412353515625</v>
      </c>
    </row>
    <row r="3740" spans="1:3" x14ac:dyDescent="0.2">
      <c r="A3740" t="s">
        <v>14</v>
      </c>
      <c r="B3740" s="2">
        <v>45623</v>
      </c>
      <c r="C3740">
        <v>97.969627380371094</v>
      </c>
    </row>
    <row r="3741" spans="1:3" x14ac:dyDescent="0.2">
      <c r="A3741" t="s">
        <v>14</v>
      </c>
      <c r="B3741" s="2">
        <v>45624</v>
      </c>
      <c r="C3741">
        <v>99.085845947265625</v>
      </c>
    </row>
    <row r="3742" spans="1:3" x14ac:dyDescent="0.2">
      <c r="A3742" t="s">
        <v>14</v>
      </c>
      <c r="B3742" s="2">
        <v>45625</v>
      </c>
      <c r="C3742">
        <v>98.923660278320312</v>
      </c>
    </row>
    <row r="3743" spans="1:3" x14ac:dyDescent="0.2">
      <c r="A3743" t="s">
        <v>14</v>
      </c>
      <c r="B3743" s="2">
        <v>45628</v>
      </c>
      <c r="C3743">
        <v>98.828254699707031</v>
      </c>
    </row>
    <row r="3744" spans="1:3" x14ac:dyDescent="0.2">
      <c r="A3744" t="s">
        <v>14</v>
      </c>
      <c r="B3744" s="2">
        <v>45629</v>
      </c>
      <c r="C3744">
        <v>98.310073852539062</v>
      </c>
    </row>
    <row r="3745" spans="1:3" x14ac:dyDescent="0.2">
      <c r="A3745" t="s">
        <v>14</v>
      </c>
      <c r="B3745" s="2">
        <v>45630</v>
      </c>
      <c r="C3745">
        <v>96.237358093261719</v>
      </c>
    </row>
    <row r="3746" spans="1:3" x14ac:dyDescent="0.2">
      <c r="A3746" t="s">
        <v>14</v>
      </c>
      <c r="B3746" s="2">
        <v>45631</v>
      </c>
      <c r="C3746">
        <v>98.022201538085938</v>
      </c>
    </row>
    <row r="3747" spans="1:3" x14ac:dyDescent="0.2">
      <c r="A3747" t="s">
        <v>14</v>
      </c>
      <c r="B3747" s="2">
        <v>45632</v>
      </c>
      <c r="C3747">
        <v>96.928268432617188</v>
      </c>
    </row>
    <row r="3748" spans="1:3" x14ac:dyDescent="0.2">
      <c r="A3748" t="s">
        <v>14</v>
      </c>
      <c r="B3748" s="2">
        <v>45635</v>
      </c>
      <c r="C3748">
        <v>98.3388671875</v>
      </c>
    </row>
    <row r="3749" spans="1:3" x14ac:dyDescent="0.2">
      <c r="A3749" t="s">
        <v>14</v>
      </c>
      <c r="B3749" s="2">
        <v>45636</v>
      </c>
      <c r="C3749">
        <v>98.924201965332031</v>
      </c>
    </row>
    <row r="3750" spans="1:3" x14ac:dyDescent="0.2">
      <c r="A3750" t="s">
        <v>14</v>
      </c>
      <c r="B3750" s="2">
        <v>45637</v>
      </c>
      <c r="C3750">
        <v>99.816627502441406</v>
      </c>
    </row>
    <row r="3751" spans="1:3" x14ac:dyDescent="0.2">
      <c r="A3751" t="s">
        <v>14</v>
      </c>
      <c r="B3751" s="2">
        <v>45638</v>
      </c>
      <c r="C3751">
        <v>93.109085083007812</v>
      </c>
    </row>
    <row r="3752" spans="1:3" x14ac:dyDescent="0.2">
      <c r="A3752" t="s">
        <v>14</v>
      </c>
      <c r="B3752" s="2">
        <v>45639</v>
      </c>
      <c r="C3752">
        <v>92.120712280273438</v>
      </c>
    </row>
    <row r="3753" spans="1:3" x14ac:dyDescent="0.2">
      <c r="A3753" t="s">
        <v>14</v>
      </c>
      <c r="B3753" s="2">
        <v>45642</v>
      </c>
      <c r="C3753">
        <v>90.796478271484375</v>
      </c>
    </row>
    <row r="3754" spans="1:3" x14ac:dyDescent="0.2">
      <c r="A3754" t="s">
        <v>14</v>
      </c>
      <c r="B3754" s="2">
        <v>45643</v>
      </c>
      <c r="C3754">
        <v>90.403053283691406</v>
      </c>
    </row>
    <row r="3755" spans="1:3" x14ac:dyDescent="0.2">
      <c r="A3755" t="s">
        <v>14</v>
      </c>
      <c r="B3755" s="2">
        <v>45644</v>
      </c>
      <c r="C3755">
        <v>88.858100891113281</v>
      </c>
    </row>
    <row r="3756" spans="1:3" x14ac:dyDescent="0.2">
      <c r="A3756" t="s">
        <v>14</v>
      </c>
      <c r="B3756" s="2">
        <v>45645</v>
      </c>
      <c r="C3756">
        <v>86.363166809082031</v>
      </c>
    </row>
    <row r="3757" spans="1:3" x14ac:dyDescent="0.2">
      <c r="A3757" t="s">
        <v>14</v>
      </c>
      <c r="B3757" s="2">
        <v>45646</v>
      </c>
      <c r="C3757">
        <v>85.029342651367188</v>
      </c>
    </row>
    <row r="3758" spans="1:3" x14ac:dyDescent="0.2">
      <c r="A3758" t="s">
        <v>14</v>
      </c>
      <c r="B3758" s="2">
        <v>45649</v>
      </c>
      <c r="C3758">
        <v>86.017715454101562</v>
      </c>
    </row>
    <row r="3759" spans="1:3" x14ac:dyDescent="0.2">
      <c r="A3759" t="s">
        <v>14</v>
      </c>
      <c r="B3759" s="2">
        <v>45650</v>
      </c>
      <c r="C3759">
        <v>86.986907958984375</v>
      </c>
    </row>
    <row r="3760" spans="1:3" x14ac:dyDescent="0.2">
      <c r="A3760" t="s">
        <v>14</v>
      </c>
      <c r="B3760" s="2">
        <v>45653</v>
      </c>
      <c r="C3760">
        <v>85.892982482910156</v>
      </c>
    </row>
    <row r="3761" spans="1:3" x14ac:dyDescent="0.2">
      <c r="A3761" t="s">
        <v>14</v>
      </c>
      <c r="B3761" s="2">
        <v>45656</v>
      </c>
      <c r="C3761">
        <v>84.252067565917969</v>
      </c>
    </row>
    <row r="3762" spans="1:3" x14ac:dyDescent="0.2">
      <c r="A3762" t="s">
        <v>14</v>
      </c>
      <c r="B3762" s="2">
        <v>45657</v>
      </c>
      <c r="C3762">
        <v>85.0101318359375</v>
      </c>
    </row>
    <row r="3763" spans="1:3" x14ac:dyDescent="0.2">
      <c r="A3763" t="s">
        <v>14</v>
      </c>
      <c r="B3763" s="2">
        <v>45659</v>
      </c>
      <c r="C3763">
        <v>86.267219543457031</v>
      </c>
    </row>
    <row r="3764" spans="1:3" x14ac:dyDescent="0.2">
      <c r="A3764" t="s">
        <v>14</v>
      </c>
      <c r="B3764" s="2">
        <v>45660</v>
      </c>
      <c r="C3764">
        <v>86.382362365722656</v>
      </c>
    </row>
    <row r="3765" spans="1:3" x14ac:dyDescent="0.2">
      <c r="A3765" t="s">
        <v>14</v>
      </c>
      <c r="B3765" s="2">
        <v>45663</v>
      </c>
      <c r="C3765">
        <v>86.938919067382812</v>
      </c>
    </row>
    <row r="3766" spans="1:3" x14ac:dyDescent="0.2">
      <c r="A3766" t="s">
        <v>14</v>
      </c>
      <c r="B3766" s="2">
        <v>45664</v>
      </c>
      <c r="C3766">
        <v>90.729316711425781</v>
      </c>
    </row>
    <row r="3767" spans="1:3" x14ac:dyDescent="0.2">
      <c r="A3767" t="s">
        <v>14</v>
      </c>
      <c r="B3767" s="2">
        <v>45665</v>
      </c>
      <c r="C3767">
        <v>91.401031494140625</v>
      </c>
    </row>
    <row r="3768" spans="1:3" x14ac:dyDescent="0.2">
      <c r="A3768" t="s">
        <v>14</v>
      </c>
      <c r="B3768" s="2">
        <v>45666</v>
      </c>
      <c r="C3768">
        <v>90.710113525390625</v>
      </c>
    </row>
    <row r="3769" spans="1:3" x14ac:dyDescent="0.2">
      <c r="A3769" t="s">
        <v>14</v>
      </c>
      <c r="B3769" s="2">
        <v>45667</v>
      </c>
      <c r="C3769">
        <v>92.514144897460938</v>
      </c>
    </row>
    <row r="3770" spans="1:3" x14ac:dyDescent="0.2">
      <c r="A3770" t="s">
        <v>14</v>
      </c>
      <c r="B3770" s="2">
        <v>45670</v>
      </c>
      <c r="C3770">
        <v>91.95758056640625</v>
      </c>
    </row>
    <row r="3771" spans="1:3" x14ac:dyDescent="0.2">
      <c r="A3771" t="s">
        <v>14</v>
      </c>
      <c r="B3771" s="2">
        <v>45671</v>
      </c>
      <c r="C3771">
        <v>92.39898681640625</v>
      </c>
    </row>
    <row r="3772" spans="1:3" x14ac:dyDescent="0.2">
      <c r="A3772" t="s">
        <v>14</v>
      </c>
      <c r="B3772" s="2">
        <v>45672</v>
      </c>
      <c r="C3772">
        <v>93.83837890625</v>
      </c>
    </row>
    <row r="3773" spans="1:3" x14ac:dyDescent="0.2">
      <c r="A3773" t="s">
        <v>14</v>
      </c>
      <c r="B3773" s="2">
        <v>45673</v>
      </c>
      <c r="C3773">
        <v>94.807563781738281</v>
      </c>
    </row>
    <row r="3774" spans="1:3" x14ac:dyDescent="0.2">
      <c r="A3774" t="s">
        <v>14</v>
      </c>
      <c r="B3774" s="2">
        <v>45674</v>
      </c>
      <c r="C3774">
        <v>94.865150451660156</v>
      </c>
    </row>
    <row r="3775" spans="1:3" x14ac:dyDescent="0.2">
      <c r="A3775" t="s">
        <v>14</v>
      </c>
      <c r="B3775" s="2">
        <v>45677</v>
      </c>
      <c r="C3775">
        <v>95.344947814941406</v>
      </c>
    </row>
    <row r="3776" spans="1:3" x14ac:dyDescent="0.2">
      <c r="A3776" t="s">
        <v>14</v>
      </c>
      <c r="B3776" s="2">
        <v>45678</v>
      </c>
      <c r="C3776">
        <v>96.774742126464844</v>
      </c>
    </row>
    <row r="3777" spans="1:3" x14ac:dyDescent="0.2">
      <c r="A3777" t="s">
        <v>14</v>
      </c>
      <c r="B3777" s="2">
        <v>45679</v>
      </c>
      <c r="C3777">
        <v>97.85906982421875</v>
      </c>
    </row>
    <row r="3778" spans="1:3" x14ac:dyDescent="0.2">
      <c r="A3778" t="s">
        <v>14</v>
      </c>
      <c r="B3778" s="2">
        <v>45680</v>
      </c>
      <c r="C3778">
        <v>98.914627075195312</v>
      </c>
    </row>
    <row r="3779" spans="1:3" x14ac:dyDescent="0.2">
      <c r="A3779" t="s">
        <v>14</v>
      </c>
      <c r="B3779" s="2">
        <v>45681</v>
      </c>
      <c r="C3779">
        <v>96.67877197265625</v>
      </c>
    </row>
    <row r="3780" spans="1:3" x14ac:dyDescent="0.2">
      <c r="A3780" t="s">
        <v>14</v>
      </c>
      <c r="B3780" s="2">
        <v>45684</v>
      </c>
      <c r="C3780">
        <v>96.477264404296875</v>
      </c>
    </row>
    <row r="3781" spans="1:3" x14ac:dyDescent="0.2">
      <c r="A3781" t="s">
        <v>14</v>
      </c>
      <c r="B3781" s="2">
        <v>45685</v>
      </c>
      <c r="C3781">
        <v>97.196952819824219</v>
      </c>
    </row>
    <row r="3782" spans="1:3" x14ac:dyDescent="0.2">
      <c r="A3782" t="s">
        <v>14</v>
      </c>
      <c r="B3782" s="2">
        <v>45686</v>
      </c>
      <c r="C3782">
        <v>97.264122009277344</v>
      </c>
    </row>
    <row r="3783" spans="1:3" x14ac:dyDescent="0.2">
      <c r="A3783" t="s">
        <v>14</v>
      </c>
      <c r="B3783" s="2">
        <v>45687</v>
      </c>
      <c r="C3783">
        <v>99.30804443359375</v>
      </c>
    </row>
    <row r="3784" spans="1:3" x14ac:dyDescent="0.2">
      <c r="A3784" t="s">
        <v>14</v>
      </c>
      <c r="B3784" s="2">
        <v>45688</v>
      </c>
      <c r="C3784">
        <v>92.763648986816406</v>
      </c>
    </row>
    <row r="3785" spans="1:3" x14ac:dyDescent="0.2">
      <c r="A3785" t="s">
        <v>14</v>
      </c>
      <c r="B3785" s="2">
        <v>45691</v>
      </c>
      <c r="C3785">
        <v>93.387367248535156</v>
      </c>
    </row>
    <row r="3786" spans="1:3" x14ac:dyDescent="0.2">
      <c r="A3786" t="s">
        <v>14</v>
      </c>
      <c r="B3786" s="2">
        <v>45692</v>
      </c>
      <c r="C3786">
        <v>91.717697143554688</v>
      </c>
    </row>
    <row r="3787" spans="1:3" x14ac:dyDescent="0.2">
      <c r="A3787" t="s">
        <v>14</v>
      </c>
      <c r="B3787" s="2">
        <v>45693</v>
      </c>
      <c r="C3787">
        <v>91.314659118652344</v>
      </c>
    </row>
    <row r="3788" spans="1:3" x14ac:dyDescent="0.2">
      <c r="A3788" t="s">
        <v>14</v>
      </c>
      <c r="B3788" s="2">
        <v>45694</v>
      </c>
      <c r="C3788">
        <v>91.564155578613281</v>
      </c>
    </row>
    <row r="3789" spans="1:3" x14ac:dyDescent="0.2">
      <c r="A3789" t="s">
        <v>14</v>
      </c>
      <c r="B3789" s="2">
        <v>45695</v>
      </c>
      <c r="C3789">
        <v>92.485359191894531</v>
      </c>
    </row>
    <row r="3790" spans="1:3" x14ac:dyDescent="0.2">
      <c r="A3790" t="s">
        <v>14</v>
      </c>
      <c r="B3790" s="2">
        <v>45698</v>
      </c>
      <c r="C3790">
        <v>94.212623596191406</v>
      </c>
    </row>
    <row r="3791" spans="1:3" x14ac:dyDescent="0.2">
      <c r="A3791" t="s">
        <v>14</v>
      </c>
      <c r="B3791" s="2">
        <v>45699</v>
      </c>
      <c r="C3791">
        <v>97.417655944824219</v>
      </c>
    </row>
    <row r="3792" spans="1:3" x14ac:dyDescent="0.2">
      <c r="A3792" t="s">
        <v>14</v>
      </c>
      <c r="B3792" s="2">
        <v>45700</v>
      </c>
      <c r="C3792">
        <v>96.5924072265625</v>
      </c>
    </row>
    <row r="3793" spans="1:3" x14ac:dyDescent="0.2">
      <c r="A3793" t="s">
        <v>14</v>
      </c>
      <c r="B3793" s="2">
        <v>45701</v>
      </c>
      <c r="C3793">
        <v>95.642410278320312</v>
      </c>
    </row>
    <row r="3794" spans="1:3" x14ac:dyDescent="0.2">
      <c r="A3794" t="s">
        <v>14</v>
      </c>
      <c r="B3794" s="2">
        <v>45702</v>
      </c>
      <c r="C3794">
        <v>94.27978515625</v>
      </c>
    </row>
    <row r="3795" spans="1:3" x14ac:dyDescent="0.2">
      <c r="A3795" t="s">
        <v>14</v>
      </c>
      <c r="B3795" s="2">
        <v>45706</v>
      </c>
      <c r="C3795">
        <v>96.697959899902344</v>
      </c>
    </row>
    <row r="3796" spans="1:3" x14ac:dyDescent="0.2">
      <c r="A3796" t="s">
        <v>14</v>
      </c>
      <c r="B3796" s="2">
        <v>45707</v>
      </c>
      <c r="C3796">
        <v>97.590377807617188</v>
      </c>
    </row>
    <row r="3797" spans="1:3" x14ac:dyDescent="0.2">
      <c r="A3797" t="s">
        <v>14</v>
      </c>
      <c r="B3797" s="2">
        <v>45708</v>
      </c>
      <c r="C3797">
        <v>99.106544494628906</v>
      </c>
    </row>
    <row r="3798" spans="1:3" x14ac:dyDescent="0.2">
      <c r="A3798" t="s">
        <v>14</v>
      </c>
      <c r="B3798" s="2">
        <v>45709</v>
      </c>
      <c r="C3798">
        <v>95.248977661132812</v>
      </c>
    </row>
    <row r="3799" spans="1:3" x14ac:dyDescent="0.2">
      <c r="A3799" t="s">
        <v>14</v>
      </c>
      <c r="B3799" s="2">
        <v>45712</v>
      </c>
      <c r="C3799">
        <v>94.4525146484375</v>
      </c>
    </row>
    <row r="3800" spans="1:3" x14ac:dyDescent="0.2">
      <c r="A3800" t="s">
        <v>14</v>
      </c>
      <c r="B3800" s="2">
        <v>45713</v>
      </c>
      <c r="C3800">
        <v>94.011100769042969</v>
      </c>
    </row>
    <row r="3801" spans="1:3" x14ac:dyDescent="0.2">
      <c r="A3801" t="s">
        <v>14</v>
      </c>
      <c r="B3801" s="2">
        <v>45714</v>
      </c>
      <c r="C3801">
        <v>93.847984313964844</v>
      </c>
    </row>
    <row r="3802" spans="1:3" x14ac:dyDescent="0.2">
      <c r="A3802" t="s">
        <v>14</v>
      </c>
      <c r="B3802" s="2">
        <v>45715</v>
      </c>
      <c r="C3802">
        <v>93.780815124511719</v>
      </c>
    </row>
    <row r="3803" spans="1:3" x14ac:dyDescent="0.2">
      <c r="A3803" t="s">
        <v>14</v>
      </c>
      <c r="B3803" s="2">
        <v>45716</v>
      </c>
      <c r="C3803">
        <v>94.126258850097656</v>
      </c>
    </row>
    <row r="3804" spans="1:3" x14ac:dyDescent="0.2">
      <c r="A3804" t="s">
        <v>14</v>
      </c>
      <c r="B3804" s="2">
        <v>45719</v>
      </c>
      <c r="C3804">
        <v>92.245452880859375</v>
      </c>
    </row>
    <row r="3805" spans="1:3" x14ac:dyDescent="0.2">
      <c r="A3805" t="s">
        <v>14</v>
      </c>
      <c r="B3805" s="2">
        <v>45720</v>
      </c>
      <c r="C3805">
        <v>91.103553771972656</v>
      </c>
    </row>
    <row r="3806" spans="1:3" x14ac:dyDescent="0.2">
      <c r="A3806" t="s">
        <v>14</v>
      </c>
      <c r="B3806" s="2">
        <v>45721</v>
      </c>
      <c r="C3806">
        <v>89.189033508300781</v>
      </c>
    </row>
    <row r="3807" spans="1:3" x14ac:dyDescent="0.2">
      <c r="A3807" t="s">
        <v>14</v>
      </c>
      <c r="B3807" s="2">
        <v>45722</v>
      </c>
      <c r="C3807">
        <v>90.24298095703125</v>
      </c>
    </row>
    <row r="3808" spans="1:3" x14ac:dyDescent="0.2">
      <c r="A3808" t="s">
        <v>14</v>
      </c>
      <c r="B3808" s="2">
        <v>45723</v>
      </c>
      <c r="C3808">
        <v>95.483718872070312</v>
      </c>
    </row>
    <row r="3809" spans="1:3" x14ac:dyDescent="0.2">
      <c r="A3809" t="s">
        <v>14</v>
      </c>
      <c r="B3809" s="2">
        <v>45726</v>
      </c>
      <c r="C3809">
        <v>96.615013122558594</v>
      </c>
    </row>
    <row r="3810" spans="1:3" x14ac:dyDescent="0.2">
      <c r="A3810" t="s">
        <v>14</v>
      </c>
      <c r="B3810" s="2">
        <v>45727</v>
      </c>
      <c r="C3810">
        <v>92.621620178222656</v>
      </c>
    </row>
    <row r="3811" spans="1:3" x14ac:dyDescent="0.2">
      <c r="A3811" t="s">
        <v>14</v>
      </c>
      <c r="B3811" s="2">
        <v>45728</v>
      </c>
      <c r="C3811">
        <v>93.192108154296875</v>
      </c>
    </row>
    <row r="3812" spans="1:3" x14ac:dyDescent="0.2">
      <c r="A3812" t="s">
        <v>14</v>
      </c>
      <c r="B3812" s="2">
        <v>45729</v>
      </c>
      <c r="C3812">
        <v>92.863349914550781</v>
      </c>
    </row>
    <row r="3813" spans="1:3" x14ac:dyDescent="0.2">
      <c r="A3813" t="s">
        <v>14</v>
      </c>
      <c r="B3813" s="2">
        <v>45730</v>
      </c>
      <c r="C3813">
        <v>94.217048645019531</v>
      </c>
    </row>
    <row r="3814" spans="1:3" x14ac:dyDescent="0.2">
      <c r="A3814" t="s">
        <v>14</v>
      </c>
      <c r="B3814" s="2">
        <v>45733</v>
      </c>
      <c r="C3814">
        <v>95.4547119140625</v>
      </c>
    </row>
    <row r="3815" spans="1:3" x14ac:dyDescent="0.2">
      <c r="A3815" t="s">
        <v>14</v>
      </c>
      <c r="B3815" s="2">
        <v>45734</v>
      </c>
      <c r="C3815">
        <v>95.570732116699219</v>
      </c>
    </row>
    <row r="3816" spans="1:3" x14ac:dyDescent="0.2">
      <c r="A3816" t="s">
        <v>14</v>
      </c>
      <c r="B3816" s="2">
        <v>45735</v>
      </c>
      <c r="C3816">
        <v>97.233833312988281</v>
      </c>
    </row>
    <row r="3817" spans="1:3" x14ac:dyDescent="0.2">
      <c r="A3817" t="s">
        <v>14</v>
      </c>
      <c r="B3817" s="2">
        <v>45736</v>
      </c>
      <c r="C3817">
        <v>98.597206115722656</v>
      </c>
    </row>
    <row r="3818" spans="1:3" x14ac:dyDescent="0.2">
      <c r="A3818" t="s">
        <v>14</v>
      </c>
      <c r="B3818" s="2">
        <v>45737</v>
      </c>
      <c r="C3818">
        <v>98.819587707519531</v>
      </c>
    </row>
    <row r="3819" spans="1:3" x14ac:dyDescent="0.2">
      <c r="A3819" t="s">
        <v>14</v>
      </c>
      <c r="B3819" s="2">
        <v>45740</v>
      </c>
      <c r="C3819">
        <v>100.97584533691411</v>
      </c>
    </row>
    <row r="3820" spans="1:3" x14ac:dyDescent="0.2">
      <c r="A3820" t="s">
        <v>14</v>
      </c>
      <c r="B3820" s="2">
        <v>45741</v>
      </c>
      <c r="C3820">
        <v>101.0048446655273</v>
      </c>
    </row>
    <row r="3821" spans="1:3" x14ac:dyDescent="0.2">
      <c r="A3821" t="s">
        <v>14</v>
      </c>
      <c r="B3821" s="2">
        <v>45742</v>
      </c>
      <c r="C3821">
        <v>101.0048446655273</v>
      </c>
    </row>
    <row r="3822" spans="1:3" x14ac:dyDescent="0.2">
      <c r="A3822" t="s">
        <v>14</v>
      </c>
      <c r="B3822" s="2">
        <v>45743</v>
      </c>
      <c r="C3822">
        <v>100.0282516479492</v>
      </c>
    </row>
    <row r="3823" spans="1:3" x14ac:dyDescent="0.2">
      <c r="A3823" t="s">
        <v>14</v>
      </c>
      <c r="B3823" s="2">
        <v>45744</v>
      </c>
      <c r="C3823">
        <v>98.19110107421875</v>
      </c>
    </row>
    <row r="3824" spans="1:3" x14ac:dyDescent="0.2">
      <c r="A3824" t="s">
        <v>14</v>
      </c>
      <c r="B3824" s="2">
        <v>45747</v>
      </c>
      <c r="C3824">
        <v>100.5117111206055</v>
      </c>
    </row>
    <row r="3825" spans="1:3" x14ac:dyDescent="0.2">
      <c r="A3825" t="s">
        <v>14</v>
      </c>
      <c r="B3825" s="2">
        <v>45748</v>
      </c>
      <c r="C3825">
        <v>100.70510101318359</v>
      </c>
    </row>
    <row r="3826" spans="1:3" x14ac:dyDescent="0.2">
      <c r="A3826" t="s">
        <v>14</v>
      </c>
      <c r="B3826" s="2">
        <v>45749</v>
      </c>
      <c r="C3826">
        <v>101.7783889770508</v>
      </c>
    </row>
    <row r="3827" spans="1:3" x14ac:dyDescent="0.2">
      <c r="A3827" t="s">
        <v>14</v>
      </c>
      <c r="B3827" s="2">
        <v>45750</v>
      </c>
      <c r="C3827">
        <v>93.549873352050781</v>
      </c>
    </row>
    <row r="3828" spans="1:3" x14ac:dyDescent="0.2">
      <c r="A3828" t="s">
        <v>14</v>
      </c>
      <c r="B3828" s="2">
        <v>45751</v>
      </c>
      <c r="C3828">
        <v>87.284194946289062</v>
      </c>
    </row>
    <row r="3829" spans="1:3" x14ac:dyDescent="0.2">
      <c r="A3829" t="s">
        <v>14</v>
      </c>
      <c r="B3829" s="2">
        <v>45754</v>
      </c>
      <c r="C3829">
        <v>84.953910827636719</v>
      </c>
    </row>
    <row r="3830" spans="1:3" x14ac:dyDescent="0.2">
      <c r="A3830" t="s">
        <v>14</v>
      </c>
      <c r="B3830" s="2">
        <v>45755</v>
      </c>
      <c r="C3830">
        <v>82.904037475585938</v>
      </c>
    </row>
    <row r="3831" spans="1:3" x14ac:dyDescent="0.2">
      <c r="A3831" t="s">
        <v>14</v>
      </c>
      <c r="B3831" s="2">
        <v>45756</v>
      </c>
      <c r="C3831">
        <v>87.8740234375</v>
      </c>
    </row>
    <row r="3832" spans="1:3" x14ac:dyDescent="0.2">
      <c r="A3832" t="s">
        <v>14</v>
      </c>
      <c r="B3832" s="2">
        <v>45757</v>
      </c>
      <c r="C3832">
        <v>81.59869384765625</v>
      </c>
    </row>
    <row r="3833" spans="1:3" x14ac:dyDescent="0.2">
      <c r="A3833" t="s">
        <v>14</v>
      </c>
      <c r="B3833" s="2">
        <v>45758</v>
      </c>
      <c r="C3833">
        <v>83.909629821777344</v>
      </c>
    </row>
    <row r="3834" spans="1:3" x14ac:dyDescent="0.2">
      <c r="A3834" t="s">
        <v>14</v>
      </c>
      <c r="B3834" s="2">
        <v>45761</v>
      </c>
      <c r="C3834">
        <v>83.435844421386719</v>
      </c>
    </row>
    <row r="3835" spans="1:3" x14ac:dyDescent="0.2">
      <c r="A3835" t="s">
        <v>14</v>
      </c>
      <c r="B3835" s="2">
        <v>45762</v>
      </c>
      <c r="C3835">
        <v>82.217521667480469</v>
      </c>
    </row>
    <row r="3836" spans="1:3" x14ac:dyDescent="0.2">
      <c r="A3836" t="s">
        <v>14</v>
      </c>
      <c r="B3836" s="2">
        <v>45763</v>
      </c>
      <c r="C3836">
        <v>83.387496948242188</v>
      </c>
    </row>
    <row r="3837" spans="1:3" x14ac:dyDescent="0.2">
      <c r="A3837" t="s">
        <v>14</v>
      </c>
      <c r="B3837" s="2">
        <v>45764</v>
      </c>
      <c r="C3837">
        <v>85.447052001953125</v>
      </c>
    </row>
    <row r="3838" spans="1:3" x14ac:dyDescent="0.2">
      <c r="A3838" t="s">
        <v>14</v>
      </c>
      <c r="B3838" s="2">
        <v>45768</v>
      </c>
      <c r="C3838">
        <v>86.655708312988281</v>
      </c>
    </row>
    <row r="3839" spans="1:3" x14ac:dyDescent="0.2">
      <c r="A3839" t="s">
        <v>14</v>
      </c>
      <c r="B3839" s="2">
        <v>45769</v>
      </c>
      <c r="C3839">
        <v>90.987525939941406</v>
      </c>
    </row>
    <row r="3840" spans="1:3" x14ac:dyDescent="0.2">
      <c r="A3840" t="s">
        <v>14</v>
      </c>
      <c r="B3840" s="2">
        <v>45770</v>
      </c>
      <c r="C3840">
        <v>90.165634155273438</v>
      </c>
    </row>
    <row r="3841" spans="1:3" x14ac:dyDescent="0.2">
      <c r="A3841" t="s">
        <v>14</v>
      </c>
      <c r="B3841" s="2">
        <v>45771</v>
      </c>
      <c r="C3841">
        <v>91.538658142089844</v>
      </c>
    </row>
    <row r="3842" spans="1:3" x14ac:dyDescent="0.2">
      <c r="A3842" t="s">
        <v>14</v>
      </c>
      <c r="B3842" s="2">
        <v>45772</v>
      </c>
      <c r="C3842">
        <v>92.33154296875</v>
      </c>
    </row>
    <row r="3843" spans="1:3" x14ac:dyDescent="0.2">
      <c r="A3843" t="s">
        <v>14</v>
      </c>
      <c r="B3843" s="2">
        <v>45775</v>
      </c>
      <c r="C3843">
        <v>92.99871826171875</v>
      </c>
    </row>
    <row r="3844" spans="1:3" x14ac:dyDescent="0.2">
      <c r="A3844" t="s">
        <v>14</v>
      </c>
      <c r="B3844" s="2">
        <v>45776</v>
      </c>
      <c r="C3844">
        <v>92.902030944824219</v>
      </c>
    </row>
    <row r="3845" spans="1:3" x14ac:dyDescent="0.2">
      <c r="A3845" t="s">
        <v>14</v>
      </c>
      <c r="B3845" s="2">
        <v>45777</v>
      </c>
      <c r="C3845">
        <v>89.914230346679688</v>
      </c>
    </row>
    <row r="3846" spans="1:3" x14ac:dyDescent="0.2">
      <c r="A3846" t="s">
        <v>14</v>
      </c>
      <c r="B3846" s="2">
        <v>45778</v>
      </c>
      <c r="C3846">
        <v>90.803802490234375</v>
      </c>
    </row>
    <row r="3847" spans="1:3" x14ac:dyDescent="0.2">
      <c r="A3847" t="s">
        <v>14</v>
      </c>
      <c r="B3847" s="2">
        <v>45779</v>
      </c>
      <c r="C3847">
        <v>91.915763854980469</v>
      </c>
    </row>
    <row r="3848" spans="1:3" x14ac:dyDescent="0.2">
      <c r="A3848" t="s">
        <v>14</v>
      </c>
      <c r="B3848" s="2">
        <v>45782</v>
      </c>
      <c r="C3848">
        <v>90.349342346191406</v>
      </c>
    </row>
    <row r="3849" spans="1:3" x14ac:dyDescent="0.2">
      <c r="A3849" t="s">
        <v>14</v>
      </c>
      <c r="B3849" s="2">
        <v>45783</v>
      </c>
      <c r="C3849">
        <v>91.171226501464844</v>
      </c>
    </row>
    <row r="3850" spans="1:3" x14ac:dyDescent="0.2">
      <c r="A3850" t="s">
        <v>14</v>
      </c>
      <c r="B3850" s="2">
        <v>45784</v>
      </c>
      <c r="C3850">
        <v>91.587013244628906</v>
      </c>
    </row>
    <row r="3851" spans="1:3" x14ac:dyDescent="0.2">
      <c r="A3851" t="s">
        <v>14</v>
      </c>
      <c r="B3851" s="2">
        <v>45785</v>
      </c>
      <c r="C3851">
        <v>93.453178405761719</v>
      </c>
    </row>
    <row r="3852" spans="1:3" x14ac:dyDescent="0.2">
      <c r="A3852" t="s">
        <v>14</v>
      </c>
      <c r="B3852" s="2">
        <v>45786</v>
      </c>
      <c r="C3852">
        <v>95.976844787597656</v>
      </c>
    </row>
    <row r="3853" spans="1:3" x14ac:dyDescent="0.2">
      <c r="A3853" t="s">
        <v>14</v>
      </c>
      <c r="B3853" s="2">
        <v>45789</v>
      </c>
      <c r="C3853">
        <v>98.104072570800781</v>
      </c>
    </row>
    <row r="3854" spans="1:3" x14ac:dyDescent="0.2">
      <c r="A3854" t="s">
        <v>14</v>
      </c>
      <c r="B3854" s="2">
        <v>45790</v>
      </c>
      <c r="C3854">
        <v>99.129013061523438</v>
      </c>
    </row>
    <row r="3855" spans="1:3" x14ac:dyDescent="0.2">
      <c r="A3855" t="s">
        <v>14</v>
      </c>
      <c r="B3855" s="2">
        <v>45791</v>
      </c>
      <c r="C3855">
        <v>98.220115661621094</v>
      </c>
    </row>
    <row r="3856" spans="1:3" x14ac:dyDescent="0.2">
      <c r="A3856" t="s">
        <v>14</v>
      </c>
      <c r="B3856" s="2">
        <v>45792</v>
      </c>
      <c r="C3856">
        <v>97.620613098144531</v>
      </c>
    </row>
    <row r="3857" spans="1:3" x14ac:dyDescent="0.2">
      <c r="A3857" t="s">
        <v>14</v>
      </c>
      <c r="B3857" s="2">
        <v>45793</v>
      </c>
      <c r="C3857">
        <v>98.007392883300781</v>
      </c>
    </row>
    <row r="3858" spans="1:3" x14ac:dyDescent="0.2">
      <c r="A3858" t="s">
        <v>14</v>
      </c>
      <c r="B3858" s="2">
        <v>45797</v>
      </c>
      <c r="C3858">
        <v>96.779380798339844</v>
      </c>
    </row>
    <row r="3859" spans="1:3" x14ac:dyDescent="0.2">
      <c r="A3859" t="s">
        <v>14</v>
      </c>
      <c r="B3859" s="2">
        <v>45798</v>
      </c>
      <c r="C3859">
        <v>96.518325805664062</v>
      </c>
    </row>
    <row r="3860" spans="1:3" x14ac:dyDescent="0.2">
      <c r="A3860" t="s">
        <v>14</v>
      </c>
      <c r="B3860" s="2">
        <v>45799</v>
      </c>
      <c r="C3860">
        <v>95.445045471191406</v>
      </c>
    </row>
    <row r="3861" spans="1:3" x14ac:dyDescent="0.2">
      <c r="A3861" t="s">
        <v>14</v>
      </c>
      <c r="B3861" s="2">
        <v>45800</v>
      </c>
      <c r="C3861">
        <v>95.241981506347656</v>
      </c>
    </row>
    <row r="3862" spans="1:3" x14ac:dyDescent="0.2">
      <c r="A3862" t="s">
        <v>14</v>
      </c>
      <c r="B3862" s="2">
        <v>45803</v>
      </c>
      <c r="C3862">
        <v>95.329002380371094</v>
      </c>
    </row>
    <row r="3863" spans="1:3" x14ac:dyDescent="0.2">
      <c r="A3863" t="s">
        <v>14</v>
      </c>
      <c r="B3863" s="2">
        <v>45804</v>
      </c>
      <c r="C3863">
        <v>96.663360595703125</v>
      </c>
    </row>
    <row r="3864" spans="1:3" x14ac:dyDescent="0.2">
      <c r="A3864" t="s">
        <v>14</v>
      </c>
      <c r="B3864" s="2">
        <v>45805</v>
      </c>
      <c r="C3864">
        <v>96.054191589355469</v>
      </c>
    </row>
    <row r="3865" spans="1:3" x14ac:dyDescent="0.2">
      <c r="A3865" t="s">
        <v>14</v>
      </c>
      <c r="B3865" s="2">
        <v>45806</v>
      </c>
      <c r="C3865">
        <v>95.802803039550781</v>
      </c>
    </row>
    <row r="3866" spans="1:3" x14ac:dyDescent="0.2">
      <c r="A3866" t="s">
        <v>14</v>
      </c>
      <c r="B3866" s="2">
        <v>45807</v>
      </c>
      <c r="C3866">
        <v>94.739189147949219</v>
      </c>
    </row>
    <row r="3867" spans="1:3" x14ac:dyDescent="0.2">
      <c r="A3867" t="s">
        <v>14</v>
      </c>
      <c r="B3867" s="2">
        <v>45810</v>
      </c>
      <c r="C3867">
        <v>96.247581481933594</v>
      </c>
    </row>
    <row r="3868" spans="1:3" x14ac:dyDescent="0.2">
      <c r="A3868" t="s">
        <v>14</v>
      </c>
      <c r="B3868" s="2">
        <v>45811</v>
      </c>
      <c r="C3868">
        <v>97.620613098144531</v>
      </c>
    </row>
    <row r="3869" spans="1:3" x14ac:dyDescent="0.2">
      <c r="A3869" t="s">
        <v>14</v>
      </c>
      <c r="B3869" s="2">
        <v>45812</v>
      </c>
      <c r="C3869">
        <v>96.442230224609375</v>
      </c>
    </row>
    <row r="3870" spans="1:3" x14ac:dyDescent="0.2">
      <c r="A3870" t="s">
        <v>14</v>
      </c>
      <c r="B3870" s="2">
        <v>45813</v>
      </c>
      <c r="C3870">
        <v>97.046028137207031</v>
      </c>
    </row>
    <row r="3871" spans="1:3" x14ac:dyDescent="0.2">
      <c r="A3871" t="s">
        <v>14</v>
      </c>
      <c r="B3871" s="2">
        <v>45814</v>
      </c>
      <c r="C3871">
        <v>98.165985107421875</v>
      </c>
    </row>
    <row r="3872" spans="1:3" x14ac:dyDescent="0.2">
      <c r="A3872" t="s">
        <v>14</v>
      </c>
      <c r="B3872" s="2">
        <v>45817</v>
      </c>
      <c r="C3872">
        <v>97.91278076171875</v>
      </c>
    </row>
    <row r="3873" spans="1:3" x14ac:dyDescent="0.2">
      <c r="A3873" t="s">
        <v>14</v>
      </c>
      <c r="B3873" s="2">
        <v>45818</v>
      </c>
      <c r="C3873">
        <v>100.2111053466797</v>
      </c>
    </row>
    <row r="3874" spans="1:3" x14ac:dyDescent="0.2">
      <c r="A3874" t="s">
        <v>14</v>
      </c>
      <c r="B3874" s="2">
        <v>45819</v>
      </c>
      <c r="C3874">
        <v>103.04505920410161</v>
      </c>
    </row>
    <row r="3875" spans="1:3" x14ac:dyDescent="0.2">
      <c r="A3875" t="s">
        <v>14</v>
      </c>
      <c r="B3875" s="2">
        <v>45820</v>
      </c>
      <c r="C3875">
        <v>104.48638916015619</v>
      </c>
    </row>
    <row r="3876" spans="1:3" x14ac:dyDescent="0.2">
      <c r="A3876" t="s">
        <v>14</v>
      </c>
      <c r="B3876" s="2">
        <v>45821</v>
      </c>
      <c r="C3876">
        <v>108.2455368041992</v>
      </c>
    </row>
    <row r="3877" spans="1:3" x14ac:dyDescent="0.2">
      <c r="A3877" t="s">
        <v>14</v>
      </c>
      <c r="B3877" s="2">
        <v>45824</v>
      </c>
      <c r="C3877">
        <v>107.4079971313477</v>
      </c>
    </row>
    <row r="3878" spans="1:3" x14ac:dyDescent="0.2">
      <c r="A3878" t="s">
        <v>14</v>
      </c>
      <c r="B3878" s="2">
        <v>45825</v>
      </c>
      <c r="C3878">
        <v>108.3916015625</v>
      </c>
    </row>
    <row r="3879" spans="1:3" x14ac:dyDescent="0.2">
      <c r="A3879" t="s">
        <v>14</v>
      </c>
      <c r="B3879" s="2">
        <v>45826</v>
      </c>
      <c r="C3879">
        <v>108.0117950439453</v>
      </c>
    </row>
    <row r="3880" spans="1:3" x14ac:dyDescent="0.2">
      <c r="A3880" t="s">
        <v>14</v>
      </c>
      <c r="B3880" s="2">
        <v>45827</v>
      </c>
      <c r="C3880">
        <v>109.0830459594727</v>
      </c>
    </row>
    <row r="3881" spans="1:3" x14ac:dyDescent="0.2">
      <c r="A3881" t="s">
        <v>14</v>
      </c>
      <c r="B3881" s="2">
        <v>45828</v>
      </c>
      <c r="C3881">
        <v>108.8882751464844</v>
      </c>
    </row>
    <row r="3882" spans="1:3" x14ac:dyDescent="0.2">
      <c r="A3882" t="s">
        <v>14</v>
      </c>
      <c r="B3882" s="2">
        <v>45831</v>
      </c>
      <c r="C3882">
        <v>105.7134628295898</v>
      </c>
    </row>
    <row r="3883" spans="1:3" x14ac:dyDescent="0.2">
      <c r="A3883" t="s">
        <v>14</v>
      </c>
      <c r="B3883" s="2">
        <v>45832</v>
      </c>
      <c r="C3883">
        <v>105.3141708374023</v>
      </c>
    </row>
    <row r="3884" spans="1:3" x14ac:dyDescent="0.2">
      <c r="A3884" t="s">
        <v>14</v>
      </c>
      <c r="B3884" s="2">
        <v>45833</v>
      </c>
      <c r="C3884">
        <v>107.028190612793</v>
      </c>
    </row>
    <row r="3885" spans="1:3" x14ac:dyDescent="0.2">
      <c r="A3885" t="s">
        <v>14</v>
      </c>
      <c r="B3885" s="2">
        <v>45834</v>
      </c>
      <c r="C3885">
        <v>108.1091766357422</v>
      </c>
    </row>
    <row r="3886" spans="1:3" x14ac:dyDescent="0.2">
      <c r="A3886" t="s">
        <v>14</v>
      </c>
      <c r="B3886" s="2">
        <v>45835</v>
      </c>
      <c r="C3886">
        <v>105.9471969604492</v>
      </c>
    </row>
    <row r="3887" spans="1:3" x14ac:dyDescent="0.2">
      <c r="A3887" t="s">
        <v>14</v>
      </c>
      <c r="B3887" s="2">
        <v>45838</v>
      </c>
      <c r="C3887">
        <v>105.35313415527339</v>
      </c>
    </row>
    <row r="3888" spans="1:3" x14ac:dyDescent="0.2">
      <c r="A3888" t="s">
        <v>14</v>
      </c>
      <c r="B3888" s="2">
        <v>45840</v>
      </c>
      <c r="C3888">
        <v>107.0671463012695</v>
      </c>
    </row>
    <row r="3889" spans="1:3" x14ac:dyDescent="0.2">
      <c r="A3889" t="s">
        <v>14</v>
      </c>
      <c r="B3889" s="2">
        <v>45841</v>
      </c>
      <c r="C3889">
        <v>107.42747497558589</v>
      </c>
    </row>
    <row r="3890" spans="1:3" x14ac:dyDescent="0.2">
      <c r="A3890" t="s">
        <v>14</v>
      </c>
      <c r="B3890" s="2">
        <v>45842</v>
      </c>
      <c r="C3890">
        <v>107.6125106811523</v>
      </c>
    </row>
    <row r="3891" spans="1:3" x14ac:dyDescent="0.2">
      <c r="A3891" t="s">
        <v>14</v>
      </c>
      <c r="B3891" s="2">
        <v>45845</v>
      </c>
      <c r="C3891">
        <v>106.5996856689453</v>
      </c>
    </row>
    <row r="3892" spans="1:3" x14ac:dyDescent="0.2">
      <c r="A3892" t="s">
        <v>14</v>
      </c>
      <c r="B3892" s="2">
        <v>45846</v>
      </c>
      <c r="C3892">
        <v>107.54433441162109</v>
      </c>
    </row>
    <row r="3893" spans="1:3" x14ac:dyDescent="0.2">
      <c r="A3893" t="s">
        <v>14</v>
      </c>
      <c r="B3893" s="2">
        <v>45847</v>
      </c>
      <c r="C3893">
        <v>106.53151702880859</v>
      </c>
    </row>
    <row r="3894" spans="1:3" x14ac:dyDescent="0.2">
      <c r="A3894" t="s">
        <v>14</v>
      </c>
      <c r="B3894" s="2">
        <v>45848</v>
      </c>
      <c r="C3894">
        <v>107.6709365844727</v>
      </c>
    </row>
    <row r="3895" spans="1:3" x14ac:dyDescent="0.2">
      <c r="A3895" t="s">
        <v>14</v>
      </c>
      <c r="B3895" s="2">
        <v>45849</v>
      </c>
      <c r="C3895">
        <v>109.940055847168</v>
      </c>
    </row>
    <row r="3896" spans="1:3" x14ac:dyDescent="0.2">
      <c r="A3896" t="s">
        <v>14</v>
      </c>
      <c r="B3896" s="2">
        <v>45852</v>
      </c>
      <c r="C3896">
        <v>110.8749694824219</v>
      </c>
    </row>
    <row r="3897" spans="1:3" x14ac:dyDescent="0.2">
      <c r="A3897" t="s">
        <v>14</v>
      </c>
      <c r="B3897" s="2">
        <v>45853</v>
      </c>
      <c r="C3897">
        <v>109.7550048828125</v>
      </c>
    </row>
    <row r="3898" spans="1:3" x14ac:dyDescent="0.2">
      <c r="A3898" t="s">
        <v>14</v>
      </c>
      <c r="B3898" s="2">
        <v>45854</v>
      </c>
      <c r="C3898">
        <v>109.2388610839844</v>
      </c>
    </row>
    <row r="3899" spans="1:3" x14ac:dyDescent="0.2">
      <c r="A3899" t="s">
        <v>14</v>
      </c>
      <c r="B3899" s="2">
        <v>45855</v>
      </c>
      <c r="C3899">
        <v>109.6868438720703</v>
      </c>
    </row>
    <row r="3900" spans="1:3" x14ac:dyDescent="0.2">
      <c r="A3900" t="s">
        <v>14</v>
      </c>
      <c r="B3900" s="2">
        <v>45856</v>
      </c>
      <c r="C3900">
        <v>110.01796722412109</v>
      </c>
    </row>
    <row r="3901" spans="1:3" x14ac:dyDescent="0.2">
      <c r="A3901" t="s">
        <v>14</v>
      </c>
      <c r="B3901" s="2">
        <v>45859</v>
      </c>
      <c r="C3901">
        <v>109.2973175048828</v>
      </c>
    </row>
    <row r="3902" spans="1:3" x14ac:dyDescent="0.2">
      <c r="A3902" t="s">
        <v>14</v>
      </c>
      <c r="B3902" s="2">
        <v>45860</v>
      </c>
      <c r="C3902">
        <v>110.6509704589844</v>
      </c>
    </row>
    <row r="3903" spans="1:3" x14ac:dyDescent="0.2">
      <c r="A3903" t="s">
        <v>14</v>
      </c>
      <c r="B3903" s="2">
        <v>45861</v>
      </c>
      <c r="C3903">
        <v>111.08921813964839</v>
      </c>
    </row>
    <row r="3904" spans="1:3" x14ac:dyDescent="0.2">
      <c r="A3904" t="s">
        <v>14</v>
      </c>
      <c r="B3904" s="2">
        <v>45862</v>
      </c>
      <c r="C3904">
        <v>111.54693603515619</v>
      </c>
    </row>
    <row r="3905" spans="1:3" x14ac:dyDescent="0.2">
      <c r="A3905" t="s">
        <v>14</v>
      </c>
      <c r="B3905" s="2">
        <v>45863</v>
      </c>
      <c r="C3905">
        <v>111.7611923217773</v>
      </c>
    </row>
    <row r="3906" spans="1:3" x14ac:dyDescent="0.2">
      <c r="A3906" t="s">
        <v>14</v>
      </c>
      <c r="B3906" s="2">
        <v>45866</v>
      </c>
      <c r="C3906">
        <v>113.6894454956055</v>
      </c>
    </row>
    <row r="3907" spans="1:3" x14ac:dyDescent="0.2">
      <c r="A3907" t="s">
        <v>14</v>
      </c>
      <c r="B3907" s="2">
        <v>45867</v>
      </c>
      <c r="C3907">
        <v>115.0333938598633</v>
      </c>
    </row>
    <row r="3908" spans="1:3" x14ac:dyDescent="0.2">
      <c r="A3908" t="s">
        <v>14</v>
      </c>
      <c r="B3908" s="2">
        <v>45868</v>
      </c>
      <c r="C3908">
        <v>113.6310195922852</v>
      </c>
    </row>
    <row r="3909" spans="1:3" x14ac:dyDescent="0.2">
      <c r="A3909" t="s">
        <v>14</v>
      </c>
      <c r="B3909" s="2">
        <v>45869</v>
      </c>
      <c r="C3909">
        <v>112.5110626220703</v>
      </c>
    </row>
    <row r="3910" spans="1:3" x14ac:dyDescent="0.2">
      <c r="A3910" t="s">
        <v>14</v>
      </c>
      <c r="B3910" s="2">
        <v>45870</v>
      </c>
      <c r="C3910">
        <v>111.8975296020508</v>
      </c>
    </row>
    <row r="3911" spans="1:3" x14ac:dyDescent="0.2">
      <c r="A3911" t="s">
        <v>14</v>
      </c>
      <c r="B3911" s="2">
        <v>45874</v>
      </c>
      <c r="C3911">
        <v>113.903694152832</v>
      </c>
    </row>
    <row r="3912" spans="1:3" x14ac:dyDescent="0.2">
      <c r="A3912" t="s">
        <v>14</v>
      </c>
      <c r="B3912" s="2">
        <v>45875</v>
      </c>
      <c r="C3912">
        <v>114.4685440063477</v>
      </c>
    </row>
    <row r="3913" spans="1:3" x14ac:dyDescent="0.2">
      <c r="A3913" t="s">
        <v>14</v>
      </c>
      <c r="B3913" s="2">
        <v>45876</v>
      </c>
      <c r="C3913">
        <v>113.70892333984381</v>
      </c>
    </row>
    <row r="3914" spans="1:3" x14ac:dyDescent="0.2">
      <c r="A3914" t="s">
        <v>14</v>
      </c>
      <c r="B3914" s="2">
        <v>45877</v>
      </c>
      <c r="C3914">
        <v>114.57566833496089</v>
      </c>
    </row>
    <row r="3915" spans="1:3" x14ac:dyDescent="0.2">
      <c r="A3915" t="s">
        <v>14</v>
      </c>
      <c r="B3915" s="2">
        <v>45880</v>
      </c>
      <c r="C3915">
        <v>111.965705871582</v>
      </c>
    </row>
    <row r="3916" spans="1:3" x14ac:dyDescent="0.2">
      <c r="A3916" t="s">
        <v>14</v>
      </c>
      <c r="B3916" s="2">
        <v>45881</v>
      </c>
      <c r="C3916">
        <v>112.03387451171881</v>
      </c>
    </row>
    <row r="3917" spans="1:3" x14ac:dyDescent="0.2">
      <c r="A3917" t="s">
        <v>14</v>
      </c>
      <c r="B3917" s="2">
        <v>45882</v>
      </c>
      <c r="C3917">
        <v>111.75144958496089</v>
      </c>
    </row>
    <row r="3918" spans="1:3" x14ac:dyDescent="0.2">
      <c r="A3918" t="s">
        <v>14</v>
      </c>
      <c r="B3918" s="2">
        <v>45883</v>
      </c>
      <c r="C3918">
        <v>112.0241241455078</v>
      </c>
    </row>
    <row r="3919" spans="1:3" x14ac:dyDescent="0.2">
      <c r="A3919" t="s">
        <v>14</v>
      </c>
      <c r="B3919" s="2">
        <v>45884</v>
      </c>
      <c r="C3919">
        <v>112.4429016113281</v>
      </c>
    </row>
    <row r="3920" spans="1:3" x14ac:dyDescent="0.2">
      <c r="A3920" t="s">
        <v>14</v>
      </c>
      <c r="B3920" s="2">
        <v>45887</v>
      </c>
      <c r="C3920">
        <v>112.50131988525391</v>
      </c>
    </row>
    <row r="3921" spans="1:3" x14ac:dyDescent="0.2">
      <c r="A3921" t="s">
        <v>14</v>
      </c>
      <c r="B3921" s="2">
        <v>45888</v>
      </c>
      <c r="C3921">
        <v>111.49822998046881</v>
      </c>
    </row>
    <row r="3922" spans="1:3" x14ac:dyDescent="0.2">
      <c r="A3922" t="s">
        <v>14</v>
      </c>
      <c r="B3922" s="2">
        <v>45889</v>
      </c>
      <c r="C3922">
        <v>112.66689300537109</v>
      </c>
    </row>
    <row r="3923" spans="1:3" x14ac:dyDescent="0.2">
      <c r="A3923" t="s">
        <v>14</v>
      </c>
      <c r="B3923" s="2">
        <v>45890</v>
      </c>
      <c r="C3923">
        <v>114.3614196777344</v>
      </c>
    </row>
    <row r="3924" spans="1:3" x14ac:dyDescent="0.2">
      <c r="A3924" t="s">
        <v>14</v>
      </c>
      <c r="B3924" s="2">
        <v>45891</v>
      </c>
      <c r="C3924">
        <v>117.614143371582</v>
      </c>
    </row>
    <row r="3925" spans="1:3" x14ac:dyDescent="0.2">
      <c r="A3925" t="s">
        <v>14</v>
      </c>
      <c r="B3925" s="2">
        <v>45894</v>
      </c>
      <c r="C3925">
        <v>118.5101013183594</v>
      </c>
    </row>
    <row r="3926" spans="1:3" x14ac:dyDescent="0.2">
      <c r="A3926" t="s">
        <v>14</v>
      </c>
      <c r="B3926" s="2">
        <v>45895</v>
      </c>
      <c r="C3926">
        <v>118.2179412841797</v>
      </c>
    </row>
    <row r="3927" spans="1:3" x14ac:dyDescent="0.2">
      <c r="A3927" t="s">
        <v>14</v>
      </c>
      <c r="B3927" s="2">
        <v>45896</v>
      </c>
      <c r="C3927">
        <v>120.613655090332</v>
      </c>
    </row>
    <row r="3928" spans="1:3" x14ac:dyDescent="0.2">
      <c r="A3928" t="s">
        <v>14</v>
      </c>
      <c r="B3928" s="2">
        <v>45897</v>
      </c>
      <c r="C3928">
        <v>121.0908508300781</v>
      </c>
    </row>
    <row r="3929" spans="1:3" x14ac:dyDescent="0.2">
      <c r="A3929" t="s">
        <v>14</v>
      </c>
      <c r="B3929" s="2">
        <v>45898</v>
      </c>
      <c r="C3929">
        <v>121.36354827880859</v>
      </c>
    </row>
    <row r="3930" spans="1:3" x14ac:dyDescent="0.2">
      <c r="A3930" t="s">
        <v>14</v>
      </c>
      <c r="B3930" s="2">
        <v>45902</v>
      </c>
      <c r="C3930">
        <v>119.7177047729492</v>
      </c>
    </row>
    <row r="3931" spans="1:3" x14ac:dyDescent="0.2">
      <c r="A3931" t="s">
        <v>14</v>
      </c>
      <c r="B3931" s="2">
        <v>45903</v>
      </c>
      <c r="C3931">
        <v>118.4516525268555</v>
      </c>
    </row>
    <row r="3932" spans="1:3" x14ac:dyDescent="0.2">
      <c r="A3932" t="s">
        <v>14</v>
      </c>
      <c r="B3932" s="2">
        <v>45904</v>
      </c>
      <c r="C3932">
        <v>118.4712677001953</v>
      </c>
    </row>
    <row r="3933" spans="1:3" x14ac:dyDescent="0.2">
      <c r="A3933" t="s">
        <v>14</v>
      </c>
      <c r="B3933" s="2">
        <v>45905</v>
      </c>
      <c r="C3933">
        <v>118.4418640136719</v>
      </c>
    </row>
    <row r="3934" spans="1:3" x14ac:dyDescent="0.2">
      <c r="A3934" t="s">
        <v>14</v>
      </c>
      <c r="B3934" s="2">
        <v>45908</v>
      </c>
      <c r="C3934">
        <v>118.3928756713867</v>
      </c>
    </row>
    <row r="3935" spans="1:3" x14ac:dyDescent="0.2">
      <c r="A3935" t="s">
        <v>14</v>
      </c>
      <c r="B3935" s="2">
        <v>45909</v>
      </c>
      <c r="C3935">
        <v>121.45925140380859</v>
      </c>
    </row>
    <row r="3936" spans="1:3" x14ac:dyDescent="0.2">
      <c r="A3936" t="s">
        <v>14</v>
      </c>
      <c r="B3936" s="2">
        <v>45910</v>
      </c>
      <c r="C3936">
        <v>124.2121047973633</v>
      </c>
    </row>
    <row r="3937" spans="1:3" x14ac:dyDescent="0.2">
      <c r="A3937" t="s">
        <v>14</v>
      </c>
      <c r="B3937" s="2">
        <v>45911</v>
      </c>
      <c r="C3937">
        <v>124.3982467651367</v>
      </c>
    </row>
    <row r="3938" spans="1:3" x14ac:dyDescent="0.2">
      <c r="A3938" t="s">
        <v>14</v>
      </c>
      <c r="B3938" s="2">
        <v>45912</v>
      </c>
      <c r="C3938">
        <v>123.4283752441406</v>
      </c>
    </row>
    <row r="3939" spans="1:3" x14ac:dyDescent="0.2">
      <c r="A3939" t="s">
        <v>14</v>
      </c>
      <c r="B3939" s="2">
        <v>45915</v>
      </c>
      <c r="C3939">
        <v>125.3681259155273</v>
      </c>
    </row>
    <row r="3940" spans="1:3" x14ac:dyDescent="0.2">
      <c r="A3940" t="s">
        <v>14</v>
      </c>
      <c r="B3940" s="2">
        <v>45916</v>
      </c>
      <c r="C3940">
        <v>128.27772521972659</v>
      </c>
    </row>
    <row r="3941" spans="1:3" x14ac:dyDescent="0.2">
      <c r="A3941" t="s">
        <v>14</v>
      </c>
      <c r="B3941" s="2">
        <v>45917</v>
      </c>
      <c r="C3941">
        <v>127.49399566650391</v>
      </c>
    </row>
    <row r="3942" spans="1:3" x14ac:dyDescent="0.2">
      <c r="A3942" t="s">
        <v>14</v>
      </c>
      <c r="B3942" s="2">
        <v>45918</v>
      </c>
      <c r="C3942">
        <v>127.06292724609381</v>
      </c>
    </row>
    <row r="3943" spans="1:3" x14ac:dyDescent="0.2">
      <c r="A3943" t="s">
        <v>14</v>
      </c>
      <c r="B3943" s="2">
        <v>45919</v>
      </c>
      <c r="C3943">
        <v>124.0455703735352</v>
      </c>
    </row>
    <row r="3944" spans="1:3" x14ac:dyDescent="0.2">
      <c r="A3944" t="s">
        <v>14</v>
      </c>
      <c r="B3944" s="2">
        <v>45922</v>
      </c>
      <c r="C3944">
        <v>125.55426025390619</v>
      </c>
    </row>
    <row r="3945" spans="1:3" x14ac:dyDescent="0.2">
      <c r="A3945" t="s">
        <v>14</v>
      </c>
      <c r="B3945" s="2">
        <v>45923</v>
      </c>
      <c r="C3945">
        <v>126.72006988525391</v>
      </c>
    </row>
    <row r="3946" spans="1:3" x14ac:dyDescent="0.2">
      <c r="A3946" t="s">
        <v>14</v>
      </c>
      <c r="B3946" s="2">
        <v>45924</v>
      </c>
      <c r="C3946">
        <v>127.8956756591797</v>
      </c>
    </row>
    <row r="3947" spans="1:3" x14ac:dyDescent="0.2">
      <c r="A3947" t="s">
        <v>14</v>
      </c>
      <c r="B3947" s="2">
        <v>45925</v>
      </c>
      <c r="C3947">
        <v>127.40582275390619</v>
      </c>
    </row>
    <row r="3948" spans="1:3" x14ac:dyDescent="0.2">
      <c r="A3948" t="s">
        <v>14</v>
      </c>
      <c r="B3948" s="2">
        <v>45926</v>
      </c>
      <c r="C3948">
        <v>127.32745361328119</v>
      </c>
    </row>
    <row r="3949" spans="1:3" x14ac:dyDescent="0.2">
      <c r="A3949" t="s">
        <v>14</v>
      </c>
      <c r="B3949" s="2">
        <v>45929</v>
      </c>
      <c r="C3949">
        <v>125.6326370239258</v>
      </c>
    </row>
    <row r="3950" spans="1:3" x14ac:dyDescent="0.2">
      <c r="A3950" t="s">
        <v>14</v>
      </c>
      <c r="B3950" s="2">
        <v>45930</v>
      </c>
      <c r="C3950">
        <v>123.6243133544922</v>
      </c>
    </row>
    <row r="3951" spans="1:3" x14ac:dyDescent="0.2">
      <c r="A3951" t="s">
        <v>14</v>
      </c>
      <c r="B3951" s="2">
        <v>45931</v>
      </c>
      <c r="C3951">
        <v>123.02671813964839</v>
      </c>
    </row>
    <row r="3952" spans="1:3" x14ac:dyDescent="0.2">
      <c r="A3952" t="s">
        <v>14</v>
      </c>
      <c r="B3952" s="2">
        <v>45932</v>
      </c>
      <c r="C3952">
        <v>122.1450119018555</v>
      </c>
    </row>
    <row r="3953" spans="1:3" x14ac:dyDescent="0.2">
      <c r="A3953" t="s">
        <v>14</v>
      </c>
      <c r="B3953" s="2">
        <v>45933</v>
      </c>
      <c r="C3953">
        <v>122.9385452270508</v>
      </c>
    </row>
    <row r="3954" spans="1:3" x14ac:dyDescent="0.2">
      <c r="A3954" t="s">
        <v>14</v>
      </c>
      <c r="B3954" s="2">
        <v>45936</v>
      </c>
      <c r="C3954">
        <v>124.43743896484381</v>
      </c>
    </row>
    <row r="3955" spans="1:3" x14ac:dyDescent="0.2">
      <c r="A3955" t="s">
        <v>14</v>
      </c>
      <c r="B3955" s="2">
        <v>45937</v>
      </c>
      <c r="C3955">
        <v>124.1239395141602</v>
      </c>
    </row>
    <row r="3956" spans="1:3" x14ac:dyDescent="0.2">
      <c r="A3956" t="s">
        <v>14</v>
      </c>
      <c r="B3956" s="2">
        <v>45938</v>
      </c>
      <c r="C3956">
        <v>122.37033843994141</v>
      </c>
    </row>
    <row r="3957" spans="1:3" x14ac:dyDescent="0.2">
      <c r="A3957" t="s">
        <v>14</v>
      </c>
      <c r="B3957" s="2">
        <v>45939</v>
      </c>
      <c r="C3957">
        <v>121.0477752685547</v>
      </c>
    </row>
    <row r="3958" spans="1:3" x14ac:dyDescent="0.2">
      <c r="A3958" t="s">
        <v>14</v>
      </c>
      <c r="B3958" s="2">
        <v>45940</v>
      </c>
      <c r="C3958">
        <v>119.47052001953119</v>
      </c>
    </row>
    <row r="3959" spans="1:3" x14ac:dyDescent="0.2">
      <c r="A3959" t="s">
        <v>14</v>
      </c>
      <c r="B3959" s="2">
        <v>45944</v>
      </c>
      <c r="C3959">
        <v>120.9106369018555</v>
      </c>
    </row>
    <row r="3960" spans="1:3" x14ac:dyDescent="0.2">
      <c r="A3960" t="s">
        <v>14</v>
      </c>
      <c r="B3960" s="2">
        <v>45945</v>
      </c>
      <c r="C3960">
        <v>118.30471038818359</v>
      </c>
    </row>
    <row r="3961" spans="1:3" x14ac:dyDescent="0.2">
      <c r="A3961" t="s">
        <v>14</v>
      </c>
      <c r="B3961" s="2">
        <v>45946</v>
      </c>
      <c r="C3961">
        <v>116.639274597168</v>
      </c>
    </row>
    <row r="3962" spans="1:3" x14ac:dyDescent="0.2">
      <c r="A3962" t="s">
        <v>14</v>
      </c>
      <c r="B3962" s="2">
        <v>45947</v>
      </c>
      <c r="C3962">
        <v>116.7274475097656</v>
      </c>
    </row>
    <row r="3963" spans="1:3" x14ac:dyDescent="0.2">
      <c r="A3963" t="s">
        <v>14</v>
      </c>
      <c r="B3963" s="2">
        <v>45950</v>
      </c>
      <c r="C3963">
        <v>118.7945556640625</v>
      </c>
    </row>
    <row r="3964" spans="1:3" x14ac:dyDescent="0.2">
      <c r="A3964" t="s">
        <v>14</v>
      </c>
      <c r="B3964" s="2">
        <v>45951</v>
      </c>
      <c r="C3964">
        <v>117.1389083862305</v>
      </c>
    </row>
    <row r="3965" spans="1:3" x14ac:dyDescent="0.2">
      <c r="A3965" t="s">
        <v>14</v>
      </c>
      <c r="B3965" s="2">
        <v>45952</v>
      </c>
      <c r="C3965">
        <v>120.71469879150391</v>
      </c>
    </row>
    <row r="3966" spans="1:3" x14ac:dyDescent="0.2">
      <c r="A3966" t="s">
        <v>14</v>
      </c>
      <c r="B3966" s="2">
        <v>45953</v>
      </c>
      <c r="C3966">
        <v>123.06590270996089</v>
      </c>
    </row>
    <row r="3967" spans="1:3" x14ac:dyDescent="0.2">
      <c r="A3967" t="s">
        <v>14</v>
      </c>
      <c r="B3967" s="2">
        <v>45954</v>
      </c>
      <c r="C3967">
        <v>124.6725616455078</v>
      </c>
    </row>
    <row r="3968" spans="1:3" x14ac:dyDescent="0.2">
      <c r="A3968" t="s">
        <v>14</v>
      </c>
      <c r="B3968" s="2">
        <v>45957</v>
      </c>
      <c r="C3968">
        <v>125.42690277099609</v>
      </c>
    </row>
    <row r="3969" spans="1:3" x14ac:dyDescent="0.2">
      <c r="A3969" t="s">
        <v>14</v>
      </c>
      <c r="B3969" s="2">
        <v>45958</v>
      </c>
      <c r="C3969">
        <v>124.8684921264648</v>
      </c>
    </row>
    <row r="3970" spans="1:3" x14ac:dyDescent="0.2">
      <c r="A3970" t="s">
        <v>14</v>
      </c>
      <c r="B3970" s="2">
        <v>45959</v>
      </c>
      <c r="C3970">
        <v>126.2106399536133</v>
      </c>
    </row>
    <row r="3971" spans="1:3" x14ac:dyDescent="0.2">
      <c r="A3971" t="s">
        <v>14</v>
      </c>
      <c r="B3971" s="2">
        <v>45960</v>
      </c>
      <c r="C3971">
        <v>125.2407684326172</v>
      </c>
    </row>
    <row r="3972" spans="1:3" x14ac:dyDescent="0.2">
      <c r="A3972" t="s">
        <v>14</v>
      </c>
      <c r="B3972" s="2">
        <v>45961</v>
      </c>
      <c r="C3972">
        <v>121.5278244018555</v>
      </c>
    </row>
    <row r="3973" spans="1:3" x14ac:dyDescent="0.2">
      <c r="A3973" t="s">
        <v>14</v>
      </c>
      <c r="B3973" s="2">
        <v>45964</v>
      </c>
      <c r="C3973">
        <v>123.6243133544922</v>
      </c>
    </row>
    <row r="3974" spans="1:3" x14ac:dyDescent="0.2">
      <c r="A3974" t="s">
        <v>14</v>
      </c>
      <c r="B3974" s="2">
        <v>45965</v>
      </c>
      <c r="C3974">
        <v>121.98826599121089</v>
      </c>
    </row>
    <row r="3975" spans="1:3" x14ac:dyDescent="0.2">
      <c r="A3975" t="s">
        <v>14</v>
      </c>
      <c r="B3975" s="2">
        <v>45966</v>
      </c>
      <c r="C3975">
        <v>123.0854873657227</v>
      </c>
    </row>
    <row r="3976" spans="1:3" x14ac:dyDescent="0.2">
      <c r="A3976" t="s">
        <v>14</v>
      </c>
      <c r="B3976" s="2">
        <v>45967</v>
      </c>
      <c r="C3976">
        <v>125.9853134155273</v>
      </c>
    </row>
    <row r="3977" spans="1:3" x14ac:dyDescent="0.2">
      <c r="A3977" t="s">
        <v>14</v>
      </c>
      <c r="B3977" s="2">
        <v>45968</v>
      </c>
      <c r="C3977">
        <v>128.3169250488281</v>
      </c>
    </row>
    <row r="3978" spans="1:3" x14ac:dyDescent="0.2">
      <c r="A3978" t="s">
        <v>14</v>
      </c>
      <c r="B3978" s="2">
        <v>45971</v>
      </c>
      <c r="C3978">
        <v>131.2069396972656</v>
      </c>
    </row>
    <row r="3979" spans="1:3" x14ac:dyDescent="0.2">
      <c r="A3979" t="s">
        <v>14</v>
      </c>
      <c r="B3979" s="2">
        <v>45972</v>
      </c>
      <c r="C3979">
        <v>131.94169616699219</v>
      </c>
    </row>
    <row r="3980" spans="1:3" x14ac:dyDescent="0.2">
      <c r="A3980" t="s">
        <v>14</v>
      </c>
      <c r="B3980" s="2">
        <v>45973</v>
      </c>
      <c r="C3980">
        <v>132.8038024902344</v>
      </c>
    </row>
    <row r="3981" spans="1:3" x14ac:dyDescent="0.2">
      <c r="A3981" t="s">
        <v>14</v>
      </c>
      <c r="B3981" s="2">
        <v>45974</v>
      </c>
      <c r="C3981">
        <v>132.17681884765619</v>
      </c>
    </row>
    <row r="3982" spans="1:3" x14ac:dyDescent="0.2">
      <c r="A3982" t="s">
        <v>14</v>
      </c>
      <c r="B3982" s="2">
        <v>45975</v>
      </c>
      <c r="C3982">
        <v>136.06610107421881</v>
      </c>
    </row>
    <row r="3983" spans="1:3" x14ac:dyDescent="0.2">
      <c r="A3983" t="s">
        <v>14</v>
      </c>
      <c r="B3983" s="2">
        <v>45978</v>
      </c>
      <c r="C3983">
        <v>135.8995666503906</v>
      </c>
    </row>
    <row r="3984" spans="1:3" x14ac:dyDescent="0.2">
      <c r="A3984" t="s">
        <v>14</v>
      </c>
      <c r="B3984" s="2">
        <v>45979</v>
      </c>
      <c r="C3984">
        <v>137.97645568847659</v>
      </c>
    </row>
    <row r="3985" spans="1:3" x14ac:dyDescent="0.2">
      <c r="A3985" t="s">
        <v>14</v>
      </c>
      <c r="B3985" s="2">
        <v>45980</v>
      </c>
      <c r="C3985">
        <v>136.37959289550781</v>
      </c>
    </row>
    <row r="3986" spans="1:3" x14ac:dyDescent="0.2">
      <c r="A3986" t="s">
        <v>14</v>
      </c>
      <c r="B3986" s="2">
        <v>45981</v>
      </c>
      <c r="C3986">
        <v>135.39013671875</v>
      </c>
    </row>
    <row r="3987" spans="1:3" x14ac:dyDescent="0.2">
      <c r="A3987" t="s">
        <v>14</v>
      </c>
      <c r="B3987" s="2">
        <v>45982</v>
      </c>
      <c r="C3987">
        <v>134.46923828125</v>
      </c>
    </row>
    <row r="3988" spans="1:3" x14ac:dyDescent="0.2">
      <c r="A3988" t="s">
        <v>14</v>
      </c>
      <c r="B3988" s="2">
        <v>45985</v>
      </c>
      <c r="C3988">
        <v>134.78273010253909</v>
      </c>
    </row>
    <row r="3989" spans="1:3" x14ac:dyDescent="0.2">
      <c r="A3989" t="s">
        <v>14</v>
      </c>
      <c r="B3989" s="2">
        <v>45986</v>
      </c>
      <c r="C3989">
        <v>135.1941833496094</v>
      </c>
    </row>
    <row r="3990" spans="1:3" x14ac:dyDescent="0.2">
      <c r="A3990" t="s">
        <v>14</v>
      </c>
      <c r="B3990" s="2">
        <v>45987</v>
      </c>
      <c r="C3990">
        <v>135.78199768066409</v>
      </c>
    </row>
    <row r="3991" spans="1:3" x14ac:dyDescent="0.2">
      <c r="A3991" t="s">
        <v>14</v>
      </c>
      <c r="B3991" s="2">
        <v>45988</v>
      </c>
      <c r="C3991">
        <v>136.68328857421881</v>
      </c>
    </row>
    <row r="3992" spans="1:3" x14ac:dyDescent="0.2">
      <c r="A3992" t="s">
        <v>14</v>
      </c>
      <c r="B3992" s="2">
        <v>45989</v>
      </c>
      <c r="C3992">
        <v>136.859619140625</v>
      </c>
    </row>
    <row r="3993" spans="1:3" x14ac:dyDescent="0.2">
      <c r="A3993" t="s">
        <v>14</v>
      </c>
      <c r="B3993" s="2">
        <v>45992</v>
      </c>
      <c r="C3993">
        <v>134.70436096191409</v>
      </c>
    </row>
    <row r="3994" spans="1:3" x14ac:dyDescent="0.2">
      <c r="A3994" t="s">
        <v>14</v>
      </c>
      <c r="B3994" s="2">
        <v>45993</v>
      </c>
      <c r="C3994">
        <v>129.9725646972656</v>
      </c>
    </row>
    <row r="3995" spans="1:3" x14ac:dyDescent="0.2">
      <c r="A3995" t="s">
        <v>14</v>
      </c>
      <c r="B3995" s="2">
        <v>45994</v>
      </c>
      <c r="C3995">
        <v>132.31689453125</v>
      </c>
    </row>
    <row r="3996" spans="1:3" x14ac:dyDescent="0.2">
      <c r="A3996" t="s">
        <v>14</v>
      </c>
      <c r="B3996" s="2">
        <v>45995</v>
      </c>
      <c r="C3996">
        <v>129.35200500488281</v>
      </c>
    </row>
    <row r="3997" spans="1:3" x14ac:dyDescent="0.2">
      <c r="A3997" t="s">
        <v>14</v>
      </c>
      <c r="B3997" s="2">
        <v>45996</v>
      </c>
      <c r="C3997">
        <v>125.9241561889648</v>
      </c>
    </row>
    <row r="3998" spans="1:3" x14ac:dyDescent="0.2">
      <c r="A3998" t="s">
        <v>14</v>
      </c>
      <c r="B3998" s="2">
        <v>45999</v>
      </c>
      <c r="C3998">
        <v>123.7472686767578</v>
      </c>
    </row>
    <row r="3999" spans="1:3" x14ac:dyDescent="0.2">
      <c r="A3999" t="s">
        <v>14</v>
      </c>
      <c r="B3999" s="2">
        <v>46000</v>
      </c>
      <c r="C3999">
        <v>123.8162307739258</v>
      </c>
    </row>
    <row r="4000" spans="1:3" x14ac:dyDescent="0.2">
      <c r="A4000" t="s">
        <v>14</v>
      </c>
      <c r="B4000" s="2">
        <v>46001</v>
      </c>
      <c r="C4000">
        <v>124.9391326904297</v>
      </c>
    </row>
    <row r="4001" spans="1:3" x14ac:dyDescent="0.2">
      <c r="A4001" t="s">
        <v>14</v>
      </c>
      <c r="B4001" s="2">
        <v>46002</v>
      </c>
      <c r="C4001">
        <v>125.17555236816411</v>
      </c>
    </row>
    <row r="4002" spans="1:3" x14ac:dyDescent="0.2">
      <c r="A4002" t="s">
        <v>14</v>
      </c>
      <c r="B4002" s="2">
        <v>46003</v>
      </c>
      <c r="C4002">
        <v>124.6140899658203</v>
      </c>
    </row>
    <row r="4003" spans="1:3" x14ac:dyDescent="0.2">
      <c r="A4003" t="s">
        <v>14</v>
      </c>
      <c r="B4003" s="2">
        <v>46006</v>
      </c>
      <c r="C4003">
        <v>121.9644012451172</v>
      </c>
    </row>
    <row r="4004" spans="1:3" x14ac:dyDescent="0.2">
      <c r="A4004" t="s">
        <v>14</v>
      </c>
      <c r="B4004" s="2">
        <v>46007</v>
      </c>
      <c r="C4004">
        <v>115.5618057250977</v>
      </c>
    </row>
    <row r="4005" spans="1:3" x14ac:dyDescent="0.2">
      <c r="A4005" t="s">
        <v>14</v>
      </c>
      <c r="B4005" s="2">
        <v>46008</v>
      </c>
      <c r="C4005">
        <v>115.443603515625</v>
      </c>
    </row>
    <row r="4006" spans="1:3" x14ac:dyDescent="0.2">
      <c r="A4006" t="s">
        <v>14</v>
      </c>
      <c r="B4006" s="2">
        <v>46009</v>
      </c>
      <c r="C4006">
        <v>113.55238342285161</v>
      </c>
    </row>
    <row r="4007" spans="1:3" x14ac:dyDescent="0.2">
      <c r="A4007" t="s">
        <v>14</v>
      </c>
      <c r="B4007" s="2">
        <v>46010</v>
      </c>
      <c r="C4007">
        <v>114.3009948730469</v>
      </c>
    </row>
    <row r="4008" spans="1:3" x14ac:dyDescent="0.2">
      <c r="A4008" t="s">
        <v>14</v>
      </c>
      <c r="B4008" s="2">
        <v>46013</v>
      </c>
      <c r="C4008">
        <v>115.4337615966797</v>
      </c>
    </row>
    <row r="4009" spans="1:3" x14ac:dyDescent="0.2">
      <c r="A4009" t="s">
        <v>14</v>
      </c>
      <c r="B4009" s="2">
        <v>46014</v>
      </c>
      <c r="C4009">
        <v>115.8967208862305</v>
      </c>
    </row>
    <row r="4010" spans="1:3" x14ac:dyDescent="0.2">
      <c r="A4010" t="s">
        <v>14</v>
      </c>
      <c r="B4010" s="2">
        <v>46015</v>
      </c>
      <c r="C4010">
        <v>115.5322647094727</v>
      </c>
    </row>
    <row r="4011" spans="1:3" x14ac:dyDescent="0.2">
      <c r="A4011" t="s">
        <v>14</v>
      </c>
      <c r="B4011" s="2">
        <v>46020</v>
      </c>
      <c r="C4011">
        <v>115.85731506347661</v>
      </c>
    </row>
    <row r="4012" spans="1:3" x14ac:dyDescent="0.2">
      <c r="A4012" t="s">
        <v>14</v>
      </c>
      <c r="B4012" s="2">
        <v>46021</v>
      </c>
      <c r="C4012">
        <v>117.40379333496089</v>
      </c>
    </row>
    <row r="4013" spans="1:3" x14ac:dyDescent="0.2">
      <c r="A4013" t="s">
        <v>14</v>
      </c>
      <c r="B4013" s="2">
        <v>46022</v>
      </c>
      <c r="C4013">
        <v>116.8029327392578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09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20.33203125" customWidth="1"/>
    <col min="2" max="2" width="22.6640625" customWidth="1"/>
    <col min="3" max="3" width="23.83203125" customWidth="1"/>
  </cols>
  <sheetData>
    <row r="1" spans="1:3" x14ac:dyDescent="0.2">
      <c r="A1" s="1" t="s">
        <v>0</v>
      </c>
      <c r="B1" s="1" t="s">
        <v>23</v>
      </c>
      <c r="C1" s="1" t="s">
        <v>24</v>
      </c>
    </row>
    <row r="2" spans="1:3" x14ac:dyDescent="0.2">
      <c r="A2" t="s">
        <v>4</v>
      </c>
      <c r="B2" s="2">
        <v>46024</v>
      </c>
      <c r="C2">
        <v>45.791709899902337</v>
      </c>
    </row>
    <row r="3" spans="1:3" x14ac:dyDescent="0.2">
      <c r="A3" t="s">
        <v>4</v>
      </c>
      <c r="B3" s="2">
        <v>46027</v>
      </c>
      <c r="C3">
        <v>43.031768798828118</v>
      </c>
    </row>
    <row r="4" spans="1:3" x14ac:dyDescent="0.2">
      <c r="A4" t="s">
        <v>4</v>
      </c>
      <c r="B4" s="2">
        <v>46028</v>
      </c>
      <c r="C4">
        <v>42.370937347412109</v>
      </c>
    </row>
    <row r="5" spans="1:3" x14ac:dyDescent="0.2">
      <c r="A5" t="s">
        <v>4</v>
      </c>
      <c r="B5" s="2">
        <v>46029</v>
      </c>
      <c r="C5">
        <v>41.185329437255859</v>
      </c>
    </row>
    <row r="6" spans="1:3" x14ac:dyDescent="0.2">
      <c r="A6" t="s">
        <v>4</v>
      </c>
      <c r="B6" s="2">
        <v>46030</v>
      </c>
      <c r="C6">
        <v>42.477840423583977</v>
      </c>
    </row>
    <row r="7" spans="1:3" x14ac:dyDescent="0.2">
      <c r="A7" t="s">
        <v>4</v>
      </c>
      <c r="B7" s="2">
        <v>46031</v>
      </c>
      <c r="C7">
        <v>43.362186431884773</v>
      </c>
    </row>
    <row r="8" spans="1:3" x14ac:dyDescent="0.2">
      <c r="A8" t="s">
        <v>4</v>
      </c>
      <c r="B8" s="2">
        <v>46034</v>
      </c>
      <c r="C8">
        <v>43.546829223632812</v>
      </c>
    </row>
    <row r="9" spans="1:3" x14ac:dyDescent="0.2">
      <c r="A9" t="s">
        <v>4</v>
      </c>
      <c r="B9" s="2">
        <v>46035</v>
      </c>
      <c r="C9">
        <v>44.693569183349609</v>
      </c>
    </row>
    <row r="10" spans="1:3" x14ac:dyDescent="0.2">
      <c r="A10" t="s">
        <v>4</v>
      </c>
      <c r="B10" s="2">
        <v>46036</v>
      </c>
      <c r="C10">
        <v>46.676059722900391</v>
      </c>
    </row>
    <row r="11" spans="1:3" x14ac:dyDescent="0.2">
      <c r="A11" t="s">
        <v>4</v>
      </c>
      <c r="B11" s="2">
        <v>46037</v>
      </c>
      <c r="C11">
        <v>46.102691650390618</v>
      </c>
    </row>
    <row r="12" spans="1:3" x14ac:dyDescent="0.2">
      <c r="A12" t="s">
        <v>4</v>
      </c>
      <c r="B12" s="2">
        <v>46038</v>
      </c>
      <c r="C12">
        <v>46.442829132080078</v>
      </c>
    </row>
    <row r="13" spans="1:3" x14ac:dyDescent="0.2">
      <c r="A13" t="s">
        <v>4</v>
      </c>
      <c r="B13" s="2">
        <v>46041</v>
      </c>
      <c r="C13">
        <v>46.69549560546875</v>
      </c>
    </row>
    <row r="14" spans="1:3" x14ac:dyDescent="0.2">
      <c r="A14" t="s">
        <v>4</v>
      </c>
      <c r="B14" s="2">
        <v>46042</v>
      </c>
      <c r="C14">
        <v>46.277614593505859</v>
      </c>
    </row>
    <row r="15" spans="1:3" x14ac:dyDescent="0.2">
      <c r="A15" t="s">
        <v>4</v>
      </c>
      <c r="B15" s="2">
        <v>46043</v>
      </c>
      <c r="C15">
        <v>48.347572326660163</v>
      </c>
    </row>
    <row r="16" spans="1:3" x14ac:dyDescent="0.2">
      <c r="A16" t="s">
        <v>4</v>
      </c>
      <c r="B16" s="2">
        <v>46044</v>
      </c>
      <c r="C16">
        <v>47.511814117431641</v>
      </c>
    </row>
    <row r="17" spans="1:3" x14ac:dyDescent="0.2">
      <c r="A17" t="s">
        <v>4</v>
      </c>
      <c r="B17" s="2">
        <v>46045</v>
      </c>
      <c r="C17">
        <v>48.075466156005859</v>
      </c>
    </row>
    <row r="18" spans="1:3" x14ac:dyDescent="0.2">
      <c r="A18" t="s">
        <v>4</v>
      </c>
      <c r="B18" s="2">
        <v>46048</v>
      </c>
      <c r="C18">
        <v>48.036590576171882</v>
      </c>
    </row>
    <row r="19" spans="1:3" x14ac:dyDescent="0.2">
      <c r="A19" t="s">
        <v>4</v>
      </c>
      <c r="B19" s="2">
        <v>46049</v>
      </c>
      <c r="C19">
        <v>48.4058837890625</v>
      </c>
    </row>
    <row r="20" spans="1:3" x14ac:dyDescent="0.2">
      <c r="A20" t="s">
        <v>4</v>
      </c>
      <c r="B20" s="2">
        <v>46050</v>
      </c>
      <c r="C20">
        <v>48.814037322998047</v>
      </c>
    </row>
    <row r="21" spans="1:3" x14ac:dyDescent="0.2">
      <c r="A21" t="s">
        <v>4</v>
      </c>
      <c r="B21" s="2">
        <v>46051</v>
      </c>
      <c r="C21">
        <v>49.581771850585938</v>
      </c>
    </row>
    <row r="22" spans="1:3" x14ac:dyDescent="0.2">
      <c r="A22" t="s">
        <v>4</v>
      </c>
      <c r="B22" s="2">
        <v>46052</v>
      </c>
      <c r="C22">
        <v>49.202770233154297</v>
      </c>
    </row>
    <row r="23" spans="1:3" x14ac:dyDescent="0.2">
      <c r="A23" t="s">
        <v>4</v>
      </c>
      <c r="B23" s="2">
        <v>46055</v>
      </c>
      <c r="C23">
        <v>48.503063201904297</v>
      </c>
    </row>
    <row r="24" spans="1:3" x14ac:dyDescent="0.2">
      <c r="A24" t="s">
        <v>4</v>
      </c>
      <c r="B24" s="2">
        <v>46056</v>
      </c>
      <c r="C24">
        <v>49.669235229492188</v>
      </c>
    </row>
    <row r="25" spans="1:3" x14ac:dyDescent="0.2">
      <c r="A25" t="s">
        <v>4</v>
      </c>
      <c r="B25" s="2">
        <v>46057</v>
      </c>
      <c r="C25">
        <v>51.165824890136719</v>
      </c>
    </row>
    <row r="26" spans="1:3" x14ac:dyDescent="0.2">
      <c r="A26" t="s">
        <v>4</v>
      </c>
      <c r="B26" s="2">
        <v>46058</v>
      </c>
      <c r="C26">
        <v>50.436969757080078</v>
      </c>
    </row>
    <row r="27" spans="1:3" x14ac:dyDescent="0.2">
      <c r="A27" t="s">
        <v>4</v>
      </c>
      <c r="B27" s="2">
        <v>46059</v>
      </c>
      <c r="C27">
        <v>51.894687652587891</v>
      </c>
    </row>
    <row r="28" spans="1:3" x14ac:dyDescent="0.2">
      <c r="A28" t="s">
        <v>4</v>
      </c>
      <c r="B28" s="2">
        <v>46062</v>
      </c>
      <c r="C28">
        <v>51.622577667236328</v>
      </c>
    </row>
    <row r="29" spans="1:3" x14ac:dyDescent="0.2">
      <c r="A29" t="s">
        <v>4</v>
      </c>
      <c r="B29" s="2">
        <v>46063</v>
      </c>
      <c r="C29">
        <v>51.535110473632812</v>
      </c>
    </row>
    <row r="30" spans="1:3" x14ac:dyDescent="0.2">
      <c r="A30" t="s">
        <v>4</v>
      </c>
      <c r="B30" s="2">
        <v>46064</v>
      </c>
      <c r="C30">
        <v>53.614784240722663</v>
      </c>
    </row>
    <row r="31" spans="1:3" x14ac:dyDescent="0.2">
      <c r="A31" t="s">
        <v>4</v>
      </c>
      <c r="B31" s="2">
        <v>46065</v>
      </c>
      <c r="C31">
        <v>52.895645141601562</v>
      </c>
    </row>
    <row r="32" spans="1:3" x14ac:dyDescent="0.2">
      <c r="A32" t="s">
        <v>4</v>
      </c>
      <c r="B32" s="2">
        <v>46066</v>
      </c>
      <c r="C32">
        <v>53.828582763671882</v>
      </c>
    </row>
    <row r="33" spans="1:3" x14ac:dyDescent="0.2">
      <c r="A33" t="s">
        <v>4</v>
      </c>
      <c r="B33" s="2">
        <v>46070</v>
      </c>
      <c r="C33">
        <v>53.818866729736328</v>
      </c>
    </row>
    <row r="34" spans="1:3" x14ac:dyDescent="0.2">
      <c r="A34" t="s">
        <v>4</v>
      </c>
      <c r="B34" s="2">
        <v>46071</v>
      </c>
      <c r="C34">
        <v>55.480663299560547</v>
      </c>
    </row>
    <row r="35" spans="1:3" x14ac:dyDescent="0.2">
      <c r="A35" t="s">
        <v>4</v>
      </c>
      <c r="B35" s="2">
        <v>46072</v>
      </c>
      <c r="C35">
        <v>56.588523864746087</v>
      </c>
    </row>
    <row r="36" spans="1:3" x14ac:dyDescent="0.2">
      <c r="A36" t="s">
        <v>4</v>
      </c>
      <c r="B36" s="2">
        <v>46073</v>
      </c>
      <c r="C36">
        <v>56.365009307861328</v>
      </c>
    </row>
    <row r="37" spans="1:3" x14ac:dyDescent="0.2">
      <c r="A37" t="s">
        <v>4</v>
      </c>
      <c r="B37" s="2">
        <v>46076</v>
      </c>
      <c r="C37">
        <v>56.384445190429688</v>
      </c>
    </row>
    <row r="38" spans="1:3" x14ac:dyDescent="0.2">
      <c r="A38" t="s">
        <v>4</v>
      </c>
      <c r="B38" s="2">
        <v>46077</v>
      </c>
      <c r="C38">
        <v>56.705142974853523</v>
      </c>
    </row>
    <row r="39" spans="1:3" x14ac:dyDescent="0.2">
      <c r="A39" t="s">
        <v>4</v>
      </c>
      <c r="B39" s="2">
        <v>46078</v>
      </c>
      <c r="C39">
        <v>56.588523864746087</v>
      </c>
    </row>
    <row r="40" spans="1:3" x14ac:dyDescent="0.2">
      <c r="A40" t="s">
        <v>4</v>
      </c>
      <c r="B40" s="2">
        <v>46079</v>
      </c>
      <c r="C40">
        <v>57.288230895996087</v>
      </c>
    </row>
    <row r="41" spans="1:3" x14ac:dyDescent="0.2">
      <c r="A41" t="s">
        <v>4</v>
      </c>
      <c r="B41" s="2">
        <v>46080</v>
      </c>
      <c r="C41">
        <v>57.987934112548828</v>
      </c>
    </row>
    <row r="42" spans="1:3" x14ac:dyDescent="0.2">
      <c r="A42" t="s">
        <v>4</v>
      </c>
      <c r="B42" s="2">
        <v>46083</v>
      </c>
      <c r="C42">
        <v>58.872283935546882</v>
      </c>
    </row>
    <row r="43" spans="1:3" x14ac:dyDescent="0.2">
      <c r="A43" t="s">
        <v>4</v>
      </c>
      <c r="B43" s="2">
        <v>46084</v>
      </c>
      <c r="C43">
        <v>58.658481597900391</v>
      </c>
    </row>
    <row r="44" spans="1:3" x14ac:dyDescent="0.2">
      <c r="A44" t="s">
        <v>4</v>
      </c>
      <c r="B44" s="2">
        <v>46085</v>
      </c>
      <c r="C44">
        <v>58.5418701171875</v>
      </c>
    </row>
    <row r="45" spans="1:3" x14ac:dyDescent="0.2">
      <c r="A45" t="s">
        <v>4</v>
      </c>
      <c r="B45" s="2">
        <v>46086</v>
      </c>
      <c r="C45">
        <v>60.21337890625</v>
      </c>
    </row>
    <row r="46" spans="1:3" x14ac:dyDescent="0.2">
      <c r="A46" t="s">
        <v>4</v>
      </c>
      <c r="B46" s="2">
        <v>46087</v>
      </c>
      <c r="C46">
        <v>61.185192108154297</v>
      </c>
    </row>
    <row r="47" spans="1:3" x14ac:dyDescent="0.2">
      <c r="A47" t="s">
        <v>4</v>
      </c>
      <c r="B47" s="2">
        <v>46090</v>
      </c>
      <c r="C47">
        <v>61.00054931640625</v>
      </c>
    </row>
    <row r="48" spans="1:3" x14ac:dyDescent="0.2">
      <c r="A48" t="s">
        <v>4</v>
      </c>
      <c r="B48" s="2">
        <v>46091</v>
      </c>
      <c r="C48">
        <v>60.359149932861328</v>
      </c>
    </row>
    <row r="49" spans="1:3" x14ac:dyDescent="0.2">
      <c r="A49" t="s">
        <v>4</v>
      </c>
      <c r="B49" s="2">
        <v>46092</v>
      </c>
      <c r="C49">
        <v>62.370800018310547</v>
      </c>
    </row>
    <row r="50" spans="1:3" x14ac:dyDescent="0.2">
      <c r="A50" t="s">
        <v>4</v>
      </c>
      <c r="B50" s="2">
        <v>46093</v>
      </c>
      <c r="C50">
        <v>64.304702758789062</v>
      </c>
    </row>
    <row r="51" spans="1:3" x14ac:dyDescent="0.2">
      <c r="A51" t="s">
        <v>4</v>
      </c>
      <c r="B51" s="2">
        <v>46094</v>
      </c>
      <c r="C51">
        <v>64.635116577148438</v>
      </c>
    </row>
    <row r="52" spans="1:3" x14ac:dyDescent="0.2">
      <c r="A52" t="s">
        <v>4</v>
      </c>
      <c r="B52" s="2">
        <v>46097</v>
      </c>
      <c r="C52">
        <v>64.858627319335938</v>
      </c>
    </row>
    <row r="53" spans="1:3" x14ac:dyDescent="0.2">
      <c r="A53" t="s">
        <v>4</v>
      </c>
      <c r="B53" s="2">
        <v>46098</v>
      </c>
      <c r="C53">
        <v>65.257072448730469</v>
      </c>
    </row>
    <row r="54" spans="1:3" x14ac:dyDescent="0.2">
      <c r="A54" t="s">
        <v>4</v>
      </c>
      <c r="B54" s="2">
        <v>46099</v>
      </c>
      <c r="C54">
        <v>65.587493896484375</v>
      </c>
    </row>
    <row r="55" spans="1:3" x14ac:dyDescent="0.2">
      <c r="A55" t="s">
        <v>4</v>
      </c>
      <c r="B55" s="2">
        <v>46100</v>
      </c>
      <c r="C55">
        <v>67.54083251953125</v>
      </c>
    </row>
    <row r="56" spans="1:3" x14ac:dyDescent="0.2">
      <c r="A56" t="s">
        <v>4</v>
      </c>
      <c r="B56" s="2">
        <v>46101</v>
      </c>
      <c r="C56">
        <v>66.0845947265625</v>
      </c>
    </row>
    <row r="57" spans="1:3" x14ac:dyDescent="0.2">
      <c r="A57" t="s">
        <v>4</v>
      </c>
      <c r="B57" s="2">
        <v>46104</v>
      </c>
      <c r="C57">
        <v>65.2020263671875</v>
      </c>
    </row>
    <row r="58" spans="1:3" x14ac:dyDescent="0.2">
      <c r="A58" t="s">
        <v>4</v>
      </c>
      <c r="B58" s="2">
        <v>46105</v>
      </c>
      <c r="C58">
        <v>66.1728515625</v>
      </c>
    </row>
    <row r="59" spans="1:3" x14ac:dyDescent="0.2">
      <c r="A59" t="s">
        <v>4</v>
      </c>
      <c r="B59" s="2">
        <v>46106</v>
      </c>
      <c r="C59">
        <v>66.682777404785156</v>
      </c>
    </row>
    <row r="60" spans="1:3" x14ac:dyDescent="0.2">
      <c r="A60" t="s">
        <v>4</v>
      </c>
      <c r="B60" s="2">
        <v>46107</v>
      </c>
      <c r="C60">
        <v>66.212074279785156</v>
      </c>
    </row>
    <row r="61" spans="1:3" x14ac:dyDescent="0.2">
      <c r="A61" t="s">
        <v>4</v>
      </c>
      <c r="B61" s="2">
        <v>46108</v>
      </c>
      <c r="C61">
        <v>68.114501953125</v>
      </c>
    </row>
    <row r="62" spans="1:3" x14ac:dyDescent="0.2">
      <c r="A62" t="s">
        <v>4</v>
      </c>
      <c r="B62" s="2">
        <v>46111</v>
      </c>
      <c r="C62">
        <v>67.4967041015625</v>
      </c>
    </row>
    <row r="63" spans="1:3" x14ac:dyDescent="0.2">
      <c r="A63" t="s">
        <v>4</v>
      </c>
      <c r="B63" s="2">
        <v>46112</v>
      </c>
      <c r="C63">
        <v>66.545486450195312</v>
      </c>
    </row>
    <row r="64" spans="1:3" x14ac:dyDescent="0.2">
      <c r="A64" t="s">
        <v>4</v>
      </c>
      <c r="B64" s="2">
        <v>46113</v>
      </c>
      <c r="C64">
        <v>63.387863159179688</v>
      </c>
    </row>
    <row r="65" spans="1:3" x14ac:dyDescent="0.2">
      <c r="A65" t="s">
        <v>4</v>
      </c>
      <c r="B65" s="2">
        <v>46114</v>
      </c>
      <c r="C65">
        <v>64.868614196777344</v>
      </c>
    </row>
    <row r="66" spans="1:3" x14ac:dyDescent="0.2">
      <c r="A66" t="s">
        <v>4</v>
      </c>
      <c r="B66" s="2">
        <v>46118</v>
      </c>
      <c r="C66">
        <v>65.927696228027344</v>
      </c>
    </row>
    <row r="67" spans="1:3" x14ac:dyDescent="0.2">
      <c r="A67" t="s">
        <v>4</v>
      </c>
      <c r="B67" s="2">
        <v>46119</v>
      </c>
      <c r="C67">
        <v>66.9083251953125</v>
      </c>
    </row>
    <row r="68" spans="1:3" x14ac:dyDescent="0.2">
      <c r="A68" t="s">
        <v>4</v>
      </c>
      <c r="B68" s="2">
        <v>46120</v>
      </c>
      <c r="C68">
        <v>62.877941131591797</v>
      </c>
    </row>
    <row r="69" spans="1:3" x14ac:dyDescent="0.2">
      <c r="A69" t="s">
        <v>4</v>
      </c>
      <c r="B69" s="2">
        <v>46121</v>
      </c>
      <c r="C69">
        <v>61.916923522949219</v>
      </c>
    </row>
    <row r="70" spans="1:3" x14ac:dyDescent="0.2">
      <c r="A70" t="s">
        <v>4</v>
      </c>
      <c r="B70" s="2">
        <v>46122</v>
      </c>
      <c r="C70">
        <v>62.917167663574219</v>
      </c>
    </row>
    <row r="71" spans="1:3" x14ac:dyDescent="0.2">
      <c r="A71" t="s">
        <v>4</v>
      </c>
      <c r="B71" s="2">
        <v>46125</v>
      </c>
      <c r="C71">
        <v>63.427093505859382</v>
      </c>
    </row>
    <row r="72" spans="1:3" x14ac:dyDescent="0.2">
      <c r="A72" t="s">
        <v>4</v>
      </c>
      <c r="B72" s="2">
        <v>46126</v>
      </c>
      <c r="C72">
        <v>61.583507537841797</v>
      </c>
    </row>
    <row r="73" spans="1:3" x14ac:dyDescent="0.2">
      <c r="A73" t="s">
        <v>4</v>
      </c>
      <c r="B73" s="2">
        <v>46127</v>
      </c>
      <c r="C73">
        <v>61.691375732421882</v>
      </c>
    </row>
    <row r="74" spans="1:3" x14ac:dyDescent="0.2">
      <c r="A74" t="s">
        <v>4</v>
      </c>
      <c r="B74" s="2">
        <v>46128</v>
      </c>
      <c r="C74">
        <v>62.240531921386719</v>
      </c>
    </row>
    <row r="75" spans="1:3" x14ac:dyDescent="0.2">
      <c r="A75" t="s">
        <v>4</v>
      </c>
      <c r="B75" s="2">
        <v>46129</v>
      </c>
      <c r="C75">
        <v>57.670799255371087</v>
      </c>
    </row>
    <row r="76" spans="1:3" x14ac:dyDescent="0.2">
      <c r="A76" t="s">
        <v>4</v>
      </c>
      <c r="B76" s="2">
        <v>46132</v>
      </c>
      <c r="C76">
        <v>57.88653564453125</v>
      </c>
    </row>
    <row r="77" spans="1:3" x14ac:dyDescent="0.2">
      <c r="A77" t="s">
        <v>4</v>
      </c>
      <c r="B77" s="2">
        <v>46133</v>
      </c>
      <c r="C77">
        <v>59.377090454101562</v>
      </c>
    </row>
    <row r="78" spans="1:3" x14ac:dyDescent="0.2">
      <c r="A78" t="s">
        <v>4</v>
      </c>
      <c r="B78" s="2">
        <v>46134</v>
      </c>
      <c r="C78">
        <v>59.926246643066413</v>
      </c>
    </row>
    <row r="79" spans="1:3" x14ac:dyDescent="0.2">
      <c r="A79" t="s">
        <v>4</v>
      </c>
      <c r="B79" s="2">
        <v>46135</v>
      </c>
      <c r="C79">
        <v>61.004936218261719</v>
      </c>
    </row>
    <row r="80" spans="1:3" x14ac:dyDescent="0.2">
      <c r="A80" t="s">
        <v>4</v>
      </c>
      <c r="B80" s="2">
        <v>46136</v>
      </c>
      <c r="C80">
        <v>59.514381408691413</v>
      </c>
    </row>
    <row r="81" spans="1:3" x14ac:dyDescent="0.2">
      <c r="A81" t="s">
        <v>4</v>
      </c>
      <c r="B81" s="2">
        <v>46139</v>
      </c>
      <c r="C81">
        <v>60.240047454833977</v>
      </c>
    </row>
    <row r="82" spans="1:3" x14ac:dyDescent="0.2">
      <c r="A82" t="s">
        <v>4</v>
      </c>
      <c r="B82" s="2">
        <v>46140</v>
      </c>
      <c r="C82">
        <v>62.211109161376953</v>
      </c>
    </row>
    <row r="83" spans="1:3" x14ac:dyDescent="0.2">
      <c r="A83" t="s">
        <v>4</v>
      </c>
      <c r="B83" s="2">
        <v>46141</v>
      </c>
      <c r="C83">
        <v>63.378059387207031</v>
      </c>
    </row>
    <row r="84" spans="1:3" x14ac:dyDescent="0.2">
      <c r="A84" t="s">
        <v>4</v>
      </c>
      <c r="B84" s="2">
        <v>46142</v>
      </c>
      <c r="C84">
        <v>63.583988189697273</v>
      </c>
    </row>
    <row r="85" spans="1:3" x14ac:dyDescent="0.2">
      <c r="A85" t="s">
        <v>4</v>
      </c>
      <c r="B85" s="2">
        <v>46143</v>
      </c>
      <c r="C85">
        <v>62.642589569091797</v>
      </c>
    </row>
    <row r="86" spans="1:3" x14ac:dyDescent="0.2">
      <c r="A86" t="s">
        <v>4</v>
      </c>
      <c r="B86" s="2">
        <v>46146</v>
      </c>
      <c r="C86">
        <v>63.495735168457031</v>
      </c>
    </row>
    <row r="87" spans="1:3" x14ac:dyDescent="0.2">
      <c r="A87" t="s">
        <v>4</v>
      </c>
      <c r="B87" s="2">
        <v>46147</v>
      </c>
      <c r="C87">
        <v>63.995857238769531</v>
      </c>
    </row>
    <row r="88" spans="1:3" x14ac:dyDescent="0.2">
      <c r="A88" t="s">
        <v>4</v>
      </c>
      <c r="B88" s="2">
        <v>46148</v>
      </c>
      <c r="C88">
        <v>61.053966522216797</v>
      </c>
    </row>
    <row r="89" spans="1:3" x14ac:dyDescent="0.2">
      <c r="A89" t="s">
        <v>4</v>
      </c>
      <c r="B89" s="2">
        <v>46149</v>
      </c>
      <c r="C89">
        <v>59.779148101806641</v>
      </c>
    </row>
    <row r="90" spans="1:3" x14ac:dyDescent="0.2">
      <c r="A90" t="s">
        <v>4</v>
      </c>
      <c r="B90" s="2">
        <v>46150</v>
      </c>
      <c r="C90">
        <v>59.710506439208977</v>
      </c>
    </row>
    <row r="91" spans="1:3" x14ac:dyDescent="0.2">
      <c r="A91" t="s">
        <v>4</v>
      </c>
      <c r="B91" s="2">
        <v>46153</v>
      </c>
      <c r="C91">
        <v>60.563652038574219</v>
      </c>
    </row>
    <row r="92" spans="1:3" x14ac:dyDescent="0.2">
      <c r="A92" t="s">
        <v>4</v>
      </c>
      <c r="B92" s="2">
        <v>46154</v>
      </c>
      <c r="C92">
        <v>63.025028228759773</v>
      </c>
    </row>
    <row r="93" spans="1:3" x14ac:dyDescent="0.2">
      <c r="A93" t="s">
        <v>4</v>
      </c>
      <c r="B93" s="2">
        <v>46155</v>
      </c>
      <c r="C93">
        <v>63.436901092529297</v>
      </c>
    </row>
    <row r="94" spans="1:3" x14ac:dyDescent="0.2">
      <c r="A94" t="s">
        <v>4</v>
      </c>
      <c r="B94" s="2">
        <v>46156</v>
      </c>
      <c r="C94">
        <v>64.035087585449219</v>
      </c>
    </row>
    <row r="95" spans="1:3" x14ac:dyDescent="0.2">
      <c r="A95" t="s">
        <v>4</v>
      </c>
      <c r="B95" s="2">
        <v>46157</v>
      </c>
      <c r="C95">
        <v>64.799972534179688</v>
      </c>
    </row>
    <row r="96" spans="1:3" x14ac:dyDescent="0.2">
      <c r="A96" t="s">
        <v>4</v>
      </c>
      <c r="B96" s="2">
        <v>46161</v>
      </c>
      <c r="C96">
        <v>66.633743286132812</v>
      </c>
    </row>
    <row r="97" spans="1:3" x14ac:dyDescent="0.2">
      <c r="A97" t="s">
        <v>4</v>
      </c>
      <c r="B97" s="2">
        <v>46162</v>
      </c>
      <c r="C97">
        <v>65.810020446777344</v>
      </c>
    </row>
    <row r="98" spans="1:3" x14ac:dyDescent="0.2">
      <c r="A98" t="s">
        <v>4</v>
      </c>
      <c r="B98" s="2">
        <v>46163</v>
      </c>
      <c r="C98">
        <v>65.868858337402344</v>
      </c>
    </row>
    <row r="99" spans="1:3" x14ac:dyDescent="0.2">
      <c r="A99" t="s">
        <v>4</v>
      </c>
      <c r="B99" s="2">
        <v>46164</v>
      </c>
      <c r="C99">
        <v>65.9375</v>
      </c>
    </row>
    <row r="100" spans="1:3" x14ac:dyDescent="0.2">
      <c r="A100" t="s">
        <v>4</v>
      </c>
      <c r="B100" s="2">
        <v>46167</v>
      </c>
      <c r="C100">
        <v>63.544773101806641</v>
      </c>
    </row>
    <row r="101" spans="1:3" x14ac:dyDescent="0.2">
      <c r="A101" t="s">
        <v>4</v>
      </c>
      <c r="B101" s="2">
        <v>46168</v>
      </c>
      <c r="C101">
        <v>63.485931396484382</v>
      </c>
    </row>
    <row r="102" spans="1:3" x14ac:dyDescent="0.2">
      <c r="A102" t="s">
        <v>4</v>
      </c>
      <c r="B102" s="2">
        <v>46169</v>
      </c>
      <c r="C102">
        <v>62.093437194824219</v>
      </c>
    </row>
    <row r="103" spans="1:3" x14ac:dyDescent="0.2">
      <c r="A103" t="s">
        <v>4</v>
      </c>
      <c r="B103" s="2">
        <v>46170</v>
      </c>
      <c r="C103">
        <v>61.975761413574219</v>
      </c>
    </row>
    <row r="104" spans="1:3" x14ac:dyDescent="0.2">
      <c r="A104" t="s">
        <v>4</v>
      </c>
      <c r="B104" s="2">
        <v>46171</v>
      </c>
      <c r="C104">
        <v>61.485446929931641</v>
      </c>
    </row>
    <row r="105" spans="1:3" x14ac:dyDescent="0.2">
      <c r="A105" t="s">
        <v>4</v>
      </c>
      <c r="B105" s="2">
        <v>46174</v>
      </c>
      <c r="C105">
        <v>62.387622833251953</v>
      </c>
    </row>
    <row r="106" spans="1:3" x14ac:dyDescent="0.2">
      <c r="A106" t="s">
        <v>4</v>
      </c>
      <c r="B106" s="2">
        <v>46175</v>
      </c>
      <c r="C106">
        <v>64.133148193359375</v>
      </c>
    </row>
    <row r="107" spans="1:3" x14ac:dyDescent="0.2">
      <c r="A107" t="s">
        <v>4</v>
      </c>
      <c r="B107" s="2">
        <v>46176</v>
      </c>
      <c r="C107">
        <v>65.074546813964844</v>
      </c>
    </row>
    <row r="108" spans="1:3" x14ac:dyDescent="0.2">
      <c r="A108" t="s">
        <v>4</v>
      </c>
      <c r="B108" s="2">
        <v>46177</v>
      </c>
      <c r="C108">
        <v>64.937263488769531</v>
      </c>
    </row>
    <row r="109" spans="1:3" x14ac:dyDescent="0.2">
      <c r="A109" t="s">
        <v>4</v>
      </c>
      <c r="B109" s="2">
        <v>46178</v>
      </c>
      <c r="C109">
        <v>62.524909973144531</v>
      </c>
    </row>
    <row r="110" spans="1:3" x14ac:dyDescent="0.2">
      <c r="A110" t="s">
        <v>4</v>
      </c>
      <c r="B110" s="2">
        <v>46181</v>
      </c>
      <c r="C110">
        <v>63.407482147216797</v>
      </c>
    </row>
    <row r="111" spans="1:3" x14ac:dyDescent="0.2">
      <c r="A111" t="s">
        <v>4</v>
      </c>
      <c r="B111" s="2">
        <v>46182</v>
      </c>
      <c r="C111">
        <v>61.171646118164062</v>
      </c>
    </row>
    <row r="112" spans="1:3" x14ac:dyDescent="0.2">
      <c r="A112" t="s">
        <v>4</v>
      </c>
      <c r="B112" s="2">
        <v>46183</v>
      </c>
      <c r="C112">
        <v>62.358203887939453</v>
      </c>
    </row>
    <row r="113" spans="1:3" x14ac:dyDescent="0.2">
      <c r="A113" t="s">
        <v>4</v>
      </c>
      <c r="B113" s="2">
        <v>46184</v>
      </c>
      <c r="C113">
        <v>62.289558410644531</v>
      </c>
    </row>
    <row r="114" spans="1:3" x14ac:dyDescent="0.2">
      <c r="A114" t="s">
        <v>4</v>
      </c>
      <c r="B114" s="2">
        <v>46185</v>
      </c>
      <c r="C114">
        <v>62.171886444091797</v>
      </c>
    </row>
    <row r="115" spans="1:3" x14ac:dyDescent="0.2">
      <c r="A115" t="s">
        <v>4</v>
      </c>
      <c r="B115" s="2">
        <v>46188</v>
      </c>
      <c r="C115">
        <v>60.495006561279297</v>
      </c>
    </row>
    <row r="116" spans="1:3" x14ac:dyDescent="0.2">
      <c r="A116" t="s">
        <v>4</v>
      </c>
      <c r="B116" s="2">
        <v>46189</v>
      </c>
      <c r="C116">
        <v>59.465347290039062</v>
      </c>
    </row>
    <row r="117" spans="1:3" x14ac:dyDescent="0.2">
      <c r="A117" t="s">
        <v>4</v>
      </c>
      <c r="B117" s="2">
        <v>46190</v>
      </c>
      <c r="C117">
        <v>58.612201690673828</v>
      </c>
    </row>
    <row r="118" spans="1:3" x14ac:dyDescent="0.2">
      <c r="A118" t="s">
        <v>4</v>
      </c>
      <c r="B118" s="2">
        <v>46191</v>
      </c>
      <c r="C118">
        <v>56.827457427978523</v>
      </c>
    </row>
    <row r="119" spans="1:3" x14ac:dyDescent="0.2">
      <c r="A119" t="s">
        <v>4</v>
      </c>
      <c r="B119" s="2">
        <v>46192</v>
      </c>
      <c r="C119">
        <v>57.523704528808587</v>
      </c>
    </row>
    <row r="120" spans="1:3" x14ac:dyDescent="0.2">
      <c r="A120" t="s">
        <v>4</v>
      </c>
      <c r="B120" s="2">
        <v>46195</v>
      </c>
      <c r="C120">
        <v>57.994407653808587</v>
      </c>
    </row>
    <row r="121" spans="1:3" x14ac:dyDescent="0.2">
      <c r="A121" t="s">
        <v>4</v>
      </c>
      <c r="B121" s="2">
        <v>46196</v>
      </c>
      <c r="C121">
        <v>57.692119598388672</v>
      </c>
    </row>
    <row r="122" spans="1:3" x14ac:dyDescent="0.2">
      <c r="A122" t="s">
        <v>4</v>
      </c>
      <c r="B122" s="2">
        <v>46197</v>
      </c>
      <c r="C122">
        <v>55.561248779296882</v>
      </c>
    </row>
    <row r="123" spans="1:3" x14ac:dyDescent="0.2">
      <c r="A123" t="s">
        <v>4</v>
      </c>
      <c r="B123" s="2">
        <v>46198</v>
      </c>
      <c r="C123">
        <v>55.690090179443359</v>
      </c>
    </row>
    <row r="124" spans="1:3" x14ac:dyDescent="0.2">
      <c r="A124" t="s">
        <v>4</v>
      </c>
      <c r="B124" s="2">
        <v>46199</v>
      </c>
      <c r="C124">
        <v>55.521602630615227</v>
      </c>
    </row>
    <row r="125" spans="1:3" x14ac:dyDescent="0.2">
      <c r="A125" t="s">
        <v>4</v>
      </c>
      <c r="B125" s="2">
        <v>46202</v>
      </c>
      <c r="C125">
        <v>55.392757415771477</v>
      </c>
    </row>
    <row r="126" spans="1:3" x14ac:dyDescent="0.2">
      <c r="A126" t="s">
        <v>4</v>
      </c>
      <c r="B126" s="2">
        <v>46203</v>
      </c>
      <c r="C126">
        <v>55.620712280273438</v>
      </c>
    </row>
    <row r="127" spans="1:3" x14ac:dyDescent="0.2">
      <c r="A127" t="s">
        <v>4</v>
      </c>
      <c r="B127" s="2">
        <v>46205</v>
      </c>
      <c r="C127">
        <v>55.719825744628913</v>
      </c>
    </row>
    <row r="128" spans="1:3" x14ac:dyDescent="0.2">
      <c r="A128" t="s">
        <v>4</v>
      </c>
      <c r="B128" s="2">
        <v>46206</v>
      </c>
      <c r="C128">
        <v>56.175731658935547</v>
      </c>
    </row>
    <row r="129" spans="1:3" x14ac:dyDescent="0.2">
      <c r="A129" t="s">
        <v>4</v>
      </c>
      <c r="B129" s="2">
        <v>46209</v>
      </c>
      <c r="C129">
        <v>55.452224731445312</v>
      </c>
    </row>
    <row r="130" spans="1:3" x14ac:dyDescent="0.2">
      <c r="A130" t="s">
        <v>4</v>
      </c>
      <c r="B130" s="2">
        <v>46210</v>
      </c>
      <c r="C130">
        <v>57.226303100585938</v>
      </c>
    </row>
    <row r="131" spans="1:3" x14ac:dyDescent="0.2">
      <c r="A131" t="s">
        <v>4</v>
      </c>
      <c r="B131" s="2">
        <v>46211</v>
      </c>
      <c r="C131">
        <v>59.555393218994141</v>
      </c>
    </row>
    <row r="132" spans="1:3" x14ac:dyDescent="0.2">
      <c r="A132" t="s">
        <v>4</v>
      </c>
      <c r="B132" s="2">
        <v>46212</v>
      </c>
      <c r="C132">
        <v>58.871532440185547</v>
      </c>
    </row>
    <row r="133" spans="1:3" x14ac:dyDescent="0.2">
      <c r="A133" t="s">
        <v>4</v>
      </c>
      <c r="B133" s="2">
        <v>46213</v>
      </c>
      <c r="C133">
        <v>58.574199676513672</v>
      </c>
    </row>
    <row r="134" spans="1:3" x14ac:dyDescent="0.2">
      <c r="A134" t="s">
        <v>4</v>
      </c>
      <c r="B134" s="2">
        <v>46216</v>
      </c>
      <c r="C134">
        <v>60.407741546630859</v>
      </c>
    </row>
    <row r="135" spans="1:3" x14ac:dyDescent="0.2">
      <c r="A135" t="s">
        <v>4</v>
      </c>
      <c r="B135" s="2">
        <v>46217</v>
      </c>
      <c r="C135">
        <v>59.466194152832031</v>
      </c>
    </row>
    <row r="136" spans="1:3" x14ac:dyDescent="0.2">
      <c r="A136" t="s">
        <v>4</v>
      </c>
      <c r="B136" s="2">
        <v>46218</v>
      </c>
      <c r="C136">
        <v>59.575214385986328</v>
      </c>
    </row>
    <row r="137" spans="1:3" x14ac:dyDescent="0.2">
      <c r="A137" t="s">
        <v>4</v>
      </c>
      <c r="B137" s="2">
        <v>46219</v>
      </c>
      <c r="C137">
        <v>59.664413452148438</v>
      </c>
    </row>
    <row r="138" spans="1:3" x14ac:dyDescent="0.2">
      <c r="A138" t="s">
        <v>4</v>
      </c>
      <c r="B138" s="2">
        <v>46220</v>
      </c>
      <c r="C138">
        <v>60.873558044433587</v>
      </c>
    </row>
    <row r="139" spans="1:3" x14ac:dyDescent="0.2">
      <c r="A139" t="s">
        <v>4</v>
      </c>
      <c r="B139" s="2">
        <v>46223</v>
      </c>
      <c r="C139">
        <v>61.3294677734375</v>
      </c>
    </row>
    <row r="140" spans="1:3" x14ac:dyDescent="0.2">
      <c r="A140" t="s">
        <v>4</v>
      </c>
      <c r="B140" s="2">
        <v>46224</v>
      </c>
      <c r="C140">
        <v>62.746746063232422</v>
      </c>
    </row>
    <row r="141" spans="1:3" x14ac:dyDescent="0.2">
      <c r="A141" t="s">
        <v>4</v>
      </c>
      <c r="B141" s="2">
        <v>46225</v>
      </c>
      <c r="C141">
        <v>63.876602172851562</v>
      </c>
    </row>
    <row r="142" spans="1:3" x14ac:dyDescent="0.2">
      <c r="A142" t="s">
        <v>4</v>
      </c>
      <c r="B142" s="2">
        <v>46226</v>
      </c>
      <c r="C142">
        <v>65.611030578613281</v>
      </c>
    </row>
    <row r="143" spans="1:3" x14ac:dyDescent="0.2">
      <c r="A143" t="s">
        <v>4</v>
      </c>
      <c r="B143" s="2">
        <v>46227</v>
      </c>
      <c r="C143">
        <v>64.897445678710938</v>
      </c>
    </row>
    <row r="144" spans="1:3" x14ac:dyDescent="0.2">
      <c r="A144" t="s">
        <v>4</v>
      </c>
      <c r="B144" s="2">
        <v>46230</v>
      </c>
      <c r="C144">
        <v>62.697189331054688</v>
      </c>
    </row>
    <row r="145" spans="1:3" x14ac:dyDescent="0.2">
      <c r="A145" t="s">
        <v>4</v>
      </c>
      <c r="B145" s="2">
        <v>46231</v>
      </c>
      <c r="C145">
        <v>61.874576568603523</v>
      </c>
    </row>
    <row r="146" spans="1:3" x14ac:dyDescent="0.2">
      <c r="A146" t="s">
        <v>4</v>
      </c>
      <c r="B146" s="2">
        <v>46232</v>
      </c>
      <c r="C146">
        <v>64.728950500488281</v>
      </c>
    </row>
    <row r="147" spans="1:3" x14ac:dyDescent="0.2">
      <c r="A147" t="s">
        <v>4</v>
      </c>
      <c r="B147" s="2">
        <v>46233</v>
      </c>
      <c r="C147">
        <v>65.630859375</v>
      </c>
    </row>
    <row r="148" spans="1:3" x14ac:dyDescent="0.2">
      <c r="A148" t="s">
        <v>4</v>
      </c>
      <c r="B148" s="2">
        <v>46234</v>
      </c>
      <c r="C148">
        <v>66.185874938964844</v>
      </c>
    </row>
    <row r="149" spans="1:3" x14ac:dyDescent="0.2">
      <c r="A149" t="s">
        <v>4</v>
      </c>
      <c r="B149" s="2">
        <v>46238</v>
      </c>
      <c r="C149">
        <v>64.352333068847656</v>
      </c>
    </row>
    <row r="150" spans="1:3" x14ac:dyDescent="0.2">
      <c r="A150" t="s">
        <v>4</v>
      </c>
      <c r="B150" s="2">
        <v>46239</v>
      </c>
      <c r="C150">
        <v>62.290836334228523</v>
      </c>
    </row>
    <row r="151" spans="1:3" x14ac:dyDescent="0.2">
      <c r="A151" t="s">
        <v>4</v>
      </c>
      <c r="B151" s="2">
        <v>46240</v>
      </c>
      <c r="C151">
        <v>63.262119293212891</v>
      </c>
    </row>
    <row r="152" spans="1:3" x14ac:dyDescent="0.2">
      <c r="A152" t="s">
        <v>4</v>
      </c>
      <c r="B152" s="2">
        <v>46241</v>
      </c>
      <c r="C152">
        <v>62.885501861572273</v>
      </c>
    </row>
    <row r="153" spans="1:3" x14ac:dyDescent="0.2">
      <c r="A153" t="s">
        <v>4</v>
      </c>
      <c r="B153" s="2">
        <v>46244</v>
      </c>
      <c r="C153">
        <v>65.244331359863281</v>
      </c>
    </row>
    <row r="154" spans="1:3" x14ac:dyDescent="0.2">
      <c r="A154" t="s">
        <v>4</v>
      </c>
      <c r="B154" s="2">
        <v>46245</v>
      </c>
      <c r="C154">
        <v>65.729965209960938</v>
      </c>
    </row>
    <row r="155" spans="1:3" x14ac:dyDescent="0.2">
      <c r="A155" t="s">
        <v>4</v>
      </c>
      <c r="B155" s="2">
        <v>46246</v>
      </c>
      <c r="C155">
        <v>65.7894287109375</v>
      </c>
    </row>
    <row r="156" spans="1:3" x14ac:dyDescent="0.2">
      <c r="A156" t="s">
        <v>4</v>
      </c>
      <c r="B156" s="2">
        <v>46247</v>
      </c>
      <c r="C156">
        <v>65.759696960449219</v>
      </c>
    </row>
    <row r="157" spans="1:3" x14ac:dyDescent="0.2">
      <c r="A157" t="s">
        <v>4</v>
      </c>
      <c r="B157" s="2">
        <v>46248</v>
      </c>
      <c r="C157">
        <v>65.819168090820312</v>
      </c>
    </row>
    <row r="158" spans="1:3" x14ac:dyDescent="0.2">
      <c r="A158" t="s">
        <v>4</v>
      </c>
      <c r="B158" s="2">
        <v>46251</v>
      </c>
      <c r="C158">
        <v>67.771636962890625</v>
      </c>
    </row>
    <row r="159" spans="1:3" x14ac:dyDescent="0.2">
      <c r="A159" t="s">
        <v>4</v>
      </c>
      <c r="B159" s="2">
        <v>46252</v>
      </c>
      <c r="C159">
        <v>68.376213073730469</v>
      </c>
    </row>
    <row r="160" spans="1:3" x14ac:dyDescent="0.2">
      <c r="A160" t="s">
        <v>4</v>
      </c>
      <c r="B160" s="2">
        <v>46253</v>
      </c>
      <c r="C160">
        <v>67.870750427246094</v>
      </c>
    </row>
    <row r="161" spans="1:3" x14ac:dyDescent="0.2">
      <c r="A161" t="s">
        <v>4</v>
      </c>
      <c r="B161" s="2">
        <v>46254</v>
      </c>
      <c r="C161">
        <v>69.813316345214844</v>
      </c>
    </row>
    <row r="162" spans="1:3" x14ac:dyDescent="0.2">
      <c r="A162" t="s">
        <v>4</v>
      </c>
      <c r="B162" s="2">
        <v>46255</v>
      </c>
      <c r="C162">
        <v>70.180015563964844</v>
      </c>
    </row>
    <row r="163" spans="1:3" x14ac:dyDescent="0.2">
      <c r="A163" t="s">
        <v>4</v>
      </c>
      <c r="B163" s="2">
        <v>46258</v>
      </c>
      <c r="C163">
        <v>69.644821166992188</v>
      </c>
    </row>
    <row r="164" spans="1:3" x14ac:dyDescent="0.2">
      <c r="A164" t="s">
        <v>4</v>
      </c>
      <c r="B164" s="2">
        <v>46259</v>
      </c>
      <c r="C164">
        <v>68.0689697265625</v>
      </c>
    </row>
    <row r="165" spans="1:3" x14ac:dyDescent="0.2">
      <c r="A165" t="s">
        <v>4</v>
      </c>
      <c r="B165" s="2">
        <v>46260</v>
      </c>
      <c r="C165">
        <v>68.316749572753906</v>
      </c>
    </row>
    <row r="166" spans="1:3" x14ac:dyDescent="0.2">
      <c r="A166" t="s">
        <v>4</v>
      </c>
      <c r="B166" s="2">
        <v>46261</v>
      </c>
      <c r="C166">
        <v>68.415855407714844</v>
      </c>
    </row>
    <row r="167" spans="1:3" x14ac:dyDescent="0.2">
      <c r="A167" t="s">
        <v>4</v>
      </c>
      <c r="B167" s="2">
        <v>46262</v>
      </c>
      <c r="C167">
        <v>67.533775329589844</v>
      </c>
    </row>
    <row r="168" spans="1:3" x14ac:dyDescent="0.2">
      <c r="A168" t="s">
        <v>4</v>
      </c>
      <c r="B168" s="2">
        <v>46265</v>
      </c>
      <c r="C168">
        <v>68.87176513671875</v>
      </c>
    </row>
    <row r="169" spans="1:3" x14ac:dyDescent="0.2">
      <c r="A169" t="s">
        <v>4</v>
      </c>
      <c r="B169" s="2">
        <v>46266</v>
      </c>
      <c r="C169">
        <v>71.428810119628906</v>
      </c>
    </row>
    <row r="170" spans="1:3" x14ac:dyDescent="0.2">
      <c r="A170" t="s">
        <v>4</v>
      </c>
      <c r="B170" s="2">
        <v>46267</v>
      </c>
      <c r="C170">
        <v>71.012550354003906</v>
      </c>
    </row>
    <row r="171" spans="1:3" x14ac:dyDescent="0.2">
      <c r="A171" t="s">
        <v>4</v>
      </c>
      <c r="B171" s="2">
        <v>46268</v>
      </c>
      <c r="C171">
        <v>69.922332763671875</v>
      </c>
    </row>
    <row r="172" spans="1:3" x14ac:dyDescent="0.2">
      <c r="A172" t="s">
        <v>4</v>
      </c>
      <c r="B172" s="2">
        <v>46269</v>
      </c>
      <c r="C172">
        <v>69.1591796875</v>
      </c>
    </row>
    <row r="173" spans="1:3" x14ac:dyDescent="0.2">
      <c r="A173" t="s">
        <v>4</v>
      </c>
      <c r="B173" s="2">
        <v>46273</v>
      </c>
      <c r="C173">
        <v>69.54571533203125</v>
      </c>
    </row>
    <row r="174" spans="1:3" x14ac:dyDescent="0.2">
      <c r="A174" t="s">
        <v>4</v>
      </c>
      <c r="B174" s="2">
        <v>46274</v>
      </c>
      <c r="C174">
        <v>70.279136657714844</v>
      </c>
    </row>
    <row r="175" spans="1:3" x14ac:dyDescent="0.2">
      <c r="A175" t="s">
        <v>4</v>
      </c>
      <c r="B175" s="2">
        <v>46275</v>
      </c>
      <c r="C175">
        <v>69.625</v>
      </c>
    </row>
    <row r="176" spans="1:3" x14ac:dyDescent="0.2">
      <c r="A176" t="s">
        <v>4</v>
      </c>
      <c r="B176" s="2">
        <v>46276</v>
      </c>
      <c r="C176">
        <v>69.319999694824219</v>
      </c>
    </row>
    <row r="177" spans="1:3" x14ac:dyDescent="0.2">
      <c r="A177" t="s">
        <v>4</v>
      </c>
      <c r="B177" s="2">
        <v>46279</v>
      </c>
      <c r="C177">
        <v>69.94000244140625</v>
      </c>
    </row>
    <row r="178" spans="1:3" x14ac:dyDescent="0.2">
      <c r="A178" t="s">
        <v>4</v>
      </c>
      <c r="B178" s="2">
        <v>46280</v>
      </c>
      <c r="C178">
        <v>71.430000305175781</v>
      </c>
    </row>
    <row r="179" spans="1:3" x14ac:dyDescent="0.2">
      <c r="A179" t="s">
        <v>12</v>
      </c>
      <c r="B179" s="2">
        <v>46024</v>
      </c>
      <c r="C179">
        <v>23.767402648925781</v>
      </c>
    </row>
    <row r="180" spans="1:3" x14ac:dyDescent="0.2">
      <c r="A180" t="s">
        <v>12</v>
      </c>
      <c r="B180" s="2">
        <v>46027</v>
      </c>
      <c r="C180">
        <v>22.62103271484375</v>
      </c>
    </row>
    <row r="181" spans="1:3" x14ac:dyDescent="0.2">
      <c r="A181" t="s">
        <v>12</v>
      </c>
      <c r="B181" s="2">
        <v>46028</v>
      </c>
      <c r="C181">
        <v>22.166439056396481</v>
      </c>
    </row>
    <row r="182" spans="1:3" x14ac:dyDescent="0.2">
      <c r="A182" t="s">
        <v>12</v>
      </c>
      <c r="B182" s="2">
        <v>46029</v>
      </c>
      <c r="C182">
        <v>21.692079544067379</v>
      </c>
    </row>
    <row r="183" spans="1:3" x14ac:dyDescent="0.2">
      <c r="A183" t="s">
        <v>12</v>
      </c>
      <c r="B183" s="2">
        <v>46030</v>
      </c>
      <c r="C183">
        <v>22.433267593383789</v>
      </c>
    </row>
    <row r="184" spans="1:3" x14ac:dyDescent="0.2">
      <c r="A184" t="s">
        <v>12</v>
      </c>
      <c r="B184" s="2">
        <v>46031</v>
      </c>
      <c r="C184">
        <v>22.60126876831055</v>
      </c>
    </row>
    <row r="185" spans="1:3" x14ac:dyDescent="0.2">
      <c r="A185" t="s">
        <v>12</v>
      </c>
      <c r="B185" s="2">
        <v>46034</v>
      </c>
      <c r="C185">
        <v>22.818683624267582</v>
      </c>
    </row>
    <row r="186" spans="1:3" x14ac:dyDescent="0.2">
      <c r="A186" t="s">
        <v>12</v>
      </c>
      <c r="B186" s="2">
        <v>46035</v>
      </c>
      <c r="C186">
        <v>24.17258453369141</v>
      </c>
    </row>
    <row r="187" spans="1:3" x14ac:dyDescent="0.2">
      <c r="A187" t="s">
        <v>12</v>
      </c>
      <c r="B187" s="2">
        <v>46036</v>
      </c>
      <c r="C187">
        <v>25.2695426940918</v>
      </c>
    </row>
    <row r="188" spans="1:3" x14ac:dyDescent="0.2">
      <c r="A188" t="s">
        <v>12</v>
      </c>
      <c r="B188" s="2">
        <v>46037</v>
      </c>
      <c r="C188">
        <v>24.854476928710941</v>
      </c>
    </row>
    <row r="189" spans="1:3" x14ac:dyDescent="0.2">
      <c r="A189" t="s">
        <v>12</v>
      </c>
      <c r="B189" s="2">
        <v>46038</v>
      </c>
      <c r="C189">
        <v>24.765535354614261</v>
      </c>
    </row>
    <row r="190" spans="1:3" x14ac:dyDescent="0.2">
      <c r="A190" t="s">
        <v>12</v>
      </c>
      <c r="B190" s="2">
        <v>46041</v>
      </c>
      <c r="C190">
        <v>24.8445930480957</v>
      </c>
    </row>
    <row r="191" spans="1:3" x14ac:dyDescent="0.2">
      <c r="A191" t="s">
        <v>12</v>
      </c>
      <c r="B191" s="2">
        <v>46042</v>
      </c>
      <c r="C191">
        <v>24.17258453369141</v>
      </c>
    </row>
    <row r="192" spans="1:3" x14ac:dyDescent="0.2">
      <c r="A192" t="s">
        <v>12</v>
      </c>
      <c r="B192" s="2">
        <v>46043</v>
      </c>
      <c r="C192">
        <v>25.259658813476559</v>
      </c>
    </row>
    <row r="193" spans="1:3" x14ac:dyDescent="0.2">
      <c r="A193" t="s">
        <v>12</v>
      </c>
      <c r="B193" s="2">
        <v>46044</v>
      </c>
      <c r="C193">
        <v>25.111421585083011</v>
      </c>
    </row>
    <row r="194" spans="1:3" x14ac:dyDescent="0.2">
      <c r="A194" t="s">
        <v>12</v>
      </c>
      <c r="B194" s="2">
        <v>46045</v>
      </c>
      <c r="C194">
        <v>25.417778015136719</v>
      </c>
    </row>
    <row r="195" spans="1:3" x14ac:dyDescent="0.2">
      <c r="A195" t="s">
        <v>12</v>
      </c>
      <c r="B195" s="2">
        <v>46048</v>
      </c>
      <c r="C195">
        <v>25.674724578857418</v>
      </c>
    </row>
    <row r="196" spans="1:3" x14ac:dyDescent="0.2">
      <c r="A196" t="s">
        <v>12</v>
      </c>
      <c r="B196" s="2">
        <v>46049</v>
      </c>
      <c r="C196">
        <v>26.139202117919918</v>
      </c>
    </row>
    <row r="197" spans="1:3" x14ac:dyDescent="0.2">
      <c r="A197" t="s">
        <v>12</v>
      </c>
      <c r="B197" s="2">
        <v>46050</v>
      </c>
      <c r="C197">
        <v>26.56414794921875</v>
      </c>
    </row>
    <row r="198" spans="1:3" x14ac:dyDescent="0.2">
      <c r="A198" t="s">
        <v>12</v>
      </c>
      <c r="B198" s="2">
        <v>46051</v>
      </c>
      <c r="C198">
        <v>27.186746597290039</v>
      </c>
    </row>
    <row r="199" spans="1:3" x14ac:dyDescent="0.2">
      <c r="A199" t="s">
        <v>12</v>
      </c>
      <c r="B199" s="2">
        <v>46052</v>
      </c>
      <c r="C199">
        <v>26.554267883300781</v>
      </c>
    </row>
    <row r="200" spans="1:3" x14ac:dyDescent="0.2">
      <c r="A200" t="s">
        <v>12</v>
      </c>
      <c r="B200" s="2">
        <v>46055</v>
      </c>
      <c r="C200">
        <v>26.277555465698239</v>
      </c>
    </row>
    <row r="201" spans="1:3" x14ac:dyDescent="0.2">
      <c r="A201" t="s">
        <v>12</v>
      </c>
      <c r="B201" s="2">
        <v>46056</v>
      </c>
      <c r="C201">
        <v>26.880390167236332</v>
      </c>
    </row>
    <row r="202" spans="1:3" x14ac:dyDescent="0.2">
      <c r="A202" t="s">
        <v>12</v>
      </c>
      <c r="B202" s="2">
        <v>46057</v>
      </c>
      <c r="C202">
        <v>27.364631652832031</v>
      </c>
    </row>
    <row r="203" spans="1:3" x14ac:dyDescent="0.2">
      <c r="A203" t="s">
        <v>12</v>
      </c>
      <c r="B203" s="2">
        <v>46058</v>
      </c>
      <c r="C203">
        <v>26.672857284545898</v>
      </c>
    </row>
    <row r="204" spans="1:3" x14ac:dyDescent="0.2">
      <c r="A204" t="s">
        <v>12</v>
      </c>
      <c r="B204" s="2">
        <v>46059</v>
      </c>
      <c r="C204">
        <v>27.779697418212891</v>
      </c>
    </row>
    <row r="205" spans="1:3" x14ac:dyDescent="0.2">
      <c r="A205" t="s">
        <v>12</v>
      </c>
      <c r="B205" s="2">
        <v>46062</v>
      </c>
      <c r="C205">
        <v>28.16511344909668</v>
      </c>
    </row>
    <row r="206" spans="1:3" x14ac:dyDescent="0.2">
      <c r="A206" t="s">
        <v>12</v>
      </c>
      <c r="B206" s="2">
        <v>46063</v>
      </c>
      <c r="C206">
        <v>28.412174224853519</v>
      </c>
    </row>
    <row r="207" spans="1:3" x14ac:dyDescent="0.2">
      <c r="A207" t="s">
        <v>12</v>
      </c>
      <c r="B207" s="2">
        <v>46064</v>
      </c>
      <c r="C207">
        <v>29.548664093017582</v>
      </c>
    </row>
    <row r="208" spans="1:3" x14ac:dyDescent="0.2">
      <c r="A208" t="s">
        <v>12</v>
      </c>
      <c r="B208" s="2">
        <v>46065</v>
      </c>
      <c r="C208">
        <v>28.688886642456051</v>
      </c>
    </row>
    <row r="209" spans="1:3" x14ac:dyDescent="0.2">
      <c r="A209" t="s">
        <v>12</v>
      </c>
      <c r="B209" s="2">
        <v>46066</v>
      </c>
      <c r="C209">
        <v>29.548664093017582</v>
      </c>
    </row>
    <row r="210" spans="1:3" x14ac:dyDescent="0.2">
      <c r="A210" t="s">
        <v>12</v>
      </c>
      <c r="B210" s="2">
        <v>46070</v>
      </c>
      <c r="C210">
        <v>29.09406661987305</v>
      </c>
    </row>
    <row r="211" spans="1:3" x14ac:dyDescent="0.2">
      <c r="A211" t="s">
        <v>12</v>
      </c>
      <c r="B211" s="2">
        <v>46071</v>
      </c>
      <c r="C211">
        <v>30.09219932556152</v>
      </c>
    </row>
    <row r="212" spans="1:3" x14ac:dyDescent="0.2">
      <c r="A212" t="s">
        <v>12</v>
      </c>
      <c r="B212" s="2">
        <v>46072</v>
      </c>
      <c r="C212">
        <v>31.307746887207031</v>
      </c>
    </row>
    <row r="213" spans="1:3" x14ac:dyDescent="0.2">
      <c r="A213" t="s">
        <v>12</v>
      </c>
      <c r="B213" s="2">
        <v>46073</v>
      </c>
      <c r="C213">
        <v>30.517145156860352</v>
      </c>
    </row>
    <row r="214" spans="1:3" x14ac:dyDescent="0.2">
      <c r="A214" t="s">
        <v>12</v>
      </c>
      <c r="B214" s="2">
        <v>46076</v>
      </c>
      <c r="C214">
        <v>30.517145156860352</v>
      </c>
    </row>
    <row r="215" spans="1:3" x14ac:dyDescent="0.2">
      <c r="A215" t="s">
        <v>12</v>
      </c>
      <c r="B215" s="2">
        <v>46077</v>
      </c>
      <c r="C215">
        <v>30.26020431518555</v>
      </c>
    </row>
    <row r="216" spans="1:3" x14ac:dyDescent="0.2">
      <c r="A216" t="s">
        <v>12</v>
      </c>
      <c r="B216" s="2">
        <v>46078</v>
      </c>
      <c r="C216">
        <v>29.657369613647461</v>
      </c>
    </row>
    <row r="217" spans="1:3" x14ac:dyDescent="0.2">
      <c r="A217" t="s">
        <v>12</v>
      </c>
      <c r="B217" s="2">
        <v>46079</v>
      </c>
      <c r="C217">
        <v>29.825372695922852</v>
      </c>
    </row>
    <row r="218" spans="1:3" x14ac:dyDescent="0.2">
      <c r="A218" t="s">
        <v>12</v>
      </c>
      <c r="B218" s="2">
        <v>46080</v>
      </c>
      <c r="C218">
        <v>30.032905578613281</v>
      </c>
    </row>
    <row r="219" spans="1:3" x14ac:dyDescent="0.2">
      <c r="A219" t="s">
        <v>12</v>
      </c>
      <c r="B219" s="2">
        <v>46083</v>
      </c>
      <c r="C219">
        <v>30.88279914855957</v>
      </c>
    </row>
    <row r="220" spans="1:3" x14ac:dyDescent="0.2">
      <c r="A220" t="s">
        <v>12</v>
      </c>
      <c r="B220" s="2">
        <v>46084</v>
      </c>
      <c r="C220">
        <v>30.220672607421879</v>
      </c>
    </row>
    <row r="221" spans="1:3" x14ac:dyDescent="0.2">
      <c r="A221" t="s">
        <v>12</v>
      </c>
      <c r="B221" s="2">
        <v>46085</v>
      </c>
      <c r="C221">
        <v>30.734563827514648</v>
      </c>
    </row>
    <row r="222" spans="1:3" x14ac:dyDescent="0.2">
      <c r="A222" t="s">
        <v>12</v>
      </c>
      <c r="B222" s="2">
        <v>46086</v>
      </c>
      <c r="C222">
        <v>31.465866088867191</v>
      </c>
    </row>
    <row r="223" spans="1:3" x14ac:dyDescent="0.2">
      <c r="A223" t="s">
        <v>12</v>
      </c>
      <c r="B223" s="2">
        <v>46087</v>
      </c>
      <c r="C223">
        <v>30.428205490112301</v>
      </c>
    </row>
    <row r="224" spans="1:3" x14ac:dyDescent="0.2">
      <c r="A224" t="s">
        <v>12</v>
      </c>
      <c r="B224" s="2">
        <v>46090</v>
      </c>
      <c r="C224">
        <v>30.635736465454102</v>
      </c>
    </row>
    <row r="225" spans="1:3" x14ac:dyDescent="0.2">
      <c r="A225" t="s">
        <v>12</v>
      </c>
      <c r="B225" s="2">
        <v>46091</v>
      </c>
      <c r="C225">
        <v>30.408439636230469</v>
      </c>
    </row>
    <row r="226" spans="1:3" x14ac:dyDescent="0.2">
      <c r="A226" t="s">
        <v>12</v>
      </c>
      <c r="B226" s="2">
        <v>46092</v>
      </c>
      <c r="C226">
        <v>31.801872253417969</v>
      </c>
    </row>
    <row r="227" spans="1:3" x14ac:dyDescent="0.2">
      <c r="A227" t="s">
        <v>12</v>
      </c>
      <c r="B227" s="2">
        <v>46093</v>
      </c>
      <c r="C227">
        <v>31.821636199951168</v>
      </c>
    </row>
    <row r="228" spans="1:3" x14ac:dyDescent="0.2">
      <c r="A228" t="s">
        <v>12</v>
      </c>
      <c r="B228" s="2">
        <v>46094</v>
      </c>
      <c r="C228">
        <v>31.67247200012207</v>
      </c>
    </row>
    <row r="229" spans="1:3" x14ac:dyDescent="0.2">
      <c r="A229" t="s">
        <v>12</v>
      </c>
      <c r="B229" s="2">
        <v>46097</v>
      </c>
      <c r="C229">
        <v>31.8017463684082</v>
      </c>
    </row>
    <row r="230" spans="1:3" x14ac:dyDescent="0.2">
      <c r="A230" t="s">
        <v>12</v>
      </c>
      <c r="B230" s="2">
        <v>46098</v>
      </c>
      <c r="C230">
        <v>32.110019683837891</v>
      </c>
    </row>
    <row r="231" spans="1:3" x14ac:dyDescent="0.2">
      <c r="A231" t="s">
        <v>12</v>
      </c>
      <c r="B231" s="2">
        <v>46099</v>
      </c>
      <c r="C231">
        <v>32.696731567382812</v>
      </c>
    </row>
    <row r="232" spans="1:3" x14ac:dyDescent="0.2">
      <c r="A232" t="s">
        <v>12</v>
      </c>
      <c r="B232" s="2">
        <v>46100</v>
      </c>
      <c r="C232">
        <v>34.059093475341797</v>
      </c>
    </row>
    <row r="233" spans="1:3" x14ac:dyDescent="0.2">
      <c r="A233" t="s">
        <v>12</v>
      </c>
      <c r="B233" s="2">
        <v>46101</v>
      </c>
      <c r="C233">
        <v>34.287811279296882</v>
      </c>
    </row>
    <row r="234" spans="1:3" x14ac:dyDescent="0.2">
      <c r="A234" t="s">
        <v>12</v>
      </c>
      <c r="B234" s="2">
        <v>46104</v>
      </c>
      <c r="C234">
        <v>33.810489654541023</v>
      </c>
    </row>
    <row r="235" spans="1:3" x14ac:dyDescent="0.2">
      <c r="A235" t="s">
        <v>12</v>
      </c>
      <c r="B235" s="2">
        <v>46105</v>
      </c>
      <c r="C235">
        <v>34.824802398681641</v>
      </c>
    </row>
    <row r="236" spans="1:3" x14ac:dyDescent="0.2">
      <c r="A236" t="s">
        <v>12</v>
      </c>
      <c r="B236" s="2">
        <v>46106</v>
      </c>
      <c r="C236">
        <v>35.650177001953118</v>
      </c>
    </row>
    <row r="237" spans="1:3" x14ac:dyDescent="0.2">
      <c r="A237" t="s">
        <v>12</v>
      </c>
      <c r="B237" s="2">
        <v>46107</v>
      </c>
      <c r="C237">
        <v>35.809284210205078</v>
      </c>
    </row>
    <row r="238" spans="1:3" x14ac:dyDescent="0.2">
      <c r="A238" t="s">
        <v>12</v>
      </c>
      <c r="B238" s="2">
        <v>46108</v>
      </c>
      <c r="C238">
        <v>37.022483825683587</v>
      </c>
    </row>
    <row r="239" spans="1:3" x14ac:dyDescent="0.2">
      <c r="A239" t="s">
        <v>12</v>
      </c>
      <c r="B239" s="2">
        <v>46111</v>
      </c>
      <c r="C239">
        <v>36.823596954345703</v>
      </c>
    </row>
    <row r="240" spans="1:3" x14ac:dyDescent="0.2">
      <c r="A240" t="s">
        <v>12</v>
      </c>
      <c r="B240" s="2">
        <v>46112</v>
      </c>
      <c r="C240">
        <v>36.714210510253913</v>
      </c>
    </row>
    <row r="241" spans="1:3" x14ac:dyDescent="0.2">
      <c r="A241" t="s">
        <v>12</v>
      </c>
      <c r="B241" s="2">
        <v>46113</v>
      </c>
      <c r="C241">
        <v>35.660121917724609</v>
      </c>
    </row>
    <row r="242" spans="1:3" x14ac:dyDescent="0.2">
      <c r="A242" t="s">
        <v>12</v>
      </c>
      <c r="B242" s="2">
        <v>46114</v>
      </c>
      <c r="C242">
        <v>36.724155426025391</v>
      </c>
    </row>
    <row r="243" spans="1:3" x14ac:dyDescent="0.2">
      <c r="A243" t="s">
        <v>12</v>
      </c>
      <c r="B243" s="2">
        <v>46118</v>
      </c>
      <c r="C243">
        <v>37.161705017089837</v>
      </c>
    </row>
    <row r="244" spans="1:3" x14ac:dyDescent="0.2">
      <c r="A244" t="s">
        <v>12</v>
      </c>
      <c r="B244" s="2">
        <v>46119</v>
      </c>
      <c r="C244">
        <v>37.569419860839837</v>
      </c>
    </row>
    <row r="245" spans="1:3" x14ac:dyDescent="0.2">
      <c r="A245" t="s">
        <v>12</v>
      </c>
      <c r="B245" s="2">
        <v>46120</v>
      </c>
      <c r="C245">
        <v>35.739673614501953</v>
      </c>
    </row>
    <row r="246" spans="1:3" x14ac:dyDescent="0.2">
      <c r="A246" t="s">
        <v>12</v>
      </c>
      <c r="B246" s="2">
        <v>46121</v>
      </c>
      <c r="C246">
        <v>35.282238006591797</v>
      </c>
    </row>
    <row r="247" spans="1:3" x14ac:dyDescent="0.2">
      <c r="A247" t="s">
        <v>12</v>
      </c>
      <c r="B247" s="2">
        <v>46122</v>
      </c>
      <c r="C247">
        <v>35.600456237792969</v>
      </c>
    </row>
    <row r="248" spans="1:3" x14ac:dyDescent="0.2">
      <c r="A248" t="s">
        <v>12</v>
      </c>
      <c r="B248" s="2">
        <v>46125</v>
      </c>
      <c r="C248">
        <v>36.087726593017578</v>
      </c>
    </row>
    <row r="249" spans="1:3" x14ac:dyDescent="0.2">
      <c r="A249" t="s">
        <v>12</v>
      </c>
      <c r="B249" s="2">
        <v>46126</v>
      </c>
      <c r="C249">
        <v>35.252407073974609</v>
      </c>
    </row>
    <row r="250" spans="1:3" x14ac:dyDescent="0.2">
      <c r="A250" t="s">
        <v>12</v>
      </c>
      <c r="B250" s="2">
        <v>46127</v>
      </c>
      <c r="C250">
        <v>34.775081634521477</v>
      </c>
    </row>
    <row r="251" spans="1:3" x14ac:dyDescent="0.2">
      <c r="A251" t="s">
        <v>12</v>
      </c>
      <c r="B251" s="2">
        <v>46128</v>
      </c>
      <c r="C251">
        <v>35.302127838134773</v>
      </c>
    </row>
    <row r="252" spans="1:3" x14ac:dyDescent="0.2">
      <c r="A252" t="s">
        <v>12</v>
      </c>
      <c r="B252" s="2">
        <v>46129</v>
      </c>
      <c r="C252">
        <v>33.362995147705078</v>
      </c>
    </row>
    <row r="253" spans="1:3" x14ac:dyDescent="0.2">
      <c r="A253" t="s">
        <v>12</v>
      </c>
      <c r="B253" s="2">
        <v>46132</v>
      </c>
      <c r="C253">
        <v>33.830375671386719</v>
      </c>
    </row>
    <row r="254" spans="1:3" x14ac:dyDescent="0.2">
      <c r="A254" t="s">
        <v>12</v>
      </c>
      <c r="B254" s="2">
        <v>46133</v>
      </c>
      <c r="C254">
        <v>34.804916381835938</v>
      </c>
    </row>
    <row r="255" spans="1:3" x14ac:dyDescent="0.2">
      <c r="A255" t="s">
        <v>12</v>
      </c>
      <c r="B255" s="2">
        <v>46134</v>
      </c>
      <c r="C255">
        <v>35.292186737060547</v>
      </c>
    </row>
    <row r="256" spans="1:3" x14ac:dyDescent="0.2">
      <c r="A256" t="s">
        <v>12</v>
      </c>
      <c r="B256" s="2">
        <v>46135</v>
      </c>
      <c r="C256">
        <v>35.968391418457031</v>
      </c>
    </row>
    <row r="257" spans="1:3" x14ac:dyDescent="0.2">
      <c r="A257" t="s">
        <v>12</v>
      </c>
      <c r="B257" s="2">
        <v>46136</v>
      </c>
      <c r="C257">
        <v>35.749618530273438</v>
      </c>
    </row>
    <row r="258" spans="1:3" x14ac:dyDescent="0.2">
      <c r="A258" t="s">
        <v>12</v>
      </c>
      <c r="B258" s="2">
        <v>46139</v>
      </c>
      <c r="C258">
        <v>36.346275329589837</v>
      </c>
    </row>
    <row r="259" spans="1:3" x14ac:dyDescent="0.2">
      <c r="A259" t="s">
        <v>12</v>
      </c>
      <c r="B259" s="2">
        <v>46140</v>
      </c>
      <c r="C259">
        <v>37.340702056884773</v>
      </c>
    </row>
    <row r="260" spans="1:3" x14ac:dyDescent="0.2">
      <c r="A260" t="s">
        <v>12</v>
      </c>
      <c r="B260" s="2">
        <v>46141</v>
      </c>
      <c r="C260">
        <v>39.150554656982422</v>
      </c>
    </row>
    <row r="261" spans="1:3" x14ac:dyDescent="0.2">
      <c r="A261" t="s">
        <v>12</v>
      </c>
      <c r="B261" s="2">
        <v>46142</v>
      </c>
      <c r="C261">
        <v>39.518497467041023</v>
      </c>
    </row>
    <row r="262" spans="1:3" x14ac:dyDescent="0.2">
      <c r="A262" t="s">
        <v>12</v>
      </c>
      <c r="B262" s="2">
        <v>46143</v>
      </c>
      <c r="C262">
        <v>39.598049163818359</v>
      </c>
    </row>
    <row r="263" spans="1:3" x14ac:dyDescent="0.2">
      <c r="A263" t="s">
        <v>12</v>
      </c>
      <c r="B263" s="2">
        <v>46146</v>
      </c>
      <c r="C263">
        <v>40.562641143798828</v>
      </c>
    </row>
    <row r="264" spans="1:3" x14ac:dyDescent="0.2">
      <c r="A264" t="s">
        <v>12</v>
      </c>
      <c r="B264" s="2">
        <v>46147</v>
      </c>
      <c r="C264">
        <v>41.27862548828125</v>
      </c>
    </row>
    <row r="265" spans="1:3" x14ac:dyDescent="0.2">
      <c r="A265" t="s">
        <v>12</v>
      </c>
      <c r="B265" s="2">
        <v>46148</v>
      </c>
      <c r="C265">
        <v>39.269889831542969</v>
      </c>
    </row>
    <row r="266" spans="1:3" x14ac:dyDescent="0.2">
      <c r="A266" t="s">
        <v>12</v>
      </c>
      <c r="B266" s="2">
        <v>46149</v>
      </c>
      <c r="C266">
        <v>38.623512268066413</v>
      </c>
    </row>
    <row r="267" spans="1:3" x14ac:dyDescent="0.2">
      <c r="A267" t="s">
        <v>12</v>
      </c>
      <c r="B267" s="2">
        <v>46150</v>
      </c>
      <c r="C267">
        <v>38.623512268066413</v>
      </c>
    </row>
    <row r="268" spans="1:3" x14ac:dyDescent="0.2">
      <c r="A268" t="s">
        <v>12</v>
      </c>
      <c r="B268" s="2">
        <v>46153</v>
      </c>
      <c r="C268">
        <v>39.607994079589837</v>
      </c>
    </row>
    <row r="269" spans="1:3" x14ac:dyDescent="0.2">
      <c r="A269" t="s">
        <v>12</v>
      </c>
      <c r="B269" s="2">
        <v>46154</v>
      </c>
      <c r="C269">
        <v>40.860969543457031</v>
      </c>
    </row>
    <row r="270" spans="1:3" x14ac:dyDescent="0.2">
      <c r="A270" t="s">
        <v>12</v>
      </c>
      <c r="B270" s="2">
        <v>46155</v>
      </c>
      <c r="C270">
        <v>40.493034362792969</v>
      </c>
    </row>
    <row r="271" spans="1:3" x14ac:dyDescent="0.2">
      <c r="A271" t="s">
        <v>12</v>
      </c>
      <c r="B271" s="2">
        <v>46156</v>
      </c>
      <c r="C271">
        <v>41.119518280029297</v>
      </c>
    </row>
    <row r="272" spans="1:3" x14ac:dyDescent="0.2">
      <c r="A272" t="s">
        <v>12</v>
      </c>
      <c r="B272" s="2">
        <v>46157</v>
      </c>
      <c r="C272">
        <v>42.173610687255859</v>
      </c>
    </row>
    <row r="273" spans="1:3" x14ac:dyDescent="0.2">
      <c r="A273" t="s">
        <v>12</v>
      </c>
      <c r="B273" s="2">
        <v>46161</v>
      </c>
      <c r="C273">
        <v>43.4564208984375</v>
      </c>
    </row>
    <row r="274" spans="1:3" x14ac:dyDescent="0.2">
      <c r="A274" t="s">
        <v>12</v>
      </c>
      <c r="B274" s="2">
        <v>46162</v>
      </c>
      <c r="C274">
        <v>41.6962890625</v>
      </c>
    </row>
    <row r="275" spans="1:3" x14ac:dyDescent="0.2">
      <c r="A275" t="s">
        <v>12</v>
      </c>
      <c r="B275" s="2">
        <v>46163</v>
      </c>
      <c r="C275">
        <v>41.517292022705078</v>
      </c>
    </row>
    <row r="276" spans="1:3" x14ac:dyDescent="0.2">
      <c r="A276" t="s">
        <v>12</v>
      </c>
      <c r="B276" s="2">
        <v>46164</v>
      </c>
      <c r="C276">
        <v>41.248794555664062</v>
      </c>
    </row>
    <row r="277" spans="1:3" x14ac:dyDescent="0.2">
      <c r="A277" t="s">
        <v>12</v>
      </c>
      <c r="B277" s="2">
        <v>46167</v>
      </c>
      <c r="C277">
        <v>39.558269500732422</v>
      </c>
    </row>
    <row r="278" spans="1:3" x14ac:dyDescent="0.2">
      <c r="A278" t="s">
        <v>12</v>
      </c>
      <c r="B278" s="2">
        <v>46168</v>
      </c>
      <c r="C278">
        <v>39.737266540527337</v>
      </c>
    </row>
    <row r="279" spans="1:3" x14ac:dyDescent="0.2">
      <c r="A279" t="s">
        <v>12</v>
      </c>
      <c r="B279" s="2">
        <v>46169</v>
      </c>
      <c r="C279">
        <v>38.782619476318359</v>
      </c>
    </row>
    <row r="280" spans="1:3" x14ac:dyDescent="0.2">
      <c r="A280" t="s">
        <v>12</v>
      </c>
      <c r="B280" s="2">
        <v>46170</v>
      </c>
      <c r="C280">
        <v>38.384845733642578</v>
      </c>
    </row>
    <row r="281" spans="1:3" x14ac:dyDescent="0.2">
      <c r="A281" t="s">
        <v>12</v>
      </c>
      <c r="B281" s="2">
        <v>46171</v>
      </c>
      <c r="C281">
        <v>37.847858428955078</v>
      </c>
    </row>
    <row r="282" spans="1:3" x14ac:dyDescent="0.2">
      <c r="A282" t="s">
        <v>12</v>
      </c>
      <c r="B282" s="2">
        <v>46174</v>
      </c>
      <c r="C282">
        <v>38.812450408935547</v>
      </c>
    </row>
    <row r="283" spans="1:3" x14ac:dyDescent="0.2">
      <c r="A283" t="s">
        <v>12</v>
      </c>
      <c r="B283" s="2">
        <v>46175</v>
      </c>
      <c r="C283">
        <v>40.274257659912109</v>
      </c>
    </row>
    <row r="284" spans="1:3" x14ac:dyDescent="0.2">
      <c r="A284" t="s">
        <v>12</v>
      </c>
      <c r="B284" s="2">
        <v>46176</v>
      </c>
      <c r="C284">
        <v>40.771472930908203</v>
      </c>
    </row>
    <row r="285" spans="1:3" x14ac:dyDescent="0.2">
      <c r="A285" t="s">
        <v>12</v>
      </c>
      <c r="B285" s="2">
        <v>46177</v>
      </c>
      <c r="C285">
        <v>41.119518280029297</v>
      </c>
    </row>
    <row r="286" spans="1:3" x14ac:dyDescent="0.2">
      <c r="A286" t="s">
        <v>12</v>
      </c>
      <c r="B286" s="2">
        <v>46178</v>
      </c>
      <c r="C286">
        <v>39.190334320068359</v>
      </c>
    </row>
    <row r="287" spans="1:3" x14ac:dyDescent="0.2">
      <c r="A287" t="s">
        <v>12</v>
      </c>
      <c r="B287" s="2">
        <v>46181</v>
      </c>
      <c r="C287">
        <v>39.856601715087891</v>
      </c>
    </row>
    <row r="288" spans="1:3" x14ac:dyDescent="0.2">
      <c r="A288" t="s">
        <v>12</v>
      </c>
      <c r="B288" s="2">
        <v>46182</v>
      </c>
      <c r="C288">
        <v>38.345073699951172</v>
      </c>
    </row>
    <row r="289" spans="1:3" x14ac:dyDescent="0.2">
      <c r="A289" t="s">
        <v>12</v>
      </c>
      <c r="B289" s="2">
        <v>46183</v>
      </c>
      <c r="C289">
        <v>39.399162292480469</v>
      </c>
    </row>
    <row r="290" spans="1:3" x14ac:dyDescent="0.2">
      <c r="A290" t="s">
        <v>12</v>
      </c>
      <c r="B290" s="2">
        <v>46184</v>
      </c>
      <c r="C290">
        <v>39.568218231201172</v>
      </c>
    </row>
    <row r="291" spans="1:3" x14ac:dyDescent="0.2">
      <c r="A291" t="s">
        <v>12</v>
      </c>
      <c r="B291" s="2">
        <v>46185</v>
      </c>
      <c r="C291">
        <v>39.25</v>
      </c>
    </row>
    <row r="292" spans="1:3" x14ac:dyDescent="0.2">
      <c r="A292" t="s">
        <v>12</v>
      </c>
      <c r="B292" s="2">
        <v>46188</v>
      </c>
      <c r="C292">
        <v>37.959999084472663</v>
      </c>
    </row>
    <row r="293" spans="1:3" x14ac:dyDescent="0.2">
      <c r="A293" t="s">
        <v>12</v>
      </c>
      <c r="B293" s="2">
        <v>46189</v>
      </c>
      <c r="C293">
        <v>36.729999542236328</v>
      </c>
    </row>
    <row r="294" spans="1:3" x14ac:dyDescent="0.2">
      <c r="A294" t="s">
        <v>12</v>
      </c>
      <c r="B294" s="2">
        <v>46190</v>
      </c>
      <c r="C294">
        <v>36.110000610351562</v>
      </c>
    </row>
    <row r="295" spans="1:3" x14ac:dyDescent="0.2">
      <c r="A295" t="s">
        <v>12</v>
      </c>
      <c r="B295" s="2">
        <v>46191</v>
      </c>
      <c r="C295">
        <v>35.529998779296882</v>
      </c>
    </row>
    <row r="296" spans="1:3" x14ac:dyDescent="0.2">
      <c r="A296" t="s">
        <v>12</v>
      </c>
      <c r="B296" s="2">
        <v>46192</v>
      </c>
      <c r="C296">
        <v>35.659999847412109</v>
      </c>
    </row>
    <row r="297" spans="1:3" x14ac:dyDescent="0.2">
      <c r="A297" t="s">
        <v>12</v>
      </c>
      <c r="B297" s="2">
        <v>46195</v>
      </c>
      <c r="C297">
        <v>36.330001831054688</v>
      </c>
    </row>
    <row r="298" spans="1:3" x14ac:dyDescent="0.2">
      <c r="A298" t="s">
        <v>12</v>
      </c>
      <c r="B298" s="2">
        <v>46196</v>
      </c>
      <c r="C298">
        <v>36.580001831054688</v>
      </c>
    </row>
    <row r="299" spans="1:3" x14ac:dyDescent="0.2">
      <c r="A299" t="s">
        <v>12</v>
      </c>
      <c r="B299" s="2">
        <v>46197</v>
      </c>
      <c r="C299">
        <v>35.090000152587891</v>
      </c>
    </row>
    <row r="300" spans="1:3" x14ac:dyDescent="0.2">
      <c r="A300" t="s">
        <v>12</v>
      </c>
      <c r="B300" s="2">
        <v>46198</v>
      </c>
      <c r="C300">
        <v>34.959999084472663</v>
      </c>
    </row>
    <row r="301" spans="1:3" x14ac:dyDescent="0.2">
      <c r="A301" t="s">
        <v>12</v>
      </c>
      <c r="B301" s="2">
        <v>46199</v>
      </c>
      <c r="C301">
        <v>35.169998168945312</v>
      </c>
    </row>
    <row r="302" spans="1:3" x14ac:dyDescent="0.2">
      <c r="A302" t="s">
        <v>12</v>
      </c>
      <c r="B302" s="2">
        <v>46202</v>
      </c>
      <c r="C302">
        <v>35.540000915527337</v>
      </c>
    </row>
    <row r="303" spans="1:3" x14ac:dyDescent="0.2">
      <c r="A303" t="s">
        <v>12</v>
      </c>
      <c r="B303" s="2">
        <v>46203</v>
      </c>
      <c r="C303">
        <v>35.189998626708977</v>
      </c>
    </row>
    <row r="304" spans="1:3" x14ac:dyDescent="0.2">
      <c r="A304" t="s">
        <v>12</v>
      </c>
      <c r="B304" s="2">
        <v>46205</v>
      </c>
      <c r="C304">
        <v>34.959999084472663</v>
      </c>
    </row>
    <row r="305" spans="1:3" x14ac:dyDescent="0.2">
      <c r="A305" t="s">
        <v>12</v>
      </c>
      <c r="B305" s="2">
        <v>46206</v>
      </c>
      <c r="C305">
        <v>35.259998321533203</v>
      </c>
    </row>
    <row r="306" spans="1:3" x14ac:dyDescent="0.2">
      <c r="A306" t="s">
        <v>12</v>
      </c>
      <c r="B306" s="2">
        <v>46209</v>
      </c>
      <c r="C306">
        <v>34.580001831054688</v>
      </c>
    </row>
    <row r="307" spans="1:3" x14ac:dyDescent="0.2">
      <c r="A307" t="s">
        <v>12</v>
      </c>
      <c r="B307" s="2">
        <v>46210</v>
      </c>
      <c r="C307">
        <v>35.799999237060547</v>
      </c>
    </row>
    <row r="308" spans="1:3" x14ac:dyDescent="0.2">
      <c r="A308" t="s">
        <v>12</v>
      </c>
      <c r="B308" s="2">
        <v>46211</v>
      </c>
      <c r="C308">
        <v>37.75</v>
      </c>
    </row>
    <row r="309" spans="1:3" x14ac:dyDescent="0.2">
      <c r="A309" t="s">
        <v>12</v>
      </c>
      <c r="B309" s="2">
        <v>46212</v>
      </c>
      <c r="C309">
        <v>36.849998474121087</v>
      </c>
    </row>
    <row r="310" spans="1:3" x14ac:dyDescent="0.2">
      <c r="A310" t="s">
        <v>12</v>
      </c>
      <c r="B310" s="2">
        <v>46213</v>
      </c>
      <c r="C310">
        <v>37.360000610351562</v>
      </c>
    </row>
    <row r="311" spans="1:3" x14ac:dyDescent="0.2">
      <c r="A311" t="s">
        <v>12</v>
      </c>
      <c r="B311" s="2">
        <v>46216</v>
      </c>
      <c r="C311">
        <v>39.119998931884773</v>
      </c>
    </row>
    <row r="312" spans="1:3" x14ac:dyDescent="0.2">
      <c r="A312" t="s">
        <v>12</v>
      </c>
      <c r="B312" s="2">
        <v>46217</v>
      </c>
      <c r="C312">
        <v>38.75</v>
      </c>
    </row>
    <row r="313" spans="1:3" x14ac:dyDescent="0.2">
      <c r="A313" t="s">
        <v>12</v>
      </c>
      <c r="B313" s="2">
        <v>46218</v>
      </c>
      <c r="C313">
        <v>38.470001220703118</v>
      </c>
    </row>
    <row r="314" spans="1:3" x14ac:dyDescent="0.2">
      <c r="A314" t="s">
        <v>12</v>
      </c>
      <c r="B314" s="2">
        <v>46219</v>
      </c>
      <c r="C314">
        <v>38.270000457763672</v>
      </c>
    </row>
    <row r="315" spans="1:3" x14ac:dyDescent="0.2">
      <c r="A315" t="s">
        <v>12</v>
      </c>
      <c r="B315" s="2">
        <v>46220</v>
      </c>
      <c r="C315">
        <v>39.200000762939453</v>
      </c>
    </row>
    <row r="316" spans="1:3" x14ac:dyDescent="0.2">
      <c r="A316" t="s">
        <v>12</v>
      </c>
      <c r="B316" s="2">
        <v>46223</v>
      </c>
      <c r="C316">
        <v>39.790000915527337</v>
      </c>
    </row>
    <row r="317" spans="1:3" x14ac:dyDescent="0.2">
      <c r="A317" t="s">
        <v>12</v>
      </c>
      <c r="B317" s="2">
        <v>46224</v>
      </c>
      <c r="C317">
        <v>40.599998474121087</v>
      </c>
    </row>
    <row r="318" spans="1:3" x14ac:dyDescent="0.2">
      <c r="A318" t="s">
        <v>12</v>
      </c>
      <c r="B318" s="2">
        <v>46225</v>
      </c>
      <c r="C318">
        <v>40.860000610351562</v>
      </c>
    </row>
    <row r="319" spans="1:3" x14ac:dyDescent="0.2">
      <c r="A319" t="s">
        <v>12</v>
      </c>
      <c r="B319" s="2">
        <v>46226</v>
      </c>
      <c r="C319">
        <v>41.869998931884773</v>
      </c>
    </row>
    <row r="320" spans="1:3" x14ac:dyDescent="0.2">
      <c r="A320" t="s">
        <v>12</v>
      </c>
      <c r="B320" s="2">
        <v>46227</v>
      </c>
      <c r="C320">
        <v>41.299999237060547</v>
      </c>
    </row>
    <row r="321" spans="1:3" x14ac:dyDescent="0.2">
      <c r="A321" t="s">
        <v>12</v>
      </c>
      <c r="B321" s="2">
        <v>46230</v>
      </c>
      <c r="C321">
        <v>39.610000610351562</v>
      </c>
    </row>
    <row r="322" spans="1:3" x14ac:dyDescent="0.2">
      <c r="A322" t="s">
        <v>12</v>
      </c>
      <c r="B322" s="2">
        <v>46231</v>
      </c>
      <c r="C322">
        <v>39.060001373291023</v>
      </c>
    </row>
    <row r="323" spans="1:3" x14ac:dyDescent="0.2">
      <c r="A323" t="s">
        <v>12</v>
      </c>
      <c r="B323" s="2">
        <v>46232</v>
      </c>
      <c r="C323">
        <v>40.830001831054688</v>
      </c>
    </row>
    <row r="324" spans="1:3" x14ac:dyDescent="0.2">
      <c r="A324" t="s">
        <v>12</v>
      </c>
      <c r="B324" s="2">
        <v>46233</v>
      </c>
      <c r="C324">
        <v>42.479999542236328</v>
      </c>
    </row>
    <row r="325" spans="1:3" x14ac:dyDescent="0.2">
      <c r="A325" t="s">
        <v>12</v>
      </c>
      <c r="B325" s="2">
        <v>46234</v>
      </c>
      <c r="C325">
        <v>42.270000457763672</v>
      </c>
    </row>
    <row r="326" spans="1:3" x14ac:dyDescent="0.2">
      <c r="A326" t="s">
        <v>12</v>
      </c>
      <c r="B326" s="2">
        <v>46238</v>
      </c>
      <c r="C326">
        <v>40.380001068115227</v>
      </c>
    </row>
    <row r="327" spans="1:3" x14ac:dyDescent="0.2">
      <c r="A327" t="s">
        <v>12</v>
      </c>
      <c r="B327" s="2">
        <v>46239</v>
      </c>
      <c r="C327">
        <v>38.819999694824219</v>
      </c>
    </row>
    <row r="328" spans="1:3" x14ac:dyDescent="0.2">
      <c r="A328" t="s">
        <v>12</v>
      </c>
      <c r="B328" s="2">
        <v>46240</v>
      </c>
      <c r="C328">
        <v>39.610000610351562</v>
      </c>
    </row>
    <row r="329" spans="1:3" x14ac:dyDescent="0.2">
      <c r="A329" t="s">
        <v>12</v>
      </c>
      <c r="B329" s="2">
        <v>46241</v>
      </c>
      <c r="C329">
        <v>39.380001068115227</v>
      </c>
    </row>
    <row r="330" spans="1:3" x14ac:dyDescent="0.2">
      <c r="A330" t="s">
        <v>12</v>
      </c>
      <c r="B330" s="2">
        <v>46244</v>
      </c>
      <c r="C330">
        <v>41.180000305175781</v>
      </c>
    </row>
    <row r="331" spans="1:3" x14ac:dyDescent="0.2">
      <c r="A331" t="s">
        <v>12</v>
      </c>
      <c r="B331" s="2">
        <v>46245</v>
      </c>
      <c r="C331">
        <v>41.560001373291023</v>
      </c>
    </row>
    <row r="332" spans="1:3" x14ac:dyDescent="0.2">
      <c r="A332" t="s">
        <v>12</v>
      </c>
      <c r="B332" s="2">
        <v>46246</v>
      </c>
      <c r="C332">
        <v>42.110000610351562</v>
      </c>
    </row>
    <row r="333" spans="1:3" x14ac:dyDescent="0.2">
      <c r="A333" t="s">
        <v>12</v>
      </c>
      <c r="B333" s="2">
        <v>46247</v>
      </c>
      <c r="C333">
        <v>42.680000305175781</v>
      </c>
    </row>
    <row r="334" spans="1:3" x14ac:dyDescent="0.2">
      <c r="A334" t="s">
        <v>12</v>
      </c>
      <c r="B334" s="2">
        <v>46248</v>
      </c>
      <c r="C334">
        <v>43.110000610351562</v>
      </c>
    </row>
    <row r="335" spans="1:3" x14ac:dyDescent="0.2">
      <c r="A335" t="s">
        <v>12</v>
      </c>
      <c r="B335" s="2">
        <v>46251</v>
      </c>
      <c r="C335">
        <v>44.560001373291023</v>
      </c>
    </row>
    <row r="336" spans="1:3" x14ac:dyDescent="0.2">
      <c r="A336" t="s">
        <v>12</v>
      </c>
      <c r="B336" s="2">
        <v>46252</v>
      </c>
      <c r="C336">
        <v>45.220001220703118</v>
      </c>
    </row>
    <row r="337" spans="1:3" x14ac:dyDescent="0.2">
      <c r="A337" t="s">
        <v>12</v>
      </c>
      <c r="B337" s="2">
        <v>46253</v>
      </c>
      <c r="C337">
        <v>44.830001831054688</v>
      </c>
    </row>
    <row r="338" spans="1:3" x14ac:dyDescent="0.2">
      <c r="A338" t="s">
        <v>12</v>
      </c>
      <c r="B338" s="2">
        <v>46254</v>
      </c>
      <c r="C338">
        <v>44.860000610351562</v>
      </c>
    </row>
    <row r="339" spans="1:3" x14ac:dyDescent="0.2">
      <c r="A339" t="s">
        <v>12</v>
      </c>
      <c r="B339" s="2">
        <v>46255</v>
      </c>
      <c r="C339">
        <v>45.389999389648438</v>
      </c>
    </row>
    <row r="340" spans="1:3" x14ac:dyDescent="0.2">
      <c r="A340" t="s">
        <v>12</v>
      </c>
      <c r="B340" s="2">
        <v>46258</v>
      </c>
      <c r="C340">
        <v>44.569999694824219</v>
      </c>
    </row>
    <row r="341" spans="1:3" x14ac:dyDescent="0.2">
      <c r="A341" t="s">
        <v>12</v>
      </c>
      <c r="B341" s="2">
        <v>46259</v>
      </c>
      <c r="C341">
        <v>42.799999237060547</v>
      </c>
    </row>
    <row r="342" spans="1:3" x14ac:dyDescent="0.2">
      <c r="A342" t="s">
        <v>12</v>
      </c>
      <c r="B342" s="2">
        <v>46260</v>
      </c>
      <c r="C342">
        <v>43.669998168945312</v>
      </c>
    </row>
    <row r="343" spans="1:3" x14ac:dyDescent="0.2">
      <c r="A343" t="s">
        <v>12</v>
      </c>
      <c r="B343" s="2">
        <v>46261</v>
      </c>
      <c r="C343">
        <v>43.939998626708977</v>
      </c>
    </row>
    <row r="344" spans="1:3" x14ac:dyDescent="0.2">
      <c r="A344" t="s">
        <v>12</v>
      </c>
      <c r="B344" s="2">
        <v>46262</v>
      </c>
      <c r="C344">
        <v>43.909999847412109</v>
      </c>
    </row>
    <row r="345" spans="1:3" x14ac:dyDescent="0.2">
      <c r="A345" t="s">
        <v>12</v>
      </c>
      <c r="B345" s="2">
        <v>46265</v>
      </c>
      <c r="C345">
        <v>44.520000457763672</v>
      </c>
    </row>
    <row r="346" spans="1:3" x14ac:dyDescent="0.2">
      <c r="A346" t="s">
        <v>12</v>
      </c>
      <c r="B346" s="2">
        <v>46266</v>
      </c>
      <c r="C346">
        <v>46.090000152587891</v>
      </c>
    </row>
    <row r="347" spans="1:3" x14ac:dyDescent="0.2">
      <c r="A347" t="s">
        <v>12</v>
      </c>
      <c r="B347" s="2">
        <v>46267</v>
      </c>
      <c r="C347">
        <v>45.380001068115227</v>
      </c>
    </row>
    <row r="348" spans="1:3" x14ac:dyDescent="0.2">
      <c r="A348" t="s">
        <v>12</v>
      </c>
      <c r="B348" s="2">
        <v>46268</v>
      </c>
      <c r="C348">
        <v>45.240001678466797</v>
      </c>
    </row>
    <row r="349" spans="1:3" x14ac:dyDescent="0.2">
      <c r="A349" t="s">
        <v>12</v>
      </c>
      <c r="B349" s="2">
        <v>46269</v>
      </c>
      <c r="C349">
        <v>44.830001831054688</v>
      </c>
    </row>
    <row r="350" spans="1:3" x14ac:dyDescent="0.2">
      <c r="A350" t="s">
        <v>12</v>
      </c>
      <c r="B350" s="2">
        <v>46273</v>
      </c>
      <c r="C350">
        <v>45.790000915527337</v>
      </c>
    </row>
    <row r="351" spans="1:3" x14ac:dyDescent="0.2">
      <c r="A351" t="s">
        <v>12</v>
      </c>
      <c r="B351" s="2">
        <v>46274</v>
      </c>
      <c r="C351">
        <v>46.209999084472663</v>
      </c>
    </row>
    <row r="352" spans="1:3" x14ac:dyDescent="0.2">
      <c r="A352" t="s">
        <v>12</v>
      </c>
      <c r="B352" s="2">
        <v>46275</v>
      </c>
      <c r="C352">
        <v>46.159999847412109</v>
      </c>
    </row>
    <row r="353" spans="1:3" x14ac:dyDescent="0.2">
      <c r="A353" t="s">
        <v>12</v>
      </c>
      <c r="B353" s="2">
        <v>46276</v>
      </c>
      <c r="C353">
        <v>45.889999389648438</v>
      </c>
    </row>
    <row r="354" spans="1:3" x14ac:dyDescent="0.2">
      <c r="A354" t="s">
        <v>12</v>
      </c>
      <c r="B354" s="2">
        <v>46279</v>
      </c>
      <c r="C354">
        <v>46.270000457763672</v>
      </c>
    </row>
    <row r="355" spans="1:3" x14ac:dyDescent="0.2">
      <c r="A355" t="s">
        <v>12</v>
      </c>
      <c r="B355" s="2">
        <v>46280</v>
      </c>
      <c r="C355">
        <v>47.040000915527337</v>
      </c>
    </row>
    <row r="356" spans="1:3" x14ac:dyDescent="0.2">
      <c r="A356" t="s">
        <v>13</v>
      </c>
      <c r="B356" s="2">
        <v>46024</v>
      </c>
      <c r="C356">
        <v>61.327056884765618</v>
      </c>
    </row>
    <row r="357" spans="1:3" x14ac:dyDescent="0.2">
      <c r="A357" t="s">
        <v>13</v>
      </c>
      <c r="B357" s="2">
        <v>46027</v>
      </c>
      <c r="C357">
        <v>60.318161010742188</v>
      </c>
    </row>
    <row r="358" spans="1:3" x14ac:dyDescent="0.2">
      <c r="A358" t="s">
        <v>13</v>
      </c>
      <c r="B358" s="2">
        <v>46028</v>
      </c>
      <c r="C358">
        <v>61.199722290039062</v>
      </c>
    </row>
    <row r="359" spans="1:3" x14ac:dyDescent="0.2">
      <c r="A359" t="s">
        <v>13</v>
      </c>
      <c r="B359" s="2">
        <v>46029</v>
      </c>
      <c r="C359">
        <v>61.415214538574219</v>
      </c>
    </row>
    <row r="360" spans="1:3" x14ac:dyDescent="0.2">
      <c r="A360" t="s">
        <v>13</v>
      </c>
      <c r="B360" s="2">
        <v>46030</v>
      </c>
      <c r="C360">
        <v>62.032302856445312</v>
      </c>
    </row>
    <row r="361" spans="1:3" x14ac:dyDescent="0.2">
      <c r="A361" t="s">
        <v>13</v>
      </c>
      <c r="B361" s="2">
        <v>46031</v>
      </c>
      <c r="C361">
        <v>63.668087005615227</v>
      </c>
    </row>
    <row r="362" spans="1:3" x14ac:dyDescent="0.2">
      <c r="A362" t="s">
        <v>13</v>
      </c>
      <c r="B362" s="2">
        <v>46034</v>
      </c>
      <c r="C362">
        <v>63.3056640625</v>
      </c>
    </row>
    <row r="363" spans="1:3" x14ac:dyDescent="0.2">
      <c r="A363" t="s">
        <v>13</v>
      </c>
      <c r="B363" s="2">
        <v>46035</v>
      </c>
      <c r="C363">
        <v>65.323463439941406</v>
      </c>
    </row>
    <row r="364" spans="1:3" x14ac:dyDescent="0.2">
      <c r="A364" t="s">
        <v>13</v>
      </c>
      <c r="B364" s="2">
        <v>46036</v>
      </c>
      <c r="C364">
        <v>67.497970581054688</v>
      </c>
    </row>
    <row r="365" spans="1:3" x14ac:dyDescent="0.2">
      <c r="A365" t="s">
        <v>13</v>
      </c>
      <c r="B365" s="2">
        <v>46037</v>
      </c>
      <c r="C365">
        <v>66.655593872070312</v>
      </c>
    </row>
    <row r="366" spans="1:3" x14ac:dyDescent="0.2">
      <c r="A366" t="s">
        <v>13</v>
      </c>
      <c r="B366" s="2">
        <v>46038</v>
      </c>
      <c r="C366">
        <v>67.693862915039062</v>
      </c>
    </row>
    <row r="367" spans="1:3" x14ac:dyDescent="0.2">
      <c r="A367" t="s">
        <v>13</v>
      </c>
      <c r="B367" s="2">
        <v>46041</v>
      </c>
      <c r="C367">
        <v>68.017105102539062</v>
      </c>
    </row>
    <row r="368" spans="1:3" x14ac:dyDescent="0.2">
      <c r="A368" t="s">
        <v>13</v>
      </c>
      <c r="B368" s="2">
        <v>46042</v>
      </c>
      <c r="C368">
        <v>66.910255432128906</v>
      </c>
    </row>
    <row r="369" spans="1:3" x14ac:dyDescent="0.2">
      <c r="A369" t="s">
        <v>13</v>
      </c>
      <c r="B369" s="2">
        <v>46043</v>
      </c>
      <c r="C369">
        <v>68.399116516113281</v>
      </c>
    </row>
    <row r="370" spans="1:3" x14ac:dyDescent="0.2">
      <c r="A370" t="s">
        <v>13</v>
      </c>
      <c r="B370" s="2">
        <v>46044</v>
      </c>
      <c r="C370">
        <v>67.311859130859375</v>
      </c>
    </row>
    <row r="371" spans="1:3" x14ac:dyDescent="0.2">
      <c r="A371" t="s">
        <v>13</v>
      </c>
      <c r="B371" s="2">
        <v>46045</v>
      </c>
      <c r="C371">
        <v>68.183624267578125</v>
      </c>
    </row>
    <row r="372" spans="1:3" x14ac:dyDescent="0.2">
      <c r="A372" t="s">
        <v>13</v>
      </c>
      <c r="B372" s="2">
        <v>46048</v>
      </c>
      <c r="C372">
        <v>68.692962646484375</v>
      </c>
    </row>
    <row r="373" spans="1:3" x14ac:dyDescent="0.2">
      <c r="A373" t="s">
        <v>13</v>
      </c>
      <c r="B373" s="2">
        <v>46049</v>
      </c>
      <c r="C373">
        <v>69.133750915527344</v>
      </c>
    </row>
    <row r="374" spans="1:3" x14ac:dyDescent="0.2">
      <c r="A374" t="s">
        <v>13</v>
      </c>
      <c r="B374" s="2">
        <v>46050</v>
      </c>
      <c r="C374">
        <v>70.328750610351562</v>
      </c>
    </row>
    <row r="375" spans="1:3" x14ac:dyDescent="0.2">
      <c r="A375" t="s">
        <v>13</v>
      </c>
      <c r="B375" s="2">
        <v>46051</v>
      </c>
      <c r="C375">
        <v>70.808700561523438</v>
      </c>
    </row>
    <row r="376" spans="1:3" x14ac:dyDescent="0.2">
      <c r="A376" t="s">
        <v>13</v>
      </c>
      <c r="B376" s="2">
        <v>46052</v>
      </c>
      <c r="C376">
        <v>70.495269775390625</v>
      </c>
    </row>
    <row r="377" spans="1:3" x14ac:dyDescent="0.2">
      <c r="A377" t="s">
        <v>13</v>
      </c>
      <c r="B377" s="2">
        <v>46055</v>
      </c>
      <c r="C377">
        <v>70.50506591796875</v>
      </c>
    </row>
    <row r="378" spans="1:3" x14ac:dyDescent="0.2">
      <c r="A378" t="s">
        <v>13</v>
      </c>
      <c r="B378" s="2">
        <v>46056</v>
      </c>
      <c r="C378">
        <v>71.357231140136719</v>
      </c>
    </row>
    <row r="379" spans="1:3" x14ac:dyDescent="0.2">
      <c r="A379" t="s">
        <v>13</v>
      </c>
      <c r="B379" s="2">
        <v>46057</v>
      </c>
      <c r="C379">
        <v>70.524650573730469</v>
      </c>
    </row>
    <row r="380" spans="1:3" x14ac:dyDescent="0.2">
      <c r="A380" t="s">
        <v>13</v>
      </c>
      <c r="B380" s="2">
        <v>46058</v>
      </c>
      <c r="C380">
        <v>71.229896545410156</v>
      </c>
    </row>
    <row r="381" spans="1:3" x14ac:dyDescent="0.2">
      <c r="A381" t="s">
        <v>13</v>
      </c>
      <c r="B381" s="2">
        <v>46059</v>
      </c>
      <c r="C381">
        <v>71.954727172851562</v>
      </c>
    </row>
    <row r="382" spans="1:3" x14ac:dyDescent="0.2">
      <c r="A382" t="s">
        <v>13</v>
      </c>
      <c r="B382" s="2">
        <v>46062</v>
      </c>
      <c r="C382">
        <v>72.601211547851562</v>
      </c>
    </row>
    <row r="383" spans="1:3" x14ac:dyDescent="0.2">
      <c r="A383" t="s">
        <v>13</v>
      </c>
      <c r="B383" s="2">
        <v>46063</v>
      </c>
      <c r="C383">
        <v>72.483665466308594</v>
      </c>
    </row>
    <row r="384" spans="1:3" x14ac:dyDescent="0.2">
      <c r="A384" t="s">
        <v>13</v>
      </c>
      <c r="B384" s="2">
        <v>46064</v>
      </c>
      <c r="C384">
        <v>74.334938049316406</v>
      </c>
    </row>
    <row r="385" spans="1:3" x14ac:dyDescent="0.2">
      <c r="A385" t="s">
        <v>13</v>
      </c>
      <c r="B385" s="2">
        <v>46065</v>
      </c>
      <c r="C385">
        <v>73.365226745605469</v>
      </c>
    </row>
    <row r="386" spans="1:3" x14ac:dyDescent="0.2">
      <c r="A386" t="s">
        <v>13</v>
      </c>
      <c r="B386" s="2">
        <v>46066</v>
      </c>
      <c r="C386">
        <v>74.68756103515625</v>
      </c>
    </row>
    <row r="387" spans="1:3" x14ac:dyDescent="0.2">
      <c r="A387" t="s">
        <v>13</v>
      </c>
      <c r="B387" s="2">
        <v>46070</v>
      </c>
      <c r="C387">
        <v>73.659072875976562</v>
      </c>
    </row>
    <row r="388" spans="1:3" x14ac:dyDescent="0.2">
      <c r="A388" t="s">
        <v>13</v>
      </c>
      <c r="B388" s="2">
        <v>46071</v>
      </c>
      <c r="C388">
        <v>74.912857055664062</v>
      </c>
    </row>
    <row r="389" spans="1:3" x14ac:dyDescent="0.2">
      <c r="A389" t="s">
        <v>13</v>
      </c>
      <c r="B389" s="2">
        <v>46072</v>
      </c>
      <c r="C389">
        <v>76.176406860351562</v>
      </c>
    </row>
    <row r="390" spans="1:3" x14ac:dyDescent="0.2">
      <c r="A390" t="s">
        <v>13</v>
      </c>
      <c r="B390" s="2">
        <v>46073</v>
      </c>
      <c r="C390">
        <v>74.667976379394531</v>
      </c>
    </row>
    <row r="391" spans="1:3" x14ac:dyDescent="0.2">
      <c r="A391" t="s">
        <v>13</v>
      </c>
      <c r="B391" s="2">
        <v>46076</v>
      </c>
      <c r="C391">
        <v>75.490753173828125</v>
      </c>
    </row>
    <row r="392" spans="1:3" x14ac:dyDescent="0.2">
      <c r="A392" t="s">
        <v>13</v>
      </c>
      <c r="B392" s="2">
        <v>46077</v>
      </c>
      <c r="C392">
        <v>75.128334045410156</v>
      </c>
    </row>
    <row r="393" spans="1:3" x14ac:dyDescent="0.2">
      <c r="A393" t="s">
        <v>13</v>
      </c>
      <c r="B393" s="2">
        <v>46078</v>
      </c>
      <c r="C393">
        <v>74.648384094238281</v>
      </c>
    </row>
    <row r="394" spans="1:3" x14ac:dyDescent="0.2">
      <c r="A394" t="s">
        <v>13</v>
      </c>
      <c r="B394" s="2">
        <v>46079</v>
      </c>
      <c r="C394">
        <v>74.354537963867188</v>
      </c>
    </row>
    <row r="395" spans="1:3" x14ac:dyDescent="0.2">
      <c r="A395" t="s">
        <v>13</v>
      </c>
      <c r="B395" s="2">
        <v>46080</v>
      </c>
      <c r="C395">
        <v>75.471160888671875</v>
      </c>
    </row>
    <row r="396" spans="1:3" x14ac:dyDescent="0.2">
      <c r="A396" t="s">
        <v>13</v>
      </c>
      <c r="B396" s="2">
        <v>46083</v>
      </c>
      <c r="C396">
        <v>77.430191040039062</v>
      </c>
    </row>
    <row r="397" spans="1:3" x14ac:dyDescent="0.2">
      <c r="A397" t="s">
        <v>13</v>
      </c>
      <c r="B397" s="2">
        <v>46084</v>
      </c>
      <c r="C397">
        <v>76.509445190429688</v>
      </c>
    </row>
    <row r="398" spans="1:3" x14ac:dyDescent="0.2">
      <c r="A398" t="s">
        <v>13</v>
      </c>
      <c r="B398" s="2">
        <v>46085</v>
      </c>
      <c r="C398">
        <v>77.200416564941406</v>
      </c>
    </row>
    <row r="399" spans="1:3" x14ac:dyDescent="0.2">
      <c r="A399" t="s">
        <v>13</v>
      </c>
      <c r="B399" s="2">
        <v>46086</v>
      </c>
      <c r="C399">
        <v>77.723564147949219</v>
      </c>
    </row>
    <row r="400" spans="1:3" x14ac:dyDescent="0.2">
      <c r="A400" t="s">
        <v>13</v>
      </c>
      <c r="B400" s="2">
        <v>46087</v>
      </c>
      <c r="C400">
        <v>76.203445434570312</v>
      </c>
    </row>
    <row r="401" spans="1:3" x14ac:dyDescent="0.2">
      <c r="A401" t="s">
        <v>13</v>
      </c>
      <c r="B401" s="2">
        <v>46090</v>
      </c>
      <c r="C401">
        <v>77.052345275878906</v>
      </c>
    </row>
    <row r="402" spans="1:3" x14ac:dyDescent="0.2">
      <c r="A402" t="s">
        <v>13</v>
      </c>
      <c r="B402" s="2">
        <v>46091</v>
      </c>
      <c r="C402">
        <v>76.7562255859375</v>
      </c>
    </row>
    <row r="403" spans="1:3" x14ac:dyDescent="0.2">
      <c r="A403" t="s">
        <v>13</v>
      </c>
      <c r="B403" s="2">
        <v>46092</v>
      </c>
      <c r="C403">
        <v>78.078926086425781</v>
      </c>
    </row>
    <row r="404" spans="1:3" x14ac:dyDescent="0.2">
      <c r="A404" t="s">
        <v>13</v>
      </c>
      <c r="B404" s="2">
        <v>46093</v>
      </c>
      <c r="C404">
        <v>80.408462524414062</v>
      </c>
    </row>
    <row r="405" spans="1:3" x14ac:dyDescent="0.2">
      <c r="A405" t="s">
        <v>13</v>
      </c>
      <c r="B405" s="2">
        <v>46094</v>
      </c>
      <c r="C405">
        <v>80.773689270019531</v>
      </c>
    </row>
    <row r="406" spans="1:3" x14ac:dyDescent="0.2">
      <c r="A406" t="s">
        <v>13</v>
      </c>
      <c r="B406" s="2">
        <v>46097</v>
      </c>
      <c r="C406">
        <v>81.859489440917969</v>
      </c>
    </row>
    <row r="407" spans="1:3" x14ac:dyDescent="0.2">
      <c r="A407" t="s">
        <v>13</v>
      </c>
      <c r="B407" s="2">
        <v>46098</v>
      </c>
      <c r="C407">
        <v>83.024253845214844</v>
      </c>
    </row>
    <row r="408" spans="1:3" x14ac:dyDescent="0.2">
      <c r="A408" t="s">
        <v>13</v>
      </c>
      <c r="B408" s="2">
        <v>46099</v>
      </c>
      <c r="C408">
        <v>84.031082153320312</v>
      </c>
    </row>
    <row r="409" spans="1:3" x14ac:dyDescent="0.2">
      <c r="A409" t="s">
        <v>13</v>
      </c>
      <c r="B409" s="2">
        <v>46100</v>
      </c>
      <c r="C409">
        <v>85.886817932128906</v>
      </c>
    </row>
    <row r="410" spans="1:3" x14ac:dyDescent="0.2">
      <c r="A410" t="s">
        <v>13</v>
      </c>
      <c r="B410" s="2">
        <v>46101</v>
      </c>
      <c r="C410">
        <v>86.360618591308594</v>
      </c>
    </row>
    <row r="411" spans="1:3" x14ac:dyDescent="0.2">
      <c r="A411" t="s">
        <v>13</v>
      </c>
      <c r="B411" s="2">
        <v>46104</v>
      </c>
      <c r="C411">
        <v>85.580810546875</v>
      </c>
    </row>
    <row r="412" spans="1:3" x14ac:dyDescent="0.2">
      <c r="A412" t="s">
        <v>13</v>
      </c>
      <c r="B412" s="2">
        <v>46105</v>
      </c>
      <c r="C412">
        <v>87.091064453125</v>
      </c>
    </row>
    <row r="413" spans="1:3" x14ac:dyDescent="0.2">
      <c r="A413" t="s">
        <v>13</v>
      </c>
      <c r="B413" s="2">
        <v>46106</v>
      </c>
      <c r="C413">
        <v>88.265708923339844</v>
      </c>
    </row>
    <row r="414" spans="1:3" x14ac:dyDescent="0.2">
      <c r="A414" t="s">
        <v>13</v>
      </c>
      <c r="B414" s="2">
        <v>46107</v>
      </c>
      <c r="C414">
        <v>88.897445678710938</v>
      </c>
    </row>
    <row r="415" spans="1:3" x14ac:dyDescent="0.2">
      <c r="A415" t="s">
        <v>13</v>
      </c>
      <c r="B415" s="2">
        <v>46108</v>
      </c>
      <c r="C415">
        <v>91.305946350097656</v>
      </c>
    </row>
    <row r="416" spans="1:3" x14ac:dyDescent="0.2">
      <c r="A416" t="s">
        <v>13</v>
      </c>
      <c r="B416" s="2">
        <v>46111</v>
      </c>
      <c r="C416">
        <v>90.753181457519531</v>
      </c>
    </row>
    <row r="417" spans="1:3" x14ac:dyDescent="0.2">
      <c r="A417" t="s">
        <v>13</v>
      </c>
      <c r="B417" s="2">
        <v>46112</v>
      </c>
      <c r="C417">
        <v>90.822273254394531</v>
      </c>
    </row>
    <row r="418" spans="1:3" x14ac:dyDescent="0.2">
      <c r="A418" t="s">
        <v>13</v>
      </c>
      <c r="B418" s="2">
        <v>46113</v>
      </c>
      <c r="C418">
        <v>89.124473571777344</v>
      </c>
    </row>
    <row r="419" spans="1:3" x14ac:dyDescent="0.2">
      <c r="A419" t="s">
        <v>13</v>
      </c>
      <c r="B419" s="2">
        <v>46114</v>
      </c>
      <c r="C419">
        <v>90.536018371582031</v>
      </c>
    </row>
    <row r="420" spans="1:3" x14ac:dyDescent="0.2">
      <c r="A420" t="s">
        <v>13</v>
      </c>
      <c r="B420" s="2">
        <v>46118</v>
      </c>
      <c r="C420">
        <v>90.674209594726562</v>
      </c>
    </row>
    <row r="421" spans="1:3" x14ac:dyDescent="0.2">
      <c r="A421" t="s">
        <v>13</v>
      </c>
      <c r="B421" s="2">
        <v>46119</v>
      </c>
      <c r="C421">
        <v>91.592208862304688</v>
      </c>
    </row>
    <row r="422" spans="1:3" x14ac:dyDescent="0.2">
      <c r="A422" t="s">
        <v>13</v>
      </c>
      <c r="B422" s="2">
        <v>46120</v>
      </c>
      <c r="C422">
        <v>88.088027954101562</v>
      </c>
    </row>
    <row r="423" spans="1:3" x14ac:dyDescent="0.2">
      <c r="A423" t="s">
        <v>13</v>
      </c>
      <c r="B423" s="2">
        <v>46121</v>
      </c>
      <c r="C423">
        <v>86.5185546875</v>
      </c>
    </row>
    <row r="424" spans="1:3" x14ac:dyDescent="0.2">
      <c r="A424" t="s">
        <v>13</v>
      </c>
      <c r="B424" s="2">
        <v>46122</v>
      </c>
      <c r="C424">
        <v>88.137382507324219</v>
      </c>
    </row>
    <row r="425" spans="1:3" x14ac:dyDescent="0.2">
      <c r="A425" t="s">
        <v>13</v>
      </c>
      <c r="B425" s="2">
        <v>46125</v>
      </c>
      <c r="C425">
        <v>88.255836486816406</v>
      </c>
    </row>
    <row r="426" spans="1:3" x14ac:dyDescent="0.2">
      <c r="A426" t="s">
        <v>13</v>
      </c>
      <c r="B426" s="2">
        <v>46126</v>
      </c>
      <c r="C426">
        <v>86.429710388183594</v>
      </c>
    </row>
    <row r="427" spans="1:3" x14ac:dyDescent="0.2">
      <c r="A427" t="s">
        <v>13</v>
      </c>
      <c r="B427" s="2">
        <v>46127</v>
      </c>
      <c r="C427">
        <v>85.195854187011719</v>
      </c>
    </row>
    <row r="428" spans="1:3" x14ac:dyDescent="0.2">
      <c r="A428" t="s">
        <v>13</v>
      </c>
      <c r="B428" s="2">
        <v>46128</v>
      </c>
      <c r="C428">
        <v>86.242172241210938</v>
      </c>
    </row>
    <row r="429" spans="1:3" x14ac:dyDescent="0.2">
      <c r="A429" t="s">
        <v>13</v>
      </c>
      <c r="B429" s="2">
        <v>46129</v>
      </c>
      <c r="C429">
        <v>82.609672546386719</v>
      </c>
    </row>
    <row r="430" spans="1:3" x14ac:dyDescent="0.2">
      <c r="A430" t="s">
        <v>13</v>
      </c>
      <c r="B430" s="2">
        <v>46132</v>
      </c>
      <c r="C430">
        <v>83.024253845214844</v>
      </c>
    </row>
    <row r="431" spans="1:3" x14ac:dyDescent="0.2">
      <c r="A431" t="s">
        <v>13</v>
      </c>
      <c r="B431" s="2">
        <v>46133</v>
      </c>
      <c r="C431">
        <v>84.623344421386719</v>
      </c>
    </row>
    <row r="432" spans="1:3" x14ac:dyDescent="0.2">
      <c r="A432" t="s">
        <v>13</v>
      </c>
      <c r="B432" s="2">
        <v>46134</v>
      </c>
      <c r="C432">
        <v>85.600563049316406</v>
      </c>
    </row>
    <row r="433" spans="1:3" x14ac:dyDescent="0.2">
      <c r="A433" t="s">
        <v>13</v>
      </c>
      <c r="B433" s="2">
        <v>46135</v>
      </c>
      <c r="C433">
        <v>87.337844848632812</v>
      </c>
    </row>
    <row r="434" spans="1:3" x14ac:dyDescent="0.2">
      <c r="A434" t="s">
        <v>13</v>
      </c>
      <c r="B434" s="2">
        <v>46136</v>
      </c>
      <c r="C434">
        <v>86.429710388183594</v>
      </c>
    </row>
    <row r="435" spans="1:3" x14ac:dyDescent="0.2">
      <c r="A435" t="s">
        <v>13</v>
      </c>
      <c r="B435" s="2">
        <v>46139</v>
      </c>
      <c r="C435">
        <v>86.775199890136719</v>
      </c>
    </row>
    <row r="436" spans="1:3" x14ac:dyDescent="0.2">
      <c r="A436" t="s">
        <v>13</v>
      </c>
      <c r="B436" s="2">
        <v>46140</v>
      </c>
      <c r="C436">
        <v>87.979446411132812</v>
      </c>
    </row>
    <row r="437" spans="1:3" x14ac:dyDescent="0.2">
      <c r="A437" t="s">
        <v>13</v>
      </c>
      <c r="B437" s="2">
        <v>46141</v>
      </c>
      <c r="C437">
        <v>90.624855041503906</v>
      </c>
    </row>
    <row r="438" spans="1:3" x14ac:dyDescent="0.2">
      <c r="A438" t="s">
        <v>13</v>
      </c>
      <c r="B438" s="2">
        <v>46142</v>
      </c>
      <c r="C438">
        <v>91.878456115722656</v>
      </c>
    </row>
    <row r="439" spans="1:3" x14ac:dyDescent="0.2">
      <c r="A439" t="s">
        <v>13</v>
      </c>
      <c r="B439" s="2">
        <v>46143</v>
      </c>
      <c r="C439">
        <v>90.644599914550781</v>
      </c>
    </row>
    <row r="440" spans="1:3" x14ac:dyDescent="0.2">
      <c r="A440" t="s">
        <v>13</v>
      </c>
      <c r="B440" s="2">
        <v>46146</v>
      </c>
      <c r="C440">
        <v>92.095626831054688</v>
      </c>
    </row>
    <row r="441" spans="1:3" x14ac:dyDescent="0.2">
      <c r="A441" t="s">
        <v>13</v>
      </c>
      <c r="B441" s="2">
        <v>46147</v>
      </c>
      <c r="C441">
        <v>93.823036193847656</v>
      </c>
    </row>
    <row r="442" spans="1:3" x14ac:dyDescent="0.2">
      <c r="A442" t="s">
        <v>13</v>
      </c>
      <c r="B442" s="2">
        <v>46148</v>
      </c>
      <c r="C442">
        <v>86.775199890136719</v>
      </c>
    </row>
    <row r="443" spans="1:3" x14ac:dyDescent="0.2">
      <c r="A443" t="s">
        <v>13</v>
      </c>
      <c r="B443" s="2">
        <v>46149</v>
      </c>
      <c r="C443">
        <v>85.926300048828125</v>
      </c>
    </row>
    <row r="444" spans="1:3" x14ac:dyDescent="0.2">
      <c r="A444" t="s">
        <v>13</v>
      </c>
      <c r="B444" s="2">
        <v>46150</v>
      </c>
      <c r="C444">
        <v>86.449455261230469</v>
      </c>
    </row>
    <row r="445" spans="1:3" x14ac:dyDescent="0.2">
      <c r="A445" t="s">
        <v>13</v>
      </c>
      <c r="B445" s="2">
        <v>46153</v>
      </c>
      <c r="C445">
        <v>87.930099487304688</v>
      </c>
    </row>
    <row r="446" spans="1:3" x14ac:dyDescent="0.2">
      <c r="A446" t="s">
        <v>13</v>
      </c>
      <c r="B446" s="2">
        <v>46154</v>
      </c>
      <c r="C446">
        <v>89.973373413085938</v>
      </c>
    </row>
    <row r="447" spans="1:3" x14ac:dyDescent="0.2">
      <c r="A447" t="s">
        <v>13</v>
      </c>
      <c r="B447" s="2">
        <v>46155</v>
      </c>
      <c r="C447">
        <v>89.430473327636719</v>
      </c>
    </row>
    <row r="448" spans="1:3" x14ac:dyDescent="0.2">
      <c r="A448" t="s">
        <v>13</v>
      </c>
      <c r="B448" s="2">
        <v>46156</v>
      </c>
      <c r="C448">
        <v>90.506401062011719</v>
      </c>
    </row>
    <row r="449" spans="1:3" x14ac:dyDescent="0.2">
      <c r="A449" t="s">
        <v>13</v>
      </c>
      <c r="B449" s="2">
        <v>46157</v>
      </c>
      <c r="C449">
        <v>92.776710510253906</v>
      </c>
    </row>
    <row r="450" spans="1:3" x14ac:dyDescent="0.2">
      <c r="A450" t="s">
        <v>13</v>
      </c>
      <c r="B450" s="2">
        <v>46161</v>
      </c>
      <c r="C450">
        <v>94.573219299316406</v>
      </c>
    </row>
    <row r="451" spans="1:3" x14ac:dyDescent="0.2">
      <c r="A451" t="s">
        <v>13</v>
      </c>
      <c r="B451" s="2">
        <v>46162</v>
      </c>
      <c r="C451">
        <v>92.095626831054688</v>
      </c>
    </row>
    <row r="452" spans="1:3" x14ac:dyDescent="0.2">
      <c r="A452" t="s">
        <v>13</v>
      </c>
      <c r="B452" s="2">
        <v>46163</v>
      </c>
      <c r="C452">
        <v>92.15484619140625</v>
      </c>
    </row>
    <row r="453" spans="1:3" x14ac:dyDescent="0.2">
      <c r="A453" t="s">
        <v>13</v>
      </c>
      <c r="B453" s="2">
        <v>46164</v>
      </c>
      <c r="C453">
        <v>91.819229125976562</v>
      </c>
    </row>
    <row r="454" spans="1:3" x14ac:dyDescent="0.2">
      <c r="A454" t="s">
        <v>13</v>
      </c>
      <c r="B454" s="2">
        <v>46167</v>
      </c>
      <c r="C454">
        <v>89.104728698730469</v>
      </c>
    </row>
    <row r="455" spans="1:3" x14ac:dyDescent="0.2">
      <c r="A455" t="s">
        <v>13</v>
      </c>
      <c r="B455" s="2">
        <v>46168</v>
      </c>
      <c r="C455">
        <v>89.390983581542969</v>
      </c>
    </row>
    <row r="456" spans="1:3" x14ac:dyDescent="0.2">
      <c r="A456" t="s">
        <v>13</v>
      </c>
      <c r="B456" s="2">
        <v>46169</v>
      </c>
      <c r="C456">
        <v>87.357574462890625</v>
      </c>
    </row>
    <row r="457" spans="1:3" x14ac:dyDescent="0.2">
      <c r="A457" t="s">
        <v>13</v>
      </c>
      <c r="B457" s="2">
        <v>46170</v>
      </c>
      <c r="C457">
        <v>86.133590698242188</v>
      </c>
    </row>
    <row r="458" spans="1:3" x14ac:dyDescent="0.2">
      <c r="A458" t="s">
        <v>13</v>
      </c>
      <c r="B458" s="2">
        <v>46171</v>
      </c>
      <c r="C458">
        <v>85.057662963867188</v>
      </c>
    </row>
    <row r="459" spans="1:3" x14ac:dyDescent="0.2">
      <c r="A459" t="s">
        <v>13</v>
      </c>
      <c r="B459" s="2">
        <v>46174</v>
      </c>
      <c r="C459">
        <v>87.110809326171875</v>
      </c>
    </row>
    <row r="460" spans="1:3" x14ac:dyDescent="0.2">
      <c r="A460" t="s">
        <v>13</v>
      </c>
      <c r="B460" s="2">
        <v>46175</v>
      </c>
      <c r="C460">
        <v>89.203445434570312</v>
      </c>
    </row>
    <row r="461" spans="1:3" x14ac:dyDescent="0.2">
      <c r="A461" t="s">
        <v>13</v>
      </c>
      <c r="B461" s="2">
        <v>46176</v>
      </c>
      <c r="C461">
        <v>89.983253479003906</v>
      </c>
    </row>
    <row r="462" spans="1:3" x14ac:dyDescent="0.2">
      <c r="A462" t="s">
        <v>13</v>
      </c>
      <c r="B462" s="2">
        <v>46177</v>
      </c>
      <c r="C462">
        <v>90.430381774902344</v>
      </c>
    </row>
    <row r="463" spans="1:3" x14ac:dyDescent="0.2">
      <c r="A463" t="s">
        <v>13</v>
      </c>
      <c r="B463" s="2">
        <v>46178</v>
      </c>
      <c r="C463">
        <v>86.296875</v>
      </c>
    </row>
    <row r="464" spans="1:3" x14ac:dyDescent="0.2">
      <c r="A464" t="s">
        <v>13</v>
      </c>
      <c r="B464" s="2">
        <v>46181</v>
      </c>
      <c r="C464">
        <v>87.568717956542969</v>
      </c>
    </row>
    <row r="465" spans="1:3" x14ac:dyDescent="0.2">
      <c r="A465" t="s">
        <v>13</v>
      </c>
      <c r="B465" s="2">
        <v>46182</v>
      </c>
      <c r="C465">
        <v>84.776618957519531</v>
      </c>
    </row>
    <row r="466" spans="1:3" x14ac:dyDescent="0.2">
      <c r="A466" t="s">
        <v>13</v>
      </c>
      <c r="B466" s="2">
        <v>46183</v>
      </c>
      <c r="C466">
        <v>86.108085632324219</v>
      </c>
    </row>
    <row r="467" spans="1:3" x14ac:dyDescent="0.2">
      <c r="A467" t="s">
        <v>13</v>
      </c>
      <c r="B467" s="2">
        <v>46184</v>
      </c>
      <c r="C467">
        <v>85.790115356445312</v>
      </c>
    </row>
    <row r="468" spans="1:3" x14ac:dyDescent="0.2">
      <c r="A468" t="s">
        <v>13</v>
      </c>
      <c r="B468" s="2">
        <v>46185</v>
      </c>
      <c r="C468">
        <v>85.462226867675781</v>
      </c>
    </row>
    <row r="469" spans="1:3" x14ac:dyDescent="0.2">
      <c r="A469" t="s">
        <v>13</v>
      </c>
      <c r="B469" s="2">
        <v>46188</v>
      </c>
      <c r="C469">
        <v>82.858909606933594</v>
      </c>
    </row>
    <row r="470" spans="1:3" x14ac:dyDescent="0.2">
      <c r="A470" t="s">
        <v>13</v>
      </c>
      <c r="B470" s="2">
        <v>46189</v>
      </c>
      <c r="C470">
        <v>80.901451110839844</v>
      </c>
    </row>
    <row r="471" spans="1:3" x14ac:dyDescent="0.2">
      <c r="A471" t="s">
        <v>13</v>
      </c>
      <c r="B471" s="2">
        <v>46190</v>
      </c>
      <c r="C471">
        <v>78.884384155273438</v>
      </c>
    </row>
    <row r="472" spans="1:3" x14ac:dyDescent="0.2">
      <c r="A472" t="s">
        <v>13</v>
      </c>
      <c r="B472" s="2">
        <v>46191</v>
      </c>
      <c r="C472">
        <v>77.682090759277344</v>
      </c>
    </row>
    <row r="473" spans="1:3" x14ac:dyDescent="0.2">
      <c r="A473" t="s">
        <v>13</v>
      </c>
      <c r="B473" s="2">
        <v>46192</v>
      </c>
      <c r="C473">
        <v>77.821197509765625</v>
      </c>
    </row>
    <row r="474" spans="1:3" x14ac:dyDescent="0.2">
      <c r="A474" t="s">
        <v>13</v>
      </c>
      <c r="B474" s="2">
        <v>46195</v>
      </c>
      <c r="C474">
        <v>78.963874816894531</v>
      </c>
    </row>
    <row r="475" spans="1:3" x14ac:dyDescent="0.2">
      <c r="A475" t="s">
        <v>13</v>
      </c>
      <c r="B475" s="2">
        <v>46196</v>
      </c>
      <c r="C475">
        <v>79.768714904785156</v>
      </c>
    </row>
    <row r="476" spans="1:3" x14ac:dyDescent="0.2">
      <c r="A476" t="s">
        <v>13</v>
      </c>
      <c r="B476" s="2">
        <v>46197</v>
      </c>
      <c r="C476">
        <v>77.056106567382812</v>
      </c>
    </row>
    <row r="477" spans="1:3" x14ac:dyDescent="0.2">
      <c r="A477" t="s">
        <v>13</v>
      </c>
      <c r="B477" s="2">
        <v>46198</v>
      </c>
      <c r="C477">
        <v>76.608970642089844</v>
      </c>
    </row>
    <row r="478" spans="1:3" x14ac:dyDescent="0.2">
      <c r="A478" t="s">
        <v>13</v>
      </c>
      <c r="B478" s="2">
        <v>46199</v>
      </c>
      <c r="C478">
        <v>75.9432373046875</v>
      </c>
    </row>
    <row r="479" spans="1:3" x14ac:dyDescent="0.2">
      <c r="A479" t="s">
        <v>13</v>
      </c>
      <c r="B479" s="2">
        <v>46202</v>
      </c>
      <c r="C479">
        <v>75.9432373046875</v>
      </c>
    </row>
    <row r="480" spans="1:3" x14ac:dyDescent="0.2">
      <c r="A480" t="s">
        <v>13</v>
      </c>
      <c r="B480" s="2">
        <v>46203</v>
      </c>
      <c r="C480">
        <v>75.814064025878906</v>
      </c>
    </row>
    <row r="481" spans="1:3" x14ac:dyDescent="0.2">
      <c r="A481" t="s">
        <v>13</v>
      </c>
      <c r="B481" s="2">
        <v>46205</v>
      </c>
      <c r="C481">
        <v>77.513175964355469</v>
      </c>
    </row>
    <row r="482" spans="1:3" x14ac:dyDescent="0.2">
      <c r="A482" t="s">
        <v>13</v>
      </c>
      <c r="B482" s="2">
        <v>46206</v>
      </c>
      <c r="C482">
        <v>77.612533569335938</v>
      </c>
    </row>
    <row r="483" spans="1:3" x14ac:dyDescent="0.2">
      <c r="A483" t="s">
        <v>13</v>
      </c>
      <c r="B483" s="2">
        <v>46209</v>
      </c>
      <c r="C483">
        <v>77.523109436035156</v>
      </c>
    </row>
    <row r="484" spans="1:3" x14ac:dyDescent="0.2">
      <c r="A484" t="s">
        <v>13</v>
      </c>
      <c r="B484" s="2">
        <v>46210</v>
      </c>
      <c r="C484">
        <v>79.977378845214844</v>
      </c>
    </row>
    <row r="485" spans="1:3" x14ac:dyDescent="0.2">
      <c r="A485" t="s">
        <v>13</v>
      </c>
      <c r="B485" s="2">
        <v>46211</v>
      </c>
      <c r="C485">
        <v>83.097381591796875</v>
      </c>
    </row>
    <row r="486" spans="1:3" x14ac:dyDescent="0.2">
      <c r="A486" t="s">
        <v>13</v>
      </c>
      <c r="B486" s="2">
        <v>46212</v>
      </c>
      <c r="C486">
        <v>82.441581726074219</v>
      </c>
    </row>
    <row r="487" spans="1:3" x14ac:dyDescent="0.2">
      <c r="A487" t="s">
        <v>13</v>
      </c>
      <c r="B487" s="2">
        <v>46213</v>
      </c>
      <c r="C487">
        <v>83.286170959472656</v>
      </c>
    </row>
    <row r="488" spans="1:3" x14ac:dyDescent="0.2">
      <c r="A488" t="s">
        <v>13</v>
      </c>
      <c r="B488" s="2">
        <v>46216</v>
      </c>
      <c r="C488">
        <v>86.217376708984375</v>
      </c>
    </row>
    <row r="489" spans="1:3" x14ac:dyDescent="0.2">
      <c r="A489" t="s">
        <v>13</v>
      </c>
      <c r="B489" s="2">
        <v>46217</v>
      </c>
      <c r="C489">
        <v>85.352928161621094</v>
      </c>
    </row>
    <row r="490" spans="1:3" x14ac:dyDescent="0.2">
      <c r="A490" t="s">
        <v>13</v>
      </c>
      <c r="B490" s="2">
        <v>46218</v>
      </c>
      <c r="C490">
        <v>84.697128295898438</v>
      </c>
    </row>
    <row r="491" spans="1:3" x14ac:dyDescent="0.2">
      <c r="A491" t="s">
        <v>13</v>
      </c>
      <c r="B491" s="2">
        <v>46219</v>
      </c>
      <c r="C491">
        <v>84.746810913085938</v>
      </c>
    </row>
    <row r="492" spans="1:3" x14ac:dyDescent="0.2">
      <c r="A492" t="s">
        <v>13</v>
      </c>
      <c r="B492" s="2">
        <v>46220</v>
      </c>
      <c r="C492">
        <v>86.972541809082031</v>
      </c>
    </row>
    <row r="493" spans="1:3" x14ac:dyDescent="0.2">
      <c r="A493" t="s">
        <v>13</v>
      </c>
      <c r="B493" s="2">
        <v>46223</v>
      </c>
      <c r="C493">
        <v>87.052032470703125</v>
      </c>
    </row>
    <row r="494" spans="1:3" x14ac:dyDescent="0.2">
      <c r="A494" t="s">
        <v>13</v>
      </c>
      <c r="B494" s="2">
        <v>46224</v>
      </c>
      <c r="C494">
        <v>89.267829895019531</v>
      </c>
    </row>
    <row r="495" spans="1:3" x14ac:dyDescent="0.2">
      <c r="A495" t="s">
        <v>13</v>
      </c>
      <c r="B495" s="2">
        <v>46225</v>
      </c>
      <c r="C495">
        <v>90.639045715332031</v>
      </c>
    </row>
    <row r="496" spans="1:3" x14ac:dyDescent="0.2">
      <c r="A496" t="s">
        <v>13</v>
      </c>
      <c r="B496" s="2">
        <v>46226</v>
      </c>
      <c r="C496">
        <v>92.884651184082031</v>
      </c>
    </row>
    <row r="497" spans="1:3" x14ac:dyDescent="0.2">
      <c r="A497" t="s">
        <v>13</v>
      </c>
      <c r="B497" s="2">
        <v>46227</v>
      </c>
      <c r="C497">
        <v>92.258659362792969</v>
      </c>
    </row>
    <row r="498" spans="1:3" x14ac:dyDescent="0.2">
      <c r="A498" t="s">
        <v>13</v>
      </c>
      <c r="B498" s="2">
        <v>46230</v>
      </c>
      <c r="C498">
        <v>89.893821716308594</v>
      </c>
    </row>
    <row r="499" spans="1:3" x14ac:dyDescent="0.2">
      <c r="A499" t="s">
        <v>13</v>
      </c>
      <c r="B499" s="2">
        <v>46231</v>
      </c>
      <c r="C499">
        <v>89.665283203125</v>
      </c>
    </row>
    <row r="500" spans="1:3" x14ac:dyDescent="0.2">
      <c r="A500" t="s">
        <v>13</v>
      </c>
      <c r="B500" s="2">
        <v>46232</v>
      </c>
      <c r="C500">
        <v>91.970504760742188</v>
      </c>
    </row>
    <row r="501" spans="1:3" x14ac:dyDescent="0.2">
      <c r="A501" t="s">
        <v>13</v>
      </c>
      <c r="B501" s="2">
        <v>46233</v>
      </c>
      <c r="C501">
        <v>92.934326171875</v>
      </c>
    </row>
    <row r="502" spans="1:3" x14ac:dyDescent="0.2">
      <c r="A502" t="s">
        <v>13</v>
      </c>
      <c r="B502" s="2">
        <v>46234</v>
      </c>
      <c r="C502">
        <v>93.540443420410156</v>
      </c>
    </row>
    <row r="503" spans="1:3" x14ac:dyDescent="0.2">
      <c r="A503" t="s">
        <v>13</v>
      </c>
      <c r="B503" s="2">
        <v>46238</v>
      </c>
      <c r="C503">
        <v>90.211784362792969</v>
      </c>
    </row>
    <row r="504" spans="1:3" x14ac:dyDescent="0.2">
      <c r="A504" t="s">
        <v>13</v>
      </c>
      <c r="B504" s="2">
        <v>46239</v>
      </c>
      <c r="C504">
        <v>87.558784484863281</v>
      </c>
    </row>
    <row r="505" spans="1:3" x14ac:dyDescent="0.2">
      <c r="A505" t="s">
        <v>13</v>
      </c>
      <c r="B505" s="2">
        <v>46240</v>
      </c>
      <c r="C505">
        <v>85.492034912109375</v>
      </c>
    </row>
    <row r="506" spans="1:3" x14ac:dyDescent="0.2">
      <c r="A506" t="s">
        <v>13</v>
      </c>
      <c r="B506" s="2">
        <v>46241</v>
      </c>
      <c r="C506">
        <v>83.296112060546875</v>
      </c>
    </row>
    <row r="507" spans="1:3" x14ac:dyDescent="0.2">
      <c r="A507" t="s">
        <v>13</v>
      </c>
      <c r="B507" s="2">
        <v>46244</v>
      </c>
      <c r="C507">
        <v>86.922866821289062</v>
      </c>
    </row>
    <row r="508" spans="1:3" x14ac:dyDescent="0.2">
      <c r="A508" t="s">
        <v>13</v>
      </c>
      <c r="B508" s="2">
        <v>46245</v>
      </c>
      <c r="C508">
        <v>87.687957763671875</v>
      </c>
    </row>
    <row r="509" spans="1:3" x14ac:dyDescent="0.2">
      <c r="A509" t="s">
        <v>13</v>
      </c>
      <c r="B509" s="2">
        <v>46246</v>
      </c>
      <c r="C509">
        <v>88.552421569824219</v>
      </c>
    </row>
    <row r="510" spans="1:3" x14ac:dyDescent="0.2">
      <c r="A510" t="s">
        <v>13</v>
      </c>
      <c r="B510" s="2">
        <v>46247</v>
      </c>
      <c r="C510">
        <v>90.648979187011719</v>
      </c>
    </row>
    <row r="511" spans="1:3" x14ac:dyDescent="0.2">
      <c r="A511" t="s">
        <v>13</v>
      </c>
      <c r="B511" s="2">
        <v>46248</v>
      </c>
      <c r="C511">
        <v>90.857643127441406</v>
      </c>
    </row>
    <row r="512" spans="1:3" x14ac:dyDescent="0.2">
      <c r="A512" t="s">
        <v>13</v>
      </c>
      <c r="B512" s="2">
        <v>46251</v>
      </c>
      <c r="C512">
        <v>92.000312805175781</v>
      </c>
    </row>
    <row r="513" spans="1:3" x14ac:dyDescent="0.2">
      <c r="A513" t="s">
        <v>13</v>
      </c>
      <c r="B513" s="2">
        <v>46252</v>
      </c>
      <c r="C513">
        <v>93.610000610351562</v>
      </c>
    </row>
    <row r="514" spans="1:3" x14ac:dyDescent="0.2">
      <c r="A514" t="s">
        <v>13</v>
      </c>
      <c r="B514" s="2">
        <v>46253</v>
      </c>
      <c r="C514">
        <v>92.705795288085938</v>
      </c>
    </row>
    <row r="515" spans="1:3" x14ac:dyDescent="0.2">
      <c r="A515" t="s">
        <v>13</v>
      </c>
      <c r="B515" s="2">
        <v>46254</v>
      </c>
      <c r="C515">
        <v>93.222480773925781</v>
      </c>
    </row>
    <row r="516" spans="1:3" x14ac:dyDescent="0.2">
      <c r="A516" t="s">
        <v>13</v>
      </c>
      <c r="B516" s="2">
        <v>46255</v>
      </c>
      <c r="C516">
        <v>93.649742126464844</v>
      </c>
    </row>
    <row r="517" spans="1:3" x14ac:dyDescent="0.2">
      <c r="A517" t="s">
        <v>13</v>
      </c>
      <c r="B517" s="2">
        <v>46258</v>
      </c>
      <c r="C517">
        <v>92.705795288085938</v>
      </c>
    </row>
    <row r="518" spans="1:3" x14ac:dyDescent="0.2">
      <c r="A518" t="s">
        <v>13</v>
      </c>
      <c r="B518" s="2">
        <v>46259</v>
      </c>
      <c r="C518">
        <v>89.913688659667969</v>
      </c>
    </row>
    <row r="519" spans="1:3" x14ac:dyDescent="0.2">
      <c r="A519" t="s">
        <v>13</v>
      </c>
      <c r="B519" s="2">
        <v>46260</v>
      </c>
      <c r="C519">
        <v>90.549613952636719</v>
      </c>
    </row>
    <row r="520" spans="1:3" x14ac:dyDescent="0.2">
      <c r="A520" t="s">
        <v>13</v>
      </c>
      <c r="B520" s="2">
        <v>46261</v>
      </c>
      <c r="C520">
        <v>91.503494262695312</v>
      </c>
    </row>
    <row r="521" spans="1:3" x14ac:dyDescent="0.2">
      <c r="A521" t="s">
        <v>13</v>
      </c>
      <c r="B521" s="2">
        <v>46262</v>
      </c>
      <c r="C521">
        <v>90.509864807128906</v>
      </c>
    </row>
    <row r="522" spans="1:3" x14ac:dyDescent="0.2">
      <c r="A522" t="s">
        <v>13</v>
      </c>
      <c r="B522" s="2">
        <v>46265</v>
      </c>
      <c r="C522">
        <v>92.139427185058594</v>
      </c>
    </row>
    <row r="523" spans="1:3" x14ac:dyDescent="0.2">
      <c r="A523" t="s">
        <v>13</v>
      </c>
      <c r="B523" s="2">
        <v>46266</v>
      </c>
      <c r="C523">
        <v>95.378662109375</v>
      </c>
    </row>
    <row r="524" spans="1:3" x14ac:dyDescent="0.2">
      <c r="A524" t="s">
        <v>13</v>
      </c>
      <c r="B524" s="2">
        <v>46267</v>
      </c>
      <c r="C524">
        <v>94.067070007324219</v>
      </c>
    </row>
    <row r="525" spans="1:3" x14ac:dyDescent="0.2">
      <c r="A525" t="s">
        <v>13</v>
      </c>
      <c r="B525" s="2">
        <v>46268</v>
      </c>
      <c r="C525">
        <v>93.610000610351562</v>
      </c>
    </row>
    <row r="526" spans="1:3" x14ac:dyDescent="0.2">
      <c r="A526" t="s">
        <v>13</v>
      </c>
      <c r="B526" s="2">
        <v>46269</v>
      </c>
      <c r="C526">
        <v>93.139999389648438</v>
      </c>
    </row>
    <row r="527" spans="1:3" x14ac:dyDescent="0.2">
      <c r="A527" t="s">
        <v>13</v>
      </c>
      <c r="B527" s="2">
        <v>46273</v>
      </c>
      <c r="C527">
        <v>93.709999084472656</v>
      </c>
    </row>
    <row r="528" spans="1:3" x14ac:dyDescent="0.2">
      <c r="A528" t="s">
        <v>13</v>
      </c>
      <c r="B528" s="2">
        <v>46274</v>
      </c>
      <c r="C528">
        <v>95.290000915527344</v>
      </c>
    </row>
    <row r="529" spans="1:3" x14ac:dyDescent="0.2">
      <c r="A529" t="s">
        <v>13</v>
      </c>
      <c r="B529" s="2">
        <v>46275</v>
      </c>
      <c r="C529">
        <v>95.30999755859375</v>
      </c>
    </row>
    <row r="530" spans="1:3" x14ac:dyDescent="0.2">
      <c r="A530" t="s">
        <v>13</v>
      </c>
      <c r="B530" s="2">
        <v>46276</v>
      </c>
      <c r="C530">
        <v>95.300003051757812</v>
      </c>
    </row>
    <row r="531" spans="1:3" x14ac:dyDescent="0.2">
      <c r="A531" t="s">
        <v>13</v>
      </c>
      <c r="B531" s="2">
        <v>46279</v>
      </c>
      <c r="C531">
        <v>95.580001831054688</v>
      </c>
    </row>
    <row r="532" spans="1:3" x14ac:dyDescent="0.2">
      <c r="A532" t="s">
        <v>13</v>
      </c>
      <c r="B532" s="2">
        <v>46280</v>
      </c>
      <c r="C532">
        <v>99.680000305175781</v>
      </c>
    </row>
    <row r="533" spans="1:3" x14ac:dyDescent="0.2">
      <c r="A533" t="s">
        <v>14</v>
      </c>
      <c r="B533" s="2">
        <v>46024</v>
      </c>
      <c r="C533">
        <v>120.47702789306641</v>
      </c>
    </row>
    <row r="534" spans="1:3" x14ac:dyDescent="0.2">
      <c r="A534" t="s">
        <v>14</v>
      </c>
      <c r="B534" s="2">
        <v>46027</v>
      </c>
      <c r="C534">
        <v>118.7532501220703</v>
      </c>
    </row>
    <row r="535" spans="1:3" x14ac:dyDescent="0.2">
      <c r="A535" t="s">
        <v>14</v>
      </c>
      <c r="B535" s="2">
        <v>46028</v>
      </c>
      <c r="C535">
        <v>118.9896621704102</v>
      </c>
    </row>
    <row r="536" spans="1:3" x14ac:dyDescent="0.2">
      <c r="A536" t="s">
        <v>14</v>
      </c>
      <c r="B536" s="2">
        <v>46029</v>
      </c>
      <c r="C536">
        <v>119.0192108154297</v>
      </c>
    </row>
    <row r="537" spans="1:3" x14ac:dyDescent="0.2">
      <c r="A537" t="s">
        <v>14</v>
      </c>
      <c r="B537" s="2">
        <v>46030</v>
      </c>
      <c r="C537">
        <v>121.4620361328125</v>
      </c>
    </row>
    <row r="538" spans="1:3" x14ac:dyDescent="0.2">
      <c r="A538" t="s">
        <v>14</v>
      </c>
      <c r="B538" s="2">
        <v>46031</v>
      </c>
      <c r="C538">
        <v>123.6586227416992</v>
      </c>
    </row>
    <row r="539" spans="1:3" x14ac:dyDescent="0.2">
      <c r="A539" t="s">
        <v>14</v>
      </c>
      <c r="B539" s="2">
        <v>46034</v>
      </c>
      <c r="C539">
        <v>126.2098083496094</v>
      </c>
    </row>
    <row r="540" spans="1:3" x14ac:dyDescent="0.2">
      <c r="A540" t="s">
        <v>14</v>
      </c>
      <c r="B540" s="2">
        <v>46035</v>
      </c>
      <c r="C540">
        <v>131.28263854980469</v>
      </c>
    </row>
    <row r="541" spans="1:3" x14ac:dyDescent="0.2">
      <c r="A541" t="s">
        <v>14</v>
      </c>
      <c r="B541" s="2">
        <v>46036</v>
      </c>
      <c r="C541">
        <v>135.37043762207031</v>
      </c>
    </row>
    <row r="542" spans="1:3" x14ac:dyDescent="0.2">
      <c r="A542" t="s">
        <v>14</v>
      </c>
      <c r="B542" s="2">
        <v>46037</v>
      </c>
      <c r="C542">
        <v>131.88349914550781</v>
      </c>
    </row>
    <row r="543" spans="1:3" x14ac:dyDescent="0.2">
      <c r="A543" t="s">
        <v>14</v>
      </c>
      <c r="B543" s="2">
        <v>46038</v>
      </c>
      <c r="C543">
        <v>134.19828796386719</v>
      </c>
    </row>
    <row r="544" spans="1:3" x14ac:dyDescent="0.2">
      <c r="A544" t="s">
        <v>14</v>
      </c>
      <c r="B544" s="2">
        <v>46041</v>
      </c>
      <c r="C544">
        <v>134.11946105957031</v>
      </c>
    </row>
    <row r="545" spans="1:3" x14ac:dyDescent="0.2">
      <c r="A545" t="s">
        <v>14</v>
      </c>
      <c r="B545" s="2">
        <v>46042</v>
      </c>
      <c r="C545">
        <v>132.6715087890625</v>
      </c>
    </row>
    <row r="546" spans="1:3" x14ac:dyDescent="0.2">
      <c r="A546" t="s">
        <v>14</v>
      </c>
      <c r="B546" s="2">
        <v>46043</v>
      </c>
      <c r="C546">
        <v>136.39485168457031</v>
      </c>
    </row>
    <row r="547" spans="1:3" x14ac:dyDescent="0.2">
      <c r="A547" t="s">
        <v>14</v>
      </c>
      <c r="B547" s="2">
        <v>46044</v>
      </c>
      <c r="C547">
        <v>134.8188171386719</v>
      </c>
    </row>
    <row r="548" spans="1:3" x14ac:dyDescent="0.2">
      <c r="A548" t="s">
        <v>14</v>
      </c>
      <c r="B548" s="2">
        <v>46045</v>
      </c>
      <c r="C548">
        <v>136.47364807128909</v>
      </c>
    </row>
    <row r="549" spans="1:3" x14ac:dyDescent="0.2">
      <c r="A549" t="s">
        <v>14</v>
      </c>
      <c r="B549" s="2">
        <v>46048</v>
      </c>
      <c r="C549">
        <v>137.07450866699219</v>
      </c>
    </row>
    <row r="550" spans="1:3" x14ac:dyDescent="0.2">
      <c r="A550" t="s">
        <v>14</v>
      </c>
      <c r="B550" s="2">
        <v>46049</v>
      </c>
      <c r="C550">
        <v>137.951171875</v>
      </c>
    </row>
    <row r="551" spans="1:3" x14ac:dyDescent="0.2">
      <c r="A551" t="s">
        <v>14</v>
      </c>
      <c r="B551" s="2">
        <v>46050</v>
      </c>
      <c r="C551">
        <v>138.1186218261719</v>
      </c>
    </row>
    <row r="552" spans="1:3" x14ac:dyDescent="0.2">
      <c r="A552" t="s">
        <v>14</v>
      </c>
      <c r="B552" s="2">
        <v>46051</v>
      </c>
      <c r="C552">
        <v>140.5023498535156</v>
      </c>
    </row>
    <row r="553" spans="1:3" x14ac:dyDescent="0.2">
      <c r="A553" t="s">
        <v>14</v>
      </c>
      <c r="B553" s="2">
        <v>46052</v>
      </c>
      <c r="C553">
        <v>135.50834655761719</v>
      </c>
    </row>
    <row r="554" spans="1:3" x14ac:dyDescent="0.2">
      <c r="A554" t="s">
        <v>14</v>
      </c>
      <c r="B554" s="2">
        <v>46055</v>
      </c>
      <c r="C554">
        <v>138.16789245605469</v>
      </c>
    </row>
    <row r="555" spans="1:3" x14ac:dyDescent="0.2">
      <c r="A555" t="s">
        <v>14</v>
      </c>
      <c r="B555" s="2">
        <v>46056</v>
      </c>
      <c r="C555">
        <v>143.51649475097659</v>
      </c>
    </row>
    <row r="556" spans="1:3" x14ac:dyDescent="0.2">
      <c r="A556" t="s">
        <v>14</v>
      </c>
      <c r="B556" s="2">
        <v>46057</v>
      </c>
      <c r="C556">
        <v>148.65826416015619</v>
      </c>
    </row>
    <row r="557" spans="1:3" x14ac:dyDescent="0.2">
      <c r="A557" t="s">
        <v>14</v>
      </c>
      <c r="B557" s="2">
        <v>46058</v>
      </c>
      <c r="C557">
        <v>146.26469421386719</v>
      </c>
    </row>
    <row r="558" spans="1:3" x14ac:dyDescent="0.2">
      <c r="A558" t="s">
        <v>14</v>
      </c>
      <c r="B558" s="2">
        <v>46059</v>
      </c>
      <c r="C558">
        <v>151.37690734863281</v>
      </c>
    </row>
    <row r="559" spans="1:3" x14ac:dyDescent="0.2">
      <c r="A559" t="s">
        <v>14</v>
      </c>
      <c r="B559" s="2">
        <v>46062</v>
      </c>
      <c r="C559">
        <v>152.42103576660159</v>
      </c>
    </row>
    <row r="560" spans="1:3" x14ac:dyDescent="0.2">
      <c r="A560" t="s">
        <v>14</v>
      </c>
      <c r="B560" s="2">
        <v>46063</v>
      </c>
      <c r="C560">
        <v>152.70668029785159</v>
      </c>
    </row>
    <row r="561" spans="1:3" x14ac:dyDescent="0.2">
      <c r="A561" t="s">
        <v>14</v>
      </c>
      <c r="B561" s="2">
        <v>46064</v>
      </c>
      <c r="C561">
        <v>159.8086242675781</v>
      </c>
    </row>
    <row r="562" spans="1:3" x14ac:dyDescent="0.2">
      <c r="A562" t="s">
        <v>14</v>
      </c>
      <c r="B562" s="2">
        <v>46065</v>
      </c>
      <c r="C562">
        <v>156.12467956542969</v>
      </c>
    </row>
    <row r="563" spans="1:3" x14ac:dyDescent="0.2">
      <c r="A563" t="s">
        <v>14</v>
      </c>
      <c r="B563" s="2">
        <v>46066</v>
      </c>
      <c r="C563">
        <v>160.8034973144531</v>
      </c>
    </row>
    <row r="564" spans="1:3" x14ac:dyDescent="0.2">
      <c r="A564" t="s">
        <v>14</v>
      </c>
      <c r="B564" s="2">
        <v>46070</v>
      </c>
      <c r="C564">
        <v>157.34611511230469</v>
      </c>
    </row>
    <row r="565" spans="1:3" x14ac:dyDescent="0.2">
      <c r="A565" t="s">
        <v>14</v>
      </c>
      <c r="B565" s="2">
        <v>46071</v>
      </c>
      <c r="C565">
        <v>162.27116394042969</v>
      </c>
    </row>
    <row r="566" spans="1:3" x14ac:dyDescent="0.2">
      <c r="A566" t="s">
        <v>14</v>
      </c>
      <c r="B566" s="2">
        <v>46072</v>
      </c>
      <c r="C566">
        <v>165.4527587890625</v>
      </c>
    </row>
    <row r="567" spans="1:3" x14ac:dyDescent="0.2">
      <c r="A567" t="s">
        <v>14</v>
      </c>
      <c r="B567" s="2">
        <v>46073</v>
      </c>
      <c r="C567">
        <v>162.48786926269531</v>
      </c>
    </row>
    <row r="568" spans="1:3" x14ac:dyDescent="0.2">
      <c r="A568" t="s">
        <v>14</v>
      </c>
      <c r="B568" s="2">
        <v>46076</v>
      </c>
      <c r="C568">
        <v>160.06474304199219</v>
      </c>
    </row>
    <row r="569" spans="1:3" x14ac:dyDescent="0.2">
      <c r="A569" t="s">
        <v>14</v>
      </c>
      <c r="B569" s="2">
        <v>46077</v>
      </c>
      <c r="C569">
        <v>155.85871887207031</v>
      </c>
    </row>
    <row r="570" spans="1:3" x14ac:dyDescent="0.2">
      <c r="A570" t="s">
        <v>14</v>
      </c>
      <c r="B570" s="2">
        <v>46078</v>
      </c>
      <c r="C570">
        <v>156.64674377441409</v>
      </c>
    </row>
    <row r="571" spans="1:3" x14ac:dyDescent="0.2">
      <c r="A571" t="s">
        <v>14</v>
      </c>
      <c r="B571" s="2">
        <v>46079</v>
      </c>
      <c r="C571">
        <v>157.21803283691409</v>
      </c>
    </row>
    <row r="572" spans="1:3" x14ac:dyDescent="0.2">
      <c r="A572" t="s">
        <v>14</v>
      </c>
      <c r="B572" s="2">
        <v>46080</v>
      </c>
      <c r="C572">
        <v>157.15895080566409</v>
      </c>
    </row>
    <row r="573" spans="1:3" x14ac:dyDescent="0.2">
      <c r="A573" t="s">
        <v>14</v>
      </c>
      <c r="B573" s="2">
        <v>46083</v>
      </c>
      <c r="C573">
        <v>159.8480224609375</v>
      </c>
    </row>
    <row r="574" spans="1:3" x14ac:dyDescent="0.2">
      <c r="A574" t="s">
        <v>14</v>
      </c>
      <c r="B574" s="2">
        <v>46084</v>
      </c>
      <c r="C574">
        <v>160.96110534667969</v>
      </c>
    </row>
    <row r="575" spans="1:3" x14ac:dyDescent="0.2">
      <c r="A575" t="s">
        <v>14</v>
      </c>
      <c r="B575" s="2">
        <v>46085</v>
      </c>
      <c r="C575">
        <v>160.8034973144531</v>
      </c>
    </row>
    <row r="576" spans="1:3" x14ac:dyDescent="0.2">
      <c r="A576" t="s">
        <v>14</v>
      </c>
      <c r="B576" s="2">
        <v>46086</v>
      </c>
      <c r="C576">
        <v>161.03126525878909</v>
      </c>
    </row>
    <row r="577" spans="1:3" x14ac:dyDescent="0.2">
      <c r="A577" t="s">
        <v>14</v>
      </c>
      <c r="B577" s="2">
        <v>46087</v>
      </c>
      <c r="C577">
        <v>159.06056213378909</v>
      </c>
    </row>
    <row r="578" spans="1:3" x14ac:dyDescent="0.2">
      <c r="A578" t="s">
        <v>14</v>
      </c>
      <c r="B578" s="2">
        <v>46090</v>
      </c>
      <c r="C578">
        <v>160.95204162597659</v>
      </c>
    </row>
    <row r="579" spans="1:3" x14ac:dyDescent="0.2">
      <c r="A579" t="s">
        <v>14</v>
      </c>
      <c r="B579" s="2">
        <v>46091</v>
      </c>
      <c r="C579">
        <v>158.5654296875</v>
      </c>
    </row>
    <row r="580" spans="1:3" x14ac:dyDescent="0.2">
      <c r="A580" t="s">
        <v>14</v>
      </c>
      <c r="B580" s="2">
        <v>46092</v>
      </c>
      <c r="C580">
        <v>161.59571838378909</v>
      </c>
    </row>
    <row r="581" spans="1:3" x14ac:dyDescent="0.2">
      <c r="A581" t="s">
        <v>14</v>
      </c>
      <c r="B581" s="2">
        <v>46093</v>
      </c>
      <c r="C581">
        <v>163.98231506347659</v>
      </c>
    </row>
    <row r="582" spans="1:3" x14ac:dyDescent="0.2">
      <c r="A582" t="s">
        <v>14</v>
      </c>
      <c r="B582" s="2">
        <v>46094</v>
      </c>
      <c r="C582">
        <v>163.93280029296881</v>
      </c>
    </row>
    <row r="583" spans="1:3" x14ac:dyDescent="0.2">
      <c r="A583" t="s">
        <v>14</v>
      </c>
      <c r="B583" s="2">
        <v>46097</v>
      </c>
      <c r="C583">
        <v>167.3592224121094</v>
      </c>
    </row>
    <row r="584" spans="1:3" x14ac:dyDescent="0.2">
      <c r="A584" t="s">
        <v>14</v>
      </c>
      <c r="B584" s="2">
        <v>46098</v>
      </c>
      <c r="C584">
        <v>169.4289245605469</v>
      </c>
    </row>
    <row r="585" spans="1:3" x14ac:dyDescent="0.2">
      <c r="A585" t="s">
        <v>14</v>
      </c>
      <c r="B585" s="2">
        <v>46099</v>
      </c>
      <c r="C585">
        <v>170.71630859375</v>
      </c>
    </row>
    <row r="586" spans="1:3" x14ac:dyDescent="0.2">
      <c r="A586" t="s">
        <v>14</v>
      </c>
      <c r="B586" s="2">
        <v>46100</v>
      </c>
      <c r="C586">
        <v>172.68699645996091</v>
      </c>
    </row>
    <row r="587" spans="1:3" x14ac:dyDescent="0.2">
      <c r="A587" t="s">
        <v>14</v>
      </c>
      <c r="B587" s="2">
        <v>46101</v>
      </c>
      <c r="C587">
        <v>171.59765625</v>
      </c>
    </row>
    <row r="588" spans="1:3" x14ac:dyDescent="0.2">
      <c r="A588" t="s">
        <v>14</v>
      </c>
      <c r="B588" s="2">
        <v>46104</v>
      </c>
      <c r="C588">
        <v>172.2116394042969</v>
      </c>
    </row>
    <row r="589" spans="1:3" x14ac:dyDescent="0.2">
      <c r="A589" t="s">
        <v>14</v>
      </c>
      <c r="B589" s="2">
        <v>46105</v>
      </c>
      <c r="C589">
        <v>175.99455261230469</v>
      </c>
    </row>
    <row r="590" spans="1:3" x14ac:dyDescent="0.2">
      <c r="A590" t="s">
        <v>14</v>
      </c>
      <c r="B590" s="2">
        <v>46106</v>
      </c>
      <c r="C590">
        <v>178.38116455078119</v>
      </c>
    </row>
    <row r="591" spans="1:3" x14ac:dyDescent="0.2">
      <c r="A591" t="s">
        <v>14</v>
      </c>
      <c r="B591" s="2">
        <v>46107</v>
      </c>
      <c r="C591">
        <v>175.01416015625</v>
      </c>
    </row>
    <row r="592" spans="1:3" x14ac:dyDescent="0.2">
      <c r="A592" t="s">
        <v>14</v>
      </c>
      <c r="B592" s="2">
        <v>46108</v>
      </c>
      <c r="C592">
        <v>179.49028015136719</v>
      </c>
    </row>
    <row r="593" spans="1:3" x14ac:dyDescent="0.2">
      <c r="A593" t="s">
        <v>14</v>
      </c>
      <c r="B593" s="2">
        <v>46111</v>
      </c>
      <c r="C593">
        <v>178.8763122558594</v>
      </c>
    </row>
    <row r="594" spans="1:3" x14ac:dyDescent="0.2">
      <c r="A594" t="s">
        <v>14</v>
      </c>
      <c r="B594" s="2">
        <v>46112</v>
      </c>
      <c r="C594">
        <v>180.44097900390619</v>
      </c>
    </row>
    <row r="595" spans="1:3" x14ac:dyDescent="0.2">
      <c r="A595" t="s">
        <v>14</v>
      </c>
      <c r="B595" s="2">
        <v>46113</v>
      </c>
      <c r="C595">
        <v>177.796875</v>
      </c>
    </row>
    <row r="596" spans="1:3" x14ac:dyDescent="0.2">
      <c r="A596" t="s">
        <v>14</v>
      </c>
      <c r="B596" s="2">
        <v>46114</v>
      </c>
      <c r="C596">
        <v>179.89631652832031</v>
      </c>
    </row>
    <row r="597" spans="1:3" x14ac:dyDescent="0.2">
      <c r="A597" t="s">
        <v>14</v>
      </c>
      <c r="B597" s="2">
        <v>46118</v>
      </c>
      <c r="C597">
        <v>178.54951477050781</v>
      </c>
    </row>
    <row r="598" spans="1:3" x14ac:dyDescent="0.2">
      <c r="A598" t="s">
        <v>14</v>
      </c>
      <c r="B598" s="2">
        <v>46119</v>
      </c>
      <c r="C598">
        <v>182.58990478515619</v>
      </c>
    </row>
    <row r="599" spans="1:3" x14ac:dyDescent="0.2">
      <c r="A599" t="s">
        <v>14</v>
      </c>
      <c r="B599" s="2">
        <v>46120</v>
      </c>
      <c r="C599">
        <v>178.1632995605469</v>
      </c>
    </row>
    <row r="600" spans="1:3" x14ac:dyDescent="0.2">
      <c r="A600" t="s">
        <v>14</v>
      </c>
      <c r="B600" s="2">
        <v>46121</v>
      </c>
      <c r="C600">
        <v>175.75689697265619</v>
      </c>
    </row>
    <row r="601" spans="1:3" x14ac:dyDescent="0.2">
      <c r="A601" t="s">
        <v>14</v>
      </c>
      <c r="B601" s="2">
        <v>46122</v>
      </c>
      <c r="C601">
        <v>177.19279479980469</v>
      </c>
    </row>
    <row r="602" spans="1:3" x14ac:dyDescent="0.2">
      <c r="A602" t="s">
        <v>14</v>
      </c>
      <c r="B602" s="2">
        <v>46125</v>
      </c>
      <c r="C602">
        <v>177.63844299316409</v>
      </c>
    </row>
    <row r="603" spans="1:3" x14ac:dyDescent="0.2">
      <c r="A603" t="s">
        <v>14</v>
      </c>
      <c r="B603" s="2">
        <v>46126</v>
      </c>
      <c r="C603">
        <v>173.22175598144531</v>
      </c>
    </row>
    <row r="604" spans="1:3" x14ac:dyDescent="0.2">
      <c r="A604" t="s">
        <v>14</v>
      </c>
      <c r="B604" s="2">
        <v>46127</v>
      </c>
      <c r="C604">
        <v>169.8745422363281</v>
      </c>
    </row>
    <row r="605" spans="1:3" x14ac:dyDescent="0.2">
      <c r="A605" t="s">
        <v>14</v>
      </c>
      <c r="B605" s="2">
        <v>46128</v>
      </c>
      <c r="C605">
        <v>170.3994140625</v>
      </c>
    </row>
    <row r="606" spans="1:3" x14ac:dyDescent="0.2">
      <c r="A606" t="s">
        <v>14</v>
      </c>
      <c r="B606" s="2">
        <v>46129</v>
      </c>
      <c r="C606">
        <v>165.4182434082031</v>
      </c>
    </row>
    <row r="607" spans="1:3" x14ac:dyDescent="0.2">
      <c r="A607" t="s">
        <v>14</v>
      </c>
      <c r="B607" s="2">
        <v>46132</v>
      </c>
      <c r="C607">
        <v>165.91339111328119</v>
      </c>
    </row>
    <row r="608" spans="1:3" x14ac:dyDescent="0.2">
      <c r="A608" t="s">
        <v>14</v>
      </c>
      <c r="B608" s="2">
        <v>46133</v>
      </c>
      <c r="C608">
        <v>167.57708740234381</v>
      </c>
    </row>
    <row r="609" spans="1:3" x14ac:dyDescent="0.2">
      <c r="A609" t="s">
        <v>14</v>
      </c>
      <c r="B609" s="2">
        <v>46134</v>
      </c>
      <c r="C609">
        <v>169.59727478027341</v>
      </c>
    </row>
    <row r="610" spans="1:3" x14ac:dyDescent="0.2">
      <c r="A610" t="s">
        <v>14</v>
      </c>
      <c r="B610" s="2">
        <v>46135</v>
      </c>
      <c r="C610">
        <v>171.7362976074219</v>
      </c>
    </row>
    <row r="611" spans="1:3" x14ac:dyDescent="0.2">
      <c r="A611" t="s">
        <v>14</v>
      </c>
      <c r="B611" s="2">
        <v>46136</v>
      </c>
      <c r="C611">
        <v>168.14155578613281</v>
      </c>
    </row>
    <row r="612" spans="1:3" x14ac:dyDescent="0.2">
      <c r="A612" t="s">
        <v>14</v>
      </c>
      <c r="B612" s="2">
        <v>46139</v>
      </c>
      <c r="C612">
        <v>169.83494567871091</v>
      </c>
    </row>
    <row r="613" spans="1:3" x14ac:dyDescent="0.2">
      <c r="A613" t="s">
        <v>14</v>
      </c>
      <c r="B613" s="2">
        <v>46140</v>
      </c>
      <c r="C613">
        <v>172.74641418457031</v>
      </c>
    </row>
    <row r="614" spans="1:3" x14ac:dyDescent="0.2">
      <c r="A614" t="s">
        <v>14</v>
      </c>
      <c r="B614" s="2">
        <v>46141</v>
      </c>
      <c r="C614">
        <v>177.03436279296881</v>
      </c>
    </row>
    <row r="615" spans="1:3" x14ac:dyDescent="0.2">
      <c r="A615" t="s">
        <v>14</v>
      </c>
      <c r="B615" s="2">
        <v>46142</v>
      </c>
      <c r="C615">
        <v>180.19340515136719</v>
      </c>
    </row>
    <row r="616" spans="1:3" x14ac:dyDescent="0.2">
      <c r="A616" t="s">
        <v>14</v>
      </c>
      <c r="B616" s="2">
        <v>46143</v>
      </c>
      <c r="C616">
        <v>172.90486145019531</v>
      </c>
    </row>
    <row r="617" spans="1:3" x14ac:dyDescent="0.2">
      <c r="A617" t="s">
        <v>14</v>
      </c>
      <c r="B617" s="2">
        <v>46146</v>
      </c>
      <c r="C617">
        <v>175.92523193359381</v>
      </c>
    </row>
    <row r="618" spans="1:3" x14ac:dyDescent="0.2">
      <c r="A618" t="s">
        <v>14</v>
      </c>
      <c r="B618" s="2">
        <v>46147</v>
      </c>
      <c r="C618">
        <v>179.1436767578125</v>
      </c>
    </row>
    <row r="619" spans="1:3" x14ac:dyDescent="0.2">
      <c r="A619" t="s">
        <v>14</v>
      </c>
      <c r="B619" s="2">
        <v>46148</v>
      </c>
      <c r="C619">
        <v>172.52854919433591</v>
      </c>
    </row>
    <row r="620" spans="1:3" x14ac:dyDescent="0.2">
      <c r="A620" t="s">
        <v>14</v>
      </c>
      <c r="B620" s="2">
        <v>46149</v>
      </c>
      <c r="C620">
        <v>170.20135498046881</v>
      </c>
    </row>
    <row r="621" spans="1:3" x14ac:dyDescent="0.2">
      <c r="A621" t="s">
        <v>14</v>
      </c>
      <c r="B621" s="2">
        <v>46150</v>
      </c>
      <c r="C621">
        <v>172.01359558105469</v>
      </c>
    </row>
    <row r="622" spans="1:3" x14ac:dyDescent="0.2">
      <c r="A622" t="s">
        <v>14</v>
      </c>
      <c r="B622" s="2">
        <v>46153</v>
      </c>
      <c r="C622">
        <v>176.15301513671881</v>
      </c>
    </row>
    <row r="623" spans="1:3" x14ac:dyDescent="0.2">
      <c r="A623" t="s">
        <v>14</v>
      </c>
      <c r="B623" s="2">
        <v>46154</v>
      </c>
      <c r="C623">
        <v>180.68853759765619</v>
      </c>
    </row>
    <row r="624" spans="1:3" x14ac:dyDescent="0.2">
      <c r="A624" t="s">
        <v>14</v>
      </c>
      <c r="B624" s="2">
        <v>46155</v>
      </c>
      <c r="C624">
        <v>178.5990295410156</v>
      </c>
    </row>
    <row r="625" spans="1:3" x14ac:dyDescent="0.2">
      <c r="A625" t="s">
        <v>14</v>
      </c>
      <c r="B625" s="2">
        <v>46156</v>
      </c>
      <c r="C625">
        <v>179.85670471191409</v>
      </c>
    </row>
    <row r="626" spans="1:3" x14ac:dyDescent="0.2">
      <c r="A626" t="s">
        <v>14</v>
      </c>
      <c r="B626" s="2">
        <v>46157</v>
      </c>
      <c r="C626">
        <v>183.46134948730469</v>
      </c>
    </row>
    <row r="627" spans="1:3" x14ac:dyDescent="0.2">
      <c r="A627" t="s">
        <v>14</v>
      </c>
      <c r="B627" s="2">
        <v>46161</v>
      </c>
      <c r="C627">
        <v>187.57106018066409</v>
      </c>
    </row>
    <row r="628" spans="1:3" x14ac:dyDescent="0.2">
      <c r="A628" t="s">
        <v>14</v>
      </c>
      <c r="B628" s="2">
        <v>46162</v>
      </c>
      <c r="C628">
        <v>182.06504821777341</v>
      </c>
    </row>
    <row r="629" spans="1:3" x14ac:dyDescent="0.2">
      <c r="A629" t="s">
        <v>14</v>
      </c>
      <c r="B629" s="2">
        <v>46163</v>
      </c>
      <c r="C629">
        <v>182.69883728027341</v>
      </c>
    </row>
    <row r="630" spans="1:3" x14ac:dyDescent="0.2">
      <c r="A630" t="s">
        <v>14</v>
      </c>
      <c r="B630" s="2">
        <v>46164</v>
      </c>
      <c r="C630">
        <v>182.1046447753906</v>
      </c>
    </row>
    <row r="631" spans="1:3" x14ac:dyDescent="0.2">
      <c r="A631" t="s">
        <v>14</v>
      </c>
      <c r="B631" s="2">
        <v>46167</v>
      </c>
      <c r="C631">
        <v>176.91552734375</v>
      </c>
    </row>
    <row r="632" spans="1:3" x14ac:dyDescent="0.2">
      <c r="A632" t="s">
        <v>14</v>
      </c>
      <c r="B632" s="2">
        <v>46168</v>
      </c>
      <c r="C632">
        <v>176.5986328125</v>
      </c>
    </row>
    <row r="633" spans="1:3" x14ac:dyDescent="0.2">
      <c r="A633" t="s">
        <v>14</v>
      </c>
      <c r="B633" s="2">
        <v>46169</v>
      </c>
      <c r="C633">
        <v>170.50834655761719</v>
      </c>
    </row>
    <row r="634" spans="1:3" x14ac:dyDescent="0.2">
      <c r="A634" t="s">
        <v>14</v>
      </c>
      <c r="B634" s="2">
        <v>46170</v>
      </c>
      <c r="C634">
        <v>167.09184265136719</v>
      </c>
    </row>
    <row r="635" spans="1:3" x14ac:dyDescent="0.2">
      <c r="A635" t="s">
        <v>14</v>
      </c>
      <c r="B635" s="2">
        <v>46171</v>
      </c>
      <c r="C635">
        <v>161.98194885253909</v>
      </c>
    </row>
    <row r="636" spans="1:3" x14ac:dyDescent="0.2">
      <c r="A636" t="s">
        <v>14</v>
      </c>
      <c r="B636" s="2">
        <v>46174</v>
      </c>
      <c r="C636">
        <v>165.53709411621091</v>
      </c>
    </row>
    <row r="637" spans="1:3" x14ac:dyDescent="0.2">
      <c r="A637" t="s">
        <v>14</v>
      </c>
      <c r="B637" s="2">
        <v>46175</v>
      </c>
      <c r="C637">
        <v>170.50834655761719</v>
      </c>
    </row>
    <row r="638" spans="1:3" x14ac:dyDescent="0.2">
      <c r="A638" t="s">
        <v>14</v>
      </c>
      <c r="B638" s="2">
        <v>46176</v>
      </c>
      <c r="C638">
        <v>173.97434997558591</v>
      </c>
    </row>
    <row r="639" spans="1:3" x14ac:dyDescent="0.2">
      <c r="A639" t="s">
        <v>14</v>
      </c>
      <c r="B639" s="2">
        <v>46177</v>
      </c>
      <c r="C639">
        <v>175.3875732421875</v>
      </c>
    </row>
    <row r="640" spans="1:3" x14ac:dyDescent="0.2">
      <c r="A640" t="s">
        <v>14</v>
      </c>
      <c r="B640" s="2">
        <v>46178</v>
      </c>
      <c r="C640">
        <v>168.8091735839844</v>
      </c>
    </row>
    <row r="641" spans="1:3" x14ac:dyDescent="0.2">
      <c r="A641" t="s">
        <v>14</v>
      </c>
      <c r="B641" s="2">
        <v>46181</v>
      </c>
      <c r="C641">
        <v>170.32191467285159</v>
      </c>
    </row>
    <row r="642" spans="1:3" x14ac:dyDescent="0.2">
      <c r="A642" t="s">
        <v>14</v>
      </c>
      <c r="B642" s="2">
        <v>46182</v>
      </c>
      <c r="C642">
        <v>165.0870666503906</v>
      </c>
    </row>
    <row r="643" spans="1:3" x14ac:dyDescent="0.2">
      <c r="A643" t="s">
        <v>14</v>
      </c>
      <c r="B643" s="2">
        <v>46183</v>
      </c>
      <c r="C643">
        <v>166.64955139160159</v>
      </c>
    </row>
    <row r="644" spans="1:3" x14ac:dyDescent="0.2">
      <c r="A644" t="s">
        <v>14</v>
      </c>
      <c r="B644" s="2">
        <v>46184</v>
      </c>
      <c r="C644">
        <v>168.24189758300781</v>
      </c>
    </row>
    <row r="645" spans="1:3" x14ac:dyDescent="0.2">
      <c r="A645" t="s">
        <v>14</v>
      </c>
      <c r="B645" s="2">
        <v>46185</v>
      </c>
      <c r="C645">
        <v>168.9584655761719</v>
      </c>
    </row>
    <row r="646" spans="1:3" x14ac:dyDescent="0.2">
      <c r="A646" t="s">
        <v>14</v>
      </c>
      <c r="B646" s="2">
        <v>46188</v>
      </c>
      <c r="C646">
        <v>167.5452575683594</v>
      </c>
    </row>
    <row r="647" spans="1:3" x14ac:dyDescent="0.2">
      <c r="A647" t="s">
        <v>14</v>
      </c>
      <c r="B647" s="2">
        <v>46189</v>
      </c>
      <c r="C647">
        <v>164.13163757324219</v>
      </c>
    </row>
    <row r="648" spans="1:3" x14ac:dyDescent="0.2">
      <c r="A648" t="s">
        <v>14</v>
      </c>
      <c r="B648" s="2">
        <v>46190</v>
      </c>
      <c r="C648">
        <v>160.36970520019531</v>
      </c>
    </row>
    <row r="649" spans="1:3" x14ac:dyDescent="0.2">
      <c r="A649" t="s">
        <v>14</v>
      </c>
      <c r="B649" s="2">
        <v>46191</v>
      </c>
      <c r="C649">
        <v>158.39918518066409</v>
      </c>
    </row>
    <row r="650" spans="1:3" x14ac:dyDescent="0.2">
      <c r="A650" t="s">
        <v>14</v>
      </c>
      <c r="B650" s="2">
        <v>46192</v>
      </c>
      <c r="C650">
        <v>157.44377136230469</v>
      </c>
    </row>
    <row r="651" spans="1:3" x14ac:dyDescent="0.2">
      <c r="A651" t="s">
        <v>14</v>
      </c>
      <c r="B651" s="2">
        <v>46195</v>
      </c>
      <c r="C651">
        <v>160.83746337890619</v>
      </c>
    </row>
    <row r="652" spans="1:3" x14ac:dyDescent="0.2">
      <c r="A652" t="s">
        <v>14</v>
      </c>
      <c r="B652" s="2">
        <v>46196</v>
      </c>
      <c r="C652">
        <v>162.2606201171875</v>
      </c>
    </row>
    <row r="653" spans="1:3" x14ac:dyDescent="0.2">
      <c r="A653" t="s">
        <v>14</v>
      </c>
      <c r="B653" s="2">
        <v>46197</v>
      </c>
      <c r="C653">
        <v>159.623291015625</v>
      </c>
    </row>
    <row r="654" spans="1:3" x14ac:dyDescent="0.2">
      <c r="A654" t="s">
        <v>14</v>
      </c>
      <c r="B654" s="2">
        <v>46198</v>
      </c>
      <c r="C654">
        <v>160.1507568359375</v>
      </c>
    </row>
    <row r="655" spans="1:3" x14ac:dyDescent="0.2">
      <c r="A655" t="s">
        <v>14</v>
      </c>
      <c r="B655" s="2">
        <v>46199</v>
      </c>
      <c r="C655">
        <v>160.1109619140625</v>
      </c>
    </row>
    <row r="656" spans="1:3" x14ac:dyDescent="0.2">
      <c r="A656" t="s">
        <v>14</v>
      </c>
      <c r="B656" s="2">
        <v>46202</v>
      </c>
      <c r="C656">
        <v>159.92185974121091</v>
      </c>
    </row>
    <row r="657" spans="1:3" x14ac:dyDescent="0.2">
      <c r="A657" t="s">
        <v>14</v>
      </c>
      <c r="B657" s="2">
        <v>46203</v>
      </c>
      <c r="C657">
        <v>158.4986877441406</v>
      </c>
    </row>
    <row r="658" spans="1:3" x14ac:dyDescent="0.2">
      <c r="A658" t="s">
        <v>14</v>
      </c>
      <c r="B658" s="2">
        <v>46205</v>
      </c>
      <c r="C658">
        <v>160.53889465332031</v>
      </c>
    </row>
    <row r="659" spans="1:3" x14ac:dyDescent="0.2">
      <c r="A659" t="s">
        <v>14</v>
      </c>
      <c r="B659" s="2">
        <v>46206</v>
      </c>
      <c r="C659">
        <v>162.5094299316406</v>
      </c>
    </row>
    <row r="660" spans="1:3" x14ac:dyDescent="0.2">
      <c r="A660" t="s">
        <v>14</v>
      </c>
      <c r="B660" s="2">
        <v>46209</v>
      </c>
      <c r="C660">
        <v>159.82234191894531</v>
      </c>
    </row>
    <row r="661" spans="1:3" x14ac:dyDescent="0.2">
      <c r="A661" t="s">
        <v>14</v>
      </c>
      <c r="B661" s="2">
        <v>46210</v>
      </c>
      <c r="C661">
        <v>164.61930847167969</v>
      </c>
    </row>
    <row r="662" spans="1:3" x14ac:dyDescent="0.2">
      <c r="A662" t="s">
        <v>14</v>
      </c>
      <c r="B662" s="2">
        <v>46211</v>
      </c>
      <c r="C662">
        <v>170.91905212402341</v>
      </c>
    </row>
    <row r="663" spans="1:3" x14ac:dyDescent="0.2">
      <c r="A663" t="s">
        <v>14</v>
      </c>
      <c r="B663" s="2">
        <v>46212</v>
      </c>
      <c r="C663">
        <v>169.50584411621091</v>
      </c>
    </row>
    <row r="664" spans="1:3" x14ac:dyDescent="0.2">
      <c r="A664" t="s">
        <v>14</v>
      </c>
      <c r="B664" s="2">
        <v>46213</v>
      </c>
      <c r="C664">
        <v>169.95368957519531</v>
      </c>
    </row>
    <row r="665" spans="1:3" x14ac:dyDescent="0.2">
      <c r="A665" t="s">
        <v>14</v>
      </c>
      <c r="B665" s="2">
        <v>46216</v>
      </c>
      <c r="C665">
        <v>174.11369323730469</v>
      </c>
    </row>
    <row r="666" spans="1:3" x14ac:dyDescent="0.2">
      <c r="A666" t="s">
        <v>14</v>
      </c>
      <c r="B666" s="2">
        <v>46217</v>
      </c>
      <c r="C666">
        <v>171.27732849121091</v>
      </c>
    </row>
    <row r="667" spans="1:3" x14ac:dyDescent="0.2">
      <c r="A667" t="s">
        <v>14</v>
      </c>
      <c r="B667" s="2">
        <v>46218</v>
      </c>
      <c r="C667">
        <v>168.21205139160159</v>
      </c>
    </row>
    <row r="668" spans="1:3" x14ac:dyDescent="0.2">
      <c r="A668" t="s">
        <v>14</v>
      </c>
      <c r="B668" s="2">
        <v>46219</v>
      </c>
      <c r="C668">
        <v>167.5452575683594</v>
      </c>
    </row>
    <row r="669" spans="1:3" x14ac:dyDescent="0.2">
      <c r="A669" t="s">
        <v>14</v>
      </c>
      <c r="B669" s="2">
        <v>46220</v>
      </c>
      <c r="C669">
        <v>171.0683288574219</v>
      </c>
    </row>
    <row r="670" spans="1:3" x14ac:dyDescent="0.2">
      <c r="A670" t="s">
        <v>14</v>
      </c>
      <c r="B670" s="2">
        <v>46223</v>
      </c>
      <c r="C670">
        <v>171.6156921386719</v>
      </c>
    </row>
    <row r="671" spans="1:3" x14ac:dyDescent="0.2">
      <c r="A671" t="s">
        <v>14</v>
      </c>
      <c r="B671" s="2">
        <v>46224</v>
      </c>
      <c r="C671">
        <v>174.7506408691406</v>
      </c>
    </row>
    <row r="672" spans="1:3" x14ac:dyDescent="0.2">
      <c r="A672" t="s">
        <v>14</v>
      </c>
      <c r="B672" s="2">
        <v>46225</v>
      </c>
      <c r="C672">
        <v>176.20365905761719</v>
      </c>
    </row>
    <row r="673" spans="1:3" x14ac:dyDescent="0.2">
      <c r="A673" t="s">
        <v>14</v>
      </c>
      <c r="B673" s="2">
        <v>46226</v>
      </c>
      <c r="C673">
        <v>180.61247253417969</v>
      </c>
    </row>
    <row r="674" spans="1:3" x14ac:dyDescent="0.2">
      <c r="A674" t="s">
        <v>14</v>
      </c>
      <c r="B674" s="2">
        <v>46227</v>
      </c>
      <c r="C674">
        <v>180.42338562011719</v>
      </c>
    </row>
    <row r="675" spans="1:3" x14ac:dyDescent="0.2">
      <c r="A675" t="s">
        <v>14</v>
      </c>
      <c r="B675" s="2">
        <v>46230</v>
      </c>
      <c r="C675">
        <v>176.8704528808594</v>
      </c>
    </row>
    <row r="676" spans="1:3" x14ac:dyDescent="0.2">
      <c r="A676" t="s">
        <v>14</v>
      </c>
      <c r="B676" s="2">
        <v>46231</v>
      </c>
      <c r="C676">
        <v>176.73112487792969</v>
      </c>
    </row>
    <row r="677" spans="1:3" x14ac:dyDescent="0.2">
      <c r="A677" t="s">
        <v>14</v>
      </c>
      <c r="B677" s="2">
        <v>46232</v>
      </c>
      <c r="C677">
        <v>180.094970703125</v>
      </c>
    </row>
    <row r="678" spans="1:3" x14ac:dyDescent="0.2">
      <c r="A678" t="s">
        <v>14</v>
      </c>
      <c r="B678" s="2">
        <v>46233</v>
      </c>
      <c r="C678">
        <v>179.97554016113281</v>
      </c>
    </row>
    <row r="679" spans="1:3" x14ac:dyDescent="0.2">
      <c r="A679" t="s">
        <v>14</v>
      </c>
      <c r="B679" s="2">
        <v>46234</v>
      </c>
      <c r="C679">
        <v>180.8811950683594</v>
      </c>
    </row>
    <row r="680" spans="1:3" x14ac:dyDescent="0.2">
      <c r="A680" t="s">
        <v>14</v>
      </c>
      <c r="B680" s="2">
        <v>46238</v>
      </c>
      <c r="C680">
        <v>178.70166015625</v>
      </c>
    </row>
    <row r="681" spans="1:3" x14ac:dyDescent="0.2">
      <c r="A681" t="s">
        <v>14</v>
      </c>
      <c r="B681" s="2">
        <v>46239</v>
      </c>
      <c r="C681">
        <v>174.88002014160159</v>
      </c>
    </row>
    <row r="682" spans="1:3" x14ac:dyDescent="0.2">
      <c r="A682" t="s">
        <v>14</v>
      </c>
      <c r="B682" s="2">
        <v>46240</v>
      </c>
      <c r="C682">
        <v>176.1936950683594</v>
      </c>
    </row>
    <row r="683" spans="1:3" x14ac:dyDescent="0.2">
      <c r="A683" t="s">
        <v>14</v>
      </c>
      <c r="B683" s="2">
        <v>46241</v>
      </c>
      <c r="C683">
        <v>173.37724304199219</v>
      </c>
    </row>
    <row r="684" spans="1:3" x14ac:dyDescent="0.2">
      <c r="A684" t="s">
        <v>14</v>
      </c>
      <c r="B684" s="2">
        <v>46244</v>
      </c>
      <c r="C684">
        <v>178.64195251464841</v>
      </c>
    </row>
    <row r="685" spans="1:3" x14ac:dyDescent="0.2">
      <c r="A685" t="s">
        <v>14</v>
      </c>
      <c r="B685" s="2">
        <v>46245</v>
      </c>
      <c r="C685">
        <v>179.59736633300781</v>
      </c>
    </row>
    <row r="686" spans="1:3" x14ac:dyDescent="0.2">
      <c r="A686" t="s">
        <v>14</v>
      </c>
      <c r="B686" s="2">
        <v>46246</v>
      </c>
      <c r="C686">
        <v>181.1300048828125</v>
      </c>
    </row>
    <row r="687" spans="1:3" x14ac:dyDescent="0.2">
      <c r="A687" t="s">
        <v>14</v>
      </c>
      <c r="B687" s="2">
        <v>46247</v>
      </c>
      <c r="C687">
        <v>183.84693908691409</v>
      </c>
    </row>
    <row r="688" spans="1:3" x14ac:dyDescent="0.2">
      <c r="A688" t="s">
        <v>14</v>
      </c>
      <c r="B688" s="2">
        <v>46248</v>
      </c>
      <c r="C688">
        <v>184.25498962402341</v>
      </c>
    </row>
    <row r="689" spans="1:3" x14ac:dyDescent="0.2">
      <c r="A689" t="s">
        <v>14</v>
      </c>
      <c r="B689" s="2">
        <v>46251</v>
      </c>
      <c r="C689">
        <v>186.30513000488281</v>
      </c>
    </row>
    <row r="690" spans="1:3" x14ac:dyDescent="0.2">
      <c r="A690" t="s">
        <v>14</v>
      </c>
      <c r="B690" s="2">
        <v>46252</v>
      </c>
      <c r="C690">
        <v>187.64869689941409</v>
      </c>
    </row>
    <row r="691" spans="1:3" x14ac:dyDescent="0.2">
      <c r="A691" t="s">
        <v>14</v>
      </c>
      <c r="B691" s="2">
        <v>46253</v>
      </c>
      <c r="C691">
        <v>187.13116455078119</v>
      </c>
    </row>
    <row r="692" spans="1:3" x14ac:dyDescent="0.2">
      <c r="A692" t="s">
        <v>14</v>
      </c>
      <c r="B692" s="2">
        <v>46254</v>
      </c>
      <c r="C692">
        <v>187.947265625</v>
      </c>
    </row>
    <row r="693" spans="1:3" x14ac:dyDescent="0.2">
      <c r="A693" t="s">
        <v>14</v>
      </c>
      <c r="B693" s="2">
        <v>46255</v>
      </c>
      <c r="C693">
        <v>189.09175109863281</v>
      </c>
    </row>
    <row r="694" spans="1:3" x14ac:dyDescent="0.2">
      <c r="A694" t="s">
        <v>14</v>
      </c>
      <c r="B694" s="2">
        <v>46258</v>
      </c>
      <c r="C694">
        <v>188.90266418457031</v>
      </c>
    </row>
    <row r="695" spans="1:3" x14ac:dyDescent="0.2">
      <c r="A695" t="s">
        <v>14</v>
      </c>
      <c r="B695" s="2">
        <v>46259</v>
      </c>
      <c r="C695">
        <v>180.97076416015619</v>
      </c>
    </row>
    <row r="696" spans="1:3" x14ac:dyDescent="0.2">
      <c r="A696" t="s">
        <v>14</v>
      </c>
      <c r="B696" s="2">
        <v>46260</v>
      </c>
      <c r="C696">
        <v>181.4186096191406</v>
      </c>
    </row>
    <row r="697" spans="1:3" x14ac:dyDescent="0.2">
      <c r="A697" t="s">
        <v>14</v>
      </c>
      <c r="B697" s="2">
        <v>46261</v>
      </c>
      <c r="C697">
        <v>182.35411071777341</v>
      </c>
    </row>
    <row r="698" spans="1:3" x14ac:dyDescent="0.2">
      <c r="A698" t="s">
        <v>14</v>
      </c>
      <c r="B698" s="2">
        <v>46262</v>
      </c>
      <c r="C698">
        <v>180.47314453125</v>
      </c>
    </row>
    <row r="699" spans="1:3" x14ac:dyDescent="0.2">
      <c r="A699" t="s">
        <v>14</v>
      </c>
      <c r="B699" s="2">
        <v>46265</v>
      </c>
      <c r="C699">
        <v>181.26933288574219</v>
      </c>
    </row>
    <row r="700" spans="1:3" x14ac:dyDescent="0.2">
      <c r="A700" t="s">
        <v>14</v>
      </c>
      <c r="B700" s="2">
        <v>46266</v>
      </c>
      <c r="C700">
        <v>186.7828369140625</v>
      </c>
    </row>
    <row r="701" spans="1:3" x14ac:dyDescent="0.2">
      <c r="A701" t="s">
        <v>14</v>
      </c>
      <c r="B701" s="2">
        <v>46267</v>
      </c>
      <c r="C701">
        <v>183.28962707519531</v>
      </c>
    </row>
    <row r="702" spans="1:3" x14ac:dyDescent="0.2">
      <c r="A702" t="s">
        <v>14</v>
      </c>
      <c r="B702" s="2">
        <v>46268</v>
      </c>
      <c r="C702">
        <v>181.1300048828125</v>
      </c>
    </row>
    <row r="703" spans="1:3" x14ac:dyDescent="0.2">
      <c r="A703" t="s">
        <v>14</v>
      </c>
      <c r="B703" s="2">
        <v>46269</v>
      </c>
      <c r="C703">
        <v>177.99000549316409</v>
      </c>
    </row>
    <row r="704" spans="1:3" x14ac:dyDescent="0.2">
      <c r="A704" t="s">
        <v>14</v>
      </c>
      <c r="B704" s="2">
        <v>46273</v>
      </c>
      <c r="C704">
        <v>180.8399963378906</v>
      </c>
    </row>
    <row r="705" spans="1:3" x14ac:dyDescent="0.2">
      <c r="A705" t="s">
        <v>14</v>
      </c>
      <c r="B705" s="2">
        <v>46274</v>
      </c>
      <c r="C705">
        <v>181.80000305175781</v>
      </c>
    </row>
    <row r="706" spans="1:3" x14ac:dyDescent="0.2">
      <c r="A706" t="s">
        <v>14</v>
      </c>
      <c r="B706" s="2">
        <v>46275</v>
      </c>
      <c r="C706">
        <v>181.17999267578119</v>
      </c>
    </row>
    <row r="707" spans="1:3" x14ac:dyDescent="0.2">
      <c r="A707" t="s">
        <v>14</v>
      </c>
      <c r="B707" s="2">
        <v>46276</v>
      </c>
      <c r="C707">
        <v>180.36000061035159</v>
      </c>
    </row>
    <row r="708" spans="1:3" x14ac:dyDescent="0.2">
      <c r="A708" t="s">
        <v>14</v>
      </c>
      <c r="B708" s="2">
        <v>46279</v>
      </c>
      <c r="C708">
        <v>183.16999816894531</v>
      </c>
    </row>
    <row r="709" spans="1:3" x14ac:dyDescent="0.2">
      <c r="A709" t="s">
        <v>14</v>
      </c>
      <c r="B709" s="2">
        <v>46280</v>
      </c>
      <c r="C709">
        <v>188.11000061035159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selection activeCell="E15" sqref="E15"/>
    </sheetView>
  </sheetViews>
  <sheetFormatPr baseColWidth="10" defaultColWidth="8.83203125" defaultRowHeight="15" x14ac:dyDescent="0.2"/>
  <cols>
    <col min="1" max="2" width="15.1640625" customWidth="1"/>
    <col min="3" max="3" width="15.5" customWidth="1"/>
  </cols>
  <sheetData>
    <row r="1" spans="1:3" x14ac:dyDescent="0.2">
      <c r="A1" s="1" t="s">
        <v>0</v>
      </c>
      <c r="B1" s="1" t="s">
        <v>1</v>
      </c>
      <c r="C1" s="1" t="s">
        <v>24</v>
      </c>
    </row>
    <row r="2" spans="1:3" x14ac:dyDescent="0.2">
      <c r="A2" t="s">
        <v>4</v>
      </c>
      <c r="B2">
        <v>2022</v>
      </c>
      <c r="C2">
        <v>31.55422401428223</v>
      </c>
    </row>
    <row r="3" spans="1:3" x14ac:dyDescent="0.2">
      <c r="A3" t="s">
        <v>13</v>
      </c>
      <c r="B3">
        <v>2022</v>
      </c>
      <c r="C3">
        <v>36.822818756103523</v>
      </c>
    </row>
    <row r="4" spans="1:3" x14ac:dyDescent="0.2">
      <c r="A4" t="s">
        <v>14</v>
      </c>
      <c r="B4">
        <v>2022</v>
      </c>
      <c r="C4">
        <v>60.035564422607422</v>
      </c>
    </row>
    <row r="5" spans="1:3" x14ac:dyDescent="0.2">
      <c r="A5" t="s">
        <v>12</v>
      </c>
      <c r="B5">
        <v>2022</v>
      </c>
      <c r="C5">
        <v>23.656223297119141</v>
      </c>
    </row>
    <row r="6" spans="1:3" x14ac:dyDescent="0.2">
      <c r="A6" t="s">
        <v>13</v>
      </c>
      <c r="B6">
        <v>2023</v>
      </c>
      <c r="C6">
        <v>38.194869995117188</v>
      </c>
    </row>
    <row r="7" spans="1:3" x14ac:dyDescent="0.2">
      <c r="A7" t="s">
        <v>14</v>
      </c>
      <c r="B7">
        <v>2023</v>
      </c>
      <c r="C7">
        <v>70.624214172363281</v>
      </c>
    </row>
    <row r="8" spans="1:3" x14ac:dyDescent="0.2">
      <c r="A8" t="s">
        <v>12</v>
      </c>
      <c r="B8">
        <v>2023</v>
      </c>
      <c r="C8">
        <v>20.327997207641602</v>
      </c>
    </row>
    <row r="9" spans="1:3" x14ac:dyDescent="0.2">
      <c r="A9" t="s">
        <v>4</v>
      </c>
      <c r="B9">
        <v>2023</v>
      </c>
      <c r="C9">
        <v>38.200382232666023</v>
      </c>
    </row>
    <row r="10" spans="1:3" x14ac:dyDescent="0.2">
      <c r="A10" t="s">
        <v>13</v>
      </c>
      <c r="B10">
        <v>2024</v>
      </c>
      <c r="C10">
        <v>48.179405212402337</v>
      </c>
    </row>
    <row r="11" spans="1:3" x14ac:dyDescent="0.2">
      <c r="A11" t="s">
        <v>12</v>
      </c>
      <c r="B11">
        <v>2024</v>
      </c>
      <c r="C11">
        <v>20.761627197265621</v>
      </c>
    </row>
    <row r="12" spans="1:3" x14ac:dyDescent="0.2">
      <c r="A12" t="s">
        <v>14</v>
      </c>
      <c r="B12">
        <v>2024</v>
      </c>
      <c r="C12">
        <v>85.0101318359375</v>
      </c>
    </row>
    <row r="13" spans="1:3" x14ac:dyDescent="0.2">
      <c r="A13" t="s">
        <v>4</v>
      </c>
      <c r="B13">
        <v>2024</v>
      </c>
      <c r="C13">
        <v>40.914741516113281</v>
      </c>
    </row>
    <row r="14" spans="1:3" x14ac:dyDescent="0.2">
      <c r="A14" t="s">
        <v>13</v>
      </c>
      <c r="B14">
        <v>2025</v>
      </c>
      <c r="C14">
        <v>59.671684265136719</v>
      </c>
    </row>
    <row r="15" spans="1:3" x14ac:dyDescent="0.2">
      <c r="A15" t="s">
        <v>14</v>
      </c>
      <c r="B15">
        <v>2025</v>
      </c>
      <c r="C15">
        <v>116.8029327392578</v>
      </c>
    </row>
    <row r="16" spans="1:3" x14ac:dyDescent="0.2">
      <c r="A16" t="s">
        <v>12</v>
      </c>
      <c r="B16">
        <v>2025</v>
      </c>
      <c r="C16">
        <v>22.9471549987793</v>
      </c>
    </row>
    <row r="17" spans="1:3" x14ac:dyDescent="0.2">
      <c r="A17" t="s">
        <v>4</v>
      </c>
      <c r="B17">
        <v>2025</v>
      </c>
      <c r="C17" s="12">
        <v>45.179470062255859</v>
      </c>
    </row>
    <row r="18" spans="1:3" x14ac:dyDescent="0.2">
      <c r="A18" t="s">
        <v>12</v>
      </c>
      <c r="B18">
        <v>2026</v>
      </c>
      <c r="C18">
        <v>47.040000915527337</v>
      </c>
    </row>
    <row r="19" spans="1:3" x14ac:dyDescent="0.2">
      <c r="A19" t="s">
        <v>4</v>
      </c>
      <c r="B19">
        <v>2026</v>
      </c>
      <c r="C19">
        <v>71.430000305175781</v>
      </c>
    </row>
    <row r="20" spans="1:3" x14ac:dyDescent="0.2">
      <c r="A20" t="s">
        <v>13</v>
      </c>
      <c r="B20">
        <v>2026</v>
      </c>
      <c r="C20">
        <v>99.680000305175781</v>
      </c>
    </row>
    <row r="21" spans="1:3" x14ac:dyDescent="0.2">
      <c r="A21" t="s">
        <v>14</v>
      </c>
      <c r="B21">
        <v>2026</v>
      </c>
      <c r="C21">
        <v>188.11000061035159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6542-1C11-2E4F-BD83-7CD9D52211A0}">
  <sheetPr filterMode="1"/>
  <dimension ref="A1:B1187"/>
  <sheetViews>
    <sheetView topLeftCell="A1167" workbookViewId="0">
      <selection activeCell="E1014" sqref="E1014"/>
    </sheetView>
  </sheetViews>
  <sheetFormatPr baseColWidth="10" defaultRowHeight="15" x14ac:dyDescent="0.2"/>
  <cols>
    <col min="1" max="1" width="19.5" customWidth="1"/>
    <col min="2" max="2" width="22" customWidth="1"/>
  </cols>
  <sheetData>
    <row r="1" spans="1:2" x14ac:dyDescent="0.2">
      <c r="A1" s="1" t="s">
        <v>23</v>
      </c>
      <c r="B1" s="1" t="s">
        <v>24</v>
      </c>
    </row>
    <row r="2" spans="1:2" hidden="1" x14ac:dyDescent="0.2">
      <c r="A2" s="2">
        <v>44564</v>
      </c>
      <c r="B2">
        <v>76.080001831054688</v>
      </c>
    </row>
    <row r="3" spans="1:2" hidden="1" x14ac:dyDescent="0.2">
      <c r="A3" s="2">
        <v>44565</v>
      </c>
      <c r="B3">
        <v>76.989997863769531</v>
      </c>
    </row>
    <row r="4" spans="1:2" hidden="1" x14ac:dyDescent="0.2">
      <c r="A4" s="2">
        <v>44566</v>
      </c>
      <c r="B4">
        <v>77.849998474121094</v>
      </c>
    </row>
    <row r="5" spans="1:2" hidden="1" x14ac:dyDescent="0.2">
      <c r="A5" s="2">
        <v>44567</v>
      </c>
      <c r="B5">
        <v>79.459999084472656</v>
      </c>
    </row>
    <row r="6" spans="1:2" hidden="1" x14ac:dyDescent="0.2">
      <c r="A6" s="2">
        <v>44568</v>
      </c>
      <c r="B6">
        <v>78.900001525878906</v>
      </c>
    </row>
    <row r="7" spans="1:2" hidden="1" x14ac:dyDescent="0.2">
      <c r="A7" s="2">
        <v>44571</v>
      </c>
      <c r="B7">
        <v>78.230003356933594</v>
      </c>
    </row>
    <row r="8" spans="1:2" hidden="1" x14ac:dyDescent="0.2">
      <c r="A8" s="2">
        <v>44572</v>
      </c>
      <c r="B8">
        <v>81.220001220703125</v>
      </c>
    </row>
    <row r="9" spans="1:2" hidden="1" x14ac:dyDescent="0.2">
      <c r="A9" s="2">
        <v>44573</v>
      </c>
      <c r="B9">
        <v>82.639999389648438</v>
      </c>
    </row>
    <row r="10" spans="1:2" hidden="1" x14ac:dyDescent="0.2">
      <c r="A10" s="2">
        <v>44574</v>
      </c>
      <c r="B10">
        <v>82.120002746582031</v>
      </c>
    </row>
    <row r="11" spans="1:2" hidden="1" x14ac:dyDescent="0.2">
      <c r="A11" s="2">
        <v>44575</v>
      </c>
      <c r="B11">
        <v>83.819999694824219</v>
      </c>
    </row>
    <row r="12" spans="1:2" hidden="1" x14ac:dyDescent="0.2">
      <c r="A12" s="2">
        <v>44579</v>
      </c>
      <c r="B12">
        <v>85.430000305175781</v>
      </c>
    </row>
    <row r="13" spans="1:2" hidden="1" x14ac:dyDescent="0.2">
      <c r="A13" s="2">
        <v>44580</v>
      </c>
      <c r="B13">
        <v>86.959999084472656</v>
      </c>
    </row>
    <row r="14" spans="1:2" hidden="1" x14ac:dyDescent="0.2">
      <c r="A14" s="2">
        <v>44581</v>
      </c>
      <c r="B14">
        <v>86.900001525878906</v>
      </c>
    </row>
    <row r="15" spans="1:2" hidden="1" x14ac:dyDescent="0.2">
      <c r="A15" s="2">
        <v>44582</v>
      </c>
      <c r="B15">
        <v>85.139999389648438</v>
      </c>
    </row>
    <row r="16" spans="1:2" hidden="1" x14ac:dyDescent="0.2">
      <c r="A16" s="2">
        <v>44585</v>
      </c>
      <c r="B16">
        <v>83.30999755859375</v>
      </c>
    </row>
    <row r="17" spans="1:2" hidden="1" x14ac:dyDescent="0.2">
      <c r="A17" s="2">
        <v>44586</v>
      </c>
      <c r="B17">
        <v>85.599998474121094</v>
      </c>
    </row>
    <row r="18" spans="1:2" hidden="1" x14ac:dyDescent="0.2">
      <c r="A18" s="2">
        <v>44587</v>
      </c>
      <c r="B18">
        <v>87.349998474121094</v>
      </c>
    </row>
    <row r="19" spans="1:2" hidden="1" x14ac:dyDescent="0.2">
      <c r="A19" s="2">
        <v>44588</v>
      </c>
      <c r="B19">
        <v>86.610000610351562</v>
      </c>
    </row>
    <row r="20" spans="1:2" hidden="1" x14ac:dyDescent="0.2">
      <c r="A20" s="2">
        <v>44589</v>
      </c>
      <c r="B20">
        <v>86.819999694824219</v>
      </c>
    </row>
    <row r="21" spans="1:2" hidden="1" x14ac:dyDescent="0.2">
      <c r="A21" s="2">
        <v>44592</v>
      </c>
      <c r="B21">
        <v>88.150001525878906</v>
      </c>
    </row>
    <row r="22" spans="1:2" hidden="1" x14ac:dyDescent="0.2">
      <c r="A22" s="2">
        <v>44593</v>
      </c>
      <c r="B22">
        <v>88.199996948242188</v>
      </c>
    </row>
    <row r="23" spans="1:2" hidden="1" x14ac:dyDescent="0.2">
      <c r="A23" s="2">
        <v>44594</v>
      </c>
      <c r="B23">
        <v>88.260002136230469</v>
      </c>
    </row>
    <row r="24" spans="1:2" hidden="1" x14ac:dyDescent="0.2">
      <c r="A24" s="2">
        <v>44595</v>
      </c>
      <c r="B24">
        <v>90.269996643066406</v>
      </c>
    </row>
    <row r="25" spans="1:2" hidden="1" x14ac:dyDescent="0.2">
      <c r="A25" s="2">
        <v>44596</v>
      </c>
      <c r="B25">
        <v>92.30999755859375</v>
      </c>
    </row>
    <row r="26" spans="1:2" hidden="1" x14ac:dyDescent="0.2">
      <c r="A26" s="2">
        <v>44599</v>
      </c>
      <c r="B26">
        <v>91.319999694824219</v>
      </c>
    </row>
    <row r="27" spans="1:2" hidden="1" x14ac:dyDescent="0.2">
      <c r="A27" s="2">
        <v>44600</v>
      </c>
      <c r="B27">
        <v>89.360000610351562</v>
      </c>
    </row>
    <row r="28" spans="1:2" hidden="1" x14ac:dyDescent="0.2">
      <c r="A28" s="2">
        <v>44601</v>
      </c>
      <c r="B28">
        <v>89.660003662109375</v>
      </c>
    </row>
    <row r="29" spans="1:2" hidden="1" x14ac:dyDescent="0.2">
      <c r="A29" s="2">
        <v>44602</v>
      </c>
      <c r="B29">
        <v>89.879997253417969</v>
      </c>
    </row>
    <row r="30" spans="1:2" hidden="1" x14ac:dyDescent="0.2">
      <c r="A30" s="2">
        <v>44603</v>
      </c>
      <c r="B30">
        <v>93.099998474121094</v>
      </c>
    </row>
    <row r="31" spans="1:2" hidden="1" x14ac:dyDescent="0.2">
      <c r="A31" s="2">
        <v>44606</v>
      </c>
      <c r="B31">
        <v>95.459999084472656</v>
      </c>
    </row>
    <row r="32" spans="1:2" hidden="1" x14ac:dyDescent="0.2">
      <c r="A32" s="2">
        <v>44607</v>
      </c>
      <c r="B32">
        <v>92.069999694824219</v>
      </c>
    </row>
    <row r="33" spans="1:2" hidden="1" x14ac:dyDescent="0.2">
      <c r="A33" s="2">
        <v>44608</v>
      </c>
      <c r="B33">
        <v>93.660003662109375</v>
      </c>
    </row>
    <row r="34" spans="1:2" hidden="1" x14ac:dyDescent="0.2">
      <c r="A34" s="2">
        <v>44609</v>
      </c>
      <c r="B34">
        <v>91.760002136230469</v>
      </c>
    </row>
    <row r="35" spans="1:2" hidden="1" x14ac:dyDescent="0.2">
      <c r="A35" s="2">
        <v>44610</v>
      </c>
      <c r="B35">
        <v>91.069999694824219</v>
      </c>
    </row>
    <row r="36" spans="1:2" hidden="1" x14ac:dyDescent="0.2">
      <c r="A36" s="2">
        <v>44614</v>
      </c>
      <c r="B36">
        <v>92.349998474121094</v>
      </c>
    </row>
    <row r="37" spans="1:2" hidden="1" x14ac:dyDescent="0.2">
      <c r="A37" s="2">
        <v>44615</v>
      </c>
      <c r="B37">
        <v>92.099998474121094</v>
      </c>
    </row>
    <row r="38" spans="1:2" hidden="1" x14ac:dyDescent="0.2">
      <c r="A38" s="2">
        <v>44616</v>
      </c>
      <c r="B38">
        <v>92.80999755859375</v>
      </c>
    </row>
    <row r="39" spans="1:2" hidden="1" x14ac:dyDescent="0.2">
      <c r="A39" s="2">
        <v>44617</v>
      </c>
      <c r="B39">
        <v>91.589996337890625</v>
      </c>
    </row>
    <row r="40" spans="1:2" hidden="1" x14ac:dyDescent="0.2">
      <c r="A40" s="2">
        <v>44620</v>
      </c>
      <c r="B40">
        <v>95.720001220703125</v>
      </c>
    </row>
    <row r="41" spans="1:2" hidden="1" x14ac:dyDescent="0.2">
      <c r="A41" s="2">
        <v>44621</v>
      </c>
      <c r="B41">
        <v>103.4100036621094</v>
      </c>
    </row>
    <row r="42" spans="1:2" hidden="1" x14ac:dyDescent="0.2">
      <c r="A42" s="2">
        <v>44622</v>
      </c>
      <c r="B42">
        <v>110.59999847412109</v>
      </c>
    </row>
    <row r="43" spans="1:2" hidden="1" x14ac:dyDescent="0.2">
      <c r="A43" s="2">
        <v>44623</v>
      </c>
      <c r="B43">
        <v>107.6699981689453</v>
      </c>
    </row>
    <row r="44" spans="1:2" hidden="1" x14ac:dyDescent="0.2">
      <c r="A44" s="2">
        <v>44624</v>
      </c>
      <c r="B44">
        <v>115.6800003051758</v>
      </c>
    </row>
    <row r="45" spans="1:2" hidden="1" x14ac:dyDescent="0.2">
      <c r="A45" s="2">
        <v>44627</v>
      </c>
      <c r="B45">
        <v>119.40000152587891</v>
      </c>
    </row>
    <row r="46" spans="1:2" hidden="1" x14ac:dyDescent="0.2">
      <c r="A46" s="2">
        <v>44628</v>
      </c>
      <c r="B46">
        <v>123.6999969482422</v>
      </c>
    </row>
    <row r="47" spans="1:2" hidden="1" x14ac:dyDescent="0.2">
      <c r="A47" s="2">
        <v>44629</v>
      </c>
      <c r="B47">
        <v>108.6999969482422</v>
      </c>
    </row>
    <row r="48" spans="1:2" hidden="1" x14ac:dyDescent="0.2">
      <c r="A48" s="2">
        <v>44630</v>
      </c>
      <c r="B48">
        <v>106.01999664306641</v>
      </c>
    </row>
    <row r="49" spans="1:2" hidden="1" x14ac:dyDescent="0.2">
      <c r="A49" s="2">
        <v>44631</v>
      </c>
      <c r="B49">
        <v>109.3300018310547</v>
      </c>
    </row>
    <row r="50" spans="1:2" hidden="1" x14ac:dyDescent="0.2">
      <c r="A50" s="2">
        <v>44634</v>
      </c>
      <c r="B50">
        <v>103.0100021362305</v>
      </c>
    </row>
    <row r="51" spans="1:2" hidden="1" x14ac:dyDescent="0.2">
      <c r="A51" s="2">
        <v>44635</v>
      </c>
      <c r="B51">
        <v>96.44000244140625</v>
      </c>
    </row>
    <row r="52" spans="1:2" hidden="1" x14ac:dyDescent="0.2">
      <c r="A52" s="2">
        <v>44636</v>
      </c>
      <c r="B52">
        <v>95.040000915527344</v>
      </c>
    </row>
    <row r="53" spans="1:2" hidden="1" x14ac:dyDescent="0.2">
      <c r="A53" s="2">
        <v>44637</v>
      </c>
      <c r="B53">
        <v>102.98000335693359</v>
      </c>
    </row>
    <row r="54" spans="1:2" hidden="1" x14ac:dyDescent="0.2">
      <c r="A54" s="2">
        <v>44638</v>
      </c>
      <c r="B54">
        <v>104.6999969482422</v>
      </c>
    </row>
    <row r="55" spans="1:2" hidden="1" x14ac:dyDescent="0.2">
      <c r="A55" s="2">
        <v>44641</v>
      </c>
      <c r="B55">
        <v>112.120002746582</v>
      </c>
    </row>
    <row r="56" spans="1:2" hidden="1" x14ac:dyDescent="0.2">
      <c r="A56" s="2">
        <v>44642</v>
      </c>
      <c r="B56">
        <v>111.7600021362305</v>
      </c>
    </row>
    <row r="57" spans="1:2" hidden="1" x14ac:dyDescent="0.2">
      <c r="A57" s="2">
        <v>44643</v>
      </c>
      <c r="B57">
        <v>114.9300003051758</v>
      </c>
    </row>
    <row r="58" spans="1:2" hidden="1" x14ac:dyDescent="0.2">
      <c r="A58" s="2">
        <v>44644</v>
      </c>
      <c r="B58">
        <v>112.3399963378906</v>
      </c>
    </row>
    <row r="59" spans="1:2" hidden="1" x14ac:dyDescent="0.2">
      <c r="A59" s="2">
        <v>44645</v>
      </c>
      <c r="B59">
        <v>113.90000152587891</v>
      </c>
    </row>
    <row r="60" spans="1:2" hidden="1" x14ac:dyDescent="0.2">
      <c r="A60" s="2">
        <v>44648</v>
      </c>
      <c r="B60">
        <v>105.9599990844727</v>
      </c>
    </row>
    <row r="61" spans="1:2" hidden="1" x14ac:dyDescent="0.2">
      <c r="A61" s="2">
        <v>44649</v>
      </c>
      <c r="B61">
        <v>104.2399978637695</v>
      </c>
    </row>
    <row r="62" spans="1:2" hidden="1" x14ac:dyDescent="0.2">
      <c r="A62" s="2">
        <v>44650</v>
      </c>
      <c r="B62">
        <v>107.8199996948242</v>
      </c>
    </row>
    <row r="63" spans="1:2" hidden="1" x14ac:dyDescent="0.2">
      <c r="A63" s="2">
        <v>44651</v>
      </c>
      <c r="B63">
        <v>100.2799987792969</v>
      </c>
    </row>
    <row r="64" spans="1:2" hidden="1" x14ac:dyDescent="0.2">
      <c r="A64" s="2">
        <v>44652</v>
      </c>
      <c r="B64">
        <v>99.269996643066406</v>
      </c>
    </row>
    <row r="65" spans="1:2" hidden="1" x14ac:dyDescent="0.2">
      <c r="A65" s="2">
        <v>44655</v>
      </c>
      <c r="B65">
        <v>103.2799987792969</v>
      </c>
    </row>
    <row r="66" spans="1:2" hidden="1" x14ac:dyDescent="0.2">
      <c r="A66" s="2">
        <v>44656</v>
      </c>
      <c r="B66">
        <v>101.9599990844727</v>
      </c>
    </row>
    <row r="67" spans="1:2" hidden="1" x14ac:dyDescent="0.2">
      <c r="A67" s="2">
        <v>44657</v>
      </c>
      <c r="B67">
        <v>96.230003356933594</v>
      </c>
    </row>
    <row r="68" spans="1:2" hidden="1" x14ac:dyDescent="0.2">
      <c r="A68" s="2">
        <v>44658</v>
      </c>
      <c r="B68">
        <v>96.029998779296875</v>
      </c>
    </row>
    <row r="69" spans="1:2" hidden="1" x14ac:dyDescent="0.2">
      <c r="A69" s="2">
        <v>44659</v>
      </c>
      <c r="B69">
        <v>98.260002136230469</v>
      </c>
    </row>
    <row r="70" spans="1:2" hidden="1" x14ac:dyDescent="0.2">
      <c r="A70" s="2">
        <v>44662</v>
      </c>
      <c r="B70">
        <v>94.290000915527344</v>
      </c>
    </row>
    <row r="71" spans="1:2" hidden="1" x14ac:dyDescent="0.2">
      <c r="A71" s="2">
        <v>44663</v>
      </c>
      <c r="B71">
        <v>100.59999847412109</v>
      </c>
    </row>
    <row r="72" spans="1:2" hidden="1" x14ac:dyDescent="0.2">
      <c r="A72" s="2">
        <v>44664</v>
      </c>
      <c r="B72">
        <v>104.25</v>
      </c>
    </row>
    <row r="73" spans="1:2" hidden="1" x14ac:dyDescent="0.2">
      <c r="A73" s="2">
        <v>44665</v>
      </c>
      <c r="B73">
        <v>106.9499969482422</v>
      </c>
    </row>
    <row r="74" spans="1:2" hidden="1" x14ac:dyDescent="0.2">
      <c r="A74" s="2">
        <v>44669</v>
      </c>
      <c r="B74">
        <v>108.2099990844727</v>
      </c>
    </row>
    <row r="75" spans="1:2" hidden="1" x14ac:dyDescent="0.2">
      <c r="A75" s="2">
        <v>44670</v>
      </c>
      <c r="B75">
        <v>102.55999755859381</v>
      </c>
    </row>
    <row r="76" spans="1:2" hidden="1" x14ac:dyDescent="0.2">
      <c r="A76" s="2">
        <v>44671</v>
      </c>
      <c r="B76">
        <v>102.75</v>
      </c>
    </row>
    <row r="77" spans="1:2" hidden="1" x14ac:dyDescent="0.2">
      <c r="A77" s="2">
        <v>44672</v>
      </c>
      <c r="B77">
        <v>103.7900009155273</v>
      </c>
    </row>
    <row r="78" spans="1:2" hidden="1" x14ac:dyDescent="0.2">
      <c r="A78" s="2">
        <v>44673</v>
      </c>
      <c r="B78">
        <v>102.0699996948242</v>
      </c>
    </row>
    <row r="79" spans="1:2" hidden="1" x14ac:dyDescent="0.2">
      <c r="A79" s="2">
        <v>44676</v>
      </c>
      <c r="B79">
        <v>98.540000915527344</v>
      </c>
    </row>
    <row r="80" spans="1:2" hidden="1" x14ac:dyDescent="0.2">
      <c r="A80" s="2">
        <v>44677</v>
      </c>
      <c r="B80">
        <v>101.6999969482422</v>
      </c>
    </row>
    <row r="81" spans="1:2" hidden="1" x14ac:dyDescent="0.2">
      <c r="A81" s="2">
        <v>44678</v>
      </c>
      <c r="B81">
        <v>102.01999664306641</v>
      </c>
    </row>
    <row r="82" spans="1:2" hidden="1" x14ac:dyDescent="0.2">
      <c r="A82" s="2">
        <v>44679</v>
      </c>
      <c r="B82">
        <v>105.36000061035161</v>
      </c>
    </row>
    <row r="83" spans="1:2" hidden="1" x14ac:dyDescent="0.2">
      <c r="A83" s="2">
        <v>44680</v>
      </c>
      <c r="B83">
        <v>104.69000244140619</v>
      </c>
    </row>
    <row r="84" spans="1:2" hidden="1" x14ac:dyDescent="0.2">
      <c r="A84" s="2">
        <v>44683</v>
      </c>
      <c r="B84">
        <v>105.1699981689453</v>
      </c>
    </row>
    <row r="85" spans="1:2" hidden="1" x14ac:dyDescent="0.2">
      <c r="A85" s="2">
        <v>44684</v>
      </c>
      <c r="B85">
        <v>102.4100036621094</v>
      </c>
    </row>
    <row r="86" spans="1:2" hidden="1" x14ac:dyDescent="0.2">
      <c r="A86" s="2">
        <v>44685</v>
      </c>
      <c r="B86">
        <v>107.80999755859381</v>
      </c>
    </row>
    <row r="87" spans="1:2" hidden="1" x14ac:dyDescent="0.2">
      <c r="A87" s="2">
        <v>44686</v>
      </c>
      <c r="B87">
        <v>108.2600021362305</v>
      </c>
    </row>
    <row r="88" spans="1:2" hidden="1" x14ac:dyDescent="0.2">
      <c r="A88" s="2">
        <v>44687</v>
      </c>
      <c r="B88">
        <v>109.76999664306641</v>
      </c>
    </row>
    <row r="89" spans="1:2" hidden="1" x14ac:dyDescent="0.2">
      <c r="A89" s="2">
        <v>44690</v>
      </c>
      <c r="B89">
        <v>103.0899963378906</v>
      </c>
    </row>
    <row r="90" spans="1:2" hidden="1" x14ac:dyDescent="0.2">
      <c r="A90" s="2">
        <v>44691</v>
      </c>
      <c r="B90">
        <v>99.760002136230469</v>
      </c>
    </row>
    <row r="91" spans="1:2" hidden="1" x14ac:dyDescent="0.2">
      <c r="A91" s="2">
        <v>44692</v>
      </c>
      <c r="B91">
        <v>105.7099990844727</v>
      </c>
    </row>
    <row r="92" spans="1:2" hidden="1" x14ac:dyDescent="0.2">
      <c r="A92" s="2">
        <v>44693</v>
      </c>
      <c r="B92">
        <v>106.129997253418</v>
      </c>
    </row>
    <row r="93" spans="1:2" hidden="1" x14ac:dyDescent="0.2">
      <c r="A93" s="2">
        <v>44694</v>
      </c>
      <c r="B93">
        <v>110.4899978637695</v>
      </c>
    </row>
    <row r="94" spans="1:2" hidden="1" x14ac:dyDescent="0.2">
      <c r="A94" s="2">
        <v>44697</v>
      </c>
      <c r="B94">
        <v>114.1999969482422</v>
      </c>
    </row>
    <row r="95" spans="1:2" hidden="1" x14ac:dyDescent="0.2">
      <c r="A95" s="2">
        <v>44698</v>
      </c>
      <c r="B95">
        <v>112.40000152587891</v>
      </c>
    </row>
    <row r="96" spans="1:2" hidden="1" x14ac:dyDescent="0.2">
      <c r="A96" s="2">
        <v>44699</v>
      </c>
      <c r="B96">
        <v>109.5899963378906</v>
      </c>
    </row>
    <row r="97" spans="1:2" hidden="1" x14ac:dyDescent="0.2">
      <c r="A97" s="2">
        <v>44700</v>
      </c>
      <c r="B97">
        <v>112.2099990844727</v>
      </c>
    </row>
    <row r="98" spans="1:2" hidden="1" x14ac:dyDescent="0.2">
      <c r="A98" s="2">
        <v>44701</v>
      </c>
      <c r="B98">
        <v>113.23000335693359</v>
      </c>
    </row>
    <row r="99" spans="1:2" hidden="1" x14ac:dyDescent="0.2">
      <c r="A99" s="2">
        <v>44704</v>
      </c>
      <c r="B99">
        <v>110.2900009155273</v>
      </c>
    </row>
    <row r="100" spans="1:2" hidden="1" x14ac:dyDescent="0.2">
      <c r="A100" s="2">
        <v>44705</v>
      </c>
      <c r="B100">
        <v>109.76999664306641</v>
      </c>
    </row>
    <row r="101" spans="1:2" hidden="1" x14ac:dyDescent="0.2">
      <c r="A101" s="2">
        <v>44706</v>
      </c>
      <c r="B101">
        <v>110.3300018310547</v>
      </c>
    </row>
    <row r="102" spans="1:2" hidden="1" x14ac:dyDescent="0.2">
      <c r="A102" s="2">
        <v>44707</v>
      </c>
      <c r="B102">
        <v>114.0899963378906</v>
      </c>
    </row>
    <row r="103" spans="1:2" hidden="1" x14ac:dyDescent="0.2">
      <c r="A103" s="2">
        <v>44708</v>
      </c>
      <c r="B103">
        <v>115.0699996948242</v>
      </c>
    </row>
    <row r="104" spans="1:2" hidden="1" x14ac:dyDescent="0.2">
      <c r="A104" s="2">
        <v>44712</v>
      </c>
      <c r="B104">
        <v>114.6699981689453</v>
      </c>
    </row>
    <row r="105" spans="1:2" hidden="1" x14ac:dyDescent="0.2">
      <c r="A105" s="2">
        <v>44713</v>
      </c>
      <c r="B105">
        <v>115.2600021362305</v>
      </c>
    </row>
    <row r="106" spans="1:2" hidden="1" x14ac:dyDescent="0.2">
      <c r="A106" s="2">
        <v>44714</v>
      </c>
      <c r="B106">
        <v>116.870002746582</v>
      </c>
    </row>
    <row r="107" spans="1:2" hidden="1" x14ac:dyDescent="0.2">
      <c r="A107" s="2">
        <v>44715</v>
      </c>
      <c r="B107">
        <v>118.870002746582</v>
      </c>
    </row>
    <row r="108" spans="1:2" hidden="1" x14ac:dyDescent="0.2">
      <c r="A108" s="2">
        <v>44718</v>
      </c>
      <c r="B108">
        <v>118.5</v>
      </c>
    </row>
    <row r="109" spans="1:2" hidden="1" x14ac:dyDescent="0.2">
      <c r="A109" s="2">
        <v>44719</v>
      </c>
      <c r="B109">
        <v>119.4100036621094</v>
      </c>
    </row>
    <row r="110" spans="1:2" hidden="1" x14ac:dyDescent="0.2">
      <c r="A110" s="2">
        <v>44720</v>
      </c>
      <c r="B110">
        <v>122.11000061035161</v>
      </c>
    </row>
    <row r="111" spans="1:2" hidden="1" x14ac:dyDescent="0.2">
      <c r="A111" s="2">
        <v>44721</v>
      </c>
      <c r="B111">
        <v>121.5100021362305</v>
      </c>
    </row>
    <row r="112" spans="1:2" hidden="1" x14ac:dyDescent="0.2">
      <c r="A112" s="2">
        <v>44722</v>
      </c>
      <c r="B112">
        <v>120.6699981689453</v>
      </c>
    </row>
    <row r="113" spans="1:2" hidden="1" x14ac:dyDescent="0.2">
      <c r="A113" s="2">
        <v>44725</v>
      </c>
      <c r="B113">
        <v>120.9300003051758</v>
      </c>
    </row>
    <row r="114" spans="1:2" hidden="1" x14ac:dyDescent="0.2">
      <c r="A114" s="2">
        <v>44726</v>
      </c>
      <c r="B114">
        <v>118.9300003051758</v>
      </c>
    </row>
    <row r="115" spans="1:2" hidden="1" x14ac:dyDescent="0.2">
      <c r="A115" s="2">
        <v>44727</v>
      </c>
      <c r="B115">
        <v>115.30999755859381</v>
      </c>
    </row>
    <row r="116" spans="1:2" hidden="1" x14ac:dyDescent="0.2">
      <c r="A116" s="2">
        <v>44728</v>
      </c>
      <c r="B116">
        <v>117.5899963378906</v>
      </c>
    </row>
    <row r="117" spans="1:2" hidden="1" x14ac:dyDescent="0.2">
      <c r="A117" s="2">
        <v>44729</v>
      </c>
      <c r="B117">
        <v>109.55999755859381</v>
      </c>
    </row>
    <row r="118" spans="1:2" hidden="1" x14ac:dyDescent="0.2">
      <c r="A118" s="2">
        <v>44733</v>
      </c>
      <c r="B118">
        <v>110.65000152587891</v>
      </c>
    </row>
    <row r="119" spans="1:2" hidden="1" x14ac:dyDescent="0.2">
      <c r="A119" s="2">
        <v>44734</v>
      </c>
      <c r="B119">
        <v>106.19000244140619</v>
      </c>
    </row>
    <row r="120" spans="1:2" hidden="1" x14ac:dyDescent="0.2">
      <c r="A120" s="2">
        <v>44735</v>
      </c>
      <c r="B120">
        <v>104.26999664306641</v>
      </c>
    </row>
    <row r="121" spans="1:2" hidden="1" x14ac:dyDescent="0.2">
      <c r="A121" s="2">
        <v>44736</v>
      </c>
      <c r="B121">
        <v>107.620002746582</v>
      </c>
    </row>
    <row r="122" spans="1:2" hidden="1" x14ac:dyDescent="0.2">
      <c r="A122" s="2">
        <v>44739</v>
      </c>
      <c r="B122">
        <v>109.5699996948242</v>
      </c>
    </row>
    <row r="123" spans="1:2" hidden="1" x14ac:dyDescent="0.2">
      <c r="A123" s="2">
        <v>44740</v>
      </c>
      <c r="B123">
        <v>111.7600021362305</v>
      </c>
    </row>
    <row r="124" spans="1:2" hidden="1" x14ac:dyDescent="0.2">
      <c r="A124" s="2">
        <v>44741</v>
      </c>
      <c r="B124">
        <v>109.7799987792969</v>
      </c>
    </row>
    <row r="125" spans="1:2" hidden="1" x14ac:dyDescent="0.2">
      <c r="A125" s="2">
        <v>44742</v>
      </c>
      <c r="B125">
        <v>105.7600021362305</v>
      </c>
    </row>
    <row r="126" spans="1:2" hidden="1" x14ac:dyDescent="0.2">
      <c r="A126" s="2">
        <v>44743</v>
      </c>
      <c r="B126">
        <v>108.4300003051758</v>
      </c>
    </row>
    <row r="127" spans="1:2" hidden="1" x14ac:dyDescent="0.2">
      <c r="A127" s="2">
        <v>44747</v>
      </c>
      <c r="B127">
        <v>99.5</v>
      </c>
    </row>
    <row r="128" spans="1:2" hidden="1" x14ac:dyDescent="0.2">
      <c r="A128" s="2">
        <v>44748</v>
      </c>
      <c r="B128">
        <v>98.529998779296875</v>
      </c>
    </row>
    <row r="129" spans="1:2" hidden="1" x14ac:dyDescent="0.2">
      <c r="A129" s="2">
        <v>44749</v>
      </c>
      <c r="B129">
        <v>102.73000335693359</v>
      </c>
    </row>
    <row r="130" spans="1:2" hidden="1" x14ac:dyDescent="0.2">
      <c r="A130" s="2">
        <v>44750</v>
      </c>
      <c r="B130">
        <v>104.7900009155273</v>
      </c>
    </row>
    <row r="131" spans="1:2" hidden="1" x14ac:dyDescent="0.2">
      <c r="A131" s="2">
        <v>44753</v>
      </c>
      <c r="B131">
        <v>104.0899963378906</v>
      </c>
    </row>
    <row r="132" spans="1:2" hidden="1" x14ac:dyDescent="0.2">
      <c r="A132" s="2">
        <v>44754</v>
      </c>
      <c r="B132">
        <v>95.839996337890625</v>
      </c>
    </row>
    <row r="133" spans="1:2" hidden="1" x14ac:dyDescent="0.2">
      <c r="A133" s="2">
        <v>44755</v>
      </c>
      <c r="B133">
        <v>96.300003051757812</v>
      </c>
    </row>
    <row r="134" spans="1:2" hidden="1" x14ac:dyDescent="0.2">
      <c r="A134" s="2">
        <v>44756</v>
      </c>
      <c r="B134">
        <v>95.779998779296875</v>
      </c>
    </row>
    <row r="135" spans="1:2" hidden="1" x14ac:dyDescent="0.2">
      <c r="A135" s="2">
        <v>44757</v>
      </c>
      <c r="B135">
        <v>97.589996337890625</v>
      </c>
    </row>
    <row r="136" spans="1:2" hidden="1" x14ac:dyDescent="0.2">
      <c r="A136" s="2">
        <v>44760</v>
      </c>
      <c r="B136">
        <v>102.59999847412109</v>
      </c>
    </row>
    <row r="137" spans="1:2" hidden="1" x14ac:dyDescent="0.2">
      <c r="A137" s="2">
        <v>44761</v>
      </c>
      <c r="B137">
        <v>104.2200012207031</v>
      </c>
    </row>
    <row r="138" spans="1:2" hidden="1" x14ac:dyDescent="0.2">
      <c r="A138" s="2">
        <v>44762</v>
      </c>
      <c r="B138">
        <v>102.2600021362305</v>
      </c>
    </row>
    <row r="139" spans="1:2" hidden="1" x14ac:dyDescent="0.2">
      <c r="A139" s="2">
        <v>44763</v>
      </c>
      <c r="B139">
        <v>96.349998474121094</v>
      </c>
    </row>
    <row r="140" spans="1:2" hidden="1" x14ac:dyDescent="0.2">
      <c r="A140" s="2">
        <v>44764</v>
      </c>
      <c r="B140">
        <v>94.699996948242188</v>
      </c>
    </row>
    <row r="141" spans="1:2" hidden="1" x14ac:dyDescent="0.2">
      <c r="A141" s="2">
        <v>44767</v>
      </c>
      <c r="B141">
        <v>96.699996948242188</v>
      </c>
    </row>
    <row r="142" spans="1:2" hidden="1" x14ac:dyDescent="0.2">
      <c r="A142" s="2">
        <v>44768</v>
      </c>
      <c r="B142">
        <v>94.980003356933594</v>
      </c>
    </row>
    <row r="143" spans="1:2" hidden="1" x14ac:dyDescent="0.2">
      <c r="A143" s="2">
        <v>44769</v>
      </c>
      <c r="B143">
        <v>97.260002136230469</v>
      </c>
    </row>
    <row r="144" spans="1:2" hidden="1" x14ac:dyDescent="0.2">
      <c r="A144" s="2">
        <v>44770</v>
      </c>
      <c r="B144">
        <v>96.419998168945312</v>
      </c>
    </row>
    <row r="145" spans="1:2" hidden="1" x14ac:dyDescent="0.2">
      <c r="A145" s="2">
        <v>44771</v>
      </c>
      <c r="B145">
        <v>98.620002746582031</v>
      </c>
    </row>
    <row r="146" spans="1:2" hidden="1" x14ac:dyDescent="0.2">
      <c r="A146" s="2">
        <v>44774</v>
      </c>
      <c r="B146">
        <v>93.889999389648438</v>
      </c>
    </row>
    <row r="147" spans="1:2" hidden="1" x14ac:dyDescent="0.2">
      <c r="A147" s="2">
        <v>44775</v>
      </c>
      <c r="B147">
        <v>94.419998168945312</v>
      </c>
    </row>
    <row r="148" spans="1:2" hidden="1" x14ac:dyDescent="0.2">
      <c r="A148" s="2">
        <v>44776</v>
      </c>
      <c r="B148">
        <v>90.660003662109375</v>
      </c>
    </row>
    <row r="149" spans="1:2" hidden="1" x14ac:dyDescent="0.2">
      <c r="A149" s="2">
        <v>44777</v>
      </c>
      <c r="B149">
        <v>88.540000915527344</v>
      </c>
    </row>
    <row r="150" spans="1:2" hidden="1" x14ac:dyDescent="0.2">
      <c r="A150" s="2">
        <v>44778</v>
      </c>
      <c r="B150">
        <v>89.010002136230469</v>
      </c>
    </row>
    <row r="151" spans="1:2" hidden="1" x14ac:dyDescent="0.2">
      <c r="A151" s="2">
        <v>44781</v>
      </c>
      <c r="B151">
        <v>90.760002136230469</v>
      </c>
    </row>
    <row r="152" spans="1:2" hidden="1" x14ac:dyDescent="0.2">
      <c r="A152" s="2">
        <v>44782</v>
      </c>
      <c r="B152">
        <v>90.5</v>
      </c>
    </row>
    <row r="153" spans="1:2" hidden="1" x14ac:dyDescent="0.2">
      <c r="A153" s="2">
        <v>44783</v>
      </c>
      <c r="B153">
        <v>91.930000305175781</v>
      </c>
    </row>
    <row r="154" spans="1:2" hidden="1" x14ac:dyDescent="0.2">
      <c r="A154" s="2">
        <v>44784</v>
      </c>
      <c r="B154">
        <v>94.339996337890625</v>
      </c>
    </row>
    <row r="155" spans="1:2" hidden="1" x14ac:dyDescent="0.2">
      <c r="A155" s="2">
        <v>44785</v>
      </c>
      <c r="B155">
        <v>92.089996337890625</v>
      </c>
    </row>
    <row r="156" spans="1:2" hidden="1" x14ac:dyDescent="0.2">
      <c r="A156" s="2">
        <v>44788</v>
      </c>
      <c r="B156">
        <v>89.410003662109375</v>
      </c>
    </row>
    <row r="157" spans="1:2" hidden="1" x14ac:dyDescent="0.2">
      <c r="A157" s="2">
        <v>44789</v>
      </c>
      <c r="B157">
        <v>86.529998779296875</v>
      </c>
    </row>
    <row r="158" spans="1:2" hidden="1" x14ac:dyDescent="0.2">
      <c r="A158" s="2">
        <v>44790</v>
      </c>
      <c r="B158">
        <v>88.110000610351562</v>
      </c>
    </row>
    <row r="159" spans="1:2" hidden="1" x14ac:dyDescent="0.2">
      <c r="A159" s="2">
        <v>44791</v>
      </c>
      <c r="B159">
        <v>90.5</v>
      </c>
    </row>
    <row r="160" spans="1:2" hidden="1" x14ac:dyDescent="0.2">
      <c r="A160" s="2">
        <v>44792</v>
      </c>
      <c r="B160">
        <v>90.769996643066406</v>
      </c>
    </row>
    <row r="161" spans="1:2" hidden="1" x14ac:dyDescent="0.2">
      <c r="A161" s="2">
        <v>44795</v>
      </c>
      <c r="B161">
        <v>90.230003356933594</v>
      </c>
    </row>
    <row r="162" spans="1:2" hidden="1" x14ac:dyDescent="0.2">
      <c r="A162" s="2">
        <v>44796</v>
      </c>
      <c r="B162">
        <v>93.739997863769531</v>
      </c>
    </row>
    <row r="163" spans="1:2" hidden="1" x14ac:dyDescent="0.2">
      <c r="A163" s="2">
        <v>44797</v>
      </c>
      <c r="B163">
        <v>94.889999389648438</v>
      </c>
    </row>
    <row r="164" spans="1:2" hidden="1" x14ac:dyDescent="0.2">
      <c r="A164" s="2">
        <v>44798</v>
      </c>
      <c r="B164">
        <v>92.519996643066406</v>
      </c>
    </row>
    <row r="165" spans="1:2" hidden="1" x14ac:dyDescent="0.2">
      <c r="A165" s="2">
        <v>44799</v>
      </c>
      <c r="B165">
        <v>93.05999755859375</v>
      </c>
    </row>
    <row r="166" spans="1:2" hidden="1" x14ac:dyDescent="0.2">
      <c r="A166" s="2">
        <v>44802</v>
      </c>
      <c r="B166">
        <v>97.010002136230469</v>
      </c>
    </row>
    <row r="167" spans="1:2" hidden="1" x14ac:dyDescent="0.2">
      <c r="A167" s="2">
        <v>44803</v>
      </c>
      <c r="B167">
        <v>91.639999389648438</v>
      </c>
    </row>
    <row r="168" spans="1:2" hidden="1" x14ac:dyDescent="0.2">
      <c r="A168" s="2">
        <v>44804</v>
      </c>
      <c r="B168">
        <v>89.550003051757812</v>
      </c>
    </row>
    <row r="169" spans="1:2" hidden="1" x14ac:dyDescent="0.2">
      <c r="A169" s="2">
        <v>44805</v>
      </c>
      <c r="B169">
        <v>86.610000610351562</v>
      </c>
    </row>
    <row r="170" spans="1:2" hidden="1" x14ac:dyDescent="0.2">
      <c r="A170" s="2">
        <v>44806</v>
      </c>
      <c r="B170">
        <v>86.870002746582031</v>
      </c>
    </row>
    <row r="171" spans="1:2" hidden="1" x14ac:dyDescent="0.2">
      <c r="A171" s="2">
        <v>44810</v>
      </c>
      <c r="B171">
        <v>86.879997253417969</v>
      </c>
    </row>
    <row r="172" spans="1:2" hidden="1" x14ac:dyDescent="0.2">
      <c r="A172" s="2">
        <v>44811</v>
      </c>
      <c r="B172">
        <v>81.94000244140625</v>
      </c>
    </row>
    <row r="173" spans="1:2" hidden="1" x14ac:dyDescent="0.2">
      <c r="A173" s="2">
        <v>44812</v>
      </c>
      <c r="B173">
        <v>83.540000915527344</v>
      </c>
    </row>
    <row r="174" spans="1:2" hidden="1" x14ac:dyDescent="0.2">
      <c r="A174" s="2">
        <v>44813</v>
      </c>
      <c r="B174">
        <v>86.790000915527344</v>
      </c>
    </row>
    <row r="175" spans="1:2" hidden="1" x14ac:dyDescent="0.2">
      <c r="A175" s="2">
        <v>44816</v>
      </c>
      <c r="B175">
        <v>87.779998779296875</v>
      </c>
    </row>
    <row r="176" spans="1:2" hidden="1" x14ac:dyDescent="0.2">
      <c r="A176" s="2">
        <v>44817</v>
      </c>
      <c r="B176">
        <v>87.30999755859375</v>
      </c>
    </row>
    <row r="177" spans="1:2" hidden="1" x14ac:dyDescent="0.2">
      <c r="A177" s="2">
        <v>44818</v>
      </c>
      <c r="B177">
        <v>88.480003356933594</v>
      </c>
    </row>
    <row r="178" spans="1:2" hidden="1" x14ac:dyDescent="0.2">
      <c r="A178" s="2">
        <v>44819</v>
      </c>
      <c r="B178">
        <v>85.099998474121094</v>
      </c>
    </row>
    <row r="179" spans="1:2" hidden="1" x14ac:dyDescent="0.2">
      <c r="A179" s="2">
        <v>44820</v>
      </c>
      <c r="B179">
        <v>85.110000610351562</v>
      </c>
    </row>
    <row r="180" spans="1:2" hidden="1" x14ac:dyDescent="0.2">
      <c r="A180" s="2">
        <v>44823</v>
      </c>
      <c r="B180">
        <v>85.730003356933594</v>
      </c>
    </row>
    <row r="181" spans="1:2" hidden="1" x14ac:dyDescent="0.2">
      <c r="A181" s="2">
        <v>44824</v>
      </c>
      <c r="B181">
        <v>84.449996948242188</v>
      </c>
    </row>
    <row r="182" spans="1:2" hidden="1" x14ac:dyDescent="0.2">
      <c r="A182" s="2">
        <v>44825</v>
      </c>
      <c r="B182">
        <v>82.94000244140625</v>
      </c>
    </row>
    <row r="183" spans="1:2" hidden="1" x14ac:dyDescent="0.2">
      <c r="A183" s="2">
        <v>44826</v>
      </c>
      <c r="B183">
        <v>83.489997863769531</v>
      </c>
    </row>
    <row r="184" spans="1:2" hidden="1" x14ac:dyDescent="0.2">
      <c r="A184" s="2">
        <v>44827</v>
      </c>
      <c r="B184">
        <v>78.739997863769531</v>
      </c>
    </row>
    <row r="185" spans="1:2" hidden="1" x14ac:dyDescent="0.2">
      <c r="A185" s="2">
        <v>44830</v>
      </c>
      <c r="B185">
        <v>76.709999084472656</v>
      </c>
    </row>
    <row r="186" spans="1:2" hidden="1" x14ac:dyDescent="0.2">
      <c r="A186" s="2">
        <v>44831</v>
      </c>
      <c r="B186">
        <v>78.5</v>
      </c>
    </row>
    <row r="187" spans="1:2" hidden="1" x14ac:dyDescent="0.2">
      <c r="A187" s="2">
        <v>44832</v>
      </c>
      <c r="B187">
        <v>82.150001525878906</v>
      </c>
    </row>
    <row r="188" spans="1:2" hidden="1" x14ac:dyDescent="0.2">
      <c r="A188" s="2">
        <v>44833</v>
      </c>
      <c r="B188">
        <v>81.230003356933594</v>
      </c>
    </row>
    <row r="189" spans="1:2" hidden="1" x14ac:dyDescent="0.2">
      <c r="A189" s="2">
        <v>44834</v>
      </c>
      <c r="B189">
        <v>79.489997863769531</v>
      </c>
    </row>
    <row r="190" spans="1:2" hidden="1" x14ac:dyDescent="0.2">
      <c r="A190" s="2">
        <v>44837</v>
      </c>
      <c r="B190">
        <v>83.629997253417969</v>
      </c>
    </row>
    <row r="191" spans="1:2" hidden="1" x14ac:dyDescent="0.2">
      <c r="A191" s="2">
        <v>44838</v>
      </c>
      <c r="B191">
        <v>86.519996643066406</v>
      </c>
    </row>
    <row r="192" spans="1:2" hidden="1" x14ac:dyDescent="0.2">
      <c r="A192" s="2">
        <v>44839</v>
      </c>
      <c r="B192">
        <v>87.760002136230469</v>
      </c>
    </row>
    <row r="193" spans="1:2" hidden="1" x14ac:dyDescent="0.2">
      <c r="A193" s="2">
        <v>44840</v>
      </c>
      <c r="B193">
        <v>88.449996948242188</v>
      </c>
    </row>
    <row r="194" spans="1:2" hidden="1" x14ac:dyDescent="0.2">
      <c r="A194" s="2">
        <v>44841</v>
      </c>
      <c r="B194">
        <v>92.639999389648438</v>
      </c>
    </row>
    <row r="195" spans="1:2" hidden="1" x14ac:dyDescent="0.2">
      <c r="A195" s="2">
        <v>44844</v>
      </c>
      <c r="B195">
        <v>91.129997253417969</v>
      </c>
    </row>
    <row r="196" spans="1:2" hidden="1" x14ac:dyDescent="0.2">
      <c r="A196" s="2">
        <v>44845</v>
      </c>
      <c r="B196">
        <v>89.349998474121094</v>
      </c>
    </row>
    <row r="197" spans="1:2" hidden="1" x14ac:dyDescent="0.2">
      <c r="A197" s="2">
        <v>44846</v>
      </c>
      <c r="B197">
        <v>87.269996643066406</v>
      </c>
    </row>
    <row r="198" spans="1:2" hidden="1" x14ac:dyDescent="0.2">
      <c r="A198" s="2">
        <v>44847</v>
      </c>
      <c r="B198">
        <v>89.110000610351562</v>
      </c>
    </row>
    <row r="199" spans="1:2" hidden="1" x14ac:dyDescent="0.2">
      <c r="A199" s="2">
        <v>44848</v>
      </c>
      <c r="B199">
        <v>85.610000610351562</v>
      </c>
    </row>
    <row r="200" spans="1:2" hidden="1" x14ac:dyDescent="0.2">
      <c r="A200" s="2">
        <v>44851</v>
      </c>
      <c r="B200">
        <v>85.459999084472656</v>
      </c>
    </row>
    <row r="201" spans="1:2" hidden="1" x14ac:dyDescent="0.2">
      <c r="A201" s="2">
        <v>44852</v>
      </c>
      <c r="B201">
        <v>82.819999694824219</v>
      </c>
    </row>
    <row r="202" spans="1:2" hidden="1" x14ac:dyDescent="0.2">
      <c r="A202" s="2">
        <v>44853</v>
      </c>
      <c r="B202">
        <v>85.550003051757812</v>
      </c>
    </row>
    <row r="203" spans="1:2" hidden="1" x14ac:dyDescent="0.2">
      <c r="A203" s="2">
        <v>44854</v>
      </c>
      <c r="B203">
        <v>85.980003356933594</v>
      </c>
    </row>
    <row r="204" spans="1:2" hidden="1" x14ac:dyDescent="0.2">
      <c r="A204" s="2">
        <v>44855</v>
      </c>
      <c r="B204">
        <v>85.050003051757812</v>
      </c>
    </row>
    <row r="205" spans="1:2" hidden="1" x14ac:dyDescent="0.2">
      <c r="A205" s="2">
        <v>44858</v>
      </c>
      <c r="B205">
        <v>84.580001831054688</v>
      </c>
    </row>
    <row r="206" spans="1:2" hidden="1" x14ac:dyDescent="0.2">
      <c r="A206" s="2">
        <v>44859</v>
      </c>
      <c r="B206">
        <v>85.319999694824219</v>
      </c>
    </row>
    <row r="207" spans="1:2" hidden="1" x14ac:dyDescent="0.2">
      <c r="A207" s="2">
        <v>44860</v>
      </c>
      <c r="B207">
        <v>87.910003662109375</v>
      </c>
    </row>
    <row r="208" spans="1:2" hidden="1" x14ac:dyDescent="0.2">
      <c r="A208" s="2">
        <v>44861</v>
      </c>
      <c r="B208">
        <v>89.080001831054688</v>
      </c>
    </row>
    <row r="209" spans="1:2" hidden="1" x14ac:dyDescent="0.2">
      <c r="A209" s="2">
        <v>44862</v>
      </c>
      <c r="B209">
        <v>87.900001525878906</v>
      </c>
    </row>
    <row r="210" spans="1:2" hidden="1" x14ac:dyDescent="0.2">
      <c r="A210" s="2">
        <v>44865</v>
      </c>
      <c r="B210">
        <v>86.529998779296875</v>
      </c>
    </row>
    <row r="211" spans="1:2" hidden="1" x14ac:dyDescent="0.2">
      <c r="A211" s="2">
        <v>44866</v>
      </c>
      <c r="B211">
        <v>88.370002746582031</v>
      </c>
    </row>
    <row r="212" spans="1:2" hidden="1" x14ac:dyDescent="0.2">
      <c r="A212" s="2">
        <v>44867</v>
      </c>
      <c r="B212">
        <v>90</v>
      </c>
    </row>
    <row r="213" spans="1:2" hidden="1" x14ac:dyDescent="0.2">
      <c r="A213" s="2">
        <v>44868</v>
      </c>
      <c r="B213">
        <v>88.169998168945312</v>
      </c>
    </row>
    <row r="214" spans="1:2" hidden="1" x14ac:dyDescent="0.2">
      <c r="A214" s="2">
        <v>44869</v>
      </c>
      <c r="B214">
        <v>92.610000610351562</v>
      </c>
    </row>
    <row r="215" spans="1:2" hidden="1" x14ac:dyDescent="0.2">
      <c r="A215" s="2">
        <v>44872</v>
      </c>
      <c r="B215">
        <v>91.790000915527344</v>
      </c>
    </row>
    <row r="216" spans="1:2" hidden="1" x14ac:dyDescent="0.2">
      <c r="A216" s="2">
        <v>44873</v>
      </c>
      <c r="B216">
        <v>88.910003662109375</v>
      </c>
    </row>
    <row r="217" spans="1:2" hidden="1" x14ac:dyDescent="0.2">
      <c r="A217" s="2">
        <v>44874</v>
      </c>
      <c r="B217">
        <v>85.830001831054688</v>
      </c>
    </row>
    <row r="218" spans="1:2" hidden="1" x14ac:dyDescent="0.2">
      <c r="A218" s="2">
        <v>44875</v>
      </c>
      <c r="B218">
        <v>86.470001220703125</v>
      </c>
    </row>
    <row r="219" spans="1:2" hidden="1" x14ac:dyDescent="0.2">
      <c r="A219" s="2">
        <v>44876</v>
      </c>
      <c r="B219">
        <v>88.959999084472656</v>
      </c>
    </row>
    <row r="220" spans="1:2" hidden="1" x14ac:dyDescent="0.2">
      <c r="A220" s="2">
        <v>44879</v>
      </c>
      <c r="B220">
        <v>85.870002746582031</v>
      </c>
    </row>
    <row r="221" spans="1:2" hidden="1" x14ac:dyDescent="0.2">
      <c r="A221" s="2">
        <v>44880</v>
      </c>
      <c r="B221">
        <v>86.919998168945312</v>
      </c>
    </row>
    <row r="222" spans="1:2" hidden="1" x14ac:dyDescent="0.2">
      <c r="A222" s="2">
        <v>44881</v>
      </c>
      <c r="B222">
        <v>85.589996337890625</v>
      </c>
    </row>
    <row r="223" spans="1:2" hidden="1" x14ac:dyDescent="0.2">
      <c r="A223" s="2">
        <v>44882</v>
      </c>
      <c r="B223">
        <v>81.639999389648438</v>
      </c>
    </row>
    <row r="224" spans="1:2" hidden="1" x14ac:dyDescent="0.2">
      <c r="A224" s="2">
        <v>44883</v>
      </c>
      <c r="B224">
        <v>80.080001831054688</v>
      </c>
    </row>
    <row r="225" spans="1:2" hidden="1" x14ac:dyDescent="0.2">
      <c r="A225" s="2">
        <v>44886</v>
      </c>
      <c r="B225">
        <v>79.730003356933594</v>
      </c>
    </row>
    <row r="226" spans="1:2" hidden="1" x14ac:dyDescent="0.2">
      <c r="A226" s="2">
        <v>44887</v>
      </c>
      <c r="B226">
        <v>80.949996948242188</v>
      </c>
    </row>
    <row r="227" spans="1:2" hidden="1" x14ac:dyDescent="0.2">
      <c r="A227" s="2">
        <v>44888</v>
      </c>
      <c r="B227">
        <v>77.94000244140625</v>
      </c>
    </row>
    <row r="228" spans="1:2" hidden="1" x14ac:dyDescent="0.2">
      <c r="A228" s="2">
        <v>44890</v>
      </c>
      <c r="B228">
        <v>76.279998779296875</v>
      </c>
    </row>
    <row r="229" spans="1:2" hidden="1" x14ac:dyDescent="0.2">
      <c r="A229" s="2">
        <v>44893</v>
      </c>
      <c r="B229">
        <v>77.239997863769531</v>
      </c>
    </row>
    <row r="230" spans="1:2" hidden="1" x14ac:dyDescent="0.2">
      <c r="A230" s="2">
        <v>44894</v>
      </c>
      <c r="B230">
        <v>78.199996948242188</v>
      </c>
    </row>
    <row r="231" spans="1:2" hidden="1" x14ac:dyDescent="0.2">
      <c r="A231" s="2">
        <v>44895</v>
      </c>
      <c r="B231">
        <v>80.550003051757812</v>
      </c>
    </row>
    <row r="232" spans="1:2" hidden="1" x14ac:dyDescent="0.2">
      <c r="A232" s="2">
        <v>44896</v>
      </c>
      <c r="B232">
        <v>81.220001220703125</v>
      </c>
    </row>
    <row r="233" spans="1:2" hidden="1" x14ac:dyDescent="0.2">
      <c r="A233" s="2">
        <v>44897</v>
      </c>
      <c r="B233">
        <v>79.980003356933594</v>
      </c>
    </row>
    <row r="234" spans="1:2" hidden="1" x14ac:dyDescent="0.2">
      <c r="A234" s="2">
        <v>44900</v>
      </c>
      <c r="B234">
        <v>76.930000305175781</v>
      </c>
    </row>
    <row r="235" spans="1:2" hidden="1" x14ac:dyDescent="0.2">
      <c r="A235" s="2">
        <v>44901</v>
      </c>
      <c r="B235">
        <v>74.25</v>
      </c>
    </row>
    <row r="236" spans="1:2" hidden="1" x14ac:dyDescent="0.2">
      <c r="A236" s="2">
        <v>44902</v>
      </c>
      <c r="B236">
        <v>72.010002136230469</v>
      </c>
    </row>
    <row r="237" spans="1:2" hidden="1" x14ac:dyDescent="0.2">
      <c r="A237" s="2">
        <v>44903</v>
      </c>
      <c r="B237">
        <v>71.459999084472656</v>
      </c>
    </row>
    <row r="238" spans="1:2" hidden="1" x14ac:dyDescent="0.2">
      <c r="A238" s="2">
        <v>44904</v>
      </c>
      <c r="B238">
        <v>71.019996643066406</v>
      </c>
    </row>
    <row r="239" spans="1:2" hidden="1" x14ac:dyDescent="0.2">
      <c r="A239" s="2">
        <v>44907</v>
      </c>
      <c r="B239">
        <v>73.169998168945312</v>
      </c>
    </row>
    <row r="240" spans="1:2" hidden="1" x14ac:dyDescent="0.2">
      <c r="A240" s="2">
        <v>44908</v>
      </c>
      <c r="B240">
        <v>75.389999389648438</v>
      </c>
    </row>
    <row r="241" spans="1:2" hidden="1" x14ac:dyDescent="0.2">
      <c r="A241" s="2">
        <v>44909</v>
      </c>
      <c r="B241">
        <v>77.279998779296875</v>
      </c>
    </row>
    <row r="242" spans="1:2" hidden="1" x14ac:dyDescent="0.2">
      <c r="A242" s="2">
        <v>44910</v>
      </c>
      <c r="B242">
        <v>76.110000610351562</v>
      </c>
    </row>
    <row r="243" spans="1:2" hidden="1" x14ac:dyDescent="0.2">
      <c r="A243" s="2">
        <v>44911</v>
      </c>
      <c r="B243">
        <v>74.290000915527344</v>
      </c>
    </row>
    <row r="244" spans="1:2" hidden="1" x14ac:dyDescent="0.2">
      <c r="A244" s="2">
        <v>44914</v>
      </c>
      <c r="B244">
        <v>75.19000244140625</v>
      </c>
    </row>
    <row r="245" spans="1:2" hidden="1" x14ac:dyDescent="0.2">
      <c r="A245" s="2">
        <v>44915</v>
      </c>
      <c r="B245">
        <v>76.089996337890625</v>
      </c>
    </row>
    <row r="246" spans="1:2" hidden="1" x14ac:dyDescent="0.2">
      <c r="A246" s="2">
        <v>44916</v>
      </c>
      <c r="B246">
        <v>78.290000915527344</v>
      </c>
    </row>
    <row r="247" spans="1:2" hidden="1" x14ac:dyDescent="0.2">
      <c r="A247" s="2">
        <v>44917</v>
      </c>
      <c r="B247">
        <v>77.489997863769531</v>
      </c>
    </row>
    <row r="248" spans="1:2" hidden="1" x14ac:dyDescent="0.2">
      <c r="A248" s="2">
        <v>44918</v>
      </c>
      <c r="B248">
        <v>79.55999755859375</v>
      </c>
    </row>
    <row r="249" spans="1:2" hidden="1" x14ac:dyDescent="0.2">
      <c r="A249" s="2">
        <v>44922</v>
      </c>
      <c r="B249">
        <v>79.529998779296875</v>
      </c>
    </row>
    <row r="250" spans="1:2" hidden="1" x14ac:dyDescent="0.2">
      <c r="A250" s="2">
        <v>44923</v>
      </c>
      <c r="B250">
        <v>78.959999084472656</v>
      </c>
    </row>
    <row r="251" spans="1:2" hidden="1" x14ac:dyDescent="0.2">
      <c r="A251" s="2">
        <v>44924</v>
      </c>
      <c r="B251">
        <v>78.400001525878906</v>
      </c>
    </row>
    <row r="252" spans="1:2" hidden="1" x14ac:dyDescent="0.2">
      <c r="A252" s="2">
        <v>44925</v>
      </c>
      <c r="B252">
        <v>80.260002136230469</v>
      </c>
    </row>
    <row r="253" spans="1:2" hidden="1" x14ac:dyDescent="0.2">
      <c r="A253" s="2">
        <v>44929</v>
      </c>
      <c r="B253">
        <v>76.930000305175781</v>
      </c>
    </row>
    <row r="254" spans="1:2" hidden="1" x14ac:dyDescent="0.2">
      <c r="A254" s="2">
        <v>44930</v>
      </c>
      <c r="B254">
        <v>72.839996337890625</v>
      </c>
    </row>
    <row r="255" spans="1:2" hidden="1" x14ac:dyDescent="0.2">
      <c r="A255" s="2">
        <v>44931</v>
      </c>
      <c r="B255">
        <v>73.669998168945312</v>
      </c>
    </row>
    <row r="256" spans="1:2" hidden="1" x14ac:dyDescent="0.2">
      <c r="A256" s="2">
        <v>44932</v>
      </c>
      <c r="B256">
        <v>73.769996643066406</v>
      </c>
    </row>
    <row r="257" spans="1:2" hidden="1" x14ac:dyDescent="0.2">
      <c r="A257" s="2">
        <v>44935</v>
      </c>
      <c r="B257">
        <v>74.629997253417969</v>
      </c>
    </row>
    <row r="258" spans="1:2" hidden="1" x14ac:dyDescent="0.2">
      <c r="A258" s="2">
        <v>44936</v>
      </c>
      <c r="B258">
        <v>75.120002746582031</v>
      </c>
    </row>
    <row r="259" spans="1:2" hidden="1" x14ac:dyDescent="0.2">
      <c r="A259" s="2">
        <v>44937</v>
      </c>
      <c r="B259">
        <v>77.410003662109375</v>
      </c>
    </row>
    <row r="260" spans="1:2" hidden="1" x14ac:dyDescent="0.2">
      <c r="A260" s="2">
        <v>44938</v>
      </c>
      <c r="B260">
        <v>78.389999389648438</v>
      </c>
    </row>
    <row r="261" spans="1:2" hidden="1" x14ac:dyDescent="0.2">
      <c r="A261" s="2">
        <v>44939</v>
      </c>
      <c r="B261">
        <v>79.860000610351562</v>
      </c>
    </row>
    <row r="262" spans="1:2" hidden="1" x14ac:dyDescent="0.2">
      <c r="A262" s="2">
        <v>44943</v>
      </c>
      <c r="B262">
        <v>80.180000305175781</v>
      </c>
    </row>
    <row r="263" spans="1:2" hidden="1" x14ac:dyDescent="0.2">
      <c r="A263" s="2">
        <v>44944</v>
      </c>
      <c r="B263">
        <v>79.480003356933594</v>
      </c>
    </row>
    <row r="264" spans="1:2" hidden="1" x14ac:dyDescent="0.2">
      <c r="A264" s="2">
        <v>44945</v>
      </c>
      <c r="B264">
        <v>80.330001831054688</v>
      </c>
    </row>
    <row r="265" spans="1:2" hidden="1" x14ac:dyDescent="0.2">
      <c r="A265" s="2">
        <v>44946</v>
      </c>
      <c r="B265">
        <v>81.30999755859375</v>
      </c>
    </row>
    <row r="266" spans="1:2" hidden="1" x14ac:dyDescent="0.2">
      <c r="A266" s="2">
        <v>44949</v>
      </c>
      <c r="B266">
        <v>81.620002746582031</v>
      </c>
    </row>
    <row r="267" spans="1:2" hidden="1" x14ac:dyDescent="0.2">
      <c r="A267" s="2">
        <v>44950</v>
      </c>
      <c r="B267">
        <v>80.129997253417969</v>
      </c>
    </row>
    <row r="268" spans="1:2" hidden="1" x14ac:dyDescent="0.2">
      <c r="A268" s="2">
        <v>44951</v>
      </c>
      <c r="B268">
        <v>80.150001525878906</v>
      </c>
    </row>
    <row r="269" spans="1:2" hidden="1" x14ac:dyDescent="0.2">
      <c r="A269" s="2">
        <v>44952</v>
      </c>
      <c r="B269">
        <v>81.010002136230469</v>
      </c>
    </row>
    <row r="270" spans="1:2" hidden="1" x14ac:dyDescent="0.2">
      <c r="A270" s="2">
        <v>44953</v>
      </c>
      <c r="B270">
        <v>79.680000305175781</v>
      </c>
    </row>
    <row r="271" spans="1:2" hidden="1" x14ac:dyDescent="0.2">
      <c r="A271" s="2">
        <v>44956</v>
      </c>
      <c r="B271">
        <v>77.900001525878906</v>
      </c>
    </row>
    <row r="272" spans="1:2" hidden="1" x14ac:dyDescent="0.2">
      <c r="A272" s="2">
        <v>44957</v>
      </c>
      <c r="B272">
        <v>78.870002746582031</v>
      </c>
    </row>
    <row r="273" spans="1:2" hidden="1" x14ac:dyDescent="0.2">
      <c r="A273" s="2">
        <v>44958</v>
      </c>
      <c r="B273">
        <v>76.410003662109375</v>
      </c>
    </row>
    <row r="274" spans="1:2" hidden="1" x14ac:dyDescent="0.2">
      <c r="A274" s="2">
        <v>44959</v>
      </c>
      <c r="B274">
        <v>75.879997253417969</v>
      </c>
    </row>
    <row r="275" spans="1:2" hidden="1" x14ac:dyDescent="0.2">
      <c r="A275" s="2">
        <v>44960</v>
      </c>
      <c r="B275">
        <v>73.389999389648438</v>
      </c>
    </row>
    <row r="276" spans="1:2" hidden="1" x14ac:dyDescent="0.2">
      <c r="A276" s="2">
        <v>44963</v>
      </c>
      <c r="B276">
        <v>74.110000610351562</v>
      </c>
    </row>
    <row r="277" spans="1:2" hidden="1" x14ac:dyDescent="0.2">
      <c r="A277" s="2">
        <v>44964</v>
      </c>
      <c r="B277">
        <v>77.139999389648438</v>
      </c>
    </row>
    <row r="278" spans="1:2" hidden="1" x14ac:dyDescent="0.2">
      <c r="A278" s="2">
        <v>44965</v>
      </c>
      <c r="B278">
        <v>78.470001220703125</v>
      </c>
    </row>
    <row r="279" spans="1:2" hidden="1" x14ac:dyDescent="0.2">
      <c r="A279" s="2">
        <v>44966</v>
      </c>
      <c r="B279">
        <v>78.05999755859375</v>
      </c>
    </row>
    <row r="280" spans="1:2" hidden="1" x14ac:dyDescent="0.2">
      <c r="A280" s="2">
        <v>44967</v>
      </c>
      <c r="B280">
        <v>79.720001220703125</v>
      </c>
    </row>
    <row r="281" spans="1:2" hidden="1" x14ac:dyDescent="0.2">
      <c r="A281" s="2">
        <v>44970</v>
      </c>
      <c r="B281">
        <v>80.139999389648438</v>
      </c>
    </row>
    <row r="282" spans="1:2" hidden="1" x14ac:dyDescent="0.2">
      <c r="A282" s="2">
        <v>44971</v>
      </c>
      <c r="B282">
        <v>79.05999755859375</v>
      </c>
    </row>
    <row r="283" spans="1:2" hidden="1" x14ac:dyDescent="0.2">
      <c r="A283" s="2">
        <v>44972</v>
      </c>
      <c r="B283">
        <v>78.589996337890625</v>
      </c>
    </row>
    <row r="284" spans="1:2" hidden="1" x14ac:dyDescent="0.2">
      <c r="A284" s="2">
        <v>44973</v>
      </c>
      <c r="B284">
        <v>78.489997863769531</v>
      </c>
    </row>
    <row r="285" spans="1:2" hidden="1" x14ac:dyDescent="0.2">
      <c r="A285" s="2">
        <v>44974</v>
      </c>
      <c r="B285">
        <v>76.339996337890625</v>
      </c>
    </row>
    <row r="286" spans="1:2" hidden="1" x14ac:dyDescent="0.2">
      <c r="A286" s="2">
        <v>44978</v>
      </c>
      <c r="B286">
        <v>76.160003662109375</v>
      </c>
    </row>
    <row r="287" spans="1:2" hidden="1" x14ac:dyDescent="0.2">
      <c r="A287" s="2">
        <v>44979</v>
      </c>
      <c r="B287">
        <v>73.949996948242188</v>
      </c>
    </row>
    <row r="288" spans="1:2" hidden="1" x14ac:dyDescent="0.2">
      <c r="A288" s="2">
        <v>44980</v>
      </c>
      <c r="B288">
        <v>75.389999389648438</v>
      </c>
    </row>
    <row r="289" spans="1:2" hidden="1" x14ac:dyDescent="0.2">
      <c r="A289" s="2">
        <v>44981</v>
      </c>
      <c r="B289">
        <v>76.319999694824219</v>
      </c>
    </row>
    <row r="290" spans="1:2" hidden="1" x14ac:dyDescent="0.2">
      <c r="A290" s="2">
        <v>44984</v>
      </c>
      <c r="B290">
        <v>75.680000305175781</v>
      </c>
    </row>
    <row r="291" spans="1:2" hidden="1" x14ac:dyDescent="0.2">
      <c r="A291" s="2">
        <v>44985</v>
      </c>
      <c r="B291">
        <v>77.050003051757812</v>
      </c>
    </row>
    <row r="292" spans="1:2" hidden="1" x14ac:dyDescent="0.2">
      <c r="A292" s="2">
        <v>44986</v>
      </c>
      <c r="B292">
        <v>77.69000244140625</v>
      </c>
    </row>
    <row r="293" spans="1:2" hidden="1" x14ac:dyDescent="0.2">
      <c r="A293" s="2">
        <v>44987</v>
      </c>
      <c r="B293">
        <v>78.160003662109375</v>
      </c>
    </row>
    <row r="294" spans="1:2" hidden="1" x14ac:dyDescent="0.2">
      <c r="A294" s="2">
        <v>44988</v>
      </c>
      <c r="B294">
        <v>79.680000305175781</v>
      </c>
    </row>
    <row r="295" spans="1:2" hidden="1" x14ac:dyDescent="0.2">
      <c r="A295" s="2">
        <v>44991</v>
      </c>
      <c r="B295">
        <v>80.459999084472656</v>
      </c>
    </row>
    <row r="296" spans="1:2" hidden="1" x14ac:dyDescent="0.2">
      <c r="A296" s="2">
        <v>44992</v>
      </c>
      <c r="B296">
        <v>77.580001831054688</v>
      </c>
    </row>
    <row r="297" spans="1:2" hidden="1" x14ac:dyDescent="0.2">
      <c r="A297" s="2">
        <v>44993</v>
      </c>
      <c r="B297">
        <v>76.660003662109375</v>
      </c>
    </row>
    <row r="298" spans="1:2" hidden="1" x14ac:dyDescent="0.2">
      <c r="A298" s="2">
        <v>44994</v>
      </c>
      <c r="B298">
        <v>75.720001220703125</v>
      </c>
    </row>
    <row r="299" spans="1:2" hidden="1" x14ac:dyDescent="0.2">
      <c r="A299" s="2">
        <v>44995</v>
      </c>
      <c r="B299">
        <v>76.680000305175781</v>
      </c>
    </row>
    <row r="300" spans="1:2" hidden="1" x14ac:dyDescent="0.2">
      <c r="A300" s="2">
        <v>44998</v>
      </c>
      <c r="B300">
        <v>74.800003051757812</v>
      </c>
    </row>
    <row r="301" spans="1:2" hidden="1" x14ac:dyDescent="0.2">
      <c r="A301" s="2">
        <v>44999</v>
      </c>
      <c r="B301">
        <v>71.330001831054688</v>
      </c>
    </row>
    <row r="302" spans="1:2" hidden="1" x14ac:dyDescent="0.2">
      <c r="A302" s="2">
        <v>45000</v>
      </c>
      <c r="B302">
        <v>67.610000610351562</v>
      </c>
    </row>
    <row r="303" spans="1:2" hidden="1" x14ac:dyDescent="0.2">
      <c r="A303" s="2">
        <v>45001</v>
      </c>
      <c r="B303">
        <v>68.349998474121094</v>
      </c>
    </row>
    <row r="304" spans="1:2" hidden="1" x14ac:dyDescent="0.2">
      <c r="A304" s="2">
        <v>45002</v>
      </c>
      <c r="B304">
        <v>66.739997863769531</v>
      </c>
    </row>
    <row r="305" spans="1:2" hidden="1" x14ac:dyDescent="0.2">
      <c r="A305" s="2">
        <v>45005</v>
      </c>
      <c r="B305">
        <v>67.639999389648438</v>
      </c>
    </row>
    <row r="306" spans="1:2" hidden="1" x14ac:dyDescent="0.2">
      <c r="A306" s="2">
        <v>45006</v>
      </c>
      <c r="B306">
        <v>69.330001831054688</v>
      </c>
    </row>
    <row r="307" spans="1:2" hidden="1" x14ac:dyDescent="0.2">
      <c r="A307" s="2">
        <v>45007</v>
      </c>
      <c r="B307">
        <v>70.900001525878906</v>
      </c>
    </row>
    <row r="308" spans="1:2" hidden="1" x14ac:dyDescent="0.2">
      <c r="A308" s="2">
        <v>45008</v>
      </c>
      <c r="B308">
        <v>69.959999084472656</v>
      </c>
    </row>
    <row r="309" spans="1:2" hidden="1" x14ac:dyDescent="0.2">
      <c r="A309" s="2">
        <v>45009</v>
      </c>
      <c r="B309">
        <v>69.260002136230469</v>
      </c>
    </row>
    <row r="310" spans="1:2" hidden="1" x14ac:dyDescent="0.2">
      <c r="A310" s="2">
        <v>45012</v>
      </c>
      <c r="B310">
        <v>72.80999755859375</v>
      </c>
    </row>
    <row r="311" spans="1:2" hidden="1" x14ac:dyDescent="0.2">
      <c r="A311" s="2">
        <v>45013</v>
      </c>
      <c r="B311">
        <v>73.199996948242188</v>
      </c>
    </row>
    <row r="312" spans="1:2" hidden="1" x14ac:dyDescent="0.2">
      <c r="A312" s="2">
        <v>45014</v>
      </c>
      <c r="B312">
        <v>72.970001220703125</v>
      </c>
    </row>
    <row r="313" spans="1:2" hidden="1" x14ac:dyDescent="0.2">
      <c r="A313" s="2">
        <v>45015</v>
      </c>
      <c r="B313">
        <v>74.370002746582031</v>
      </c>
    </row>
    <row r="314" spans="1:2" hidden="1" x14ac:dyDescent="0.2">
      <c r="A314" s="2">
        <v>45016</v>
      </c>
      <c r="B314">
        <v>75.669998168945312</v>
      </c>
    </row>
    <row r="315" spans="1:2" hidden="1" x14ac:dyDescent="0.2">
      <c r="A315" s="2">
        <v>45019</v>
      </c>
      <c r="B315">
        <v>80.419998168945312</v>
      </c>
    </row>
    <row r="316" spans="1:2" hidden="1" x14ac:dyDescent="0.2">
      <c r="A316" s="2">
        <v>45020</v>
      </c>
      <c r="B316">
        <v>80.709999084472656</v>
      </c>
    </row>
    <row r="317" spans="1:2" hidden="1" x14ac:dyDescent="0.2">
      <c r="A317" s="2">
        <v>45021</v>
      </c>
      <c r="B317">
        <v>80.610000610351562</v>
      </c>
    </row>
    <row r="318" spans="1:2" hidden="1" x14ac:dyDescent="0.2">
      <c r="A318" s="2">
        <v>45022</v>
      </c>
      <c r="B318">
        <v>80.699996948242188</v>
      </c>
    </row>
    <row r="319" spans="1:2" hidden="1" x14ac:dyDescent="0.2">
      <c r="A319" s="2">
        <v>45026</v>
      </c>
      <c r="B319">
        <v>79.739997863769531</v>
      </c>
    </row>
    <row r="320" spans="1:2" hidden="1" x14ac:dyDescent="0.2">
      <c r="A320" s="2">
        <v>45027</v>
      </c>
      <c r="B320">
        <v>81.529998779296875</v>
      </c>
    </row>
    <row r="321" spans="1:2" hidden="1" x14ac:dyDescent="0.2">
      <c r="A321" s="2">
        <v>45028</v>
      </c>
      <c r="B321">
        <v>83.260002136230469</v>
      </c>
    </row>
    <row r="322" spans="1:2" hidden="1" x14ac:dyDescent="0.2">
      <c r="A322" s="2">
        <v>45029</v>
      </c>
      <c r="B322">
        <v>82.160003662109375</v>
      </c>
    </row>
    <row r="323" spans="1:2" hidden="1" x14ac:dyDescent="0.2">
      <c r="A323" s="2">
        <v>45030</v>
      </c>
      <c r="B323">
        <v>82.519996643066406</v>
      </c>
    </row>
    <row r="324" spans="1:2" hidden="1" x14ac:dyDescent="0.2">
      <c r="A324" s="2">
        <v>45033</v>
      </c>
      <c r="B324">
        <v>80.830001831054688</v>
      </c>
    </row>
    <row r="325" spans="1:2" hidden="1" x14ac:dyDescent="0.2">
      <c r="A325" s="2">
        <v>45034</v>
      </c>
      <c r="B325">
        <v>80.860000610351562</v>
      </c>
    </row>
    <row r="326" spans="1:2" hidden="1" x14ac:dyDescent="0.2">
      <c r="A326" s="2">
        <v>45035</v>
      </c>
      <c r="B326">
        <v>79.160003662109375</v>
      </c>
    </row>
    <row r="327" spans="1:2" hidden="1" x14ac:dyDescent="0.2">
      <c r="A327" s="2">
        <v>45036</v>
      </c>
      <c r="B327">
        <v>77.290000915527344</v>
      </c>
    </row>
    <row r="328" spans="1:2" hidden="1" x14ac:dyDescent="0.2">
      <c r="A328" s="2">
        <v>45037</v>
      </c>
      <c r="B328">
        <v>77.870002746582031</v>
      </c>
    </row>
    <row r="329" spans="1:2" hidden="1" x14ac:dyDescent="0.2">
      <c r="A329" s="2">
        <v>45040</v>
      </c>
      <c r="B329">
        <v>78.760002136230469</v>
      </c>
    </row>
    <row r="330" spans="1:2" hidden="1" x14ac:dyDescent="0.2">
      <c r="A330" s="2">
        <v>45041</v>
      </c>
      <c r="B330">
        <v>77.069999694824219</v>
      </c>
    </row>
    <row r="331" spans="1:2" hidden="1" x14ac:dyDescent="0.2">
      <c r="A331" s="2">
        <v>45042</v>
      </c>
      <c r="B331">
        <v>74.300003051757812</v>
      </c>
    </row>
    <row r="332" spans="1:2" hidden="1" x14ac:dyDescent="0.2">
      <c r="A332" s="2">
        <v>45043</v>
      </c>
      <c r="B332">
        <v>74.760002136230469</v>
      </c>
    </row>
    <row r="333" spans="1:2" hidden="1" x14ac:dyDescent="0.2">
      <c r="A333" s="2">
        <v>45044</v>
      </c>
      <c r="B333">
        <v>76.779998779296875</v>
      </c>
    </row>
    <row r="334" spans="1:2" hidden="1" x14ac:dyDescent="0.2">
      <c r="A334" s="2">
        <v>45047</v>
      </c>
      <c r="B334">
        <v>75.660003662109375</v>
      </c>
    </row>
    <row r="335" spans="1:2" hidden="1" x14ac:dyDescent="0.2">
      <c r="A335" s="2">
        <v>45048</v>
      </c>
      <c r="B335">
        <v>71.660003662109375</v>
      </c>
    </row>
    <row r="336" spans="1:2" hidden="1" x14ac:dyDescent="0.2">
      <c r="A336" s="2">
        <v>45049</v>
      </c>
      <c r="B336">
        <v>68.599998474121094</v>
      </c>
    </row>
    <row r="337" spans="1:2" hidden="1" x14ac:dyDescent="0.2">
      <c r="A337" s="2">
        <v>45050</v>
      </c>
      <c r="B337">
        <v>68.55999755859375</v>
      </c>
    </row>
    <row r="338" spans="1:2" hidden="1" x14ac:dyDescent="0.2">
      <c r="A338" s="2">
        <v>45051</v>
      </c>
      <c r="B338">
        <v>71.339996337890625</v>
      </c>
    </row>
    <row r="339" spans="1:2" hidden="1" x14ac:dyDescent="0.2">
      <c r="A339" s="2">
        <v>45054</v>
      </c>
      <c r="B339">
        <v>73.160003662109375</v>
      </c>
    </row>
    <row r="340" spans="1:2" hidden="1" x14ac:dyDescent="0.2">
      <c r="A340" s="2">
        <v>45055</v>
      </c>
      <c r="B340">
        <v>73.709999084472656</v>
      </c>
    </row>
    <row r="341" spans="1:2" hidden="1" x14ac:dyDescent="0.2">
      <c r="A341" s="2">
        <v>45056</v>
      </c>
      <c r="B341">
        <v>72.55999755859375</v>
      </c>
    </row>
    <row r="342" spans="1:2" hidden="1" x14ac:dyDescent="0.2">
      <c r="A342" s="2">
        <v>45057</v>
      </c>
      <c r="B342">
        <v>70.870002746582031</v>
      </c>
    </row>
    <row r="343" spans="1:2" hidden="1" x14ac:dyDescent="0.2">
      <c r="A343" s="2">
        <v>45058</v>
      </c>
      <c r="B343">
        <v>70.040000915527344</v>
      </c>
    </row>
    <row r="344" spans="1:2" hidden="1" x14ac:dyDescent="0.2">
      <c r="A344" s="2">
        <v>45061</v>
      </c>
      <c r="B344">
        <v>71.110000610351562</v>
      </c>
    </row>
    <row r="345" spans="1:2" hidden="1" x14ac:dyDescent="0.2">
      <c r="A345" s="2">
        <v>45062</v>
      </c>
      <c r="B345">
        <v>70.860000610351562</v>
      </c>
    </row>
    <row r="346" spans="1:2" hidden="1" x14ac:dyDescent="0.2">
      <c r="A346" s="2">
        <v>45063</v>
      </c>
      <c r="B346">
        <v>72.830001831054688</v>
      </c>
    </row>
    <row r="347" spans="1:2" hidden="1" x14ac:dyDescent="0.2">
      <c r="A347" s="2">
        <v>45064</v>
      </c>
      <c r="B347">
        <v>71.860000610351562</v>
      </c>
    </row>
    <row r="348" spans="1:2" hidden="1" x14ac:dyDescent="0.2">
      <c r="A348" s="2">
        <v>45065</v>
      </c>
      <c r="B348">
        <v>71.550003051757812</v>
      </c>
    </row>
    <row r="349" spans="1:2" hidden="1" x14ac:dyDescent="0.2">
      <c r="A349" s="2">
        <v>45068</v>
      </c>
      <c r="B349">
        <v>71.989997863769531</v>
      </c>
    </row>
    <row r="350" spans="1:2" hidden="1" x14ac:dyDescent="0.2">
      <c r="A350" s="2">
        <v>45069</v>
      </c>
      <c r="B350">
        <v>72.910003662109375</v>
      </c>
    </row>
    <row r="351" spans="1:2" hidden="1" x14ac:dyDescent="0.2">
      <c r="A351" s="2">
        <v>45070</v>
      </c>
      <c r="B351">
        <v>74.339996337890625</v>
      </c>
    </row>
    <row r="352" spans="1:2" hidden="1" x14ac:dyDescent="0.2">
      <c r="A352" s="2">
        <v>45071</v>
      </c>
      <c r="B352">
        <v>71.830001831054688</v>
      </c>
    </row>
    <row r="353" spans="1:2" hidden="1" x14ac:dyDescent="0.2">
      <c r="A353" s="2">
        <v>45072</v>
      </c>
      <c r="B353">
        <v>72.669998168945312</v>
      </c>
    </row>
    <row r="354" spans="1:2" hidden="1" x14ac:dyDescent="0.2">
      <c r="A354" s="2">
        <v>45076</v>
      </c>
      <c r="B354">
        <v>69.459999084472656</v>
      </c>
    </row>
    <row r="355" spans="1:2" hidden="1" x14ac:dyDescent="0.2">
      <c r="A355" s="2">
        <v>45077</v>
      </c>
      <c r="B355">
        <v>68.089996337890625</v>
      </c>
    </row>
    <row r="356" spans="1:2" hidden="1" x14ac:dyDescent="0.2">
      <c r="A356" s="2">
        <v>45078</v>
      </c>
      <c r="B356">
        <v>70.099998474121094</v>
      </c>
    </row>
    <row r="357" spans="1:2" hidden="1" x14ac:dyDescent="0.2">
      <c r="A357" s="2">
        <v>45079</v>
      </c>
      <c r="B357">
        <v>71.739997863769531</v>
      </c>
    </row>
    <row r="358" spans="1:2" hidden="1" x14ac:dyDescent="0.2">
      <c r="A358" s="2">
        <v>45082</v>
      </c>
      <c r="B358">
        <v>72.150001525878906</v>
      </c>
    </row>
    <row r="359" spans="1:2" hidden="1" x14ac:dyDescent="0.2">
      <c r="A359" s="2">
        <v>45083</v>
      </c>
      <c r="B359">
        <v>71.739997863769531</v>
      </c>
    </row>
    <row r="360" spans="1:2" hidden="1" x14ac:dyDescent="0.2">
      <c r="A360" s="2">
        <v>45084</v>
      </c>
      <c r="B360">
        <v>72.529998779296875</v>
      </c>
    </row>
    <row r="361" spans="1:2" hidden="1" x14ac:dyDescent="0.2">
      <c r="A361" s="2">
        <v>45085</v>
      </c>
      <c r="B361">
        <v>71.290000915527344</v>
      </c>
    </row>
    <row r="362" spans="1:2" hidden="1" x14ac:dyDescent="0.2">
      <c r="A362" s="2">
        <v>45086</v>
      </c>
      <c r="B362">
        <v>70.169998168945312</v>
      </c>
    </row>
    <row r="363" spans="1:2" hidden="1" x14ac:dyDescent="0.2">
      <c r="A363" s="2">
        <v>45089</v>
      </c>
      <c r="B363">
        <v>67.120002746582031</v>
      </c>
    </row>
    <row r="364" spans="1:2" hidden="1" x14ac:dyDescent="0.2">
      <c r="A364" s="2">
        <v>45090</v>
      </c>
      <c r="B364">
        <v>69.419998168945312</v>
      </c>
    </row>
    <row r="365" spans="1:2" hidden="1" x14ac:dyDescent="0.2">
      <c r="A365" s="2">
        <v>45091</v>
      </c>
      <c r="B365">
        <v>68.269996643066406</v>
      </c>
    </row>
    <row r="366" spans="1:2" hidden="1" x14ac:dyDescent="0.2">
      <c r="A366" s="2">
        <v>45092</v>
      </c>
      <c r="B366">
        <v>70.620002746582031</v>
      </c>
    </row>
    <row r="367" spans="1:2" hidden="1" x14ac:dyDescent="0.2">
      <c r="A367" s="2">
        <v>45093</v>
      </c>
      <c r="B367">
        <v>71.779998779296875</v>
      </c>
    </row>
    <row r="368" spans="1:2" hidden="1" x14ac:dyDescent="0.2">
      <c r="A368" s="2">
        <v>45097</v>
      </c>
      <c r="B368">
        <v>70.5</v>
      </c>
    </row>
    <row r="369" spans="1:2" hidden="1" x14ac:dyDescent="0.2">
      <c r="A369" s="2">
        <v>45098</v>
      </c>
      <c r="B369">
        <v>72.529998779296875</v>
      </c>
    </row>
    <row r="370" spans="1:2" hidden="1" x14ac:dyDescent="0.2">
      <c r="A370" s="2">
        <v>45099</v>
      </c>
      <c r="B370">
        <v>69.510002136230469</v>
      </c>
    </row>
    <row r="371" spans="1:2" hidden="1" x14ac:dyDescent="0.2">
      <c r="A371" s="2">
        <v>45100</v>
      </c>
      <c r="B371">
        <v>69.160003662109375</v>
      </c>
    </row>
    <row r="372" spans="1:2" hidden="1" x14ac:dyDescent="0.2">
      <c r="A372" s="2">
        <v>45103</v>
      </c>
      <c r="B372">
        <v>69.370002746582031</v>
      </c>
    </row>
    <row r="373" spans="1:2" hidden="1" x14ac:dyDescent="0.2">
      <c r="A373" s="2">
        <v>45104</v>
      </c>
      <c r="B373">
        <v>67.699996948242188</v>
      </c>
    </row>
    <row r="374" spans="1:2" hidden="1" x14ac:dyDescent="0.2">
      <c r="A374" s="2">
        <v>45105</v>
      </c>
      <c r="B374">
        <v>69.55999755859375</v>
      </c>
    </row>
    <row r="375" spans="1:2" hidden="1" x14ac:dyDescent="0.2">
      <c r="A375" s="2">
        <v>45106</v>
      </c>
      <c r="B375">
        <v>69.860000610351562</v>
      </c>
    </row>
    <row r="376" spans="1:2" hidden="1" x14ac:dyDescent="0.2">
      <c r="A376" s="2">
        <v>45107</v>
      </c>
      <c r="B376">
        <v>70.639999389648438</v>
      </c>
    </row>
    <row r="377" spans="1:2" hidden="1" x14ac:dyDescent="0.2">
      <c r="A377" s="2">
        <v>45110</v>
      </c>
      <c r="B377">
        <v>69.790000915527344</v>
      </c>
    </row>
    <row r="378" spans="1:2" hidden="1" x14ac:dyDescent="0.2">
      <c r="A378" s="2">
        <v>45112</v>
      </c>
      <c r="B378">
        <v>71.790000915527344</v>
      </c>
    </row>
    <row r="379" spans="1:2" hidden="1" x14ac:dyDescent="0.2">
      <c r="A379" s="2">
        <v>45113</v>
      </c>
      <c r="B379">
        <v>71.800003051757812</v>
      </c>
    </row>
    <row r="380" spans="1:2" hidden="1" x14ac:dyDescent="0.2">
      <c r="A380" s="2">
        <v>45114</v>
      </c>
      <c r="B380">
        <v>73.860000610351562</v>
      </c>
    </row>
    <row r="381" spans="1:2" hidden="1" x14ac:dyDescent="0.2">
      <c r="A381" s="2">
        <v>45117</v>
      </c>
      <c r="B381">
        <v>72.989997863769531</v>
      </c>
    </row>
    <row r="382" spans="1:2" hidden="1" x14ac:dyDescent="0.2">
      <c r="A382" s="2">
        <v>45118</v>
      </c>
      <c r="B382">
        <v>74.830001831054688</v>
      </c>
    </row>
    <row r="383" spans="1:2" hidden="1" x14ac:dyDescent="0.2">
      <c r="A383" s="2">
        <v>45119</v>
      </c>
      <c r="B383">
        <v>75.75</v>
      </c>
    </row>
    <row r="384" spans="1:2" hidden="1" x14ac:dyDescent="0.2">
      <c r="A384" s="2">
        <v>45120</v>
      </c>
      <c r="B384">
        <v>76.889999389648438</v>
      </c>
    </row>
    <row r="385" spans="1:2" hidden="1" x14ac:dyDescent="0.2">
      <c r="A385" s="2">
        <v>45121</v>
      </c>
      <c r="B385">
        <v>75.419998168945312</v>
      </c>
    </row>
    <row r="386" spans="1:2" hidden="1" x14ac:dyDescent="0.2">
      <c r="A386" s="2">
        <v>45124</v>
      </c>
      <c r="B386">
        <v>74.150001525878906</v>
      </c>
    </row>
    <row r="387" spans="1:2" hidden="1" x14ac:dyDescent="0.2">
      <c r="A387" s="2">
        <v>45125</v>
      </c>
      <c r="B387">
        <v>75.75</v>
      </c>
    </row>
    <row r="388" spans="1:2" hidden="1" x14ac:dyDescent="0.2">
      <c r="A388" s="2">
        <v>45126</v>
      </c>
      <c r="B388">
        <v>75.349998474121094</v>
      </c>
    </row>
    <row r="389" spans="1:2" hidden="1" x14ac:dyDescent="0.2">
      <c r="A389" s="2">
        <v>45127</v>
      </c>
      <c r="B389">
        <v>75.629997253417969</v>
      </c>
    </row>
    <row r="390" spans="1:2" hidden="1" x14ac:dyDescent="0.2">
      <c r="A390" s="2">
        <v>45128</v>
      </c>
      <c r="B390">
        <v>77.069999694824219</v>
      </c>
    </row>
    <row r="391" spans="1:2" hidden="1" x14ac:dyDescent="0.2">
      <c r="A391" s="2">
        <v>45131</v>
      </c>
      <c r="B391">
        <v>78.739997863769531</v>
      </c>
    </row>
    <row r="392" spans="1:2" hidden="1" x14ac:dyDescent="0.2">
      <c r="A392" s="2">
        <v>45132</v>
      </c>
      <c r="B392">
        <v>79.629997253417969</v>
      </c>
    </row>
    <row r="393" spans="1:2" hidden="1" x14ac:dyDescent="0.2">
      <c r="A393" s="2">
        <v>45133</v>
      </c>
      <c r="B393">
        <v>78.779998779296875</v>
      </c>
    </row>
    <row r="394" spans="1:2" hidden="1" x14ac:dyDescent="0.2">
      <c r="A394" s="2">
        <v>45134</v>
      </c>
      <c r="B394">
        <v>80.089996337890625</v>
      </c>
    </row>
    <row r="395" spans="1:2" hidden="1" x14ac:dyDescent="0.2">
      <c r="A395" s="2">
        <v>45135</v>
      </c>
      <c r="B395">
        <v>80.580001831054688</v>
      </c>
    </row>
    <row r="396" spans="1:2" hidden="1" x14ac:dyDescent="0.2">
      <c r="A396" s="2">
        <v>45138</v>
      </c>
      <c r="B396">
        <v>81.800003051757812</v>
      </c>
    </row>
    <row r="397" spans="1:2" hidden="1" x14ac:dyDescent="0.2">
      <c r="A397" s="2">
        <v>45139</v>
      </c>
      <c r="B397">
        <v>81.370002746582031</v>
      </c>
    </row>
    <row r="398" spans="1:2" hidden="1" x14ac:dyDescent="0.2">
      <c r="A398" s="2">
        <v>45140</v>
      </c>
      <c r="B398">
        <v>79.489997863769531</v>
      </c>
    </row>
    <row r="399" spans="1:2" hidden="1" x14ac:dyDescent="0.2">
      <c r="A399" s="2">
        <v>45141</v>
      </c>
      <c r="B399">
        <v>81.550003051757812</v>
      </c>
    </row>
    <row r="400" spans="1:2" hidden="1" x14ac:dyDescent="0.2">
      <c r="A400" s="2">
        <v>45142</v>
      </c>
      <c r="B400">
        <v>82.819999694824219</v>
      </c>
    </row>
    <row r="401" spans="1:2" hidden="1" x14ac:dyDescent="0.2">
      <c r="A401" s="2">
        <v>45145</v>
      </c>
      <c r="B401">
        <v>81.94000244140625</v>
      </c>
    </row>
    <row r="402" spans="1:2" hidden="1" x14ac:dyDescent="0.2">
      <c r="A402" s="2">
        <v>45146</v>
      </c>
      <c r="B402">
        <v>82.919998168945312</v>
      </c>
    </row>
    <row r="403" spans="1:2" hidden="1" x14ac:dyDescent="0.2">
      <c r="A403" s="2">
        <v>45147</v>
      </c>
      <c r="B403">
        <v>84.400001525878906</v>
      </c>
    </row>
    <row r="404" spans="1:2" hidden="1" x14ac:dyDescent="0.2">
      <c r="A404" s="2">
        <v>45148</v>
      </c>
      <c r="B404">
        <v>82.819999694824219</v>
      </c>
    </row>
    <row r="405" spans="1:2" hidden="1" x14ac:dyDescent="0.2">
      <c r="A405" s="2">
        <v>45149</v>
      </c>
      <c r="B405">
        <v>83.19000244140625</v>
      </c>
    </row>
    <row r="406" spans="1:2" hidden="1" x14ac:dyDescent="0.2">
      <c r="A406" s="2">
        <v>45152</v>
      </c>
      <c r="B406">
        <v>82.510002136230469</v>
      </c>
    </row>
    <row r="407" spans="1:2" hidden="1" x14ac:dyDescent="0.2">
      <c r="A407" s="2">
        <v>45153</v>
      </c>
      <c r="B407">
        <v>80.989997863769531</v>
      </c>
    </row>
    <row r="408" spans="1:2" hidden="1" x14ac:dyDescent="0.2">
      <c r="A408" s="2">
        <v>45154</v>
      </c>
      <c r="B408">
        <v>79.379997253417969</v>
      </c>
    </row>
    <row r="409" spans="1:2" hidden="1" x14ac:dyDescent="0.2">
      <c r="A409" s="2">
        <v>45155</v>
      </c>
      <c r="B409">
        <v>80.389999389648438</v>
      </c>
    </row>
    <row r="410" spans="1:2" hidden="1" x14ac:dyDescent="0.2">
      <c r="A410" s="2">
        <v>45156</v>
      </c>
      <c r="B410">
        <v>81.25</v>
      </c>
    </row>
    <row r="411" spans="1:2" hidden="1" x14ac:dyDescent="0.2">
      <c r="A411" s="2">
        <v>45159</v>
      </c>
      <c r="B411">
        <v>80.720001220703125</v>
      </c>
    </row>
    <row r="412" spans="1:2" hidden="1" x14ac:dyDescent="0.2">
      <c r="A412" s="2">
        <v>45160</v>
      </c>
      <c r="B412">
        <v>80.349998474121094</v>
      </c>
    </row>
    <row r="413" spans="1:2" hidden="1" x14ac:dyDescent="0.2">
      <c r="A413" s="2">
        <v>45161</v>
      </c>
      <c r="B413">
        <v>78.889999389648438</v>
      </c>
    </row>
    <row r="414" spans="1:2" hidden="1" x14ac:dyDescent="0.2">
      <c r="A414" s="2">
        <v>45162</v>
      </c>
      <c r="B414">
        <v>79.050003051757812</v>
      </c>
    </row>
    <row r="415" spans="1:2" hidden="1" x14ac:dyDescent="0.2">
      <c r="A415" s="2">
        <v>45163</v>
      </c>
      <c r="B415">
        <v>79.830001831054688</v>
      </c>
    </row>
    <row r="416" spans="1:2" hidden="1" x14ac:dyDescent="0.2">
      <c r="A416" s="2">
        <v>45166</v>
      </c>
      <c r="B416">
        <v>80.099998474121094</v>
      </c>
    </row>
    <row r="417" spans="1:2" hidden="1" x14ac:dyDescent="0.2">
      <c r="A417" s="2">
        <v>45167</v>
      </c>
      <c r="B417">
        <v>81.160003662109375</v>
      </c>
    </row>
    <row r="418" spans="1:2" hidden="1" x14ac:dyDescent="0.2">
      <c r="A418" s="2">
        <v>45168</v>
      </c>
      <c r="B418">
        <v>81.629997253417969</v>
      </c>
    </row>
    <row r="419" spans="1:2" hidden="1" x14ac:dyDescent="0.2">
      <c r="A419" s="2">
        <v>45169</v>
      </c>
      <c r="B419">
        <v>83.629997253417969</v>
      </c>
    </row>
    <row r="420" spans="1:2" hidden="1" x14ac:dyDescent="0.2">
      <c r="A420" s="2">
        <v>45170</v>
      </c>
      <c r="B420">
        <v>85.550003051757812</v>
      </c>
    </row>
    <row r="421" spans="1:2" hidden="1" x14ac:dyDescent="0.2">
      <c r="A421" s="2">
        <v>45174</v>
      </c>
      <c r="B421">
        <v>86.69000244140625</v>
      </c>
    </row>
    <row r="422" spans="1:2" hidden="1" x14ac:dyDescent="0.2">
      <c r="A422" s="2">
        <v>45175</v>
      </c>
      <c r="B422">
        <v>87.540000915527344</v>
      </c>
    </row>
    <row r="423" spans="1:2" hidden="1" x14ac:dyDescent="0.2">
      <c r="A423" s="2">
        <v>45176</v>
      </c>
      <c r="B423">
        <v>86.870002746582031</v>
      </c>
    </row>
    <row r="424" spans="1:2" hidden="1" x14ac:dyDescent="0.2">
      <c r="A424" s="2">
        <v>45177</v>
      </c>
      <c r="B424">
        <v>87.510002136230469</v>
      </c>
    </row>
    <row r="425" spans="1:2" hidden="1" x14ac:dyDescent="0.2">
      <c r="A425" s="2">
        <v>45180</v>
      </c>
      <c r="B425">
        <v>87.290000915527344</v>
      </c>
    </row>
    <row r="426" spans="1:2" hidden="1" x14ac:dyDescent="0.2">
      <c r="A426" s="2">
        <v>45181</v>
      </c>
      <c r="B426">
        <v>88.839996337890625</v>
      </c>
    </row>
    <row r="427" spans="1:2" hidden="1" x14ac:dyDescent="0.2">
      <c r="A427" s="2">
        <v>45182</v>
      </c>
      <c r="B427">
        <v>88.519996643066406</v>
      </c>
    </row>
    <row r="428" spans="1:2" hidden="1" x14ac:dyDescent="0.2">
      <c r="A428" s="2">
        <v>45183</v>
      </c>
      <c r="B428">
        <v>90.160003662109375</v>
      </c>
    </row>
    <row r="429" spans="1:2" hidden="1" x14ac:dyDescent="0.2">
      <c r="A429" s="2">
        <v>45184</v>
      </c>
      <c r="B429">
        <v>90.769996643066406</v>
      </c>
    </row>
    <row r="430" spans="1:2" hidden="1" x14ac:dyDescent="0.2">
      <c r="A430" s="2">
        <v>45187</v>
      </c>
      <c r="B430">
        <v>91.480003356933594</v>
      </c>
    </row>
    <row r="431" spans="1:2" hidden="1" x14ac:dyDescent="0.2">
      <c r="A431" s="2">
        <v>45188</v>
      </c>
      <c r="B431">
        <v>91.199996948242188</v>
      </c>
    </row>
    <row r="432" spans="1:2" hidden="1" x14ac:dyDescent="0.2">
      <c r="A432" s="2">
        <v>45189</v>
      </c>
      <c r="B432">
        <v>90.279998779296875</v>
      </c>
    </row>
    <row r="433" spans="1:2" hidden="1" x14ac:dyDescent="0.2">
      <c r="A433" s="2">
        <v>45190</v>
      </c>
      <c r="B433">
        <v>89.629997253417969</v>
      </c>
    </row>
    <row r="434" spans="1:2" hidden="1" x14ac:dyDescent="0.2">
      <c r="A434" s="2">
        <v>45191</v>
      </c>
      <c r="B434">
        <v>90.029998779296875</v>
      </c>
    </row>
    <row r="435" spans="1:2" hidden="1" x14ac:dyDescent="0.2">
      <c r="A435" s="2">
        <v>45194</v>
      </c>
      <c r="B435">
        <v>89.680000305175781</v>
      </c>
    </row>
    <row r="436" spans="1:2" hidden="1" x14ac:dyDescent="0.2">
      <c r="A436" s="2">
        <v>45195</v>
      </c>
      <c r="B436">
        <v>90.389999389648438</v>
      </c>
    </row>
    <row r="437" spans="1:2" hidden="1" x14ac:dyDescent="0.2">
      <c r="A437" s="2">
        <v>45196</v>
      </c>
      <c r="B437">
        <v>93.680000305175781</v>
      </c>
    </row>
    <row r="438" spans="1:2" hidden="1" x14ac:dyDescent="0.2">
      <c r="A438" s="2">
        <v>45197</v>
      </c>
      <c r="B438">
        <v>91.709999084472656</v>
      </c>
    </row>
    <row r="439" spans="1:2" hidden="1" x14ac:dyDescent="0.2">
      <c r="A439" s="2">
        <v>45198</v>
      </c>
      <c r="B439">
        <v>90.790000915527344</v>
      </c>
    </row>
    <row r="440" spans="1:2" hidden="1" x14ac:dyDescent="0.2">
      <c r="A440" s="2">
        <v>45201</v>
      </c>
      <c r="B440">
        <v>88.819999694824219</v>
      </c>
    </row>
    <row r="441" spans="1:2" hidden="1" x14ac:dyDescent="0.2">
      <c r="A441" s="2">
        <v>45202</v>
      </c>
      <c r="B441">
        <v>89.230003356933594</v>
      </c>
    </row>
    <row r="442" spans="1:2" hidden="1" x14ac:dyDescent="0.2">
      <c r="A442" s="2">
        <v>45203</v>
      </c>
      <c r="B442">
        <v>84.220001220703125</v>
      </c>
    </row>
    <row r="443" spans="1:2" hidden="1" x14ac:dyDescent="0.2">
      <c r="A443" s="2">
        <v>45204</v>
      </c>
      <c r="B443">
        <v>82.30999755859375</v>
      </c>
    </row>
    <row r="444" spans="1:2" hidden="1" x14ac:dyDescent="0.2">
      <c r="A444" s="2">
        <v>45205</v>
      </c>
      <c r="B444">
        <v>82.790000915527344</v>
      </c>
    </row>
    <row r="445" spans="1:2" hidden="1" x14ac:dyDescent="0.2">
      <c r="A445" s="2">
        <v>45208</v>
      </c>
      <c r="B445">
        <v>86.379997253417969</v>
      </c>
    </row>
    <row r="446" spans="1:2" hidden="1" x14ac:dyDescent="0.2">
      <c r="A446" s="2">
        <v>45209</v>
      </c>
      <c r="B446">
        <v>85.970001220703125</v>
      </c>
    </row>
    <row r="447" spans="1:2" hidden="1" x14ac:dyDescent="0.2">
      <c r="A447" s="2">
        <v>45210</v>
      </c>
      <c r="B447">
        <v>83.489997863769531</v>
      </c>
    </row>
    <row r="448" spans="1:2" hidden="1" x14ac:dyDescent="0.2">
      <c r="A448" s="2">
        <v>45211</v>
      </c>
      <c r="B448">
        <v>82.910003662109375</v>
      </c>
    </row>
    <row r="449" spans="1:2" hidden="1" x14ac:dyDescent="0.2">
      <c r="A449" s="2">
        <v>45212</v>
      </c>
      <c r="B449">
        <v>87.69000244140625</v>
      </c>
    </row>
    <row r="450" spans="1:2" hidden="1" x14ac:dyDescent="0.2">
      <c r="A450" s="2">
        <v>45215</v>
      </c>
      <c r="B450">
        <v>86.660003662109375</v>
      </c>
    </row>
    <row r="451" spans="1:2" hidden="1" x14ac:dyDescent="0.2">
      <c r="A451" s="2">
        <v>45216</v>
      </c>
      <c r="B451">
        <v>86.660003662109375</v>
      </c>
    </row>
    <row r="452" spans="1:2" hidden="1" x14ac:dyDescent="0.2">
      <c r="A452" s="2">
        <v>45217</v>
      </c>
      <c r="B452">
        <v>88.319999694824219</v>
      </c>
    </row>
    <row r="453" spans="1:2" hidden="1" x14ac:dyDescent="0.2">
      <c r="A453" s="2">
        <v>45218</v>
      </c>
      <c r="B453">
        <v>89.370002746582031</v>
      </c>
    </row>
    <row r="454" spans="1:2" hidden="1" x14ac:dyDescent="0.2">
      <c r="A454" s="2">
        <v>45219</v>
      </c>
      <c r="B454">
        <v>88.75</v>
      </c>
    </row>
    <row r="455" spans="1:2" hidden="1" x14ac:dyDescent="0.2">
      <c r="A455" s="2">
        <v>45222</v>
      </c>
      <c r="B455">
        <v>85.489997863769531</v>
      </c>
    </row>
    <row r="456" spans="1:2" hidden="1" x14ac:dyDescent="0.2">
      <c r="A456" s="2">
        <v>45223</v>
      </c>
      <c r="B456">
        <v>83.739997863769531</v>
      </c>
    </row>
    <row r="457" spans="1:2" hidden="1" x14ac:dyDescent="0.2">
      <c r="A457" s="2">
        <v>45224</v>
      </c>
      <c r="B457">
        <v>85.389999389648438</v>
      </c>
    </row>
    <row r="458" spans="1:2" hidden="1" x14ac:dyDescent="0.2">
      <c r="A458" s="2">
        <v>45225</v>
      </c>
      <c r="B458">
        <v>83.209999084472656</v>
      </c>
    </row>
    <row r="459" spans="1:2" hidden="1" x14ac:dyDescent="0.2">
      <c r="A459" s="2">
        <v>45226</v>
      </c>
      <c r="B459">
        <v>85.540000915527344</v>
      </c>
    </row>
    <row r="460" spans="1:2" hidden="1" x14ac:dyDescent="0.2">
      <c r="A460" s="2">
        <v>45229</v>
      </c>
      <c r="B460">
        <v>82.30999755859375</v>
      </c>
    </row>
    <row r="461" spans="1:2" hidden="1" x14ac:dyDescent="0.2">
      <c r="A461" s="2">
        <v>45230</v>
      </c>
      <c r="B461">
        <v>81.019996643066406</v>
      </c>
    </row>
    <row r="462" spans="1:2" hidden="1" x14ac:dyDescent="0.2">
      <c r="A462" s="2">
        <v>45231</v>
      </c>
      <c r="B462">
        <v>80.44000244140625</v>
      </c>
    </row>
    <row r="463" spans="1:2" hidden="1" x14ac:dyDescent="0.2">
      <c r="A463" s="2">
        <v>45232</v>
      </c>
      <c r="B463">
        <v>82.459999084472656</v>
      </c>
    </row>
    <row r="464" spans="1:2" hidden="1" x14ac:dyDescent="0.2">
      <c r="A464" s="2">
        <v>45233</v>
      </c>
      <c r="B464">
        <v>80.510002136230469</v>
      </c>
    </row>
    <row r="465" spans="1:2" hidden="1" x14ac:dyDescent="0.2">
      <c r="A465" s="2">
        <v>45236</v>
      </c>
      <c r="B465">
        <v>80.819999694824219</v>
      </c>
    </row>
    <row r="466" spans="1:2" hidden="1" x14ac:dyDescent="0.2">
      <c r="A466" s="2">
        <v>45237</v>
      </c>
      <c r="B466">
        <v>77.370002746582031</v>
      </c>
    </row>
    <row r="467" spans="1:2" hidden="1" x14ac:dyDescent="0.2">
      <c r="A467" s="2">
        <v>45238</v>
      </c>
      <c r="B467">
        <v>75.330001831054688</v>
      </c>
    </row>
    <row r="468" spans="1:2" hidden="1" x14ac:dyDescent="0.2">
      <c r="A468" s="2">
        <v>45239</v>
      </c>
      <c r="B468">
        <v>75.739997863769531</v>
      </c>
    </row>
    <row r="469" spans="1:2" hidden="1" x14ac:dyDescent="0.2">
      <c r="A469" s="2">
        <v>45240</v>
      </c>
      <c r="B469">
        <v>77.169998168945312</v>
      </c>
    </row>
    <row r="470" spans="1:2" hidden="1" x14ac:dyDescent="0.2">
      <c r="A470" s="2">
        <v>45243</v>
      </c>
      <c r="B470">
        <v>78.260002136230469</v>
      </c>
    </row>
    <row r="471" spans="1:2" hidden="1" x14ac:dyDescent="0.2">
      <c r="A471" s="2">
        <v>45244</v>
      </c>
      <c r="B471">
        <v>78.260002136230469</v>
      </c>
    </row>
    <row r="472" spans="1:2" hidden="1" x14ac:dyDescent="0.2">
      <c r="A472" s="2">
        <v>45245</v>
      </c>
      <c r="B472">
        <v>76.660003662109375</v>
      </c>
    </row>
    <row r="473" spans="1:2" hidden="1" x14ac:dyDescent="0.2">
      <c r="A473" s="2">
        <v>45246</v>
      </c>
      <c r="B473">
        <v>72.900001525878906</v>
      </c>
    </row>
    <row r="474" spans="1:2" hidden="1" x14ac:dyDescent="0.2">
      <c r="A474" s="2">
        <v>45247</v>
      </c>
      <c r="B474">
        <v>75.889999389648438</v>
      </c>
    </row>
    <row r="475" spans="1:2" hidden="1" x14ac:dyDescent="0.2">
      <c r="A475" s="2">
        <v>45250</v>
      </c>
      <c r="B475">
        <v>77.599998474121094</v>
      </c>
    </row>
    <row r="476" spans="1:2" hidden="1" x14ac:dyDescent="0.2">
      <c r="A476" s="2">
        <v>45251</v>
      </c>
      <c r="B476">
        <v>77.769996643066406</v>
      </c>
    </row>
    <row r="477" spans="1:2" hidden="1" x14ac:dyDescent="0.2">
      <c r="A477" s="2">
        <v>45252</v>
      </c>
      <c r="B477">
        <v>77.099998474121094</v>
      </c>
    </row>
    <row r="478" spans="1:2" hidden="1" x14ac:dyDescent="0.2">
      <c r="A478" s="2">
        <v>45254</v>
      </c>
      <c r="B478">
        <v>75.540000915527344</v>
      </c>
    </row>
    <row r="479" spans="1:2" hidden="1" x14ac:dyDescent="0.2">
      <c r="A479" s="2">
        <v>45257</v>
      </c>
      <c r="B479">
        <v>74.860000610351562</v>
      </c>
    </row>
    <row r="480" spans="1:2" hidden="1" x14ac:dyDescent="0.2">
      <c r="A480" s="2">
        <v>45258</v>
      </c>
      <c r="B480">
        <v>76.410003662109375</v>
      </c>
    </row>
    <row r="481" spans="1:2" hidden="1" x14ac:dyDescent="0.2">
      <c r="A481" s="2">
        <v>45259</v>
      </c>
      <c r="B481">
        <v>77.860000610351562</v>
      </c>
    </row>
    <row r="482" spans="1:2" hidden="1" x14ac:dyDescent="0.2">
      <c r="A482" s="2">
        <v>45260</v>
      </c>
      <c r="B482">
        <v>75.959999084472656</v>
      </c>
    </row>
    <row r="483" spans="1:2" hidden="1" x14ac:dyDescent="0.2">
      <c r="A483" s="2">
        <v>45261</v>
      </c>
      <c r="B483">
        <v>74.069999694824219</v>
      </c>
    </row>
    <row r="484" spans="1:2" hidden="1" x14ac:dyDescent="0.2">
      <c r="A484" s="2">
        <v>45264</v>
      </c>
      <c r="B484">
        <v>73.040000915527344</v>
      </c>
    </row>
    <row r="485" spans="1:2" hidden="1" x14ac:dyDescent="0.2">
      <c r="A485" s="2">
        <v>45265</v>
      </c>
      <c r="B485">
        <v>72.319999694824219</v>
      </c>
    </row>
    <row r="486" spans="1:2" hidden="1" x14ac:dyDescent="0.2">
      <c r="A486" s="2">
        <v>45266</v>
      </c>
      <c r="B486">
        <v>69.379997253417969</v>
      </c>
    </row>
    <row r="487" spans="1:2" hidden="1" x14ac:dyDescent="0.2">
      <c r="A487" s="2">
        <v>45267</v>
      </c>
      <c r="B487">
        <v>69.339996337890625</v>
      </c>
    </row>
    <row r="488" spans="1:2" hidden="1" x14ac:dyDescent="0.2">
      <c r="A488" s="2">
        <v>45268</v>
      </c>
      <c r="B488">
        <v>71.230003356933594</v>
      </c>
    </row>
    <row r="489" spans="1:2" hidden="1" x14ac:dyDescent="0.2">
      <c r="A489" s="2">
        <v>45271</v>
      </c>
      <c r="B489">
        <v>71.319999694824219</v>
      </c>
    </row>
    <row r="490" spans="1:2" hidden="1" x14ac:dyDescent="0.2">
      <c r="A490" s="2">
        <v>45272</v>
      </c>
      <c r="B490">
        <v>68.610000610351562</v>
      </c>
    </row>
    <row r="491" spans="1:2" hidden="1" x14ac:dyDescent="0.2">
      <c r="A491" s="2">
        <v>45273</v>
      </c>
      <c r="B491">
        <v>69.470001220703125</v>
      </c>
    </row>
    <row r="492" spans="1:2" hidden="1" x14ac:dyDescent="0.2">
      <c r="A492" s="2">
        <v>45274</v>
      </c>
      <c r="B492">
        <v>71.580001831054688</v>
      </c>
    </row>
    <row r="493" spans="1:2" hidden="1" x14ac:dyDescent="0.2">
      <c r="A493" s="2">
        <v>45275</v>
      </c>
      <c r="B493">
        <v>71.430000305175781</v>
      </c>
    </row>
    <row r="494" spans="1:2" hidden="1" x14ac:dyDescent="0.2">
      <c r="A494" s="2">
        <v>45278</v>
      </c>
      <c r="B494">
        <v>72.470001220703125</v>
      </c>
    </row>
    <row r="495" spans="1:2" hidden="1" x14ac:dyDescent="0.2">
      <c r="A495" s="2">
        <v>45279</v>
      </c>
      <c r="B495">
        <v>73.44000244140625</v>
      </c>
    </row>
    <row r="496" spans="1:2" hidden="1" x14ac:dyDescent="0.2">
      <c r="A496" s="2">
        <v>45280</v>
      </c>
      <c r="B496">
        <v>74.220001220703125</v>
      </c>
    </row>
    <row r="497" spans="1:2" hidden="1" x14ac:dyDescent="0.2">
      <c r="A497" s="2">
        <v>45281</v>
      </c>
      <c r="B497">
        <v>73.889999389648438</v>
      </c>
    </row>
    <row r="498" spans="1:2" hidden="1" x14ac:dyDescent="0.2">
      <c r="A498" s="2">
        <v>45282</v>
      </c>
      <c r="B498">
        <v>73.55999755859375</v>
      </c>
    </row>
    <row r="499" spans="1:2" hidden="1" x14ac:dyDescent="0.2">
      <c r="A499" s="2">
        <v>45286</v>
      </c>
      <c r="B499">
        <v>75.569999694824219</v>
      </c>
    </row>
    <row r="500" spans="1:2" hidden="1" x14ac:dyDescent="0.2">
      <c r="A500" s="2">
        <v>45287</v>
      </c>
      <c r="B500">
        <v>74.110000610351562</v>
      </c>
    </row>
    <row r="501" spans="1:2" hidden="1" x14ac:dyDescent="0.2">
      <c r="A501" s="2">
        <v>45288</v>
      </c>
      <c r="B501">
        <v>71.769996643066406</v>
      </c>
    </row>
    <row r="502" spans="1:2" hidden="1" x14ac:dyDescent="0.2">
      <c r="A502" s="2">
        <v>45289</v>
      </c>
      <c r="B502">
        <v>71.650001525878906</v>
      </c>
    </row>
    <row r="503" spans="1:2" hidden="1" x14ac:dyDescent="0.2">
      <c r="A503" s="2">
        <v>45293</v>
      </c>
      <c r="B503">
        <v>70.379997253417969</v>
      </c>
    </row>
    <row r="504" spans="1:2" hidden="1" x14ac:dyDescent="0.2">
      <c r="A504" s="2">
        <v>45294</v>
      </c>
      <c r="B504">
        <v>72.699996948242188</v>
      </c>
    </row>
    <row r="505" spans="1:2" hidden="1" x14ac:dyDescent="0.2">
      <c r="A505" s="2">
        <v>45295</v>
      </c>
      <c r="B505">
        <v>72.19000244140625</v>
      </c>
    </row>
    <row r="506" spans="1:2" hidden="1" x14ac:dyDescent="0.2">
      <c r="A506" s="2">
        <v>45296</v>
      </c>
      <c r="B506">
        <v>73.80999755859375</v>
      </c>
    </row>
    <row r="507" spans="1:2" hidden="1" x14ac:dyDescent="0.2">
      <c r="A507" s="2">
        <v>45299</v>
      </c>
      <c r="B507">
        <v>70.769996643066406</v>
      </c>
    </row>
    <row r="508" spans="1:2" hidden="1" x14ac:dyDescent="0.2">
      <c r="A508" s="2">
        <v>45300</v>
      </c>
      <c r="B508">
        <v>72.239997863769531</v>
      </c>
    </row>
    <row r="509" spans="1:2" hidden="1" x14ac:dyDescent="0.2">
      <c r="A509" s="2">
        <v>45301</v>
      </c>
      <c r="B509">
        <v>71.370002746582031</v>
      </c>
    </row>
    <row r="510" spans="1:2" hidden="1" x14ac:dyDescent="0.2">
      <c r="A510" s="2">
        <v>45302</v>
      </c>
      <c r="B510">
        <v>72.019996643066406</v>
      </c>
    </row>
    <row r="511" spans="1:2" hidden="1" x14ac:dyDescent="0.2">
      <c r="A511" s="2">
        <v>45303</v>
      </c>
      <c r="B511">
        <v>72.680000305175781</v>
      </c>
    </row>
    <row r="512" spans="1:2" hidden="1" x14ac:dyDescent="0.2">
      <c r="A512" s="2">
        <v>45307</v>
      </c>
      <c r="B512">
        <v>72.400001525878906</v>
      </c>
    </row>
    <row r="513" spans="1:2" hidden="1" x14ac:dyDescent="0.2">
      <c r="A513" s="2">
        <v>45308</v>
      </c>
      <c r="B513">
        <v>72.55999755859375</v>
      </c>
    </row>
    <row r="514" spans="1:2" hidden="1" x14ac:dyDescent="0.2">
      <c r="A514" s="2">
        <v>45309</v>
      </c>
      <c r="B514">
        <v>74.080001831054688</v>
      </c>
    </row>
    <row r="515" spans="1:2" hidden="1" x14ac:dyDescent="0.2">
      <c r="A515" s="2">
        <v>45310</v>
      </c>
      <c r="B515">
        <v>73.410003662109375</v>
      </c>
    </row>
    <row r="516" spans="1:2" hidden="1" x14ac:dyDescent="0.2">
      <c r="A516" s="2">
        <v>45313</v>
      </c>
      <c r="B516">
        <v>75.19000244140625</v>
      </c>
    </row>
    <row r="517" spans="1:2" hidden="1" x14ac:dyDescent="0.2">
      <c r="A517" s="2">
        <v>45314</v>
      </c>
      <c r="B517">
        <v>74.370002746582031</v>
      </c>
    </row>
    <row r="518" spans="1:2" hidden="1" x14ac:dyDescent="0.2">
      <c r="A518" s="2">
        <v>45315</v>
      </c>
      <c r="B518">
        <v>75.089996337890625</v>
      </c>
    </row>
    <row r="519" spans="1:2" hidden="1" x14ac:dyDescent="0.2">
      <c r="A519" s="2">
        <v>45316</v>
      </c>
      <c r="B519">
        <v>77.360000610351562</v>
      </c>
    </row>
    <row r="520" spans="1:2" hidden="1" x14ac:dyDescent="0.2">
      <c r="A520" s="2">
        <v>45317</v>
      </c>
      <c r="B520">
        <v>78.010002136230469</v>
      </c>
    </row>
    <row r="521" spans="1:2" hidden="1" x14ac:dyDescent="0.2">
      <c r="A521" s="2">
        <v>45320</v>
      </c>
      <c r="B521">
        <v>76.779998779296875</v>
      </c>
    </row>
    <row r="522" spans="1:2" hidden="1" x14ac:dyDescent="0.2">
      <c r="A522" s="2">
        <v>45321</v>
      </c>
      <c r="B522">
        <v>77.819999694824219</v>
      </c>
    </row>
    <row r="523" spans="1:2" hidden="1" x14ac:dyDescent="0.2">
      <c r="A523" s="2">
        <v>45322</v>
      </c>
      <c r="B523">
        <v>75.849998474121094</v>
      </c>
    </row>
    <row r="524" spans="1:2" hidden="1" x14ac:dyDescent="0.2">
      <c r="A524" s="2">
        <v>45323</v>
      </c>
      <c r="B524">
        <v>73.819999694824219</v>
      </c>
    </row>
    <row r="525" spans="1:2" hidden="1" x14ac:dyDescent="0.2">
      <c r="A525" s="2">
        <v>45324</v>
      </c>
      <c r="B525">
        <v>72.279998779296875</v>
      </c>
    </row>
    <row r="526" spans="1:2" hidden="1" x14ac:dyDescent="0.2">
      <c r="A526" s="2">
        <v>45327</v>
      </c>
      <c r="B526">
        <v>72.779998779296875</v>
      </c>
    </row>
    <row r="527" spans="1:2" hidden="1" x14ac:dyDescent="0.2">
      <c r="A527" s="2">
        <v>45328</v>
      </c>
      <c r="B527">
        <v>73.30999755859375</v>
      </c>
    </row>
    <row r="528" spans="1:2" hidden="1" x14ac:dyDescent="0.2">
      <c r="A528" s="2">
        <v>45329</v>
      </c>
      <c r="B528">
        <v>73.860000610351562</v>
      </c>
    </row>
    <row r="529" spans="1:2" hidden="1" x14ac:dyDescent="0.2">
      <c r="A529" s="2">
        <v>45330</v>
      </c>
      <c r="B529">
        <v>76.220001220703125</v>
      </c>
    </row>
    <row r="530" spans="1:2" hidden="1" x14ac:dyDescent="0.2">
      <c r="A530" s="2">
        <v>45331</v>
      </c>
      <c r="B530">
        <v>76.839996337890625</v>
      </c>
    </row>
    <row r="531" spans="1:2" hidden="1" x14ac:dyDescent="0.2">
      <c r="A531" s="2">
        <v>45334</v>
      </c>
      <c r="B531">
        <v>76.919998168945312</v>
      </c>
    </row>
    <row r="532" spans="1:2" hidden="1" x14ac:dyDescent="0.2">
      <c r="A532" s="2">
        <v>45335</v>
      </c>
      <c r="B532">
        <v>77.870002746582031</v>
      </c>
    </row>
    <row r="533" spans="1:2" hidden="1" x14ac:dyDescent="0.2">
      <c r="A533" s="2">
        <v>45336</v>
      </c>
      <c r="B533">
        <v>76.639999389648438</v>
      </c>
    </row>
    <row r="534" spans="1:2" hidden="1" x14ac:dyDescent="0.2">
      <c r="A534" s="2">
        <v>45337</v>
      </c>
      <c r="B534">
        <v>78.029998779296875</v>
      </c>
    </row>
    <row r="535" spans="1:2" hidden="1" x14ac:dyDescent="0.2">
      <c r="A535" s="2">
        <v>45338</v>
      </c>
      <c r="B535">
        <v>79.19000244140625</v>
      </c>
    </row>
    <row r="536" spans="1:2" hidden="1" x14ac:dyDescent="0.2">
      <c r="A536" s="2">
        <v>45342</v>
      </c>
      <c r="B536">
        <v>78.180000305175781</v>
      </c>
    </row>
    <row r="537" spans="1:2" hidden="1" x14ac:dyDescent="0.2">
      <c r="A537" s="2">
        <v>45343</v>
      </c>
      <c r="B537">
        <v>77.910003662109375</v>
      </c>
    </row>
    <row r="538" spans="1:2" hidden="1" x14ac:dyDescent="0.2">
      <c r="A538" s="2">
        <v>45344</v>
      </c>
      <c r="B538">
        <v>78.610000610351562</v>
      </c>
    </row>
    <row r="539" spans="1:2" hidden="1" x14ac:dyDescent="0.2">
      <c r="A539" s="2">
        <v>45345</v>
      </c>
      <c r="B539">
        <v>76.489997863769531</v>
      </c>
    </row>
    <row r="540" spans="1:2" hidden="1" x14ac:dyDescent="0.2">
      <c r="A540" s="2">
        <v>45348</v>
      </c>
      <c r="B540">
        <v>77.580001831054688</v>
      </c>
    </row>
    <row r="541" spans="1:2" hidden="1" x14ac:dyDescent="0.2">
      <c r="A541" s="2">
        <v>45349</v>
      </c>
      <c r="B541">
        <v>78.870002746582031</v>
      </c>
    </row>
    <row r="542" spans="1:2" hidden="1" x14ac:dyDescent="0.2">
      <c r="A542" s="2">
        <v>45350</v>
      </c>
      <c r="B542">
        <v>78.540000915527344</v>
      </c>
    </row>
    <row r="543" spans="1:2" hidden="1" x14ac:dyDescent="0.2">
      <c r="A543" s="2">
        <v>45351</v>
      </c>
      <c r="B543">
        <v>78.260002136230469</v>
      </c>
    </row>
    <row r="544" spans="1:2" hidden="1" x14ac:dyDescent="0.2">
      <c r="A544" s="2">
        <v>45352</v>
      </c>
      <c r="B544">
        <v>79.970001220703125</v>
      </c>
    </row>
    <row r="545" spans="1:2" hidden="1" x14ac:dyDescent="0.2">
      <c r="A545" s="2">
        <v>45355</v>
      </c>
      <c r="B545">
        <v>78.739997863769531</v>
      </c>
    </row>
    <row r="546" spans="1:2" hidden="1" x14ac:dyDescent="0.2">
      <c r="A546" s="2">
        <v>45356</v>
      </c>
      <c r="B546">
        <v>78.150001525878906</v>
      </c>
    </row>
    <row r="547" spans="1:2" hidden="1" x14ac:dyDescent="0.2">
      <c r="A547" s="2">
        <v>45357</v>
      </c>
      <c r="B547">
        <v>79.129997253417969</v>
      </c>
    </row>
    <row r="548" spans="1:2" hidden="1" x14ac:dyDescent="0.2">
      <c r="A548" s="2">
        <v>45358</v>
      </c>
      <c r="B548">
        <v>78.930000305175781</v>
      </c>
    </row>
    <row r="549" spans="1:2" hidden="1" x14ac:dyDescent="0.2">
      <c r="A549" s="2">
        <v>45359</v>
      </c>
      <c r="B549">
        <v>78.010002136230469</v>
      </c>
    </row>
    <row r="550" spans="1:2" hidden="1" x14ac:dyDescent="0.2">
      <c r="A550" s="2">
        <v>45362</v>
      </c>
      <c r="B550">
        <v>77.930000305175781</v>
      </c>
    </row>
    <row r="551" spans="1:2" hidden="1" x14ac:dyDescent="0.2">
      <c r="A551" s="2">
        <v>45363</v>
      </c>
      <c r="B551">
        <v>77.55999755859375</v>
      </c>
    </row>
    <row r="552" spans="1:2" hidden="1" x14ac:dyDescent="0.2">
      <c r="A552" s="2">
        <v>45364</v>
      </c>
      <c r="B552">
        <v>79.720001220703125</v>
      </c>
    </row>
    <row r="553" spans="1:2" hidden="1" x14ac:dyDescent="0.2">
      <c r="A553" s="2">
        <v>45365</v>
      </c>
      <c r="B553">
        <v>81.260002136230469</v>
      </c>
    </row>
    <row r="554" spans="1:2" hidden="1" x14ac:dyDescent="0.2">
      <c r="A554" s="2">
        <v>45366</v>
      </c>
      <c r="B554">
        <v>81.040000915527344</v>
      </c>
    </row>
    <row r="555" spans="1:2" hidden="1" x14ac:dyDescent="0.2">
      <c r="A555" s="2">
        <v>45369</v>
      </c>
      <c r="B555">
        <v>82.720001220703125</v>
      </c>
    </row>
    <row r="556" spans="1:2" hidden="1" x14ac:dyDescent="0.2">
      <c r="A556" s="2">
        <v>45370</v>
      </c>
      <c r="B556">
        <v>83.470001220703125</v>
      </c>
    </row>
    <row r="557" spans="1:2" hidden="1" x14ac:dyDescent="0.2">
      <c r="A557" s="2">
        <v>45371</v>
      </c>
      <c r="B557">
        <v>81.680000305175781</v>
      </c>
    </row>
    <row r="558" spans="1:2" hidden="1" x14ac:dyDescent="0.2">
      <c r="A558" s="2">
        <v>45372</v>
      </c>
      <c r="B558">
        <v>81.069999694824219</v>
      </c>
    </row>
    <row r="559" spans="1:2" hidden="1" x14ac:dyDescent="0.2">
      <c r="A559" s="2">
        <v>45373</v>
      </c>
      <c r="B559">
        <v>80.629997253417969</v>
      </c>
    </row>
    <row r="560" spans="1:2" hidden="1" x14ac:dyDescent="0.2">
      <c r="A560" s="2">
        <v>45376</v>
      </c>
      <c r="B560">
        <v>81.949996948242188</v>
      </c>
    </row>
    <row r="561" spans="1:2" hidden="1" x14ac:dyDescent="0.2">
      <c r="A561" s="2">
        <v>45377</v>
      </c>
      <c r="B561">
        <v>81.620002746582031</v>
      </c>
    </row>
    <row r="562" spans="1:2" hidden="1" x14ac:dyDescent="0.2">
      <c r="A562" s="2">
        <v>45378</v>
      </c>
      <c r="B562">
        <v>81.349998474121094</v>
      </c>
    </row>
    <row r="563" spans="1:2" hidden="1" x14ac:dyDescent="0.2">
      <c r="A563" s="2">
        <v>45379</v>
      </c>
      <c r="B563">
        <v>83.169998168945312</v>
      </c>
    </row>
    <row r="564" spans="1:2" hidden="1" x14ac:dyDescent="0.2">
      <c r="A564" s="2">
        <v>45383</v>
      </c>
      <c r="B564">
        <v>83.709999084472656</v>
      </c>
    </row>
    <row r="565" spans="1:2" hidden="1" x14ac:dyDescent="0.2">
      <c r="A565" s="2">
        <v>45384</v>
      </c>
      <c r="B565">
        <v>85.150001525878906</v>
      </c>
    </row>
    <row r="566" spans="1:2" hidden="1" x14ac:dyDescent="0.2">
      <c r="A566" s="2">
        <v>45385</v>
      </c>
      <c r="B566">
        <v>85.430000305175781</v>
      </c>
    </row>
    <row r="567" spans="1:2" hidden="1" x14ac:dyDescent="0.2">
      <c r="A567" s="2">
        <v>45386</v>
      </c>
      <c r="B567">
        <v>86.589996337890625</v>
      </c>
    </row>
    <row r="568" spans="1:2" hidden="1" x14ac:dyDescent="0.2">
      <c r="A568" s="2">
        <v>45387</v>
      </c>
      <c r="B568">
        <v>86.910003662109375</v>
      </c>
    </row>
    <row r="569" spans="1:2" hidden="1" x14ac:dyDescent="0.2">
      <c r="A569" s="2">
        <v>45390</v>
      </c>
      <c r="B569">
        <v>86.430000305175781</v>
      </c>
    </row>
    <row r="570" spans="1:2" hidden="1" x14ac:dyDescent="0.2">
      <c r="A570" s="2">
        <v>45391</v>
      </c>
      <c r="B570">
        <v>85.230003356933594</v>
      </c>
    </row>
    <row r="571" spans="1:2" hidden="1" x14ac:dyDescent="0.2">
      <c r="A571" s="2">
        <v>45392</v>
      </c>
      <c r="B571">
        <v>86.209999084472656</v>
      </c>
    </row>
    <row r="572" spans="1:2" hidden="1" x14ac:dyDescent="0.2">
      <c r="A572" s="2">
        <v>45393</v>
      </c>
      <c r="B572">
        <v>85.019996643066406</v>
      </c>
    </row>
    <row r="573" spans="1:2" hidden="1" x14ac:dyDescent="0.2">
      <c r="A573" s="2">
        <v>45394</v>
      </c>
      <c r="B573">
        <v>85.660003662109375</v>
      </c>
    </row>
    <row r="574" spans="1:2" hidden="1" x14ac:dyDescent="0.2">
      <c r="A574" s="2">
        <v>45397</v>
      </c>
      <c r="B574">
        <v>85.410003662109375</v>
      </c>
    </row>
    <row r="575" spans="1:2" hidden="1" x14ac:dyDescent="0.2">
      <c r="A575" s="2">
        <v>45398</v>
      </c>
      <c r="B575">
        <v>85.360000610351562</v>
      </c>
    </row>
    <row r="576" spans="1:2" hidden="1" x14ac:dyDescent="0.2">
      <c r="A576" s="2">
        <v>45399</v>
      </c>
      <c r="B576">
        <v>82.69000244140625</v>
      </c>
    </row>
    <row r="577" spans="1:2" hidden="1" x14ac:dyDescent="0.2">
      <c r="A577" s="2">
        <v>45400</v>
      </c>
      <c r="B577">
        <v>82.730003356933594</v>
      </c>
    </row>
    <row r="578" spans="1:2" hidden="1" x14ac:dyDescent="0.2">
      <c r="A578" s="2">
        <v>45401</v>
      </c>
      <c r="B578">
        <v>83.139999389648438</v>
      </c>
    </row>
    <row r="579" spans="1:2" hidden="1" x14ac:dyDescent="0.2">
      <c r="A579" s="2">
        <v>45404</v>
      </c>
      <c r="B579">
        <v>82.849998474121094</v>
      </c>
    </row>
    <row r="580" spans="1:2" hidden="1" x14ac:dyDescent="0.2">
      <c r="A580" s="2">
        <v>45405</v>
      </c>
      <c r="B580">
        <v>83.360000610351562</v>
      </c>
    </row>
    <row r="581" spans="1:2" hidden="1" x14ac:dyDescent="0.2">
      <c r="A581" s="2">
        <v>45406</v>
      </c>
      <c r="B581">
        <v>82.80999755859375</v>
      </c>
    </row>
    <row r="582" spans="1:2" hidden="1" x14ac:dyDescent="0.2">
      <c r="A582" s="2">
        <v>45407</v>
      </c>
      <c r="B582">
        <v>83.569999694824219</v>
      </c>
    </row>
    <row r="583" spans="1:2" hidden="1" x14ac:dyDescent="0.2">
      <c r="A583" s="2">
        <v>45408</v>
      </c>
      <c r="B583">
        <v>83.849998474121094</v>
      </c>
    </row>
    <row r="584" spans="1:2" hidden="1" x14ac:dyDescent="0.2">
      <c r="A584" s="2">
        <v>45411</v>
      </c>
      <c r="B584">
        <v>82.629997253417969</v>
      </c>
    </row>
    <row r="585" spans="1:2" hidden="1" x14ac:dyDescent="0.2">
      <c r="A585" s="2">
        <v>45412</v>
      </c>
      <c r="B585">
        <v>81.930000305175781</v>
      </c>
    </row>
    <row r="586" spans="1:2" hidden="1" x14ac:dyDescent="0.2">
      <c r="A586" s="2">
        <v>45413</v>
      </c>
      <c r="B586">
        <v>79</v>
      </c>
    </row>
    <row r="587" spans="1:2" hidden="1" x14ac:dyDescent="0.2">
      <c r="A587" s="2">
        <v>45414</v>
      </c>
      <c r="B587">
        <v>78.949996948242188</v>
      </c>
    </row>
    <row r="588" spans="1:2" hidden="1" x14ac:dyDescent="0.2">
      <c r="A588" s="2">
        <v>45415</v>
      </c>
      <c r="B588">
        <v>78.110000610351562</v>
      </c>
    </row>
    <row r="589" spans="1:2" hidden="1" x14ac:dyDescent="0.2">
      <c r="A589" s="2">
        <v>45418</v>
      </c>
      <c r="B589">
        <v>78.480003356933594</v>
      </c>
    </row>
    <row r="590" spans="1:2" hidden="1" x14ac:dyDescent="0.2">
      <c r="A590" s="2">
        <v>45419</v>
      </c>
      <c r="B590">
        <v>78.379997253417969</v>
      </c>
    </row>
    <row r="591" spans="1:2" hidden="1" x14ac:dyDescent="0.2">
      <c r="A591" s="2">
        <v>45420</v>
      </c>
      <c r="B591">
        <v>78.989997863769531</v>
      </c>
    </row>
    <row r="592" spans="1:2" hidden="1" x14ac:dyDescent="0.2">
      <c r="A592" s="2">
        <v>45421</v>
      </c>
      <c r="B592">
        <v>79.260002136230469</v>
      </c>
    </row>
    <row r="593" spans="1:2" hidden="1" x14ac:dyDescent="0.2">
      <c r="A593" s="2">
        <v>45422</v>
      </c>
      <c r="B593">
        <v>78.260002136230469</v>
      </c>
    </row>
    <row r="594" spans="1:2" hidden="1" x14ac:dyDescent="0.2">
      <c r="A594" s="2">
        <v>45425</v>
      </c>
      <c r="B594">
        <v>79.120002746582031</v>
      </c>
    </row>
    <row r="595" spans="1:2" hidden="1" x14ac:dyDescent="0.2">
      <c r="A595" s="2">
        <v>45426</v>
      </c>
      <c r="B595">
        <v>78.019996643066406</v>
      </c>
    </row>
    <row r="596" spans="1:2" hidden="1" x14ac:dyDescent="0.2">
      <c r="A596" s="2">
        <v>45427</v>
      </c>
      <c r="B596">
        <v>78.629997253417969</v>
      </c>
    </row>
    <row r="597" spans="1:2" hidden="1" x14ac:dyDescent="0.2">
      <c r="A597" s="2">
        <v>45428</v>
      </c>
      <c r="B597">
        <v>79.230003356933594</v>
      </c>
    </row>
    <row r="598" spans="1:2" hidden="1" x14ac:dyDescent="0.2">
      <c r="A598" s="2">
        <v>45429</v>
      </c>
      <c r="B598">
        <v>80.05999755859375</v>
      </c>
    </row>
    <row r="599" spans="1:2" hidden="1" x14ac:dyDescent="0.2">
      <c r="A599" s="2">
        <v>45432</v>
      </c>
      <c r="B599">
        <v>79.800003051757812</v>
      </c>
    </row>
    <row r="600" spans="1:2" hidden="1" x14ac:dyDescent="0.2">
      <c r="A600" s="2">
        <v>45433</v>
      </c>
      <c r="B600">
        <v>79.260002136230469</v>
      </c>
    </row>
    <row r="601" spans="1:2" hidden="1" x14ac:dyDescent="0.2">
      <c r="A601" s="2">
        <v>45434</v>
      </c>
      <c r="B601">
        <v>77.569999694824219</v>
      </c>
    </row>
    <row r="602" spans="1:2" hidden="1" x14ac:dyDescent="0.2">
      <c r="A602" s="2">
        <v>45435</v>
      </c>
      <c r="B602">
        <v>76.870002746582031</v>
      </c>
    </row>
    <row r="603" spans="1:2" hidden="1" x14ac:dyDescent="0.2">
      <c r="A603" s="2">
        <v>45436</v>
      </c>
      <c r="B603">
        <v>77.720001220703125</v>
      </c>
    </row>
    <row r="604" spans="1:2" hidden="1" x14ac:dyDescent="0.2">
      <c r="A604" s="2">
        <v>45440</v>
      </c>
      <c r="B604">
        <v>79.830001831054688</v>
      </c>
    </row>
    <row r="605" spans="1:2" hidden="1" x14ac:dyDescent="0.2">
      <c r="A605" s="2">
        <v>45441</v>
      </c>
      <c r="B605">
        <v>79.230003356933594</v>
      </c>
    </row>
    <row r="606" spans="1:2" hidden="1" x14ac:dyDescent="0.2">
      <c r="A606" s="2">
        <v>45442</v>
      </c>
      <c r="B606">
        <v>77.910003662109375</v>
      </c>
    </row>
    <row r="607" spans="1:2" hidden="1" x14ac:dyDescent="0.2">
      <c r="A607" s="2">
        <v>45443</v>
      </c>
      <c r="B607">
        <v>76.989997863769531</v>
      </c>
    </row>
    <row r="608" spans="1:2" hidden="1" x14ac:dyDescent="0.2">
      <c r="A608" s="2">
        <v>45446</v>
      </c>
      <c r="B608">
        <v>74.220001220703125</v>
      </c>
    </row>
    <row r="609" spans="1:2" hidden="1" x14ac:dyDescent="0.2">
      <c r="A609" s="2">
        <v>45447</v>
      </c>
      <c r="B609">
        <v>73.25</v>
      </c>
    </row>
    <row r="610" spans="1:2" hidden="1" x14ac:dyDescent="0.2">
      <c r="A610" s="2">
        <v>45448</v>
      </c>
      <c r="B610">
        <v>74.069999694824219</v>
      </c>
    </row>
    <row r="611" spans="1:2" hidden="1" x14ac:dyDescent="0.2">
      <c r="A611" s="2">
        <v>45449</v>
      </c>
      <c r="B611">
        <v>75.550003051757812</v>
      </c>
    </row>
    <row r="612" spans="1:2" hidden="1" x14ac:dyDescent="0.2">
      <c r="A612" s="2">
        <v>45450</v>
      </c>
      <c r="B612">
        <v>75.529998779296875</v>
      </c>
    </row>
    <row r="613" spans="1:2" hidden="1" x14ac:dyDescent="0.2">
      <c r="A613" s="2">
        <v>45453</v>
      </c>
      <c r="B613">
        <v>77.739997863769531</v>
      </c>
    </row>
    <row r="614" spans="1:2" hidden="1" x14ac:dyDescent="0.2">
      <c r="A614" s="2">
        <v>45454</v>
      </c>
      <c r="B614">
        <v>77.900001525878906</v>
      </c>
    </row>
    <row r="615" spans="1:2" hidden="1" x14ac:dyDescent="0.2">
      <c r="A615" s="2">
        <v>45455</v>
      </c>
      <c r="B615">
        <v>78.5</v>
      </c>
    </row>
    <row r="616" spans="1:2" hidden="1" x14ac:dyDescent="0.2">
      <c r="A616" s="2">
        <v>45456</v>
      </c>
      <c r="B616">
        <v>78.620002746582031</v>
      </c>
    </row>
    <row r="617" spans="1:2" hidden="1" x14ac:dyDescent="0.2">
      <c r="A617" s="2">
        <v>45457</v>
      </c>
      <c r="B617">
        <v>78.449996948242188</v>
      </c>
    </row>
    <row r="618" spans="1:2" hidden="1" x14ac:dyDescent="0.2">
      <c r="A618" s="2">
        <v>45460</v>
      </c>
      <c r="B618">
        <v>80.330001831054688</v>
      </c>
    </row>
    <row r="619" spans="1:2" hidden="1" x14ac:dyDescent="0.2">
      <c r="A619" s="2">
        <v>45461</v>
      </c>
      <c r="B619">
        <v>81.569999694824219</v>
      </c>
    </row>
    <row r="620" spans="1:2" hidden="1" x14ac:dyDescent="0.2">
      <c r="A620" s="2">
        <v>45463</v>
      </c>
      <c r="B620">
        <v>82.169998168945312</v>
      </c>
    </row>
    <row r="621" spans="1:2" hidden="1" x14ac:dyDescent="0.2">
      <c r="A621" s="2">
        <v>45464</v>
      </c>
      <c r="B621">
        <v>80.730003356933594</v>
      </c>
    </row>
    <row r="622" spans="1:2" hidden="1" x14ac:dyDescent="0.2">
      <c r="A622" s="2">
        <v>45467</v>
      </c>
      <c r="B622">
        <v>81.629997253417969</v>
      </c>
    </row>
    <row r="623" spans="1:2" hidden="1" x14ac:dyDescent="0.2">
      <c r="A623" s="2">
        <v>45468</v>
      </c>
      <c r="B623">
        <v>80.830001831054688</v>
      </c>
    </row>
    <row r="624" spans="1:2" hidden="1" x14ac:dyDescent="0.2">
      <c r="A624" s="2">
        <v>45469</v>
      </c>
      <c r="B624">
        <v>80.900001525878906</v>
      </c>
    </row>
    <row r="625" spans="1:2" hidden="1" x14ac:dyDescent="0.2">
      <c r="A625" s="2">
        <v>45470</v>
      </c>
      <c r="B625">
        <v>81.739997863769531</v>
      </c>
    </row>
    <row r="626" spans="1:2" hidden="1" x14ac:dyDescent="0.2">
      <c r="A626" s="2">
        <v>45471</v>
      </c>
      <c r="B626">
        <v>81.540000915527344</v>
      </c>
    </row>
    <row r="627" spans="1:2" hidden="1" x14ac:dyDescent="0.2">
      <c r="A627" s="2">
        <v>45474</v>
      </c>
      <c r="B627">
        <v>83.379997253417969</v>
      </c>
    </row>
    <row r="628" spans="1:2" hidden="1" x14ac:dyDescent="0.2">
      <c r="A628" s="2">
        <v>45475</v>
      </c>
      <c r="B628">
        <v>82.80999755859375</v>
      </c>
    </row>
    <row r="629" spans="1:2" hidden="1" x14ac:dyDescent="0.2">
      <c r="A629" s="2">
        <v>45476</v>
      </c>
      <c r="B629">
        <v>83.879997253417969</v>
      </c>
    </row>
    <row r="630" spans="1:2" hidden="1" x14ac:dyDescent="0.2">
      <c r="A630" s="2">
        <v>45478</v>
      </c>
      <c r="B630">
        <v>83.160003662109375</v>
      </c>
    </row>
    <row r="631" spans="1:2" hidden="1" x14ac:dyDescent="0.2">
      <c r="A631" s="2">
        <v>45481</v>
      </c>
      <c r="B631">
        <v>82.330001831054688</v>
      </c>
    </row>
    <row r="632" spans="1:2" hidden="1" x14ac:dyDescent="0.2">
      <c r="A632" s="2">
        <v>45482</v>
      </c>
      <c r="B632">
        <v>81.410003662109375</v>
      </c>
    </row>
    <row r="633" spans="1:2" hidden="1" x14ac:dyDescent="0.2">
      <c r="A633" s="2">
        <v>45483</v>
      </c>
      <c r="B633">
        <v>82.099998474121094</v>
      </c>
    </row>
    <row r="634" spans="1:2" hidden="1" x14ac:dyDescent="0.2">
      <c r="A634" s="2">
        <v>45484</v>
      </c>
      <c r="B634">
        <v>82.620002746582031</v>
      </c>
    </row>
    <row r="635" spans="1:2" hidden="1" x14ac:dyDescent="0.2">
      <c r="A635" s="2">
        <v>45485</v>
      </c>
      <c r="B635">
        <v>82.209999084472656</v>
      </c>
    </row>
    <row r="636" spans="1:2" hidden="1" x14ac:dyDescent="0.2">
      <c r="A636" s="2">
        <v>45488</v>
      </c>
      <c r="B636">
        <v>81.910003662109375</v>
      </c>
    </row>
    <row r="637" spans="1:2" hidden="1" x14ac:dyDescent="0.2">
      <c r="A637" s="2">
        <v>45489</v>
      </c>
      <c r="B637">
        <v>80.760002136230469</v>
      </c>
    </row>
    <row r="638" spans="1:2" hidden="1" x14ac:dyDescent="0.2">
      <c r="A638" s="2">
        <v>45490</v>
      </c>
      <c r="B638">
        <v>82.849998474121094</v>
      </c>
    </row>
    <row r="639" spans="1:2" hidden="1" x14ac:dyDescent="0.2">
      <c r="A639" s="2">
        <v>45491</v>
      </c>
      <c r="B639">
        <v>82.819999694824219</v>
      </c>
    </row>
    <row r="640" spans="1:2" hidden="1" x14ac:dyDescent="0.2">
      <c r="A640" s="2">
        <v>45492</v>
      </c>
      <c r="B640">
        <v>80.129997253417969</v>
      </c>
    </row>
    <row r="641" spans="1:2" hidden="1" x14ac:dyDescent="0.2">
      <c r="A641" s="2">
        <v>45495</v>
      </c>
      <c r="B641">
        <v>79.779998779296875</v>
      </c>
    </row>
    <row r="642" spans="1:2" hidden="1" x14ac:dyDescent="0.2">
      <c r="A642" s="2">
        <v>45496</v>
      </c>
      <c r="B642">
        <v>76.959999084472656</v>
      </c>
    </row>
    <row r="643" spans="1:2" hidden="1" x14ac:dyDescent="0.2">
      <c r="A643" s="2">
        <v>45497</v>
      </c>
      <c r="B643">
        <v>77.589996337890625</v>
      </c>
    </row>
    <row r="644" spans="1:2" hidden="1" x14ac:dyDescent="0.2">
      <c r="A644" s="2">
        <v>45498</v>
      </c>
      <c r="B644">
        <v>78.279998779296875</v>
      </c>
    </row>
    <row r="645" spans="1:2" hidden="1" x14ac:dyDescent="0.2">
      <c r="A645" s="2">
        <v>45499</v>
      </c>
      <c r="B645">
        <v>77.160003662109375</v>
      </c>
    </row>
    <row r="646" spans="1:2" hidden="1" x14ac:dyDescent="0.2">
      <c r="A646" s="2">
        <v>45502</v>
      </c>
      <c r="B646">
        <v>75.80999755859375</v>
      </c>
    </row>
    <row r="647" spans="1:2" hidden="1" x14ac:dyDescent="0.2">
      <c r="A647" s="2">
        <v>45503</v>
      </c>
      <c r="B647">
        <v>74.730003356933594</v>
      </c>
    </row>
    <row r="648" spans="1:2" hidden="1" x14ac:dyDescent="0.2">
      <c r="A648" s="2">
        <v>45504</v>
      </c>
      <c r="B648">
        <v>77.910003662109375</v>
      </c>
    </row>
    <row r="649" spans="1:2" hidden="1" x14ac:dyDescent="0.2">
      <c r="A649" s="2">
        <v>45505</v>
      </c>
      <c r="B649">
        <v>76.30999755859375</v>
      </c>
    </row>
    <row r="650" spans="1:2" hidden="1" x14ac:dyDescent="0.2">
      <c r="A650" s="2">
        <v>45506</v>
      </c>
      <c r="B650">
        <v>73.519996643066406</v>
      </c>
    </row>
    <row r="651" spans="1:2" hidden="1" x14ac:dyDescent="0.2">
      <c r="A651" s="2">
        <v>45509</v>
      </c>
      <c r="B651">
        <v>72.94000244140625</v>
      </c>
    </row>
    <row r="652" spans="1:2" hidden="1" x14ac:dyDescent="0.2">
      <c r="A652" s="2">
        <v>45510</v>
      </c>
      <c r="B652">
        <v>73.199996948242188</v>
      </c>
    </row>
    <row r="653" spans="1:2" hidden="1" x14ac:dyDescent="0.2">
      <c r="A653" s="2">
        <v>45511</v>
      </c>
      <c r="B653">
        <v>75.230003356933594</v>
      </c>
    </row>
    <row r="654" spans="1:2" hidden="1" x14ac:dyDescent="0.2">
      <c r="A654" s="2">
        <v>45512</v>
      </c>
      <c r="B654">
        <v>76.19000244140625</v>
      </c>
    </row>
    <row r="655" spans="1:2" hidden="1" x14ac:dyDescent="0.2">
      <c r="A655" s="2">
        <v>45513</v>
      </c>
      <c r="B655">
        <v>76.839996337890625</v>
      </c>
    </row>
    <row r="656" spans="1:2" hidden="1" x14ac:dyDescent="0.2">
      <c r="A656" s="2">
        <v>45516</v>
      </c>
      <c r="B656">
        <v>80.05999755859375</v>
      </c>
    </row>
    <row r="657" spans="1:2" hidden="1" x14ac:dyDescent="0.2">
      <c r="A657" s="2">
        <v>45517</v>
      </c>
      <c r="B657">
        <v>78.349998474121094</v>
      </c>
    </row>
    <row r="658" spans="1:2" hidden="1" x14ac:dyDescent="0.2">
      <c r="A658" s="2">
        <v>45518</v>
      </c>
      <c r="B658">
        <v>76.980003356933594</v>
      </c>
    </row>
    <row r="659" spans="1:2" hidden="1" x14ac:dyDescent="0.2">
      <c r="A659" s="2">
        <v>45519</v>
      </c>
      <c r="B659">
        <v>78.160003662109375</v>
      </c>
    </row>
    <row r="660" spans="1:2" hidden="1" x14ac:dyDescent="0.2">
      <c r="A660" s="2">
        <v>45520</v>
      </c>
      <c r="B660">
        <v>76.650001525878906</v>
      </c>
    </row>
    <row r="661" spans="1:2" hidden="1" x14ac:dyDescent="0.2">
      <c r="A661" s="2">
        <v>45523</v>
      </c>
      <c r="B661">
        <v>74.370002746582031</v>
      </c>
    </row>
    <row r="662" spans="1:2" hidden="1" x14ac:dyDescent="0.2">
      <c r="A662" s="2">
        <v>45524</v>
      </c>
      <c r="B662">
        <v>74.040000915527344</v>
      </c>
    </row>
    <row r="663" spans="1:2" hidden="1" x14ac:dyDescent="0.2">
      <c r="A663" s="2">
        <v>45525</v>
      </c>
      <c r="B663">
        <v>71.930000305175781</v>
      </c>
    </row>
    <row r="664" spans="1:2" hidden="1" x14ac:dyDescent="0.2">
      <c r="A664" s="2">
        <v>45526</v>
      </c>
      <c r="B664">
        <v>73.010002136230469</v>
      </c>
    </row>
    <row r="665" spans="1:2" hidden="1" x14ac:dyDescent="0.2">
      <c r="A665" s="2">
        <v>45527</v>
      </c>
      <c r="B665">
        <v>74.830001831054688</v>
      </c>
    </row>
    <row r="666" spans="1:2" hidden="1" x14ac:dyDescent="0.2">
      <c r="A666" s="2">
        <v>45530</v>
      </c>
      <c r="B666">
        <v>77.419998168945312</v>
      </c>
    </row>
    <row r="667" spans="1:2" hidden="1" x14ac:dyDescent="0.2">
      <c r="A667" s="2">
        <v>45531</v>
      </c>
      <c r="B667">
        <v>75.529998779296875</v>
      </c>
    </row>
    <row r="668" spans="1:2" hidden="1" x14ac:dyDescent="0.2">
      <c r="A668" s="2">
        <v>45532</v>
      </c>
      <c r="B668">
        <v>74.519996643066406</v>
      </c>
    </row>
    <row r="669" spans="1:2" hidden="1" x14ac:dyDescent="0.2">
      <c r="A669" s="2">
        <v>45533</v>
      </c>
      <c r="B669">
        <v>75.910003662109375</v>
      </c>
    </row>
    <row r="670" spans="1:2" hidden="1" x14ac:dyDescent="0.2">
      <c r="A670" s="2">
        <v>45534</v>
      </c>
      <c r="B670">
        <v>73.550003051757812</v>
      </c>
    </row>
    <row r="671" spans="1:2" hidden="1" x14ac:dyDescent="0.2">
      <c r="A671" s="2">
        <v>45538</v>
      </c>
      <c r="B671">
        <v>70.339996337890625</v>
      </c>
    </row>
    <row r="672" spans="1:2" hidden="1" x14ac:dyDescent="0.2">
      <c r="A672" s="2">
        <v>45539</v>
      </c>
      <c r="B672">
        <v>69.199996948242188</v>
      </c>
    </row>
    <row r="673" spans="1:2" hidden="1" x14ac:dyDescent="0.2">
      <c r="A673" s="2">
        <v>45540</v>
      </c>
      <c r="B673">
        <v>69.150001525878906</v>
      </c>
    </row>
    <row r="674" spans="1:2" hidden="1" x14ac:dyDescent="0.2">
      <c r="A674" s="2">
        <v>45541</v>
      </c>
      <c r="B674">
        <v>67.669998168945312</v>
      </c>
    </row>
    <row r="675" spans="1:2" hidden="1" x14ac:dyDescent="0.2">
      <c r="A675" s="2">
        <v>45544</v>
      </c>
      <c r="B675">
        <v>68.709999084472656</v>
      </c>
    </row>
    <row r="676" spans="1:2" hidden="1" x14ac:dyDescent="0.2">
      <c r="A676" s="2">
        <v>45545</v>
      </c>
      <c r="B676">
        <v>65.75</v>
      </c>
    </row>
    <row r="677" spans="1:2" hidden="1" x14ac:dyDescent="0.2">
      <c r="A677" s="2">
        <v>45546</v>
      </c>
      <c r="B677">
        <v>67.30999755859375</v>
      </c>
    </row>
    <row r="678" spans="1:2" hidden="1" x14ac:dyDescent="0.2">
      <c r="A678" s="2">
        <v>45547</v>
      </c>
      <c r="B678">
        <v>68.970001220703125</v>
      </c>
    </row>
    <row r="679" spans="1:2" hidden="1" x14ac:dyDescent="0.2">
      <c r="A679" s="2">
        <v>45548</v>
      </c>
      <c r="B679">
        <v>68.650001525878906</v>
      </c>
    </row>
    <row r="680" spans="1:2" hidden="1" x14ac:dyDescent="0.2">
      <c r="A680" s="2">
        <v>45551</v>
      </c>
      <c r="B680">
        <v>70.089996337890625</v>
      </c>
    </row>
    <row r="681" spans="1:2" hidden="1" x14ac:dyDescent="0.2">
      <c r="A681" s="2">
        <v>45552</v>
      </c>
      <c r="B681">
        <v>71.19000244140625</v>
      </c>
    </row>
    <row r="682" spans="1:2" hidden="1" x14ac:dyDescent="0.2">
      <c r="A682" s="2">
        <v>45553</v>
      </c>
      <c r="B682">
        <v>70.910003662109375</v>
      </c>
    </row>
    <row r="683" spans="1:2" hidden="1" x14ac:dyDescent="0.2">
      <c r="A683" s="2">
        <v>45554</v>
      </c>
      <c r="B683">
        <v>71.949996948242188</v>
      </c>
    </row>
    <row r="684" spans="1:2" hidden="1" x14ac:dyDescent="0.2">
      <c r="A684" s="2">
        <v>45555</v>
      </c>
      <c r="B684">
        <v>71.919998168945312</v>
      </c>
    </row>
    <row r="685" spans="1:2" hidden="1" x14ac:dyDescent="0.2">
      <c r="A685" s="2">
        <v>45558</v>
      </c>
      <c r="B685">
        <v>70.370002746582031</v>
      </c>
    </row>
    <row r="686" spans="1:2" hidden="1" x14ac:dyDescent="0.2">
      <c r="A686" s="2">
        <v>45559</v>
      </c>
      <c r="B686">
        <v>71.55999755859375</v>
      </c>
    </row>
    <row r="687" spans="1:2" hidden="1" x14ac:dyDescent="0.2">
      <c r="A687" s="2">
        <v>45560</v>
      </c>
      <c r="B687">
        <v>69.69000244140625</v>
      </c>
    </row>
    <row r="688" spans="1:2" hidden="1" x14ac:dyDescent="0.2">
      <c r="A688" s="2">
        <v>45561</v>
      </c>
      <c r="B688">
        <v>67.669998168945312</v>
      </c>
    </row>
    <row r="689" spans="1:2" hidden="1" x14ac:dyDescent="0.2">
      <c r="A689" s="2">
        <v>45562</v>
      </c>
      <c r="B689">
        <v>68.180000305175781</v>
      </c>
    </row>
    <row r="690" spans="1:2" hidden="1" x14ac:dyDescent="0.2">
      <c r="A690" s="2">
        <v>45565</v>
      </c>
      <c r="B690">
        <v>68.169998168945312</v>
      </c>
    </row>
    <row r="691" spans="1:2" hidden="1" x14ac:dyDescent="0.2">
      <c r="A691" s="2">
        <v>45566</v>
      </c>
      <c r="B691">
        <v>69.830001831054688</v>
      </c>
    </row>
    <row r="692" spans="1:2" hidden="1" x14ac:dyDescent="0.2">
      <c r="A692" s="2">
        <v>45567</v>
      </c>
      <c r="B692">
        <v>70.099998474121094</v>
      </c>
    </row>
    <row r="693" spans="1:2" hidden="1" x14ac:dyDescent="0.2">
      <c r="A693" s="2">
        <v>45568</v>
      </c>
      <c r="B693">
        <v>73.709999084472656</v>
      </c>
    </row>
    <row r="694" spans="1:2" hidden="1" x14ac:dyDescent="0.2">
      <c r="A694" s="2">
        <v>45569</v>
      </c>
      <c r="B694">
        <v>74.379997253417969</v>
      </c>
    </row>
    <row r="695" spans="1:2" hidden="1" x14ac:dyDescent="0.2">
      <c r="A695" s="2">
        <v>45572</v>
      </c>
      <c r="B695">
        <v>77.139999389648438</v>
      </c>
    </row>
    <row r="696" spans="1:2" hidden="1" x14ac:dyDescent="0.2">
      <c r="A696" s="2">
        <v>45573</v>
      </c>
      <c r="B696">
        <v>73.569999694824219</v>
      </c>
    </row>
    <row r="697" spans="1:2" hidden="1" x14ac:dyDescent="0.2">
      <c r="A697" s="2">
        <v>45574</v>
      </c>
      <c r="B697">
        <v>73.239997863769531</v>
      </c>
    </row>
    <row r="698" spans="1:2" hidden="1" x14ac:dyDescent="0.2">
      <c r="A698" s="2">
        <v>45575</v>
      </c>
      <c r="B698">
        <v>75.849998474121094</v>
      </c>
    </row>
    <row r="699" spans="1:2" hidden="1" x14ac:dyDescent="0.2">
      <c r="A699" s="2">
        <v>45576</v>
      </c>
      <c r="B699">
        <v>75.55999755859375</v>
      </c>
    </row>
    <row r="700" spans="1:2" hidden="1" x14ac:dyDescent="0.2">
      <c r="A700" s="2">
        <v>45579</v>
      </c>
      <c r="B700">
        <v>73.830001831054688</v>
      </c>
    </row>
    <row r="701" spans="1:2" hidden="1" x14ac:dyDescent="0.2">
      <c r="A701" s="2">
        <v>45580</v>
      </c>
      <c r="B701">
        <v>70.580001831054688</v>
      </c>
    </row>
    <row r="702" spans="1:2" hidden="1" x14ac:dyDescent="0.2">
      <c r="A702" s="2">
        <v>45581</v>
      </c>
      <c r="B702">
        <v>70.389999389648438</v>
      </c>
    </row>
    <row r="703" spans="1:2" hidden="1" x14ac:dyDescent="0.2">
      <c r="A703" s="2">
        <v>45582</v>
      </c>
      <c r="B703">
        <v>70.669998168945312</v>
      </c>
    </row>
    <row r="704" spans="1:2" hidden="1" x14ac:dyDescent="0.2">
      <c r="A704" s="2">
        <v>45583</v>
      </c>
      <c r="B704">
        <v>69.220001220703125</v>
      </c>
    </row>
    <row r="705" spans="1:2" hidden="1" x14ac:dyDescent="0.2">
      <c r="A705" s="2">
        <v>45586</v>
      </c>
      <c r="B705">
        <v>70.55999755859375</v>
      </c>
    </row>
    <row r="706" spans="1:2" hidden="1" x14ac:dyDescent="0.2">
      <c r="A706" s="2">
        <v>45587</v>
      </c>
      <c r="B706">
        <v>72.089996337890625</v>
      </c>
    </row>
    <row r="707" spans="1:2" hidden="1" x14ac:dyDescent="0.2">
      <c r="A707" s="2">
        <v>45588</v>
      </c>
      <c r="B707">
        <v>70.769996643066406</v>
      </c>
    </row>
    <row r="708" spans="1:2" hidden="1" x14ac:dyDescent="0.2">
      <c r="A708" s="2">
        <v>45589</v>
      </c>
      <c r="B708">
        <v>70.19000244140625</v>
      </c>
    </row>
    <row r="709" spans="1:2" hidden="1" x14ac:dyDescent="0.2">
      <c r="A709" s="2">
        <v>45590</v>
      </c>
      <c r="B709">
        <v>71.779998779296875</v>
      </c>
    </row>
    <row r="710" spans="1:2" hidden="1" x14ac:dyDescent="0.2">
      <c r="A710" s="2">
        <v>45593</v>
      </c>
      <c r="B710">
        <v>67.379997253417969</v>
      </c>
    </row>
    <row r="711" spans="1:2" hidden="1" x14ac:dyDescent="0.2">
      <c r="A711" s="2">
        <v>45594</v>
      </c>
      <c r="B711">
        <v>67.209999084472656</v>
      </c>
    </row>
    <row r="712" spans="1:2" hidden="1" x14ac:dyDescent="0.2">
      <c r="A712" s="2">
        <v>45595</v>
      </c>
      <c r="B712">
        <v>68.610000610351562</v>
      </c>
    </row>
    <row r="713" spans="1:2" hidden="1" x14ac:dyDescent="0.2">
      <c r="A713" s="2">
        <v>45596</v>
      </c>
      <c r="B713">
        <v>69.260002136230469</v>
      </c>
    </row>
    <row r="714" spans="1:2" hidden="1" x14ac:dyDescent="0.2">
      <c r="A714" s="2">
        <v>45597</v>
      </c>
      <c r="B714">
        <v>69.489997863769531</v>
      </c>
    </row>
    <row r="715" spans="1:2" hidden="1" x14ac:dyDescent="0.2">
      <c r="A715" s="2">
        <v>45600</v>
      </c>
      <c r="B715">
        <v>71.470001220703125</v>
      </c>
    </row>
    <row r="716" spans="1:2" hidden="1" x14ac:dyDescent="0.2">
      <c r="A716" s="2">
        <v>45601</v>
      </c>
      <c r="B716">
        <v>71.989997863769531</v>
      </c>
    </row>
    <row r="717" spans="1:2" hidden="1" x14ac:dyDescent="0.2">
      <c r="A717" s="2">
        <v>45602</v>
      </c>
      <c r="B717">
        <v>71.69000244140625</v>
      </c>
    </row>
    <row r="718" spans="1:2" hidden="1" x14ac:dyDescent="0.2">
      <c r="A718" s="2">
        <v>45603</v>
      </c>
      <c r="B718">
        <v>72.360000610351562</v>
      </c>
    </row>
    <row r="719" spans="1:2" hidden="1" x14ac:dyDescent="0.2">
      <c r="A719" s="2">
        <v>45604</v>
      </c>
      <c r="B719">
        <v>70.379997253417969</v>
      </c>
    </row>
    <row r="720" spans="1:2" hidden="1" x14ac:dyDescent="0.2">
      <c r="A720" s="2">
        <v>45607</v>
      </c>
      <c r="B720">
        <v>68.040000915527344</v>
      </c>
    </row>
    <row r="721" spans="1:2" hidden="1" x14ac:dyDescent="0.2">
      <c r="A721" s="2">
        <v>45608</v>
      </c>
      <c r="B721">
        <v>68.120002746582031</v>
      </c>
    </row>
    <row r="722" spans="1:2" hidden="1" x14ac:dyDescent="0.2">
      <c r="A722" s="2">
        <v>45609</v>
      </c>
      <c r="B722">
        <v>68.430000305175781</v>
      </c>
    </row>
    <row r="723" spans="1:2" hidden="1" x14ac:dyDescent="0.2">
      <c r="A723" s="2">
        <v>45610</v>
      </c>
      <c r="B723">
        <v>68.699996948242188</v>
      </c>
    </row>
    <row r="724" spans="1:2" hidden="1" x14ac:dyDescent="0.2">
      <c r="A724" s="2">
        <v>45611</v>
      </c>
      <c r="B724">
        <v>67.019996643066406</v>
      </c>
    </row>
    <row r="725" spans="1:2" hidden="1" x14ac:dyDescent="0.2">
      <c r="A725" s="2">
        <v>45614</v>
      </c>
      <c r="B725">
        <v>69.160003662109375</v>
      </c>
    </row>
    <row r="726" spans="1:2" hidden="1" x14ac:dyDescent="0.2">
      <c r="A726" s="2">
        <v>45615</v>
      </c>
      <c r="B726">
        <v>69.389999389648438</v>
      </c>
    </row>
    <row r="727" spans="1:2" hidden="1" x14ac:dyDescent="0.2">
      <c r="A727" s="2">
        <v>45616</v>
      </c>
      <c r="B727">
        <v>68.870002746582031</v>
      </c>
    </row>
    <row r="728" spans="1:2" hidden="1" x14ac:dyDescent="0.2">
      <c r="A728" s="2">
        <v>45617</v>
      </c>
      <c r="B728">
        <v>70.099998474121094</v>
      </c>
    </row>
    <row r="729" spans="1:2" hidden="1" x14ac:dyDescent="0.2">
      <c r="A729" s="2">
        <v>45618</v>
      </c>
      <c r="B729">
        <v>71.239997863769531</v>
      </c>
    </row>
    <row r="730" spans="1:2" hidden="1" x14ac:dyDescent="0.2">
      <c r="A730" s="2">
        <v>45621</v>
      </c>
      <c r="B730">
        <v>68.94000244140625</v>
      </c>
    </row>
    <row r="731" spans="1:2" hidden="1" x14ac:dyDescent="0.2">
      <c r="A731" s="2">
        <v>45622</v>
      </c>
      <c r="B731">
        <v>68.769996643066406</v>
      </c>
    </row>
    <row r="732" spans="1:2" hidden="1" x14ac:dyDescent="0.2">
      <c r="A732" s="2">
        <v>45623</v>
      </c>
      <c r="B732">
        <v>68.720001220703125</v>
      </c>
    </row>
    <row r="733" spans="1:2" hidden="1" x14ac:dyDescent="0.2">
      <c r="A733" s="2">
        <v>45625</v>
      </c>
      <c r="B733">
        <v>68</v>
      </c>
    </row>
    <row r="734" spans="1:2" hidden="1" x14ac:dyDescent="0.2">
      <c r="A734" s="2">
        <v>45628</v>
      </c>
      <c r="B734">
        <v>68.099998474121094</v>
      </c>
    </row>
    <row r="735" spans="1:2" hidden="1" x14ac:dyDescent="0.2">
      <c r="A735" s="2">
        <v>45629</v>
      </c>
      <c r="B735">
        <v>69.94000244140625</v>
      </c>
    </row>
    <row r="736" spans="1:2" hidden="1" x14ac:dyDescent="0.2">
      <c r="A736" s="2">
        <v>45630</v>
      </c>
      <c r="B736">
        <v>68.540000915527344</v>
      </c>
    </row>
    <row r="737" spans="1:2" hidden="1" x14ac:dyDescent="0.2">
      <c r="A737" s="2">
        <v>45631</v>
      </c>
      <c r="B737">
        <v>68.300003051757812</v>
      </c>
    </row>
    <row r="738" spans="1:2" hidden="1" x14ac:dyDescent="0.2">
      <c r="A738" s="2">
        <v>45632</v>
      </c>
      <c r="B738">
        <v>67.199996948242188</v>
      </c>
    </row>
    <row r="739" spans="1:2" hidden="1" x14ac:dyDescent="0.2">
      <c r="A739" s="2">
        <v>45635</v>
      </c>
      <c r="B739">
        <v>68.370002746582031</v>
      </c>
    </row>
    <row r="740" spans="1:2" hidden="1" x14ac:dyDescent="0.2">
      <c r="A740" s="2">
        <v>45636</v>
      </c>
      <c r="B740">
        <v>68.589996337890625</v>
      </c>
    </row>
    <row r="741" spans="1:2" hidden="1" x14ac:dyDescent="0.2">
      <c r="A741" s="2">
        <v>45637</v>
      </c>
      <c r="B741">
        <v>70.290000915527344</v>
      </c>
    </row>
    <row r="742" spans="1:2" hidden="1" x14ac:dyDescent="0.2">
      <c r="A742" s="2">
        <v>45638</v>
      </c>
      <c r="B742">
        <v>70.019996643066406</v>
      </c>
    </row>
    <row r="743" spans="1:2" hidden="1" x14ac:dyDescent="0.2">
      <c r="A743" s="2">
        <v>45639</v>
      </c>
      <c r="B743">
        <v>71.290000915527344</v>
      </c>
    </row>
    <row r="744" spans="1:2" hidden="1" x14ac:dyDescent="0.2">
      <c r="A744" s="2">
        <v>45642</v>
      </c>
      <c r="B744">
        <v>70.709999084472656</v>
      </c>
    </row>
    <row r="745" spans="1:2" hidden="1" x14ac:dyDescent="0.2">
      <c r="A745" s="2">
        <v>45643</v>
      </c>
      <c r="B745">
        <v>70.080001831054688</v>
      </c>
    </row>
    <row r="746" spans="1:2" hidden="1" x14ac:dyDescent="0.2">
      <c r="A746" s="2">
        <v>45644</v>
      </c>
      <c r="B746">
        <v>70.580001831054688</v>
      </c>
    </row>
    <row r="747" spans="1:2" hidden="1" x14ac:dyDescent="0.2">
      <c r="A747" s="2">
        <v>45645</v>
      </c>
      <c r="B747">
        <v>69.910003662109375</v>
      </c>
    </row>
    <row r="748" spans="1:2" hidden="1" x14ac:dyDescent="0.2">
      <c r="A748" s="2">
        <v>45646</v>
      </c>
      <c r="B748">
        <v>69.459999084472656</v>
      </c>
    </row>
    <row r="749" spans="1:2" hidden="1" x14ac:dyDescent="0.2">
      <c r="A749" s="2">
        <v>45649</v>
      </c>
      <c r="B749">
        <v>69.239997863769531</v>
      </c>
    </row>
    <row r="750" spans="1:2" hidden="1" x14ac:dyDescent="0.2">
      <c r="A750" s="2">
        <v>45650</v>
      </c>
      <c r="B750">
        <v>70.099998474121094</v>
      </c>
    </row>
    <row r="751" spans="1:2" hidden="1" x14ac:dyDescent="0.2">
      <c r="A751" s="2">
        <v>45652</v>
      </c>
      <c r="B751">
        <v>69.620002746582031</v>
      </c>
    </row>
    <row r="752" spans="1:2" hidden="1" x14ac:dyDescent="0.2">
      <c r="A752" s="2">
        <v>45653</v>
      </c>
      <c r="B752">
        <v>70.599998474121094</v>
      </c>
    </row>
    <row r="753" spans="1:2" hidden="1" x14ac:dyDescent="0.2">
      <c r="A753" s="2">
        <v>45656</v>
      </c>
      <c r="B753">
        <v>70.989997863769531</v>
      </c>
    </row>
    <row r="754" spans="1:2" hidden="1" x14ac:dyDescent="0.2">
      <c r="A754" s="2">
        <v>45657</v>
      </c>
      <c r="B754">
        <v>71.720001220703125</v>
      </c>
    </row>
    <row r="755" spans="1:2" hidden="1" x14ac:dyDescent="0.2">
      <c r="A755" s="2">
        <v>45659</v>
      </c>
      <c r="B755">
        <v>73.129997253417969</v>
      </c>
    </row>
    <row r="756" spans="1:2" hidden="1" x14ac:dyDescent="0.2">
      <c r="A756" s="2">
        <v>45660</v>
      </c>
      <c r="B756">
        <v>73.959999084472656</v>
      </c>
    </row>
    <row r="757" spans="1:2" hidden="1" x14ac:dyDescent="0.2">
      <c r="A757" s="2">
        <v>45663</v>
      </c>
      <c r="B757">
        <v>73.55999755859375</v>
      </c>
    </row>
    <row r="758" spans="1:2" hidden="1" x14ac:dyDescent="0.2">
      <c r="A758" s="2">
        <v>45664</v>
      </c>
      <c r="B758">
        <v>74.25</v>
      </c>
    </row>
    <row r="759" spans="1:2" hidden="1" x14ac:dyDescent="0.2">
      <c r="A759" s="2">
        <v>45665</v>
      </c>
      <c r="B759">
        <v>73.319999694824219</v>
      </c>
    </row>
    <row r="760" spans="1:2" hidden="1" x14ac:dyDescent="0.2">
      <c r="A760" s="2">
        <v>45666</v>
      </c>
      <c r="B760">
        <v>73.919998168945312</v>
      </c>
    </row>
    <row r="761" spans="1:2" hidden="1" x14ac:dyDescent="0.2">
      <c r="A761" s="2">
        <v>45667</v>
      </c>
      <c r="B761">
        <v>76.569999694824219</v>
      </c>
    </row>
    <row r="762" spans="1:2" hidden="1" x14ac:dyDescent="0.2">
      <c r="A762" s="2">
        <v>45670</v>
      </c>
      <c r="B762">
        <v>78.819999694824219</v>
      </c>
    </row>
    <row r="763" spans="1:2" hidden="1" x14ac:dyDescent="0.2">
      <c r="A763" s="2">
        <v>45671</v>
      </c>
      <c r="B763">
        <v>77.5</v>
      </c>
    </row>
    <row r="764" spans="1:2" hidden="1" x14ac:dyDescent="0.2">
      <c r="A764" s="2">
        <v>45672</v>
      </c>
      <c r="B764">
        <v>80.040000915527344</v>
      </c>
    </row>
    <row r="765" spans="1:2" hidden="1" x14ac:dyDescent="0.2">
      <c r="A765" s="2">
        <v>45673</v>
      </c>
      <c r="B765">
        <v>78.680000305175781</v>
      </c>
    </row>
    <row r="766" spans="1:2" hidden="1" x14ac:dyDescent="0.2">
      <c r="A766" s="2">
        <v>45674</v>
      </c>
      <c r="B766">
        <v>77.879997253417969</v>
      </c>
    </row>
    <row r="767" spans="1:2" hidden="1" x14ac:dyDescent="0.2">
      <c r="A767" s="2">
        <v>45678</v>
      </c>
      <c r="B767">
        <v>75.889999389648438</v>
      </c>
    </row>
    <row r="768" spans="1:2" hidden="1" x14ac:dyDescent="0.2">
      <c r="A768" s="2">
        <v>45679</v>
      </c>
      <c r="B768">
        <v>75.44000244140625</v>
      </c>
    </row>
    <row r="769" spans="1:2" hidden="1" x14ac:dyDescent="0.2">
      <c r="A769" s="2">
        <v>45680</v>
      </c>
      <c r="B769">
        <v>74.620002746582031</v>
      </c>
    </row>
    <row r="770" spans="1:2" hidden="1" x14ac:dyDescent="0.2">
      <c r="A770" s="2">
        <v>45681</v>
      </c>
      <c r="B770">
        <v>74.660003662109375</v>
      </c>
    </row>
    <row r="771" spans="1:2" hidden="1" x14ac:dyDescent="0.2">
      <c r="A771" s="2">
        <v>45684</v>
      </c>
      <c r="B771">
        <v>73.169998168945312</v>
      </c>
    </row>
    <row r="772" spans="1:2" hidden="1" x14ac:dyDescent="0.2">
      <c r="A772" s="2">
        <v>45685</v>
      </c>
      <c r="B772">
        <v>73.769996643066406</v>
      </c>
    </row>
    <row r="773" spans="1:2" hidden="1" x14ac:dyDescent="0.2">
      <c r="A773" s="2">
        <v>45686</v>
      </c>
      <c r="B773">
        <v>72.620002746582031</v>
      </c>
    </row>
    <row r="774" spans="1:2" hidden="1" x14ac:dyDescent="0.2">
      <c r="A774" s="2">
        <v>45687</v>
      </c>
      <c r="B774">
        <v>72.730003356933594</v>
      </c>
    </row>
    <row r="775" spans="1:2" hidden="1" x14ac:dyDescent="0.2">
      <c r="A775" s="2">
        <v>45688</v>
      </c>
      <c r="B775">
        <v>72.529998779296875</v>
      </c>
    </row>
    <row r="776" spans="1:2" hidden="1" x14ac:dyDescent="0.2">
      <c r="A776" s="2">
        <v>45691</v>
      </c>
      <c r="B776">
        <v>73.160003662109375</v>
      </c>
    </row>
    <row r="777" spans="1:2" hidden="1" x14ac:dyDescent="0.2">
      <c r="A777" s="2">
        <v>45692</v>
      </c>
      <c r="B777">
        <v>72.699996948242188</v>
      </c>
    </row>
    <row r="778" spans="1:2" hidden="1" x14ac:dyDescent="0.2">
      <c r="A778" s="2">
        <v>45693</v>
      </c>
      <c r="B778">
        <v>71.029998779296875</v>
      </c>
    </row>
    <row r="779" spans="1:2" hidden="1" x14ac:dyDescent="0.2">
      <c r="A779" s="2">
        <v>45694</v>
      </c>
      <c r="B779">
        <v>70.610000610351562</v>
      </c>
    </row>
    <row r="780" spans="1:2" hidden="1" x14ac:dyDescent="0.2">
      <c r="A780" s="2">
        <v>45695</v>
      </c>
      <c r="B780">
        <v>71</v>
      </c>
    </row>
    <row r="781" spans="1:2" hidden="1" x14ac:dyDescent="0.2">
      <c r="A781" s="2">
        <v>45698</v>
      </c>
      <c r="B781">
        <v>72.319999694824219</v>
      </c>
    </row>
    <row r="782" spans="1:2" hidden="1" x14ac:dyDescent="0.2">
      <c r="A782" s="2">
        <v>45699</v>
      </c>
      <c r="B782">
        <v>73.319999694824219</v>
      </c>
    </row>
    <row r="783" spans="1:2" hidden="1" x14ac:dyDescent="0.2">
      <c r="A783" s="2">
        <v>45700</v>
      </c>
      <c r="B783">
        <v>71.370002746582031</v>
      </c>
    </row>
    <row r="784" spans="1:2" hidden="1" x14ac:dyDescent="0.2">
      <c r="A784" s="2">
        <v>45701</v>
      </c>
      <c r="B784">
        <v>71.290000915527344</v>
      </c>
    </row>
    <row r="785" spans="1:2" hidden="1" x14ac:dyDescent="0.2">
      <c r="A785" s="2">
        <v>45702</v>
      </c>
      <c r="B785">
        <v>70.739997863769531</v>
      </c>
    </row>
    <row r="786" spans="1:2" hidden="1" x14ac:dyDescent="0.2">
      <c r="A786" s="2">
        <v>45706</v>
      </c>
      <c r="B786">
        <v>71.849998474121094</v>
      </c>
    </row>
    <row r="787" spans="1:2" hidden="1" x14ac:dyDescent="0.2">
      <c r="A787" s="2">
        <v>45707</v>
      </c>
      <c r="B787">
        <v>72.25</v>
      </c>
    </row>
    <row r="788" spans="1:2" hidden="1" x14ac:dyDescent="0.2">
      <c r="A788" s="2">
        <v>45708</v>
      </c>
      <c r="B788">
        <v>72.569999694824219</v>
      </c>
    </row>
    <row r="789" spans="1:2" hidden="1" x14ac:dyDescent="0.2">
      <c r="A789" s="2">
        <v>45709</v>
      </c>
      <c r="B789">
        <v>70.400001525878906</v>
      </c>
    </row>
    <row r="790" spans="1:2" hidden="1" x14ac:dyDescent="0.2">
      <c r="A790" s="2">
        <v>45712</v>
      </c>
      <c r="B790">
        <v>70.699996948242188</v>
      </c>
    </row>
    <row r="791" spans="1:2" hidden="1" x14ac:dyDescent="0.2">
      <c r="A791" s="2">
        <v>45713</v>
      </c>
      <c r="B791">
        <v>68.930000305175781</v>
      </c>
    </row>
    <row r="792" spans="1:2" hidden="1" x14ac:dyDescent="0.2">
      <c r="A792" s="2">
        <v>45714</v>
      </c>
      <c r="B792">
        <v>68.620002746582031</v>
      </c>
    </row>
    <row r="793" spans="1:2" hidden="1" x14ac:dyDescent="0.2">
      <c r="A793" s="2">
        <v>45715</v>
      </c>
      <c r="B793">
        <v>70.349998474121094</v>
      </c>
    </row>
    <row r="794" spans="1:2" hidden="1" x14ac:dyDescent="0.2">
      <c r="A794" s="2">
        <v>45716</v>
      </c>
      <c r="B794">
        <v>69.760002136230469</v>
      </c>
    </row>
    <row r="795" spans="1:2" hidden="1" x14ac:dyDescent="0.2">
      <c r="A795" s="2">
        <v>45719</v>
      </c>
      <c r="B795">
        <v>68.370002746582031</v>
      </c>
    </row>
    <row r="796" spans="1:2" hidden="1" x14ac:dyDescent="0.2">
      <c r="A796" s="2">
        <v>45720</v>
      </c>
      <c r="B796">
        <v>68.260002136230469</v>
      </c>
    </row>
    <row r="797" spans="1:2" hidden="1" x14ac:dyDescent="0.2">
      <c r="A797" s="2">
        <v>45721</v>
      </c>
      <c r="B797">
        <v>66.30999755859375</v>
      </c>
    </row>
    <row r="798" spans="1:2" hidden="1" x14ac:dyDescent="0.2">
      <c r="A798" s="2">
        <v>45722</v>
      </c>
      <c r="B798">
        <v>66.360000610351562</v>
      </c>
    </row>
    <row r="799" spans="1:2" hidden="1" x14ac:dyDescent="0.2">
      <c r="A799" s="2">
        <v>45723</v>
      </c>
      <c r="B799">
        <v>67.040000915527344</v>
      </c>
    </row>
    <row r="800" spans="1:2" hidden="1" x14ac:dyDescent="0.2">
      <c r="A800" s="2">
        <v>45726</v>
      </c>
      <c r="B800">
        <v>66.029998779296875</v>
      </c>
    </row>
    <row r="801" spans="1:2" hidden="1" x14ac:dyDescent="0.2">
      <c r="A801" s="2">
        <v>45727</v>
      </c>
      <c r="B801">
        <v>66.25</v>
      </c>
    </row>
    <row r="802" spans="1:2" hidden="1" x14ac:dyDescent="0.2">
      <c r="A802" s="2">
        <v>45728</v>
      </c>
      <c r="B802">
        <v>67.680000305175781</v>
      </c>
    </row>
    <row r="803" spans="1:2" hidden="1" x14ac:dyDescent="0.2">
      <c r="A803" s="2">
        <v>45729</v>
      </c>
      <c r="B803">
        <v>66.550003051757812</v>
      </c>
    </row>
    <row r="804" spans="1:2" hidden="1" x14ac:dyDescent="0.2">
      <c r="A804" s="2">
        <v>45730</v>
      </c>
      <c r="B804">
        <v>67.180000305175781</v>
      </c>
    </row>
    <row r="805" spans="1:2" hidden="1" x14ac:dyDescent="0.2">
      <c r="A805" s="2">
        <v>45733</v>
      </c>
      <c r="B805">
        <v>67.580001831054688</v>
      </c>
    </row>
    <row r="806" spans="1:2" hidden="1" x14ac:dyDescent="0.2">
      <c r="A806" s="2">
        <v>45734</v>
      </c>
      <c r="B806">
        <v>66.900001525878906</v>
      </c>
    </row>
    <row r="807" spans="1:2" hidden="1" x14ac:dyDescent="0.2">
      <c r="A807" s="2">
        <v>45735</v>
      </c>
      <c r="B807">
        <v>67.160003662109375</v>
      </c>
    </row>
    <row r="808" spans="1:2" hidden="1" x14ac:dyDescent="0.2">
      <c r="A808" s="2">
        <v>45736</v>
      </c>
      <c r="B808">
        <v>68.260002136230469</v>
      </c>
    </row>
    <row r="809" spans="1:2" hidden="1" x14ac:dyDescent="0.2">
      <c r="A809" s="2">
        <v>45737</v>
      </c>
      <c r="B809">
        <v>68.279998779296875</v>
      </c>
    </row>
    <row r="810" spans="1:2" hidden="1" x14ac:dyDescent="0.2">
      <c r="A810" s="2">
        <v>45740</v>
      </c>
      <c r="B810">
        <v>69.110000610351562</v>
      </c>
    </row>
    <row r="811" spans="1:2" hidden="1" x14ac:dyDescent="0.2">
      <c r="A811" s="2">
        <v>45741</v>
      </c>
      <c r="B811">
        <v>69</v>
      </c>
    </row>
    <row r="812" spans="1:2" hidden="1" x14ac:dyDescent="0.2">
      <c r="A812" s="2">
        <v>45742</v>
      </c>
      <c r="B812">
        <v>69.650001525878906</v>
      </c>
    </row>
    <row r="813" spans="1:2" hidden="1" x14ac:dyDescent="0.2">
      <c r="A813" s="2">
        <v>45743</v>
      </c>
      <c r="B813">
        <v>69.919998168945312</v>
      </c>
    </row>
    <row r="814" spans="1:2" hidden="1" x14ac:dyDescent="0.2">
      <c r="A814" s="2">
        <v>45744</v>
      </c>
      <c r="B814">
        <v>69.360000610351562</v>
      </c>
    </row>
    <row r="815" spans="1:2" hidden="1" x14ac:dyDescent="0.2">
      <c r="A815" s="2">
        <v>45747</v>
      </c>
      <c r="B815">
        <v>71.480003356933594</v>
      </c>
    </row>
    <row r="816" spans="1:2" hidden="1" x14ac:dyDescent="0.2">
      <c r="A816" s="2">
        <v>45748</v>
      </c>
      <c r="B816">
        <v>71.199996948242188</v>
      </c>
    </row>
    <row r="817" spans="1:2" hidden="1" x14ac:dyDescent="0.2">
      <c r="A817" s="2">
        <v>45749</v>
      </c>
      <c r="B817">
        <v>71.709999084472656</v>
      </c>
    </row>
    <row r="818" spans="1:2" hidden="1" x14ac:dyDescent="0.2">
      <c r="A818" s="2">
        <v>45750</v>
      </c>
      <c r="B818">
        <v>66.949996948242188</v>
      </c>
    </row>
    <row r="819" spans="1:2" hidden="1" x14ac:dyDescent="0.2">
      <c r="A819" s="2">
        <v>45751</v>
      </c>
      <c r="B819">
        <v>61.990001678466797</v>
      </c>
    </row>
    <row r="820" spans="1:2" hidden="1" x14ac:dyDescent="0.2">
      <c r="A820" s="2">
        <v>45754</v>
      </c>
      <c r="B820">
        <v>60.700000762939453</v>
      </c>
    </row>
    <row r="821" spans="1:2" hidden="1" x14ac:dyDescent="0.2">
      <c r="A821" s="2">
        <v>45755</v>
      </c>
      <c r="B821">
        <v>59.580001831054688</v>
      </c>
    </row>
    <row r="822" spans="1:2" hidden="1" x14ac:dyDescent="0.2">
      <c r="A822" s="2">
        <v>45756</v>
      </c>
      <c r="B822">
        <v>62.349998474121087</v>
      </c>
    </row>
    <row r="823" spans="1:2" hidden="1" x14ac:dyDescent="0.2">
      <c r="A823" s="2">
        <v>45757</v>
      </c>
      <c r="B823">
        <v>60.069999694824219</v>
      </c>
    </row>
    <row r="824" spans="1:2" hidden="1" x14ac:dyDescent="0.2">
      <c r="A824" s="2">
        <v>45758</v>
      </c>
      <c r="B824">
        <v>61.5</v>
      </c>
    </row>
    <row r="825" spans="1:2" hidden="1" x14ac:dyDescent="0.2">
      <c r="A825" s="2">
        <v>45761</v>
      </c>
      <c r="B825">
        <v>61.529998779296882</v>
      </c>
    </row>
    <row r="826" spans="1:2" hidden="1" x14ac:dyDescent="0.2">
      <c r="A826" s="2">
        <v>45762</v>
      </c>
      <c r="B826">
        <v>61.330001831054688</v>
      </c>
    </row>
    <row r="827" spans="1:2" hidden="1" x14ac:dyDescent="0.2">
      <c r="A827" s="2">
        <v>45763</v>
      </c>
      <c r="B827">
        <v>62.470001220703118</v>
      </c>
    </row>
    <row r="828" spans="1:2" hidden="1" x14ac:dyDescent="0.2">
      <c r="A828" s="2">
        <v>45764</v>
      </c>
      <c r="B828">
        <v>64.680000305175781</v>
      </c>
    </row>
    <row r="829" spans="1:2" hidden="1" x14ac:dyDescent="0.2">
      <c r="A829" s="2">
        <v>45768</v>
      </c>
      <c r="B829">
        <v>63.080001831054688</v>
      </c>
    </row>
    <row r="830" spans="1:2" hidden="1" x14ac:dyDescent="0.2">
      <c r="A830" s="2">
        <v>45769</v>
      </c>
      <c r="B830">
        <v>64.30999755859375</v>
      </c>
    </row>
    <row r="831" spans="1:2" hidden="1" x14ac:dyDescent="0.2">
      <c r="A831" s="2">
        <v>45770</v>
      </c>
      <c r="B831">
        <v>62.270000457763672</v>
      </c>
    </row>
    <row r="832" spans="1:2" hidden="1" x14ac:dyDescent="0.2">
      <c r="A832" s="2">
        <v>45771</v>
      </c>
      <c r="B832">
        <v>62.790000915527337</v>
      </c>
    </row>
    <row r="833" spans="1:2" hidden="1" x14ac:dyDescent="0.2">
      <c r="A833" s="2">
        <v>45772</v>
      </c>
      <c r="B833">
        <v>63.020000457763672</v>
      </c>
    </row>
    <row r="834" spans="1:2" hidden="1" x14ac:dyDescent="0.2">
      <c r="A834" s="2">
        <v>45775</v>
      </c>
      <c r="B834">
        <v>62.049999237060547</v>
      </c>
    </row>
    <row r="835" spans="1:2" hidden="1" x14ac:dyDescent="0.2">
      <c r="A835" s="2">
        <v>45776</v>
      </c>
      <c r="B835">
        <v>60.419998168945312</v>
      </c>
    </row>
    <row r="836" spans="1:2" hidden="1" x14ac:dyDescent="0.2">
      <c r="A836" s="2">
        <v>45777</v>
      </c>
      <c r="B836">
        <v>58.209999084472663</v>
      </c>
    </row>
    <row r="837" spans="1:2" hidden="1" x14ac:dyDescent="0.2">
      <c r="A837" s="2">
        <v>45778</v>
      </c>
      <c r="B837">
        <v>59.240001678466797</v>
      </c>
    </row>
    <row r="838" spans="1:2" hidden="1" x14ac:dyDescent="0.2">
      <c r="A838" s="2">
        <v>45779</v>
      </c>
      <c r="B838">
        <v>58.290000915527337</v>
      </c>
    </row>
    <row r="839" spans="1:2" hidden="1" x14ac:dyDescent="0.2">
      <c r="A839" s="2">
        <v>45782</v>
      </c>
      <c r="B839">
        <v>57.130001068115227</v>
      </c>
    </row>
    <row r="840" spans="1:2" hidden="1" x14ac:dyDescent="0.2">
      <c r="A840" s="2">
        <v>45783</v>
      </c>
      <c r="B840">
        <v>59.090000152587891</v>
      </c>
    </row>
    <row r="841" spans="1:2" hidden="1" x14ac:dyDescent="0.2">
      <c r="A841" s="2">
        <v>45784</v>
      </c>
      <c r="B841">
        <v>58.069999694824219</v>
      </c>
    </row>
    <row r="842" spans="1:2" hidden="1" x14ac:dyDescent="0.2">
      <c r="A842" s="2">
        <v>45785</v>
      </c>
      <c r="B842">
        <v>59.909999847412109</v>
      </c>
    </row>
    <row r="843" spans="1:2" hidden="1" x14ac:dyDescent="0.2">
      <c r="A843" s="2">
        <v>45786</v>
      </c>
      <c r="B843">
        <v>61.020000457763672</v>
      </c>
    </row>
    <row r="844" spans="1:2" hidden="1" x14ac:dyDescent="0.2">
      <c r="A844" s="2">
        <v>45789</v>
      </c>
      <c r="B844">
        <v>61.950000762939453</v>
      </c>
    </row>
    <row r="845" spans="1:2" hidden="1" x14ac:dyDescent="0.2">
      <c r="A845" s="2">
        <v>45790</v>
      </c>
      <c r="B845">
        <v>63.669998168945312</v>
      </c>
    </row>
    <row r="846" spans="1:2" hidden="1" x14ac:dyDescent="0.2">
      <c r="A846" s="2">
        <v>45791</v>
      </c>
      <c r="B846">
        <v>63.150001525878913</v>
      </c>
    </row>
    <row r="847" spans="1:2" hidden="1" x14ac:dyDescent="0.2">
      <c r="A847" s="2">
        <v>45792</v>
      </c>
      <c r="B847">
        <v>61.619998931884773</v>
      </c>
    </row>
    <row r="848" spans="1:2" hidden="1" x14ac:dyDescent="0.2">
      <c r="A848" s="2">
        <v>45793</v>
      </c>
      <c r="B848">
        <v>62.490001678466797</v>
      </c>
    </row>
    <row r="849" spans="1:2" hidden="1" x14ac:dyDescent="0.2">
      <c r="A849" s="2">
        <v>45796</v>
      </c>
      <c r="B849">
        <v>62.689998626708977</v>
      </c>
    </row>
    <row r="850" spans="1:2" hidden="1" x14ac:dyDescent="0.2">
      <c r="A850" s="2">
        <v>45797</v>
      </c>
      <c r="B850">
        <v>62.560001373291023</v>
      </c>
    </row>
    <row r="851" spans="1:2" hidden="1" x14ac:dyDescent="0.2">
      <c r="A851" s="2">
        <v>45798</v>
      </c>
      <c r="B851">
        <v>61.569999694824219</v>
      </c>
    </row>
    <row r="852" spans="1:2" hidden="1" x14ac:dyDescent="0.2">
      <c r="A852" s="2">
        <v>45799</v>
      </c>
      <c r="B852">
        <v>61.200000762939453</v>
      </c>
    </row>
    <row r="853" spans="1:2" hidden="1" x14ac:dyDescent="0.2">
      <c r="A853" s="2">
        <v>45800</v>
      </c>
      <c r="B853">
        <v>61.529998779296882</v>
      </c>
    </row>
    <row r="854" spans="1:2" hidden="1" x14ac:dyDescent="0.2">
      <c r="A854" s="2">
        <v>45804</v>
      </c>
      <c r="B854">
        <v>60.889999389648438</v>
      </c>
    </row>
    <row r="855" spans="1:2" hidden="1" x14ac:dyDescent="0.2">
      <c r="A855" s="2">
        <v>45805</v>
      </c>
      <c r="B855">
        <v>61.840000152587891</v>
      </c>
    </row>
    <row r="856" spans="1:2" hidden="1" x14ac:dyDescent="0.2">
      <c r="A856" s="2">
        <v>45806</v>
      </c>
      <c r="B856">
        <v>60.939998626708977</v>
      </c>
    </row>
    <row r="857" spans="1:2" hidden="1" x14ac:dyDescent="0.2">
      <c r="A857" s="2">
        <v>45807</v>
      </c>
      <c r="B857">
        <v>60.790000915527337</v>
      </c>
    </row>
    <row r="858" spans="1:2" hidden="1" x14ac:dyDescent="0.2">
      <c r="A858" s="2">
        <v>45810</v>
      </c>
      <c r="B858">
        <v>62.520000457763672</v>
      </c>
    </row>
    <row r="859" spans="1:2" hidden="1" x14ac:dyDescent="0.2">
      <c r="A859" s="2">
        <v>45811</v>
      </c>
      <c r="B859">
        <v>63.409999847412109</v>
      </c>
    </row>
    <row r="860" spans="1:2" hidden="1" x14ac:dyDescent="0.2">
      <c r="A860" s="2">
        <v>45812</v>
      </c>
      <c r="B860">
        <v>62.849998474121087</v>
      </c>
    </row>
    <row r="861" spans="1:2" hidden="1" x14ac:dyDescent="0.2">
      <c r="A861" s="2">
        <v>45813</v>
      </c>
      <c r="B861">
        <v>63.369998931884773</v>
      </c>
    </row>
    <row r="862" spans="1:2" hidden="1" x14ac:dyDescent="0.2">
      <c r="A862" s="2">
        <v>45814</v>
      </c>
      <c r="B862">
        <v>64.580001831054688</v>
      </c>
    </row>
    <row r="863" spans="1:2" hidden="1" x14ac:dyDescent="0.2">
      <c r="A863" s="2">
        <v>45817</v>
      </c>
      <c r="B863">
        <v>65.290000915527344</v>
      </c>
    </row>
    <row r="864" spans="1:2" hidden="1" x14ac:dyDescent="0.2">
      <c r="A864" s="2">
        <v>45818</v>
      </c>
      <c r="B864">
        <v>64.980003356933594</v>
      </c>
    </row>
    <row r="865" spans="1:2" hidden="1" x14ac:dyDescent="0.2">
      <c r="A865" s="2">
        <v>45819</v>
      </c>
      <c r="B865">
        <v>68.150001525878906</v>
      </c>
    </row>
    <row r="866" spans="1:2" hidden="1" x14ac:dyDescent="0.2">
      <c r="A866" s="2">
        <v>45820</v>
      </c>
      <c r="B866">
        <v>68.040000915527344</v>
      </c>
    </row>
    <row r="867" spans="1:2" hidden="1" x14ac:dyDescent="0.2">
      <c r="A867" s="2">
        <v>45821</v>
      </c>
      <c r="B867">
        <v>72.980003356933594</v>
      </c>
    </row>
    <row r="868" spans="1:2" hidden="1" x14ac:dyDescent="0.2">
      <c r="A868" s="2">
        <v>45824</v>
      </c>
      <c r="B868">
        <v>71.769996643066406</v>
      </c>
    </row>
    <row r="869" spans="1:2" hidden="1" x14ac:dyDescent="0.2">
      <c r="A869" s="2">
        <v>45825</v>
      </c>
      <c r="B869">
        <v>74.839996337890625</v>
      </c>
    </row>
    <row r="870" spans="1:2" hidden="1" x14ac:dyDescent="0.2">
      <c r="A870" s="2">
        <v>45826</v>
      </c>
      <c r="B870">
        <v>75.139999389648438</v>
      </c>
    </row>
    <row r="871" spans="1:2" hidden="1" x14ac:dyDescent="0.2">
      <c r="A871" s="2">
        <v>45828</v>
      </c>
      <c r="B871">
        <v>74.930000305175781</v>
      </c>
    </row>
    <row r="872" spans="1:2" hidden="1" x14ac:dyDescent="0.2">
      <c r="A872" s="2">
        <v>45831</v>
      </c>
      <c r="B872">
        <v>68.510002136230469</v>
      </c>
    </row>
    <row r="873" spans="1:2" hidden="1" x14ac:dyDescent="0.2">
      <c r="A873" s="2">
        <v>45832</v>
      </c>
      <c r="B873">
        <v>64.370002746582031</v>
      </c>
    </row>
    <row r="874" spans="1:2" hidden="1" x14ac:dyDescent="0.2">
      <c r="A874" s="2">
        <v>45833</v>
      </c>
      <c r="B874">
        <v>64.919998168945312</v>
      </c>
    </row>
    <row r="875" spans="1:2" hidden="1" x14ac:dyDescent="0.2">
      <c r="A875" s="2">
        <v>45834</v>
      </c>
      <c r="B875">
        <v>65.239997863769531</v>
      </c>
    </row>
    <row r="876" spans="1:2" hidden="1" x14ac:dyDescent="0.2">
      <c r="A876" s="2">
        <v>45835</v>
      </c>
      <c r="B876">
        <v>65.519996643066406</v>
      </c>
    </row>
    <row r="877" spans="1:2" hidden="1" x14ac:dyDescent="0.2">
      <c r="A877" s="2">
        <v>45838</v>
      </c>
      <c r="B877">
        <v>65.110000610351562</v>
      </c>
    </row>
    <row r="878" spans="1:2" hidden="1" x14ac:dyDescent="0.2">
      <c r="A878" s="2">
        <v>45839</v>
      </c>
      <c r="B878">
        <v>65.449996948242188</v>
      </c>
    </row>
    <row r="879" spans="1:2" hidden="1" x14ac:dyDescent="0.2">
      <c r="A879" s="2">
        <v>45840</v>
      </c>
      <c r="B879">
        <v>67.449996948242188</v>
      </c>
    </row>
    <row r="880" spans="1:2" hidden="1" x14ac:dyDescent="0.2">
      <c r="A880" s="2">
        <v>45841</v>
      </c>
      <c r="B880">
        <v>67</v>
      </c>
    </row>
    <row r="881" spans="1:2" hidden="1" x14ac:dyDescent="0.2">
      <c r="A881" s="2">
        <v>45842</v>
      </c>
      <c r="B881">
        <v>66.5</v>
      </c>
    </row>
    <row r="882" spans="1:2" hidden="1" x14ac:dyDescent="0.2">
      <c r="A882" s="2">
        <v>45845</v>
      </c>
      <c r="B882">
        <v>67.930000305175781</v>
      </c>
    </row>
    <row r="883" spans="1:2" hidden="1" x14ac:dyDescent="0.2">
      <c r="A883" s="2">
        <v>45846</v>
      </c>
      <c r="B883">
        <v>68.330001831054688</v>
      </c>
    </row>
    <row r="884" spans="1:2" hidden="1" x14ac:dyDescent="0.2">
      <c r="A884" s="2">
        <v>45847</v>
      </c>
      <c r="B884">
        <v>68.379997253417969</v>
      </c>
    </row>
    <row r="885" spans="1:2" hidden="1" x14ac:dyDescent="0.2">
      <c r="A885" s="2">
        <v>45848</v>
      </c>
      <c r="B885">
        <v>66.569999694824219</v>
      </c>
    </row>
    <row r="886" spans="1:2" hidden="1" x14ac:dyDescent="0.2">
      <c r="A886" s="2">
        <v>45849</v>
      </c>
      <c r="B886">
        <v>68.449996948242188</v>
      </c>
    </row>
    <row r="887" spans="1:2" hidden="1" x14ac:dyDescent="0.2">
      <c r="A887" s="2">
        <v>45852</v>
      </c>
      <c r="B887">
        <v>66.980003356933594</v>
      </c>
    </row>
    <row r="888" spans="1:2" hidden="1" x14ac:dyDescent="0.2">
      <c r="A888" s="2">
        <v>45853</v>
      </c>
      <c r="B888">
        <v>66.519996643066406</v>
      </c>
    </row>
    <row r="889" spans="1:2" hidden="1" x14ac:dyDescent="0.2">
      <c r="A889" s="2">
        <v>45854</v>
      </c>
      <c r="B889">
        <v>66.379997253417969</v>
      </c>
    </row>
    <row r="890" spans="1:2" hidden="1" x14ac:dyDescent="0.2">
      <c r="A890" s="2">
        <v>45855</v>
      </c>
      <c r="B890">
        <v>67.540000915527344</v>
      </c>
    </row>
    <row r="891" spans="1:2" hidden="1" x14ac:dyDescent="0.2">
      <c r="A891" s="2">
        <v>45856</v>
      </c>
      <c r="B891">
        <v>67.339996337890625</v>
      </c>
    </row>
    <row r="892" spans="1:2" hidden="1" x14ac:dyDescent="0.2">
      <c r="A892" s="2">
        <v>45859</v>
      </c>
      <c r="B892">
        <v>67.199996948242188</v>
      </c>
    </row>
    <row r="893" spans="1:2" hidden="1" x14ac:dyDescent="0.2">
      <c r="A893" s="2">
        <v>45860</v>
      </c>
      <c r="B893">
        <v>66.209999084472656</v>
      </c>
    </row>
    <row r="894" spans="1:2" hidden="1" x14ac:dyDescent="0.2">
      <c r="A894" s="2">
        <v>45861</v>
      </c>
      <c r="B894">
        <v>65.25</v>
      </c>
    </row>
    <row r="895" spans="1:2" hidden="1" x14ac:dyDescent="0.2">
      <c r="A895" s="2">
        <v>45862</v>
      </c>
      <c r="B895">
        <v>66.029998779296875</v>
      </c>
    </row>
    <row r="896" spans="1:2" hidden="1" x14ac:dyDescent="0.2">
      <c r="A896" s="2">
        <v>45863</v>
      </c>
      <c r="B896">
        <v>65.160003662109375</v>
      </c>
    </row>
    <row r="897" spans="1:2" hidden="1" x14ac:dyDescent="0.2">
      <c r="A897" s="2">
        <v>45866</v>
      </c>
      <c r="B897">
        <v>66.709999084472656</v>
      </c>
    </row>
    <row r="898" spans="1:2" hidden="1" x14ac:dyDescent="0.2">
      <c r="A898" s="2">
        <v>45867</v>
      </c>
      <c r="B898">
        <v>69.209999084472656</v>
      </c>
    </row>
    <row r="899" spans="1:2" hidden="1" x14ac:dyDescent="0.2">
      <c r="A899" s="2">
        <v>45868</v>
      </c>
      <c r="B899">
        <v>70</v>
      </c>
    </row>
    <row r="900" spans="1:2" hidden="1" x14ac:dyDescent="0.2">
      <c r="A900" s="2">
        <v>45869</v>
      </c>
      <c r="B900">
        <v>69.260002136230469</v>
      </c>
    </row>
    <row r="901" spans="1:2" hidden="1" x14ac:dyDescent="0.2">
      <c r="A901" s="2">
        <v>45870</v>
      </c>
      <c r="B901">
        <v>67.330001831054688</v>
      </c>
    </row>
    <row r="902" spans="1:2" hidden="1" x14ac:dyDescent="0.2">
      <c r="A902" s="2">
        <v>45873</v>
      </c>
      <c r="B902">
        <v>66.290000915527344</v>
      </c>
    </row>
    <row r="903" spans="1:2" hidden="1" x14ac:dyDescent="0.2">
      <c r="A903" s="2">
        <v>45874</v>
      </c>
      <c r="B903">
        <v>65.160003662109375</v>
      </c>
    </row>
    <row r="904" spans="1:2" hidden="1" x14ac:dyDescent="0.2">
      <c r="A904" s="2">
        <v>45875</v>
      </c>
      <c r="B904">
        <v>64.349998474121094</v>
      </c>
    </row>
    <row r="905" spans="1:2" hidden="1" x14ac:dyDescent="0.2">
      <c r="A905" s="2">
        <v>45876</v>
      </c>
      <c r="B905">
        <v>63.880001068115227</v>
      </c>
    </row>
    <row r="906" spans="1:2" hidden="1" x14ac:dyDescent="0.2">
      <c r="A906" s="2">
        <v>45877</v>
      </c>
      <c r="B906">
        <v>63.880001068115227</v>
      </c>
    </row>
    <row r="907" spans="1:2" hidden="1" x14ac:dyDescent="0.2">
      <c r="A907" s="2">
        <v>45880</v>
      </c>
      <c r="B907">
        <v>63.959999084472663</v>
      </c>
    </row>
    <row r="908" spans="1:2" hidden="1" x14ac:dyDescent="0.2">
      <c r="A908" s="2">
        <v>45881</v>
      </c>
      <c r="B908">
        <v>63.169998168945312</v>
      </c>
    </row>
    <row r="909" spans="1:2" hidden="1" x14ac:dyDescent="0.2">
      <c r="A909" s="2">
        <v>45882</v>
      </c>
      <c r="B909">
        <v>62.650001525878913</v>
      </c>
    </row>
    <row r="910" spans="1:2" hidden="1" x14ac:dyDescent="0.2">
      <c r="A910" s="2">
        <v>45883</v>
      </c>
      <c r="B910">
        <v>63.959999084472663</v>
      </c>
    </row>
    <row r="911" spans="1:2" hidden="1" x14ac:dyDescent="0.2">
      <c r="A911" s="2">
        <v>45884</v>
      </c>
      <c r="B911">
        <v>62.799999237060547</v>
      </c>
    </row>
    <row r="912" spans="1:2" hidden="1" x14ac:dyDescent="0.2">
      <c r="A912" s="2">
        <v>45887</v>
      </c>
      <c r="B912">
        <v>63.419998168945312</v>
      </c>
    </row>
    <row r="913" spans="1:2" hidden="1" x14ac:dyDescent="0.2">
      <c r="A913" s="2">
        <v>45888</v>
      </c>
      <c r="B913">
        <v>62.349998474121087</v>
      </c>
    </row>
    <row r="914" spans="1:2" hidden="1" x14ac:dyDescent="0.2">
      <c r="A914" s="2">
        <v>45889</v>
      </c>
      <c r="B914">
        <v>63.209999084472663</v>
      </c>
    </row>
    <row r="915" spans="1:2" hidden="1" x14ac:dyDescent="0.2">
      <c r="A915" s="2">
        <v>45890</v>
      </c>
      <c r="B915">
        <v>63.520000457763672</v>
      </c>
    </row>
    <row r="916" spans="1:2" hidden="1" x14ac:dyDescent="0.2">
      <c r="A916" s="2">
        <v>45891</v>
      </c>
      <c r="B916">
        <v>63.659999847412109</v>
      </c>
    </row>
    <row r="917" spans="1:2" hidden="1" x14ac:dyDescent="0.2">
      <c r="A917" s="2">
        <v>45894</v>
      </c>
      <c r="B917">
        <v>64.800003051757812</v>
      </c>
    </row>
    <row r="918" spans="1:2" hidden="1" x14ac:dyDescent="0.2">
      <c r="A918" s="2">
        <v>45895</v>
      </c>
      <c r="B918">
        <v>63.25</v>
      </c>
    </row>
    <row r="919" spans="1:2" hidden="1" x14ac:dyDescent="0.2">
      <c r="A919" s="2">
        <v>45896</v>
      </c>
      <c r="B919">
        <v>64.150001525878906</v>
      </c>
    </row>
    <row r="920" spans="1:2" hidden="1" x14ac:dyDescent="0.2">
      <c r="A920" s="2">
        <v>45897</v>
      </c>
      <c r="B920">
        <v>64.599998474121094</v>
      </c>
    </row>
    <row r="921" spans="1:2" hidden="1" x14ac:dyDescent="0.2">
      <c r="A921" s="2">
        <v>45898</v>
      </c>
      <c r="B921">
        <v>64.010002136230469</v>
      </c>
    </row>
    <row r="922" spans="1:2" hidden="1" x14ac:dyDescent="0.2">
      <c r="A922" s="2">
        <v>45902</v>
      </c>
      <c r="B922">
        <v>65.589996337890625</v>
      </c>
    </row>
    <row r="923" spans="1:2" hidden="1" x14ac:dyDescent="0.2">
      <c r="A923" s="2">
        <v>45903</v>
      </c>
      <c r="B923">
        <v>63.970001220703118</v>
      </c>
    </row>
    <row r="924" spans="1:2" hidden="1" x14ac:dyDescent="0.2">
      <c r="A924" s="2">
        <v>45904</v>
      </c>
      <c r="B924">
        <v>63.479999542236328</v>
      </c>
    </row>
    <row r="925" spans="1:2" hidden="1" x14ac:dyDescent="0.2">
      <c r="A925" s="2">
        <v>45905</v>
      </c>
      <c r="B925">
        <v>61.869998931884773</v>
      </c>
    </row>
    <row r="926" spans="1:2" hidden="1" x14ac:dyDescent="0.2">
      <c r="A926" s="2">
        <v>45908</v>
      </c>
      <c r="B926">
        <v>62.259998321533203</v>
      </c>
    </row>
    <row r="927" spans="1:2" hidden="1" x14ac:dyDescent="0.2">
      <c r="A927" s="2">
        <v>45909</v>
      </c>
      <c r="B927">
        <v>62.630001068115227</v>
      </c>
    </row>
    <row r="928" spans="1:2" hidden="1" x14ac:dyDescent="0.2">
      <c r="A928" s="2">
        <v>45910</v>
      </c>
      <c r="B928">
        <v>63.669998168945312</v>
      </c>
    </row>
    <row r="929" spans="1:2" hidden="1" x14ac:dyDescent="0.2">
      <c r="A929" s="2">
        <v>45911</v>
      </c>
      <c r="B929">
        <v>62.369998931884773</v>
      </c>
    </row>
    <row r="930" spans="1:2" hidden="1" x14ac:dyDescent="0.2">
      <c r="A930" s="2">
        <v>45912</v>
      </c>
      <c r="B930">
        <v>62.689998626708977</v>
      </c>
    </row>
    <row r="931" spans="1:2" hidden="1" x14ac:dyDescent="0.2">
      <c r="A931" s="2">
        <v>45915</v>
      </c>
      <c r="B931">
        <v>63.299999237060547</v>
      </c>
    </row>
    <row r="932" spans="1:2" hidden="1" x14ac:dyDescent="0.2">
      <c r="A932" s="2">
        <v>45916</v>
      </c>
      <c r="B932">
        <v>64.519996643066406</v>
      </c>
    </row>
    <row r="933" spans="1:2" hidden="1" x14ac:dyDescent="0.2">
      <c r="A933" s="2">
        <v>45917</v>
      </c>
      <c r="B933">
        <v>64.050003051757812</v>
      </c>
    </row>
    <row r="934" spans="1:2" hidden="1" x14ac:dyDescent="0.2">
      <c r="A934" s="2">
        <v>45918</v>
      </c>
      <c r="B934">
        <v>63.569999694824219</v>
      </c>
    </row>
    <row r="935" spans="1:2" hidden="1" x14ac:dyDescent="0.2">
      <c r="A935" s="2">
        <v>45919</v>
      </c>
      <c r="B935">
        <v>62.680000305175781</v>
      </c>
    </row>
    <row r="936" spans="1:2" hidden="1" x14ac:dyDescent="0.2">
      <c r="A936" s="2">
        <v>45922</v>
      </c>
      <c r="B936">
        <v>62.639999389648438</v>
      </c>
    </row>
    <row r="937" spans="1:2" hidden="1" x14ac:dyDescent="0.2">
      <c r="A937" s="2">
        <v>45923</v>
      </c>
      <c r="B937">
        <v>63.409999847412109</v>
      </c>
    </row>
    <row r="938" spans="1:2" hidden="1" x14ac:dyDescent="0.2">
      <c r="A938" s="2">
        <v>45924</v>
      </c>
      <c r="B938">
        <v>64.989997863769531</v>
      </c>
    </row>
    <row r="939" spans="1:2" hidden="1" x14ac:dyDescent="0.2">
      <c r="A939" s="2">
        <v>45925</v>
      </c>
      <c r="B939">
        <v>64.980003356933594</v>
      </c>
    </row>
    <row r="940" spans="1:2" hidden="1" x14ac:dyDescent="0.2">
      <c r="A940" s="2">
        <v>45926</v>
      </c>
      <c r="B940">
        <v>65.720001220703125</v>
      </c>
    </row>
    <row r="941" spans="1:2" hidden="1" x14ac:dyDescent="0.2">
      <c r="A941" s="2">
        <v>45929</v>
      </c>
      <c r="B941">
        <v>63.450000762939453</v>
      </c>
    </row>
    <row r="942" spans="1:2" hidden="1" x14ac:dyDescent="0.2">
      <c r="A942" s="2">
        <v>45930</v>
      </c>
      <c r="B942">
        <v>62.369998931884773</v>
      </c>
    </row>
    <row r="943" spans="1:2" hidden="1" x14ac:dyDescent="0.2">
      <c r="A943" s="2">
        <v>45931</v>
      </c>
      <c r="B943">
        <v>61.779998779296882</v>
      </c>
    </row>
    <row r="944" spans="1:2" hidden="1" x14ac:dyDescent="0.2">
      <c r="A944" s="2">
        <v>45932</v>
      </c>
      <c r="B944">
        <v>60.479999542236328</v>
      </c>
    </row>
    <row r="945" spans="1:2" hidden="1" x14ac:dyDescent="0.2">
      <c r="A945" s="2">
        <v>45933</v>
      </c>
      <c r="B945">
        <v>60.880001068115227</v>
      </c>
    </row>
    <row r="946" spans="1:2" hidden="1" x14ac:dyDescent="0.2">
      <c r="A946" s="2">
        <v>45936</v>
      </c>
      <c r="B946">
        <v>61.689998626708977</v>
      </c>
    </row>
    <row r="947" spans="1:2" hidden="1" x14ac:dyDescent="0.2">
      <c r="A947" s="2">
        <v>45937</v>
      </c>
      <c r="B947">
        <v>61.729999542236328</v>
      </c>
    </row>
    <row r="948" spans="1:2" hidden="1" x14ac:dyDescent="0.2">
      <c r="A948" s="2">
        <v>45938</v>
      </c>
      <c r="B948">
        <v>62.549999237060547</v>
      </c>
    </row>
    <row r="949" spans="1:2" hidden="1" x14ac:dyDescent="0.2">
      <c r="A949" s="2">
        <v>45939</v>
      </c>
      <c r="B949">
        <v>61.509998321533203</v>
      </c>
    </row>
    <row r="950" spans="1:2" hidden="1" x14ac:dyDescent="0.2">
      <c r="A950" s="2">
        <v>45940</v>
      </c>
      <c r="B950">
        <v>58.900001525878913</v>
      </c>
    </row>
    <row r="951" spans="1:2" hidden="1" x14ac:dyDescent="0.2">
      <c r="A951" s="2">
        <v>45943</v>
      </c>
      <c r="B951">
        <v>59.490001678466797</v>
      </c>
    </row>
    <row r="952" spans="1:2" hidden="1" x14ac:dyDescent="0.2">
      <c r="A952" s="2">
        <v>45944</v>
      </c>
      <c r="B952">
        <v>58.700000762939453</v>
      </c>
    </row>
    <row r="953" spans="1:2" hidden="1" x14ac:dyDescent="0.2">
      <c r="A953" s="2">
        <v>45945</v>
      </c>
      <c r="B953">
        <v>58.270000457763672</v>
      </c>
    </row>
    <row r="954" spans="1:2" hidden="1" x14ac:dyDescent="0.2">
      <c r="A954" s="2">
        <v>45946</v>
      </c>
      <c r="B954">
        <v>57.459999084472663</v>
      </c>
    </row>
    <row r="955" spans="1:2" hidden="1" x14ac:dyDescent="0.2">
      <c r="A955" s="2">
        <v>45947</v>
      </c>
      <c r="B955">
        <v>57.540000915527337</v>
      </c>
    </row>
    <row r="956" spans="1:2" hidden="1" x14ac:dyDescent="0.2">
      <c r="A956" s="2">
        <v>45950</v>
      </c>
      <c r="B956">
        <v>57.520000457763672</v>
      </c>
    </row>
    <row r="957" spans="1:2" hidden="1" x14ac:dyDescent="0.2">
      <c r="A957" s="2">
        <v>45951</v>
      </c>
      <c r="B957">
        <v>57.819999694824219</v>
      </c>
    </row>
    <row r="958" spans="1:2" hidden="1" x14ac:dyDescent="0.2">
      <c r="A958" s="2">
        <v>45952</v>
      </c>
      <c r="B958">
        <v>58.5</v>
      </c>
    </row>
    <row r="959" spans="1:2" hidden="1" x14ac:dyDescent="0.2">
      <c r="A959" s="2">
        <v>45953</v>
      </c>
      <c r="B959">
        <v>61.790000915527337</v>
      </c>
    </row>
    <row r="960" spans="1:2" hidden="1" x14ac:dyDescent="0.2">
      <c r="A960" s="2">
        <v>45954</v>
      </c>
      <c r="B960">
        <v>61.5</v>
      </c>
    </row>
    <row r="961" spans="1:2" hidden="1" x14ac:dyDescent="0.2">
      <c r="A961" s="2">
        <v>45957</v>
      </c>
      <c r="B961">
        <v>61.310001373291023</v>
      </c>
    </row>
    <row r="962" spans="1:2" hidden="1" x14ac:dyDescent="0.2">
      <c r="A962" s="2">
        <v>45958</v>
      </c>
      <c r="B962">
        <v>60.150001525878913</v>
      </c>
    </row>
    <row r="963" spans="1:2" hidden="1" x14ac:dyDescent="0.2">
      <c r="A963" s="2">
        <v>45959</v>
      </c>
      <c r="B963">
        <v>60.479999542236328</v>
      </c>
    </row>
    <row r="964" spans="1:2" hidden="1" x14ac:dyDescent="0.2">
      <c r="A964" s="2">
        <v>45960</v>
      </c>
      <c r="B964">
        <v>60.569999694824219</v>
      </c>
    </row>
    <row r="965" spans="1:2" hidden="1" x14ac:dyDescent="0.2">
      <c r="A965" s="2">
        <v>45961</v>
      </c>
      <c r="B965">
        <v>60.979999542236328</v>
      </c>
    </row>
    <row r="966" spans="1:2" hidden="1" x14ac:dyDescent="0.2">
      <c r="A966" s="2">
        <v>45964</v>
      </c>
      <c r="B966">
        <v>61.049999237060547</v>
      </c>
    </row>
    <row r="967" spans="1:2" hidden="1" x14ac:dyDescent="0.2">
      <c r="A967" s="2">
        <v>45965</v>
      </c>
      <c r="B967">
        <v>60.560001373291023</v>
      </c>
    </row>
    <row r="968" spans="1:2" hidden="1" x14ac:dyDescent="0.2">
      <c r="A968" s="2">
        <v>45966</v>
      </c>
      <c r="B968">
        <v>59.599998474121087</v>
      </c>
    </row>
    <row r="969" spans="1:2" hidden="1" x14ac:dyDescent="0.2">
      <c r="A969" s="2">
        <v>45967</v>
      </c>
      <c r="B969">
        <v>59.430000305175781</v>
      </c>
    </row>
    <row r="970" spans="1:2" hidden="1" x14ac:dyDescent="0.2">
      <c r="A970" s="2">
        <v>45968</v>
      </c>
      <c r="B970">
        <v>59.75</v>
      </c>
    </row>
    <row r="971" spans="1:2" hidden="1" x14ac:dyDescent="0.2">
      <c r="A971" s="2">
        <v>45971</v>
      </c>
      <c r="B971">
        <v>60.130001068115227</v>
      </c>
    </row>
    <row r="972" spans="1:2" hidden="1" x14ac:dyDescent="0.2">
      <c r="A972" s="2">
        <v>45972</v>
      </c>
      <c r="B972">
        <v>61.040000915527337</v>
      </c>
    </row>
    <row r="973" spans="1:2" hidden="1" x14ac:dyDescent="0.2">
      <c r="A973" s="2">
        <v>45973</v>
      </c>
      <c r="B973">
        <v>58.490001678466797</v>
      </c>
    </row>
    <row r="974" spans="1:2" hidden="1" x14ac:dyDescent="0.2">
      <c r="A974" s="2">
        <v>45974</v>
      </c>
      <c r="B974">
        <v>58.689998626708977</v>
      </c>
    </row>
    <row r="975" spans="1:2" hidden="1" x14ac:dyDescent="0.2">
      <c r="A975" s="2">
        <v>45975</v>
      </c>
      <c r="B975">
        <v>60.090000152587891</v>
      </c>
    </row>
    <row r="976" spans="1:2" hidden="1" x14ac:dyDescent="0.2">
      <c r="A976" s="2">
        <v>45978</v>
      </c>
      <c r="B976">
        <v>59.909999847412109</v>
      </c>
    </row>
    <row r="977" spans="1:2" hidden="1" x14ac:dyDescent="0.2">
      <c r="A977" s="2">
        <v>45979</v>
      </c>
      <c r="B977">
        <v>60.740001678466797</v>
      </c>
    </row>
    <row r="978" spans="1:2" hidden="1" x14ac:dyDescent="0.2">
      <c r="A978" s="2">
        <v>45980</v>
      </c>
      <c r="B978">
        <v>59.439998626708977</v>
      </c>
    </row>
    <row r="979" spans="1:2" hidden="1" x14ac:dyDescent="0.2">
      <c r="A979" s="2">
        <v>45981</v>
      </c>
      <c r="B979">
        <v>59.139999389648438</v>
      </c>
    </row>
    <row r="980" spans="1:2" hidden="1" x14ac:dyDescent="0.2">
      <c r="A980" s="2">
        <v>45982</v>
      </c>
      <c r="B980">
        <v>58.060001373291023</v>
      </c>
    </row>
    <row r="981" spans="1:2" hidden="1" x14ac:dyDescent="0.2">
      <c r="A981" s="2">
        <v>45985</v>
      </c>
      <c r="B981">
        <v>58.840000152587891</v>
      </c>
    </row>
    <row r="982" spans="1:2" hidden="1" x14ac:dyDescent="0.2">
      <c r="A982" s="2">
        <v>45986</v>
      </c>
      <c r="B982">
        <v>57.950000762939453</v>
      </c>
    </row>
    <row r="983" spans="1:2" hidden="1" x14ac:dyDescent="0.2">
      <c r="A983" s="2">
        <v>45987</v>
      </c>
      <c r="B983">
        <v>58.650001525878913</v>
      </c>
    </row>
    <row r="984" spans="1:2" hidden="1" x14ac:dyDescent="0.2">
      <c r="A984" s="2">
        <v>45989</v>
      </c>
      <c r="B984">
        <v>58.549999237060547</v>
      </c>
    </row>
    <row r="985" spans="1:2" hidden="1" x14ac:dyDescent="0.2">
      <c r="A985" s="2">
        <v>45992</v>
      </c>
      <c r="B985">
        <v>59.319999694824219</v>
      </c>
    </row>
    <row r="986" spans="1:2" hidden="1" x14ac:dyDescent="0.2">
      <c r="A986" s="2">
        <v>45993</v>
      </c>
      <c r="B986">
        <v>58.639999389648438</v>
      </c>
    </row>
    <row r="987" spans="1:2" hidden="1" x14ac:dyDescent="0.2">
      <c r="A987" s="2">
        <v>45994</v>
      </c>
      <c r="B987">
        <v>58.950000762939453</v>
      </c>
    </row>
    <row r="988" spans="1:2" hidden="1" x14ac:dyDescent="0.2">
      <c r="A988" s="2">
        <v>45995</v>
      </c>
      <c r="B988">
        <v>59.669998168945312</v>
      </c>
    </row>
    <row r="989" spans="1:2" hidden="1" x14ac:dyDescent="0.2">
      <c r="A989" s="2">
        <v>45996</v>
      </c>
      <c r="B989">
        <v>60.080001831054688</v>
      </c>
    </row>
    <row r="990" spans="1:2" hidden="1" x14ac:dyDescent="0.2">
      <c r="A990" s="2">
        <v>45999</v>
      </c>
      <c r="B990">
        <v>58.880001068115227</v>
      </c>
    </row>
    <row r="991" spans="1:2" hidden="1" x14ac:dyDescent="0.2">
      <c r="A991" s="2">
        <v>46000</v>
      </c>
      <c r="B991">
        <v>58.25</v>
      </c>
    </row>
    <row r="992" spans="1:2" hidden="1" x14ac:dyDescent="0.2">
      <c r="A992" s="2">
        <v>46001</v>
      </c>
      <c r="B992">
        <v>58.459999084472663</v>
      </c>
    </row>
    <row r="993" spans="1:2" hidden="1" x14ac:dyDescent="0.2">
      <c r="A993" s="2">
        <v>46002</v>
      </c>
      <c r="B993">
        <v>57.599998474121087</v>
      </c>
    </row>
    <row r="994" spans="1:2" hidden="1" x14ac:dyDescent="0.2">
      <c r="A994" s="2">
        <v>46003</v>
      </c>
      <c r="B994">
        <v>57.439998626708977</v>
      </c>
    </row>
    <row r="995" spans="1:2" hidden="1" x14ac:dyDescent="0.2">
      <c r="A995" s="2">
        <v>46006</v>
      </c>
      <c r="B995">
        <v>56.819999694824219</v>
      </c>
    </row>
    <row r="996" spans="1:2" hidden="1" x14ac:dyDescent="0.2">
      <c r="A996" s="2">
        <v>46007</v>
      </c>
      <c r="B996">
        <v>55.270000457763672</v>
      </c>
    </row>
    <row r="997" spans="1:2" hidden="1" x14ac:dyDescent="0.2">
      <c r="A997" s="2">
        <v>46008</v>
      </c>
      <c r="B997">
        <v>55.939998626708977</v>
      </c>
    </row>
    <row r="998" spans="1:2" hidden="1" x14ac:dyDescent="0.2">
      <c r="A998" s="2">
        <v>46009</v>
      </c>
      <c r="B998">
        <v>56.150001525878913</v>
      </c>
    </row>
    <row r="999" spans="1:2" hidden="1" x14ac:dyDescent="0.2">
      <c r="A999" s="2">
        <v>46010</v>
      </c>
      <c r="B999">
        <v>56.659999847412109</v>
      </c>
    </row>
    <row r="1000" spans="1:2" hidden="1" x14ac:dyDescent="0.2">
      <c r="A1000" s="2">
        <v>46013</v>
      </c>
      <c r="B1000">
        <v>58.009998321533203</v>
      </c>
    </row>
    <row r="1001" spans="1:2" hidden="1" x14ac:dyDescent="0.2">
      <c r="A1001" s="2">
        <v>46014</v>
      </c>
      <c r="B1001">
        <v>58.380001068115227</v>
      </c>
    </row>
    <row r="1002" spans="1:2" hidden="1" x14ac:dyDescent="0.2">
      <c r="A1002" s="2">
        <v>46015</v>
      </c>
      <c r="B1002">
        <v>58.349998474121087</v>
      </c>
    </row>
    <row r="1003" spans="1:2" hidden="1" x14ac:dyDescent="0.2">
      <c r="A1003" s="2">
        <v>46017</v>
      </c>
      <c r="B1003">
        <v>56.740001678466797</v>
      </c>
    </row>
    <row r="1004" spans="1:2" hidden="1" x14ac:dyDescent="0.2">
      <c r="A1004" s="2">
        <v>46020</v>
      </c>
      <c r="B1004">
        <v>58.080001831054688</v>
      </c>
    </row>
    <row r="1005" spans="1:2" hidden="1" x14ac:dyDescent="0.2">
      <c r="A1005" s="2">
        <v>46021</v>
      </c>
      <c r="B1005">
        <v>57.950000762939453</v>
      </c>
    </row>
    <row r="1006" spans="1:2" hidden="1" x14ac:dyDescent="0.2">
      <c r="A1006" s="2">
        <v>46022</v>
      </c>
      <c r="B1006">
        <v>57.419998168945312</v>
      </c>
    </row>
    <row r="1007" spans="1:2" x14ac:dyDescent="0.2">
      <c r="A1007" s="2">
        <v>46024</v>
      </c>
      <c r="B1007">
        <v>57.319999694824219</v>
      </c>
    </row>
    <row r="1008" spans="1:2" x14ac:dyDescent="0.2">
      <c r="A1008" s="2">
        <v>46027</v>
      </c>
      <c r="B1008">
        <v>58.319999694824219</v>
      </c>
    </row>
    <row r="1009" spans="1:2" x14ac:dyDescent="0.2">
      <c r="A1009" s="2">
        <v>46028</v>
      </c>
      <c r="B1009">
        <v>57.130001068115227</v>
      </c>
    </row>
    <row r="1010" spans="1:2" x14ac:dyDescent="0.2">
      <c r="A1010" s="2">
        <v>46029</v>
      </c>
      <c r="B1010">
        <v>55.990001678466797</v>
      </c>
    </row>
    <row r="1011" spans="1:2" x14ac:dyDescent="0.2">
      <c r="A1011" s="2">
        <v>46030</v>
      </c>
      <c r="B1011">
        <v>57.759998321533203</v>
      </c>
    </row>
    <row r="1012" spans="1:2" x14ac:dyDescent="0.2">
      <c r="A1012" s="2">
        <v>46031</v>
      </c>
      <c r="B1012">
        <v>59.119998931884773</v>
      </c>
    </row>
    <row r="1013" spans="1:2" x14ac:dyDescent="0.2">
      <c r="A1013" s="2">
        <v>46034</v>
      </c>
      <c r="B1013">
        <v>59.5</v>
      </c>
    </row>
    <row r="1014" spans="1:2" x14ac:dyDescent="0.2">
      <c r="A1014" s="2">
        <v>46035</v>
      </c>
      <c r="B1014">
        <v>61.150001525878913</v>
      </c>
    </row>
    <row r="1015" spans="1:2" x14ac:dyDescent="0.2">
      <c r="A1015" s="2">
        <v>46036</v>
      </c>
      <c r="B1015">
        <v>62.020000457763672</v>
      </c>
    </row>
    <row r="1016" spans="1:2" x14ac:dyDescent="0.2">
      <c r="A1016" s="2">
        <v>46037</v>
      </c>
      <c r="B1016">
        <v>59.189998626708977</v>
      </c>
    </row>
    <row r="1017" spans="1:2" x14ac:dyDescent="0.2">
      <c r="A1017" s="2">
        <v>46038</v>
      </c>
      <c r="B1017">
        <v>59.439998626708977</v>
      </c>
    </row>
    <row r="1018" spans="1:2" x14ac:dyDescent="0.2">
      <c r="A1018" s="2">
        <v>46042</v>
      </c>
      <c r="B1018">
        <v>60.340000152587891</v>
      </c>
    </row>
    <row r="1019" spans="1:2" x14ac:dyDescent="0.2">
      <c r="A1019" s="2">
        <v>46043</v>
      </c>
      <c r="B1019">
        <v>60.619998931884773</v>
      </c>
    </row>
    <row r="1020" spans="1:2" x14ac:dyDescent="0.2">
      <c r="A1020" s="2">
        <v>46044</v>
      </c>
      <c r="B1020">
        <v>59.360000610351562</v>
      </c>
    </row>
    <row r="1021" spans="1:2" x14ac:dyDescent="0.2">
      <c r="A1021" s="2">
        <v>46045</v>
      </c>
      <c r="B1021">
        <v>61.069999694824219</v>
      </c>
    </row>
    <row r="1022" spans="1:2" x14ac:dyDescent="0.2">
      <c r="A1022" s="2">
        <v>46048</v>
      </c>
      <c r="B1022">
        <v>60.630001068115227</v>
      </c>
    </row>
    <row r="1023" spans="1:2" x14ac:dyDescent="0.2">
      <c r="A1023" s="2">
        <v>46049</v>
      </c>
      <c r="B1023">
        <v>62.389999389648438</v>
      </c>
    </row>
    <row r="1024" spans="1:2" x14ac:dyDescent="0.2">
      <c r="A1024" s="2">
        <v>46050</v>
      </c>
      <c r="B1024">
        <v>63.209999084472663</v>
      </c>
    </row>
    <row r="1025" spans="1:2" x14ac:dyDescent="0.2">
      <c r="A1025" s="2">
        <v>46051</v>
      </c>
      <c r="B1025">
        <v>65.419998168945312</v>
      </c>
    </row>
    <row r="1026" spans="1:2" x14ac:dyDescent="0.2">
      <c r="A1026" s="2">
        <v>46052</v>
      </c>
      <c r="B1026">
        <v>65.209999084472656</v>
      </c>
    </row>
    <row r="1027" spans="1:2" x14ac:dyDescent="0.2">
      <c r="A1027" s="2">
        <v>46055</v>
      </c>
      <c r="B1027">
        <v>62.139999389648438</v>
      </c>
    </row>
    <row r="1028" spans="1:2" x14ac:dyDescent="0.2">
      <c r="A1028" s="2">
        <v>46056</v>
      </c>
      <c r="B1028">
        <v>63.209999084472663</v>
      </c>
    </row>
    <row r="1029" spans="1:2" x14ac:dyDescent="0.2">
      <c r="A1029" s="2">
        <v>46057</v>
      </c>
      <c r="B1029">
        <v>65.139999389648438</v>
      </c>
    </row>
    <row r="1030" spans="1:2" x14ac:dyDescent="0.2">
      <c r="A1030" s="2">
        <v>46058</v>
      </c>
      <c r="B1030">
        <v>63.290000915527337</v>
      </c>
    </row>
    <row r="1031" spans="1:2" x14ac:dyDescent="0.2">
      <c r="A1031" s="2">
        <v>46059</v>
      </c>
      <c r="B1031">
        <v>63.549999237060547</v>
      </c>
    </row>
    <row r="1032" spans="1:2" x14ac:dyDescent="0.2">
      <c r="A1032" s="2">
        <v>46062</v>
      </c>
      <c r="B1032">
        <v>64.360000610351562</v>
      </c>
    </row>
    <row r="1033" spans="1:2" x14ac:dyDescent="0.2">
      <c r="A1033" s="2">
        <v>46063</v>
      </c>
      <c r="B1033">
        <v>63.959999084472663</v>
      </c>
    </row>
    <row r="1034" spans="1:2" x14ac:dyDescent="0.2">
      <c r="A1034" s="2">
        <v>46064</v>
      </c>
      <c r="B1034">
        <v>64.629997253417969</v>
      </c>
    </row>
    <row r="1035" spans="1:2" x14ac:dyDescent="0.2">
      <c r="A1035" s="2">
        <v>46065</v>
      </c>
      <c r="B1035">
        <v>62.840000152587891</v>
      </c>
    </row>
    <row r="1036" spans="1:2" x14ac:dyDescent="0.2">
      <c r="A1036" s="2">
        <v>46066</v>
      </c>
      <c r="B1036">
        <v>62.889999389648438</v>
      </c>
    </row>
    <row r="1037" spans="1:2" x14ac:dyDescent="0.2">
      <c r="A1037" s="2">
        <v>46070</v>
      </c>
      <c r="B1037">
        <v>62.330001831054688</v>
      </c>
    </row>
    <row r="1038" spans="1:2" x14ac:dyDescent="0.2">
      <c r="A1038" s="2">
        <v>46071</v>
      </c>
      <c r="B1038">
        <v>65.19000244140625</v>
      </c>
    </row>
    <row r="1039" spans="1:2" x14ac:dyDescent="0.2">
      <c r="A1039" s="2">
        <v>46072</v>
      </c>
      <c r="B1039">
        <v>66.430000305175781</v>
      </c>
    </row>
    <row r="1040" spans="1:2" x14ac:dyDescent="0.2">
      <c r="A1040" s="2">
        <v>46073</v>
      </c>
      <c r="B1040">
        <v>66.389999389648438</v>
      </c>
    </row>
    <row r="1041" spans="1:2" x14ac:dyDescent="0.2">
      <c r="A1041" s="2">
        <v>46076</v>
      </c>
      <c r="B1041">
        <v>66.30999755859375</v>
      </c>
    </row>
    <row r="1042" spans="1:2" x14ac:dyDescent="0.2">
      <c r="A1042" s="2">
        <v>46077</v>
      </c>
      <c r="B1042">
        <v>65.629997253417969</v>
      </c>
    </row>
    <row r="1043" spans="1:2" x14ac:dyDescent="0.2">
      <c r="A1043" s="2">
        <v>46078</v>
      </c>
      <c r="B1043">
        <v>65.419998168945312</v>
      </c>
    </row>
    <row r="1044" spans="1:2" x14ac:dyDescent="0.2">
      <c r="A1044" s="2">
        <v>46079</v>
      </c>
      <c r="B1044">
        <v>65.209999084472656</v>
      </c>
    </row>
    <row r="1045" spans="1:2" x14ac:dyDescent="0.2">
      <c r="A1045" s="2">
        <v>46080</v>
      </c>
      <c r="B1045">
        <v>67.019996643066406</v>
      </c>
    </row>
    <row r="1046" spans="1:2" x14ac:dyDescent="0.2">
      <c r="A1046" s="2">
        <v>46083</v>
      </c>
      <c r="B1046">
        <v>71.230003356933594</v>
      </c>
    </row>
    <row r="1047" spans="1:2" x14ac:dyDescent="0.2">
      <c r="A1047" s="2">
        <v>46084</v>
      </c>
      <c r="B1047">
        <v>74.55999755859375</v>
      </c>
    </row>
    <row r="1048" spans="1:2" x14ac:dyDescent="0.2">
      <c r="A1048" s="2">
        <v>46085</v>
      </c>
      <c r="B1048">
        <v>74.660003662109375</v>
      </c>
    </row>
    <row r="1049" spans="1:2" x14ac:dyDescent="0.2">
      <c r="A1049" s="2">
        <v>46086</v>
      </c>
      <c r="B1049">
        <v>81.010002136230469</v>
      </c>
    </row>
    <row r="1050" spans="1:2" x14ac:dyDescent="0.2">
      <c r="A1050" s="2">
        <v>46087</v>
      </c>
      <c r="B1050">
        <v>90.900001525878906</v>
      </c>
    </row>
    <row r="1051" spans="1:2" x14ac:dyDescent="0.2">
      <c r="A1051" s="2">
        <v>46090</v>
      </c>
      <c r="B1051">
        <v>94.769996643066406</v>
      </c>
    </row>
    <row r="1052" spans="1:2" x14ac:dyDescent="0.2">
      <c r="A1052" s="2">
        <v>46091</v>
      </c>
      <c r="B1052">
        <v>83.449996948242188</v>
      </c>
    </row>
    <row r="1053" spans="1:2" x14ac:dyDescent="0.2">
      <c r="A1053" s="2">
        <v>46092</v>
      </c>
      <c r="B1053">
        <v>87.25</v>
      </c>
    </row>
    <row r="1054" spans="1:2" x14ac:dyDescent="0.2">
      <c r="A1054" s="2">
        <v>46093</v>
      </c>
      <c r="B1054">
        <v>95.730003356933594</v>
      </c>
    </row>
    <row r="1055" spans="1:2" x14ac:dyDescent="0.2">
      <c r="A1055" s="2">
        <v>46094</v>
      </c>
      <c r="B1055">
        <v>98.709999084472656</v>
      </c>
    </row>
    <row r="1056" spans="1:2" x14ac:dyDescent="0.2">
      <c r="A1056" s="2">
        <v>46097</v>
      </c>
      <c r="B1056">
        <v>93.5</v>
      </c>
    </row>
    <row r="1057" spans="1:2" x14ac:dyDescent="0.2">
      <c r="A1057" s="2">
        <v>46098</v>
      </c>
      <c r="B1057">
        <v>96.209999084472656</v>
      </c>
    </row>
    <row r="1058" spans="1:2" x14ac:dyDescent="0.2">
      <c r="A1058" s="2">
        <v>46099</v>
      </c>
      <c r="B1058">
        <v>96.319999694824219</v>
      </c>
    </row>
    <row r="1059" spans="1:2" x14ac:dyDescent="0.2">
      <c r="A1059" s="2">
        <v>46100</v>
      </c>
      <c r="B1059">
        <v>96.139999389648438</v>
      </c>
    </row>
    <row r="1060" spans="1:2" x14ac:dyDescent="0.2">
      <c r="A1060" s="2">
        <v>46101</v>
      </c>
      <c r="B1060">
        <v>98.319999694824219</v>
      </c>
    </row>
    <row r="1061" spans="1:2" x14ac:dyDescent="0.2">
      <c r="A1061" s="2">
        <v>46104</v>
      </c>
      <c r="B1061">
        <v>88.129997253417969</v>
      </c>
    </row>
    <row r="1062" spans="1:2" x14ac:dyDescent="0.2">
      <c r="A1062" s="2">
        <v>46105</v>
      </c>
      <c r="B1062">
        <v>92.349998474121094</v>
      </c>
    </row>
    <row r="1063" spans="1:2" x14ac:dyDescent="0.2">
      <c r="A1063" s="2">
        <v>46106</v>
      </c>
      <c r="B1063">
        <v>90.319999694824219</v>
      </c>
    </row>
    <row r="1064" spans="1:2" x14ac:dyDescent="0.2">
      <c r="A1064" s="2">
        <v>46107</v>
      </c>
      <c r="B1064">
        <v>94.480003356933594</v>
      </c>
    </row>
    <row r="1065" spans="1:2" x14ac:dyDescent="0.2">
      <c r="A1065" s="2">
        <v>46108</v>
      </c>
      <c r="B1065">
        <v>99.639999389648438</v>
      </c>
    </row>
    <row r="1066" spans="1:2" x14ac:dyDescent="0.2">
      <c r="A1066" s="2">
        <v>46111</v>
      </c>
      <c r="B1066">
        <v>102.879997253418</v>
      </c>
    </row>
    <row r="1067" spans="1:2" x14ac:dyDescent="0.2">
      <c r="A1067" s="2">
        <v>46112</v>
      </c>
      <c r="B1067">
        <v>101.379997253418</v>
      </c>
    </row>
    <row r="1068" spans="1:2" x14ac:dyDescent="0.2">
      <c r="A1068" s="2">
        <v>46113</v>
      </c>
      <c r="B1068">
        <v>100.120002746582</v>
      </c>
    </row>
    <row r="1069" spans="1:2" x14ac:dyDescent="0.2">
      <c r="A1069" s="2">
        <v>46114</v>
      </c>
      <c r="B1069">
        <v>111.5400009155273</v>
      </c>
    </row>
    <row r="1070" spans="1:2" x14ac:dyDescent="0.2">
      <c r="A1070" s="2">
        <v>46118</v>
      </c>
      <c r="B1070">
        <v>112.4100036621094</v>
      </c>
    </row>
    <row r="1071" spans="1:2" x14ac:dyDescent="0.2">
      <c r="A1071" s="2">
        <v>46119</v>
      </c>
      <c r="B1071">
        <v>112.9499969482422</v>
      </c>
    </row>
    <row r="1072" spans="1:2" x14ac:dyDescent="0.2">
      <c r="A1072" s="2">
        <v>46120</v>
      </c>
      <c r="B1072">
        <v>94.410003662109375</v>
      </c>
    </row>
    <row r="1073" spans="1:2" x14ac:dyDescent="0.2">
      <c r="A1073" s="2">
        <v>46121</v>
      </c>
      <c r="B1073">
        <v>97.870002746582031</v>
      </c>
    </row>
    <row r="1074" spans="1:2" x14ac:dyDescent="0.2">
      <c r="A1074" s="2">
        <v>46122</v>
      </c>
      <c r="B1074">
        <v>96.569999694824219</v>
      </c>
    </row>
    <row r="1075" spans="1:2" x14ac:dyDescent="0.2">
      <c r="A1075" s="2">
        <v>46125</v>
      </c>
      <c r="B1075">
        <v>99.080001831054688</v>
      </c>
    </row>
    <row r="1076" spans="1:2" x14ac:dyDescent="0.2">
      <c r="A1076" s="2">
        <v>46126</v>
      </c>
      <c r="B1076">
        <v>91.279998779296875</v>
      </c>
    </row>
    <row r="1077" spans="1:2" x14ac:dyDescent="0.2">
      <c r="A1077" s="2">
        <v>46127</v>
      </c>
      <c r="B1077">
        <v>91.290000915527344</v>
      </c>
    </row>
    <row r="1078" spans="1:2" x14ac:dyDescent="0.2">
      <c r="A1078" s="2">
        <v>46128</v>
      </c>
      <c r="B1078">
        <v>94.69000244140625</v>
      </c>
    </row>
    <row r="1079" spans="1:2" x14ac:dyDescent="0.2">
      <c r="A1079" s="2">
        <v>46129</v>
      </c>
      <c r="B1079">
        <v>83.849998474121094</v>
      </c>
    </row>
    <row r="1080" spans="1:2" x14ac:dyDescent="0.2">
      <c r="A1080" s="2">
        <v>46132</v>
      </c>
      <c r="B1080">
        <v>89.610000610351562</v>
      </c>
    </row>
    <row r="1081" spans="1:2" x14ac:dyDescent="0.2">
      <c r="A1081" s="2">
        <v>46133</v>
      </c>
      <c r="B1081">
        <v>92.129997253417969</v>
      </c>
    </row>
    <row r="1082" spans="1:2" x14ac:dyDescent="0.2">
      <c r="A1082" s="2">
        <v>46134</v>
      </c>
      <c r="B1082">
        <v>92.959999084472656</v>
      </c>
    </row>
    <row r="1083" spans="1:2" x14ac:dyDescent="0.2">
      <c r="A1083" s="2">
        <v>46135</v>
      </c>
      <c r="B1083">
        <v>95.849998474121094</v>
      </c>
    </row>
    <row r="1084" spans="1:2" x14ac:dyDescent="0.2">
      <c r="A1084" s="2">
        <v>46136</v>
      </c>
      <c r="B1084">
        <v>94.400001525878906</v>
      </c>
    </row>
    <row r="1085" spans="1:2" x14ac:dyDescent="0.2">
      <c r="A1085" s="2">
        <v>46139</v>
      </c>
      <c r="B1085">
        <v>96.370002746582031</v>
      </c>
    </row>
    <row r="1086" spans="1:2" x14ac:dyDescent="0.2">
      <c r="A1086" s="2">
        <v>46140</v>
      </c>
      <c r="B1086">
        <v>99.930000305175781</v>
      </c>
    </row>
    <row r="1087" spans="1:2" x14ac:dyDescent="0.2">
      <c r="A1087" s="2">
        <v>46141</v>
      </c>
      <c r="B1087">
        <v>106.879997253418</v>
      </c>
    </row>
    <row r="1088" spans="1:2" x14ac:dyDescent="0.2">
      <c r="A1088" s="2">
        <v>46142</v>
      </c>
      <c r="B1088">
        <v>105.0699996948242</v>
      </c>
    </row>
    <row r="1089" spans="1:2" x14ac:dyDescent="0.2">
      <c r="A1089" s="2">
        <v>46143</v>
      </c>
      <c r="B1089">
        <v>101.94000244140619</v>
      </c>
    </row>
    <row r="1090" spans="1:2" x14ac:dyDescent="0.2">
      <c r="A1090" s="2">
        <v>46146</v>
      </c>
      <c r="B1090">
        <v>106.4199981689453</v>
      </c>
    </row>
    <row r="1091" spans="1:2" x14ac:dyDescent="0.2">
      <c r="A1091" s="2">
        <v>46147</v>
      </c>
      <c r="B1091">
        <v>102.26999664306641</v>
      </c>
    </row>
    <row r="1092" spans="1:2" x14ac:dyDescent="0.2">
      <c r="A1092" s="2">
        <v>46148</v>
      </c>
      <c r="B1092">
        <v>95.080001831054688</v>
      </c>
    </row>
    <row r="1093" spans="1:2" x14ac:dyDescent="0.2">
      <c r="A1093" s="2">
        <v>46149</v>
      </c>
      <c r="B1093">
        <v>94.80999755859375</v>
      </c>
    </row>
    <row r="1094" spans="1:2" x14ac:dyDescent="0.2">
      <c r="A1094" s="2">
        <v>46150</v>
      </c>
      <c r="B1094">
        <v>95.419998168945312</v>
      </c>
    </row>
    <row r="1095" spans="1:2" x14ac:dyDescent="0.2">
      <c r="A1095" s="2">
        <v>46153</v>
      </c>
      <c r="B1095">
        <v>98.069999694824219</v>
      </c>
    </row>
    <row r="1096" spans="1:2" x14ac:dyDescent="0.2">
      <c r="A1096" s="2">
        <v>46154</v>
      </c>
      <c r="B1096">
        <v>102.1800003051758</v>
      </c>
    </row>
    <row r="1097" spans="1:2" x14ac:dyDescent="0.2">
      <c r="A1097" s="2">
        <v>46155</v>
      </c>
      <c r="B1097">
        <v>101.01999664306641</v>
      </c>
    </row>
    <row r="1098" spans="1:2" x14ac:dyDescent="0.2">
      <c r="A1098" s="2">
        <v>46156</v>
      </c>
      <c r="B1098">
        <v>101.1699981689453</v>
      </c>
    </row>
    <row r="1099" spans="1:2" x14ac:dyDescent="0.2">
      <c r="A1099" s="2">
        <v>46157</v>
      </c>
      <c r="B1099">
        <v>105.4199981689453</v>
      </c>
    </row>
    <row r="1100" spans="1:2" x14ac:dyDescent="0.2">
      <c r="A1100" s="2">
        <v>46160</v>
      </c>
      <c r="B1100">
        <v>108.6600036621094</v>
      </c>
    </row>
    <row r="1101" spans="1:2" x14ac:dyDescent="0.2">
      <c r="A1101" s="2">
        <v>46161</v>
      </c>
      <c r="B1101">
        <v>107.76999664306641</v>
      </c>
    </row>
    <row r="1102" spans="1:2" x14ac:dyDescent="0.2">
      <c r="A1102" s="2">
        <v>46162</v>
      </c>
      <c r="B1102">
        <v>98.260002136230469</v>
      </c>
    </row>
    <row r="1103" spans="1:2" x14ac:dyDescent="0.2">
      <c r="A1103" s="2">
        <v>46163</v>
      </c>
      <c r="B1103">
        <v>96.349998474121094</v>
      </c>
    </row>
    <row r="1104" spans="1:2" x14ac:dyDescent="0.2">
      <c r="A1104" s="2">
        <v>46164</v>
      </c>
      <c r="B1104">
        <v>96.599998474121094</v>
      </c>
    </row>
    <row r="1105" spans="1:2" x14ac:dyDescent="0.2">
      <c r="A1105" s="2">
        <v>46168</v>
      </c>
      <c r="B1105">
        <v>93.889999389648438</v>
      </c>
    </row>
    <row r="1106" spans="1:2" x14ac:dyDescent="0.2">
      <c r="A1106" s="2">
        <v>46169</v>
      </c>
      <c r="B1106">
        <v>88.680000305175781</v>
      </c>
    </row>
    <row r="1107" spans="1:2" x14ac:dyDescent="0.2">
      <c r="A1107" s="2">
        <v>46170</v>
      </c>
      <c r="B1107">
        <v>88.900001525878906</v>
      </c>
    </row>
    <row r="1108" spans="1:2" x14ac:dyDescent="0.2">
      <c r="A1108" s="2">
        <v>46171</v>
      </c>
      <c r="B1108">
        <v>87.360000610351562</v>
      </c>
    </row>
    <row r="1109" spans="1:2" x14ac:dyDescent="0.2">
      <c r="A1109" s="2">
        <v>46174</v>
      </c>
      <c r="B1109">
        <v>92.160003662109375</v>
      </c>
    </row>
    <row r="1110" spans="1:2" x14ac:dyDescent="0.2">
      <c r="A1110" s="2">
        <v>46175</v>
      </c>
      <c r="B1110">
        <v>93.760002136230469</v>
      </c>
    </row>
    <row r="1111" spans="1:2" x14ac:dyDescent="0.2">
      <c r="A1111" s="2">
        <v>46176</v>
      </c>
      <c r="B1111">
        <v>96.019996643066406</v>
      </c>
    </row>
    <row r="1112" spans="1:2" x14ac:dyDescent="0.2">
      <c r="A1112" s="2">
        <v>46177</v>
      </c>
      <c r="B1112">
        <v>93.040000915527344</v>
      </c>
    </row>
    <row r="1113" spans="1:2" x14ac:dyDescent="0.2">
      <c r="A1113" s="2">
        <v>46178</v>
      </c>
      <c r="B1113">
        <v>90.540000915527344</v>
      </c>
    </row>
    <row r="1114" spans="1:2" x14ac:dyDescent="0.2">
      <c r="A1114" s="2">
        <v>46181</v>
      </c>
      <c r="B1114">
        <v>91.300003051757812</v>
      </c>
    </row>
    <row r="1115" spans="1:2" x14ac:dyDescent="0.2">
      <c r="A1115" s="2">
        <v>46182</v>
      </c>
      <c r="B1115">
        <v>88.199996948242188</v>
      </c>
    </row>
    <row r="1116" spans="1:2" x14ac:dyDescent="0.2">
      <c r="A1116" s="2">
        <v>46183</v>
      </c>
      <c r="B1116">
        <v>90.029998779296875</v>
      </c>
    </row>
    <row r="1117" spans="1:2" x14ac:dyDescent="0.2">
      <c r="A1117" s="2">
        <v>46184</v>
      </c>
      <c r="B1117">
        <v>87.709999084472656</v>
      </c>
    </row>
    <row r="1118" spans="1:2" x14ac:dyDescent="0.2">
      <c r="A1118" s="2">
        <v>46185</v>
      </c>
      <c r="B1118">
        <v>84.879997253417969</v>
      </c>
    </row>
    <row r="1119" spans="1:2" x14ac:dyDescent="0.2">
      <c r="A1119" s="2">
        <v>46188</v>
      </c>
      <c r="B1119">
        <v>80.75</v>
      </c>
    </row>
    <row r="1120" spans="1:2" x14ac:dyDescent="0.2">
      <c r="A1120" s="2">
        <v>46189</v>
      </c>
      <c r="B1120">
        <v>76.050003051757812</v>
      </c>
    </row>
    <row r="1121" spans="1:2" x14ac:dyDescent="0.2">
      <c r="A1121" s="2">
        <v>46190</v>
      </c>
      <c r="B1121">
        <v>76.790000915527344</v>
      </c>
    </row>
    <row r="1122" spans="1:2" x14ac:dyDescent="0.2">
      <c r="A1122" s="2">
        <v>46191</v>
      </c>
      <c r="B1122">
        <v>76.599998474121094</v>
      </c>
    </row>
    <row r="1123" spans="1:2" x14ac:dyDescent="0.2">
      <c r="A1123" s="2">
        <v>46195</v>
      </c>
      <c r="B1123">
        <v>74.819999694824219</v>
      </c>
    </row>
    <row r="1124" spans="1:2" x14ac:dyDescent="0.2">
      <c r="A1124" s="2">
        <v>46196</v>
      </c>
      <c r="B1124">
        <v>73.209999084472656</v>
      </c>
    </row>
    <row r="1125" spans="1:2" x14ac:dyDescent="0.2">
      <c r="A1125" s="2">
        <v>46197</v>
      </c>
      <c r="B1125">
        <v>70.339996337890625</v>
      </c>
    </row>
    <row r="1126" spans="1:2" x14ac:dyDescent="0.2">
      <c r="A1126" s="2">
        <v>46198</v>
      </c>
      <c r="B1126">
        <v>71.919998168945312</v>
      </c>
    </row>
    <row r="1127" spans="1:2" x14ac:dyDescent="0.2">
      <c r="A1127" s="2">
        <v>46199</v>
      </c>
      <c r="B1127">
        <v>69.230003356933594</v>
      </c>
    </row>
    <row r="1128" spans="1:2" x14ac:dyDescent="0.2">
      <c r="A1128" s="2">
        <v>46202</v>
      </c>
      <c r="B1128">
        <v>70.75</v>
      </c>
    </row>
    <row r="1129" spans="1:2" x14ac:dyDescent="0.2">
      <c r="A1129" s="2">
        <v>46203</v>
      </c>
      <c r="B1129">
        <v>69.5</v>
      </c>
    </row>
    <row r="1130" spans="1:2" x14ac:dyDescent="0.2">
      <c r="A1130" s="2">
        <v>46204</v>
      </c>
      <c r="B1130">
        <v>68.580001831054688</v>
      </c>
    </row>
    <row r="1131" spans="1:2" x14ac:dyDescent="0.2">
      <c r="A1131" s="2">
        <v>46205</v>
      </c>
      <c r="B1131">
        <v>68.69000244140625</v>
      </c>
    </row>
    <row r="1132" spans="1:2" x14ac:dyDescent="0.2">
      <c r="A1132" s="2">
        <v>46209</v>
      </c>
      <c r="B1132">
        <v>68.550003051757812</v>
      </c>
    </row>
    <row r="1133" spans="1:2" x14ac:dyDescent="0.2">
      <c r="A1133" s="2">
        <v>46210</v>
      </c>
      <c r="B1133">
        <v>70.44000244140625</v>
      </c>
    </row>
    <row r="1134" spans="1:2" x14ac:dyDescent="0.2">
      <c r="A1134" s="2">
        <v>46211</v>
      </c>
      <c r="B1134">
        <v>73.519996643066406</v>
      </c>
    </row>
    <row r="1135" spans="1:2" x14ac:dyDescent="0.2">
      <c r="A1135" s="2">
        <v>46212</v>
      </c>
      <c r="B1135">
        <v>72.080001831054688</v>
      </c>
    </row>
    <row r="1136" spans="1:2" x14ac:dyDescent="0.2">
      <c r="A1136" s="2">
        <v>46213</v>
      </c>
      <c r="B1136">
        <v>71.410003662109375</v>
      </c>
    </row>
    <row r="1137" spans="1:2" x14ac:dyDescent="0.2">
      <c r="A1137" s="2">
        <v>46216</v>
      </c>
      <c r="B1137">
        <v>78.139999389648438</v>
      </c>
    </row>
    <row r="1138" spans="1:2" x14ac:dyDescent="0.2">
      <c r="A1138" s="2">
        <v>46217</v>
      </c>
      <c r="B1138">
        <v>79.339996337890625</v>
      </c>
    </row>
    <row r="1139" spans="1:2" x14ac:dyDescent="0.2">
      <c r="A1139" s="2">
        <v>46218</v>
      </c>
      <c r="B1139">
        <v>79.599998474121094</v>
      </c>
    </row>
    <row r="1140" spans="1:2" x14ac:dyDescent="0.2">
      <c r="A1140" s="2">
        <v>46219</v>
      </c>
      <c r="B1140">
        <v>78.949996948242188</v>
      </c>
    </row>
    <row r="1141" spans="1:2" x14ac:dyDescent="0.2">
      <c r="A1141" s="2">
        <v>46220</v>
      </c>
      <c r="B1141">
        <v>82.489997863769531</v>
      </c>
    </row>
    <row r="1142" spans="1:2" x14ac:dyDescent="0.2">
      <c r="A1142" s="2">
        <v>46223</v>
      </c>
      <c r="B1142">
        <v>83.230003356933594</v>
      </c>
    </row>
    <row r="1143" spans="1:2" x14ac:dyDescent="0.2">
      <c r="A1143" s="2">
        <v>46224</v>
      </c>
      <c r="B1143">
        <v>84.910003662109375</v>
      </c>
    </row>
    <row r="1144" spans="1:2" x14ac:dyDescent="0.2">
      <c r="A1144" s="2">
        <v>46225</v>
      </c>
      <c r="B1144">
        <v>86.830001831054688</v>
      </c>
    </row>
    <row r="1145" spans="1:2" x14ac:dyDescent="0.2">
      <c r="A1145" s="2">
        <v>46226</v>
      </c>
      <c r="B1145">
        <v>92.19000244140625</v>
      </c>
    </row>
    <row r="1146" spans="1:2" x14ac:dyDescent="0.2">
      <c r="A1146" s="2">
        <v>46227</v>
      </c>
      <c r="B1146">
        <v>89.30999755859375</v>
      </c>
    </row>
    <row r="1147" spans="1:2" x14ac:dyDescent="0.2">
      <c r="A1147" s="2">
        <v>46230</v>
      </c>
      <c r="B1147">
        <v>82.610000610351562</v>
      </c>
    </row>
    <row r="1148" spans="1:2" x14ac:dyDescent="0.2">
      <c r="A1148" s="2">
        <v>46231</v>
      </c>
      <c r="B1148">
        <v>79.260002136230469</v>
      </c>
    </row>
    <row r="1149" spans="1:2" x14ac:dyDescent="0.2">
      <c r="A1149" s="2">
        <v>46232</v>
      </c>
      <c r="B1149">
        <v>84.459999084472656</v>
      </c>
    </row>
    <row r="1150" spans="1:2" x14ac:dyDescent="0.2">
      <c r="A1150" s="2">
        <v>46233</v>
      </c>
      <c r="B1150">
        <v>83.589996337890625</v>
      </c>
    </row>
    <row r="1151" spans="1:2" x14ac:dyDescent="0.2">
      <c r="A1151" s="2">
        <v>46234</v>
      </c>
      <c r="B1151">
        <v>84.669998168945312</v>
      </c>
    </row>
    <row r="1152" spans="1:2" x14ac:dyDescent="0.2">
      <c r="A1152" s="2">
        <v>46237</v>
      </c>
      <c r="B1152">
        <v>80.339996337890625</v>
      </c>
    </row>
    <row r="1153" spans="1:2" x14ac:dyDescent="0.2">
      <c r="A1153" s="2">
        <v>46238</v>
      </c>
      <c r="B1153">
        <v>75.769996643066406</v>
      </c>
    </row>
    <row r="1154" spans="1:2" x14ac:dyDescent="0.2">
      <c r="A1154" s="2">
        <v>46239</v>
      </c>
      <c r="B1154">
        <v>75.220001220703125</v>
      </c>
    </row>
    <row r="1155" spans="1:2" x14ac:dyDescent="0.2">
      <c r="A1155" s="2">
        <v>46240</v>
      </c>
      <c r="B1155">
        <v>77.290000915527344</v>
      </c>
    </row>
    <row r="1156" spans="1:2" x14ac:dyDescent="0.2">
      <c r="A1156" s="2">
        <v>46241</v>
      </c>
      <c r="B1156">
        <v>78.180000305175781</v>
      </c>
    </row>
    <row r="1157" spans="1:2" x14ac:dyDescent="0.2">
      <c r="A1157" s="2">
        <v>46244</v>
      </c>
      <c r="B1157">
        <v>82.129997253417969</v>
      </c>
    </row>
    <row r="1158" spans="1:2" x14ac:dyDescent="0.2">
      <c r="A1158" s="2">
        <v>46245</v>
      </c>
      <c r="B1158">
        <v>83.199996948242188</v>
      </c>
    </row>
    <row r="1159" spans="1:2" x14ac:dyDescent="0.2">
      <c r="A1159" s="2">
        <v>46246</v>
      </c>
      <c r="B1159">
        <v>83.269996643066406</v>
      </c>
    </row>
    <row r="1160" spans="1:2" x14ac:dyDescent="0.2">
      <c r="A1160" s="2">
        <v>46247</v>
      </c>
      <c r="B1160">
        <v>81.25</v>
      </c>
    </row>
    <row r="1161" spans="1:2" x14ac:dyDescent="0.2">
      <c r="A1161" s="2">
        <v>46248</v>
      </c>
      <c r="B1161">
        <v>82.400001525878906</v>
      </c>
    </row>
    <row r="1162" spans="1:2" x14ac:dyDescent="0.2">
      <c r="A1162" s="2">
        <v>46251</v>
      </c>
      <c r="B1162">
        <v>84.5</v>
      </c>
    </row>
    <row r="1163" spans="1:2" x14ac:dyDescent="0.2">
      <c r="A1163" s="2">
        <v>46252</v>
      </c>
      <c r="B1163">
        <v>84.94000244140625</v>
      </c>
    </row>
    <row r="1164" spans="1:2" x14ac:dyDescent="0.2">
      <c r="A1164" s="2">
        <v>46253</v>
      </c>
      <c r="B1164">
        <v>85.830001831054688</v>
      </c>
    </row>
    <row r="1165" spans="1:2" x14ac:dyDescent="0.2">
      <c r="A1165" s="2">
        <v>46254</v>
      </c>
      <c r="B1165">
        <v>87.830001831054688</v>
      </c>
    </row>
    <row r="1166" spans="1:2" x14ac:dyDescent="0.2">
      <c r="A1166" s="2">
        <v>46255</v>
      </c>
      <c r="B1166">
        <v>87.05999755859375</v>
      </c>
    </row>
    <row r="1167" spans="1:2" x14ac:dyDescent="0.2">
      <c r="A1167" s="2">
        <v>46258</v>
      </c>
      <c r="B1167">
        <v>85.010002136230469</v>
      </c>
    </row>
    <row r="1168" spans="1:2" x14ac:dyDescent="0.2">
      <c r="A1168" s="2">
        <v>46259</v>
      </c>
      <c r="B1168">
        <v>82.360000610351562</v>
      </c>
    </row>
    <row r="1169" spans="1:2" x14ac:dyDescent="0.2">
      <c r="A1169" s="2">
        <v>46260</v>
      </c>
      <c r="B1169">
        <v>82.230003356933594</v>
      </c>
    </row>
    <row r="1170" spans="1:2" x14ac:dyDescent="0.2">
      <c r="A1170" s="2">
        <v>46261</v>
      </c>
      <c r="B1170">
        <v>83.529998779296875</v>
      </c>
    </row>
    <row r="1171" spans="1:2" x14ac:dyDescent="0.2">
      <c r="A1171" s="2">
        <v>46262</v>
      </c>
      <c r="B1171">
        <v>83.400001525878906</v>
      </c>
    </row>
    <row r="1172" spans="1:2" x14ac:dyDescent="0.2">
      <c r="A1172" s="2">
        <v>46265</v>
      </c>
      <c r="B1172">
        <v>85.760002136230469</v>
      </c>
    </row>
    <row r="1173" spans="1:2" x14ac:dyDescent="0.2">
      <c r="A1173" s="2">
        <v>46266</v>
      </c>
      <c r="B1173">
        <v>90.220001220703125</v>
      </c>
    </row>
    <row r="1174" spans="1:2" x14ac:dyDescent="0.2">
      <c r="A1174" s="2">
        <v>46267</v>
      </c>
      <c r="B1174">
        <v>91.010002136230469</v>
      </c>
    </row>
    <row r="1175" spans="1:2" x14ac:dyDescent="0.2">
      <c r="A1175" s="2">
        <v>46268</v>
      </c>
      <c r="B1175">
        <v>91.300003051757812</v>
      </c>
    </row>
    <row r="1176" spans="1:2" x14ac:dyDescent="0.2">
      <c r="A1176" s="2">
        <v>46269</v>
      </c>
      <c r="B1176">
        <v>91.480003356933594</v>
      </c>
    </row>
    <row r="1177" spans="1:2" x14ac:dyDescent="0.2">
      <c r="A1177" s="2">
        <v>46273</v>
      </c>
      <c r="B1177">
        <v>93.029998779296875</v>
      </c>
    </row>
    <row r="1178" spans="1:2" x14ac:dyDescent="0.2">
      <c r="A1178" s="2">
        <v>46274</v>
      </c>
      <c r="B1178">
        <v>96.050003051757812</v>
      </c>
    </row>
    <row r="1179" spans="1:2" x14ac:dyDescent="0.2">
      <c r="A1179" s="2">
        <v>46275</v>
      </c>
      <c r="B1179">
        <v>102.48000335693359</v>
      </c>
    </row>
    <row r="1180" spans="1:2" x14ac:dyDescent="0.2">
      <c r="A1180" s="2">
        <v>46276</v>
      </c>
      <c r="B1180">
        <v>100.0500030517578</v>
      </c>
    </row>
    <row r="1181" spans="1:2" x14ac:dyDescent="0.2">
      <c r="A1181" s="2">
        <v>46279</v>
      </c>
      <c r="B1181">
        <v>101.38999938964839</v>
      </c>
    </row>
    <row r="1182" spans="1:2" x14ac:dyDescent="0.2">
      <c r="A1182" s="2">
        <v>46280</v>
      </c>
      <c r="B1182">
        <v>105.8300018310547</v>
      </c>
    </row>
    <row r="1183" spans="1:2" x14ac:dyDescent="0.2">
      <c r="A1183" s="2">
        <v>46281</v>
      </c>
      <c r="B1183">
        <v>102.4300003051758</v>
      </c>
    </row>
    <row r="1184" spans="1:2" x14ac:dyDescent="0.2">
      <c r="A1184" s="2">
        <v>46282</v>
      </c>
      <c r="B1184">
        <v>101.9100036621094</v>
      </c>
    </row>
    <row r="1185" spans="1:2" x14ac:dyDescent="0.2">
      <c r="A1185" s="2">
        <v>46283</v>
      </c>
      <c r="B1185">
        <v>100.3000030517578</v>
      </c>
    </row>
    <row r="1186" spans="1:2" x14ac:dyDescent="0.2">
      <c r="A1186" s="2">
        <v>46286</v>
      </c>
      <c r="B1186">
        <v>95.779998779296875</v>
      </c>
    </row>
    <row r="1187" spans="1:2" x14ac:dyDescent="0.2">
      <c r="A1187" s="2">
        <v>46287</v>
      </c>
      <c r="B1187">
        <v>90.900001525878906</v>
      </c>
    </row>
  </sheetData>
  <autoFilter ref="A1:B1187" xr:uid="{9DC66542-1C11-2E4F-BD83-7CD9D52211A0}">
    <filterColumn colId="0">
      <filters>
        <dateGroupItem year="2026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Comps_Analysis</vt:lpstr>
      <vt:lpstr>Price_vs_Fundamentals</vt:lpstr>
      <vt:lpstr>Oil_Macro_Analysis</vt:lpstr>
      <vt:lpstr>Fundamentals</vt:lpstr>
      <vt:lpstr>Prices_All</vt:lpstr>
      <vt:lpstr>Prices_2022-2025</vt:lpstr>
      <vt:lpstr>Prices_2026</vt:lpstr>
      <vt:lpstr>Year_End_Prices</vt:lpstr>
      <vt:lpstr>Oil_Price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Gavin Bansi</cp:lastModifiedBy>
  <dcterms:created xsi:type="dcterms:W3CDTF">2026-09-15T18:54:32Z</dcterms:created>
  <dcterms:modified xsi:type="dcterms:W3CDTF">2026-09-22T22:08:49Z</dcterms:modified>
</cp:coreProperties>
</file>